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stín Portillo\Desktop\Vräengard\GenBEA 2025\"/>
    </mc:Choice>
  </mc:AlternateContent>
  <xr:revisionPtr revIDLastSave="0" documentId="13_ncr:1_{EA253824-626A-4D95-89F1-7D82CB572B80}" xr6:coauthVersionLast="47" xr6:coauthVersionMax="47" xr10:uidLastSave="{00000000-0000-0000-0000-000000000000}"/>
  <bookViews>
    <workbookView xWindow="-108" yWindow="-108" windowWidth="23256" windowHeight="12456" xr2:uid="{571E8AF9-0268-49D0-AF1F-33A572706171}"/>
  </bookViews>
  <sheets>
    <sheet name="Estado_cepas" sheetId="1" r:id="rId1"/>
    <sheet name="Extraídas" sheetId="2" r:id="rId2"/>
    <sheet name="PCRs" sheetId="3" r:id="rId3"/>
    <sheet name="Identificación genética" sheetId="4" r:id="rId4"/>
    <sheet name="Registro" sheetId="10" r:id="rId5"/>
  </sheets>
  <externalReferences>
    <externalReference r:id="rId6"/>
  </externalReferences>
  <definedNames>
    <definedName name="_xlnm._FilterDatabase" localSheetId="0" hidden="1">Estado_cepas!$A$1:$G$1127</definedName>
    <definedName name="_xlnm._FilterDatabase" localSheetId="1" hidden="1">Extraídas!$A$1:$A$1031</definedName>
    <definedName name="_xlnm._FilterDatabase" localSheetId="3" hidden="1">'Identificación genética'!$B$1:$Z$990</definedName>
    <definedName name="_xlnm._FilterDatabase" localSheetId="2" hidden="1">PCRs!$A$1:$Z$1003</definedName>
    <definedName name="_xlnm._FilterDatabase" localSheetId="4" hidden="1">Registro!$A$1:$D$1510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2" i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C70" i="1" a="1"/>
  <c r="C70" i="1" s="1"/>
  <c r="C71" i="1" a="1"/>
  <c r="C71" i="1" s="1"/>
  <c r="C72" i="1" a="1"/>
  <c r="C72" i="1" s="1"/>
  <c r="C73" i="1" a="1"/>
  <c r="C73" i="1" s="1"/>
  <c r="C74" i="1" a="1"/>
  <c r="C74" i="1" s="1"/>
  <c r="C75" i="1" a="1"/>
  <c r="C75" i="1" s="1"/>
  <c r="C76" i="1" a="1"/>
  <c r="C76" i="1" s="1"/>
  <c r="C77" i="1" a="1"/>
  <c r="C77" i="1" s="1"/>
  <c r="C78" i="1" a="1"/>
  <c r="C78" i="1" s="1"/>
  <c r="C79" i="1" a="1"/>
  <c r="C79" i="1" s="1"/>
  <c r="C80" i="1" a="1"/>
  <c r="C80" i="1" s="1"/>
  <c r="C81" i="1" a="1"/>
  <c r="C81" i="1" s="1"/>
  <c r="C82" i="1" a="1"/>
  <c r="C82" i="1" s="1"/>
  <c r="C83" i="1" a="1"/>
  <c r="C83" i="1" s="1"/>
  <c r="C84" i="1" a="1"/>
  <c r="C84" i="1" s="1"/>
  <c r="C85" i="1" a="1"/>
  <c r="C85" i="1" s="1"/>
  <c r="C86" i="1" a="1"/>
  <c r="C86" i="1" s="1"/>
  <c r="C87" i="1" a="1"/>
  <c r="C87" i="1" s="1"/>
  <c r="C88" i="1" a="1"/>
  <c r="C88" i="1" s="1"/>
  <c r="C89" i="1" a="1"/>
  <c r="C89" i="1" s="1"/>
  <c r="C90" i="1" a="1"/>
  <c r="C90" i="1" s="1"/>
  <c r="C91" i="1" a="1"/>
  <c r="C91" i="1" s="1"/>
  <c r="C92" i="1" a="1"/>
  <c r="C92" i="1" s="1"/>
  <c r="C93" i="1" a="1"/>
  <c r="C93" i="1" s="1"/>
  <c r="C94" i="1" a="1"/>
  <c r="C94" i="1" s="1"/>
  <c r="C95" i="1" a="1"/>
  <c r="C95" i="1" s="1"/>
  <c r="C96" i="1" a="1"/>
  <c r="C96" i="1" s="1"/>
  <c r="C97" i="1" a="1"/>
  <c r="C97" i="1" s="1"/>
  <c r="C98" i="1" a="1"/>
  <c r="C98" i="1" s="1"/>
  <c r="C99" i="1" a="1"/>
  <c r="C99" i="1" s="1"/>
  <c r="C100" i="1" a="1"/>
  <c r="C100" i="1" s="1"/>
  <c r="C101" i="1" a="1"/>
  <c r="C101" i="1" s="1"/>
  <c r="C102" i="1" a="1"/>
  <c r="C102" i="1" s="1"/>
  <c r="C103" i="1" a="1"/>
  <c r="C103" i="1" s="1"/>
  <c r="C104" i="1" a="1"/>
  <c r="C104" i="1" s="1"/>
  <c r="C105" i="1" a="1"/>
  <c r="C105" i="1" s="1"/>
  <c r="C106" i="1" a="1"/>
  <c r="C106" i="1" s="1"/>
  <c r="C107" i="1" a="1"/>
  <c r="C107" i="1" s="1"/>
  <c r="C108" i="1" a="1"/>
  <c r="C108" i="1" s="1"/>
  <c r="C109" i="1" a="1"/>
  <c r="C109" i="1" s="1"/>
  <c r="C110" i="1" a="1"/>
  <c r="C110" i="1" s="1"/>
  <c r="C111" i="1" a="1"/>
  <c r="C111" i="1" s="1"/>
  <c r="C112" i="1" a="1"/>
  <c r="C112" i="1" s="1"/>
  <c r="C113" i="1" a="1"/>
  <c r="C113" i="1" s="1"/>
  <c r="C114" i="1" a="1"/>
  <c r="C114" i="1" s="1"/>
  <c r="C115" i="1" a="1"/>
  <c r="C115" i="1" s="1"/>
  <c r="C116" i="1" a="1"/>
  <c r="C116" i="1" s="1"/>
  <c r="C117" i="1" a="1"/>
  <c r="C117" i="1" s="1"/>
  <c r="C118" i="1" a="1"/>
  <c r="C118" i="1" s="1"/>
  <c r="C119" i="1" a="1"/>
  <c r="C119" i="1" s="1"/>
  <c r="C120" i="1" a="1"/>
  <c r="C120" i="1" s="1"/>
  <c r="C121" i="1" a="1"/>
  <c r="C121" i="1" s="1"/>
  <c r="C122" i="1" a="1"/>
  <c r="C122" i="1" s="1"/>
  <c r="C123" i="1" a="1"/>
  <c r="C123" i="1" s="1"/>
  <c r="C124" i="1" a="1"/>
  <c r="C124" i="1" s="1"/>
  <c r="C125" i="1" a="1"/>
  <c r="C125" i="1" s="1"/>
  <c r="C126" i="1" a="1"/>
  <c r="C126" i="1" s="1"/>
  <c r="C127" i="1" a="1"/>
  <c r="C127" i="1" s="1"/>
  <c r="C128" i="1" a="1"/>
  <c r="C128" i="1" s="1"/>
  <c r="C129" i="1" a="1"/>
  <c r="C129" i="1" s="1"/>
  <c r="C130" i="1" a="1"/>
  <c r="C130" i="1" s="1"/>
  <c r="C131" i="1" a="1"/>
  <c r="C131" i="1" s="1"/>
  <c r="C132" i="1" a="1"/>
  <c r="C132" i="1" s="1"/>
  <c r="C133" i="1" a="1"/>
  <c r="C133" i="1" s="1"/>
  <c r="C134" i="1" a="1"/>
  <c r="C134" i="1" s="1"/>
  <c r="C135" i="1" a="1"/>
  <c r="C135" i="1" s="1"/>
  <c r="C136" i="1" a="1"/>
  <c r="C136" i="1" s="1"/>
  <c r="C137" i="1" a="1"/>
  <c r="C137" i="1" s="1"/>
  <c r="C138" i="1" a="1"/>
  <c r="C138" i="1" s="1"/>
  <c r="C139" i="1" a="1"/>
  <c r="C139" i="1" s="1"/>
  <c r="C140" i="1" a="1"/>
  <c r="C140" i="1" s="1"/>
  <c r="C141" i="1" a="1"/>
  <c r="C141" i="1" s="1"/>
  <c r="C142" i="1" a="1"/>
  <c r="C142" i="1" s="1"/>
  <c r="C143" i="1" a="1"/>
  <c r="C143" i="1" s="1"/>
  <c r="C144" i="1" a="1"/>
  <c r="C144" i="1" s="1"/>
  <c r="C145" i="1" a="1"/>
  <c r="C145" i="1" s="1"/>
  <c r="C146" i="1" a="1"/>
  <c r="C146" i="1" s="1"/>
  <c r="C147" i="1" a="1"/>
  <c r="C147" i="1" s="1"/>
  <c r="C148" i="1" a="1"/>
  <c r="C148" i="1" s="1"/>
  <c r="C149" i="1" a="1"/>
  <c r="C149" i="1" s="1"/>
  <c r="C150" i="1" a="1"/>
  <c r="C150" i="1" s="1"/>
  <c r="C151" i="1" a="1"/>
  <c r="C151" i="1" s="1"/>
  <c r="C152" i="1" a="1"/>
  <c r="C152" i="1" s="1"/>
  <c r="C153" i="1" a="1"/>
  <c r="C153" i="1" s="1"/>
  <c r="C154" i="1" a="1"/>
  <c r="C154" i="1" s="1"/>
  <c r="C155" i="1" a="1"/>
  <c r="C155" i="1" s="1"/>
  <c r="C156" i="1" a="1"/>
  <c r="C156" i="1" s="1"/>
  <c r="C157" i="1" a="1"/>
  <c r="C157" i="1" s="1"/>
  <c r="C158" i="1" a="1"/>
  <c r="C158" i="1" s="1"/>
  <c r="C159" i="1" a="1"/>
  <c r="C159" i="1" s="1"/>
  <c r="C160" i="1" a="1"/>
  <c r="C160" i="1" s="1"/>
  <c r="C161" i="1" a="1"/>
  <c r="C161" i="1" s="1"/>
  <c r="C162" i="1" a="1"/>
  <c r="C162" i="1" s="1"/>
  <c r="C163" i="1" a="1"/>
  <c r="C163" i="1" s="1"/>
  <c r="C164" i="1" a="1"/>
  <c r="C164" i="1" s="1"/>
  <c r="C165" i="1" a="1"/>
  <c r="C165" i="1" s="1"/>
  <c r="C166" i="1" a="1"/>
  <c r="C166" i="1" s="1"/>
  <c r="C167" i="1" a="1"/>
  <c r="C167" i="1" s="1"/>
  <c r="C168" i="1" a="1"/>
  <c r="C168" i="1" s="1"/>
  <c r="C169" i="1" a="1"/>
  <c r="C169" i="1" s="1"/>
  <c r="C170" i="1" a="1"/>
  <c r="C170" i="1" s="1"/>
  <c r="C171" i="1" a="1"/>
  <c r="C171" i="1" s="1"/>
  <c r="C172" i="1" a="1"/>
  <c r="C172" i="1" s="1"/>
  <c r="C173" i="1" a="1"/>
  <c r="C173" i="1" s="1"/>
  <c r="C174" i="1" a="1"/>
  <c r="C174" i="1" s="1"/>
  <c r="C175" i="1" a="1"/>
  <c r="C175" i="1" s="1"/>
  <c r="C176" i="1" a="1"/>
  <c r="C176" i="1" s="1"/>
  <c r="C177" i="1" a="1"/>
  <c r="C177" i="1" s="1"/>
  <c r="C178" i="1" a="1"/>
  <c r="C178" i="1" s="1"/>
  <c r="C179" i="1" a="1"/>
  <c r="C179" i="1" s="1"/>
  <c r="C180" i="1" a="1"/>
  <c r="C180" i="1" s="1"/>
  <c r="C181" i="1" a="1"/>
  <c r="C181" i="1" s="1"/>
  <c r="C182" i="1" a="1"/>
  <c r="C182" i="1" s="1"/>
  <c r="C183" i="1" a="1"/>
  <c r="C183" i="1" s="1"/>
  <c r="C184" i="1" a="1"/>
  <c r="C184" i="1" s="1"/>
  <c r="C185" i="1" a="1"/>
  <c r="C185" i="1" s="1"/>
  <c r="C186" i="1" a="1"/>
  <c r="C186" i="1" s="1"/>
  <c r="C187" i="1" a="1"/>
  <c r="C187" i="1" s="1"/>
  <c r="C188" i="1" a="1"/>
  <c r="C188" i="1" s="1"/>
  <c r="C189" i="1" a="1"/>
  <c r="C189" i="1" s="1"/>
  <c r="C190" i="1" a="1"/>
  <c r="C190" i="1" s="1"/>
  <c r="C191" i="1" a="1"/>
  <c r="C191" i="1" s="1"/>
  <c r="C192" i="1" a="1"/>
  <c r="C192" i="1" s="1"/>
  <c r="C193" i="1" a="1"/>
  <c r="C193" i="1" s="1"/>
  <c r="C194" i="1" a="1"/>
  <c r="C194" i="1" s="1"/>
  <c r="C195" i="1" a="1"/>
  <c r="C195" i="1" s="1"/>
  <c r="C196" i="1" a="1"/>
  <c r="C196" i="1" s="1"/>
  <c r="C197" i="1" a="1"/>
  <c r="C197" i="1" s="1"/>
  <c r="C198" i="1" a="1"/>
  <c r="C198" i="1" s="1"/>
  <c r="C199" i="1" a="1"/>
  <c r="C199" i="1" s="1"/>
  <c r="C200" i="1" a="1"/>
  <c r="C200" i="1" s="1"/>
  <c r="C201" i="1" a="1"/>
  <c r="C201" i="1" s="1"/>
  <c r="C202" i="1" a="1"/>
  <c r="C202" i="1" s="1"/>
  <c r="C203" i="1" a="1"/>
  <c r="C203" i="1" s="1"/>
  <c r="C204" i="1" a="1"/>
  <c r="C204" i="1" s="1"/>
  <c r="C205" i="1" a="1"/>
  <c r="C205" i="1" s="1"/>
  <c r="C206" i="1" a="1"/>
  <c r="C206" i="1" s="1"/>
  <c r="C207" i="1" a="1"/>
  <c r="C207" i="1" s="1"/>
  <c r="C208" i="1" a="1"/>
  <c r="C208" i="1" s="1"/>
  <c r="C209" i="1" a="1"/>
  <c r="C209" i="1" s="1"/>
  <c r="C210" i="1" a="1"/>
  <c r="C210" i="1" s="1"/>
  <c r="C211" i="1" a="1"/>
  <c r="C211" i="1" s="1"/>
  <c r="C212" i="1" a="1"/>
  <c r="C212" i="1" s="1"/>
  <c r="C213" i="1" a="1"/>
  <c r="C213" i="1" s="1"/>
  <c r="C214" i="1" a="1"/>
  <c r="C214" i="1" s="1"/>
  <c r="C215" i="1" a="1"/>
  <c r="C215" i="1" s="1"/>
  <c r="C216" i="1" a="1"/>
  <c r="C216" i="1" s="1"/>
  <c r="C217" i="1" a="1"/>
  <c r="C217" i="1" s="1"/>
  <c r="C218" i="1" a="1"/>
  <c r="C218" i="1" s="1"/>
  <c r="C219" i="1" a="1"/>
  <c r="C219" i="1" s="1"/>
  <c r="C220" i="1" a="1"/>
  <c r="C220" i="1" s="1"/>
  <c r="C221" i="1" a="1"/>
  <c r="C221" i="1" s="1"/>
  <c r="C222" i="1" a="1"/>
  <c r="C222" i="1" s="1"/>
  <c r="C223" i="1" a="1"/>
  <c r="C223" i="1" s="1"/>
  <c r="C224" i="1" a="1"/>
  <c r="C224" i="1" s="1"/>
  <c r="C225" i="1" a="1"/>
  <c r="C225" i="1" s="1"/>
  <c r="C226" i="1" a="1"/>
  <c r="C226" i="1" s="1"/>
  <c r="C227" i="1" a="1"/>
  <c r="C227" i="1" s="1"/>
  <c r="C228" i="1" a="1"/>
  <c r="C228" i="1" s="1"/>
  <c r="C229" i="1" a="1"/>
  <c r="C229" i="1" s="1"/>
  <c r="C230" i="1" a="1"/>
  <c r="C230" i="1" s="1"/>
  <c r="C231" i="1" a="1"/>
  <c r="C231" i="1" s="1"/>
  <c r="C232" i="1" a="1"/>
  <c r="C232" i="1" s="1"/>
  <c r="C233" i="1" a="1"/>
  <c r="C233" i="1" s="1"/>
  <c r="C234" i="1" a="1"/>
  <c r="C234" i="1" s="1"/>
  <c r="C235" i="1" a="1"/>
  <c r="C235" i="1" s="1"/>
  <c r="C236" i="1" a="1"/>
  <c r="C236" i="1" s="1"/>
  <c r="C237" i="1" a="1"/>
  <c r="C237" i="1" s="1"/>
  <c r="C238" i="1" a="1"/>
  <c r="C238" i="1" s="1"/>
  <c r="C239" i="1" a="1"/>
  <c r="C239" i="1" s="1"/>
  <c r="C240" i="1" a="1"/>
  <c r="C240" i="1" s="1"/>
  <c r="C241" i="1" a="1"/>
  <c r="C241" i="1" s="1"/>
  <c r="C242" i="1" a="1"/>
  <c r="C242" i="1" s="1"/>
  <c r="C243" i="1" a="1"/>
  <c r="C243" i="1" s="1"/>
  <c r="C244" i="1" a="1"/>
  <c r="C244" i="1" s="1"/>
  <c r="C245" i="1" a="1"/>
  <c r="C245" i="1" s="1"/>
  <c r="C246" i="1" a="1"/>
  <c r="C246" i="1" s="1"/>
  <c r="C247" i="1" a="1"/>
  <c r="C247" i="1" s="1"/>
  <c r="C248" i="1" a="1"/>
  <c r="C248" i="1" s="1"/>
  <c r="C249" i="1" a="1"/>
  <c r="C249" i="1" s="1"/>
  <c r="C250" i="1" a="1"/>
  <c r="C250" i="1" s="1"/>
  <c r="C251" i="1" a="1"/>
  <c r="C251" i="1" s="1"/>
  <c r="C252" i="1" a="1"/>
  <c r="C252" i="1" s="1"/>
  <c r="C253" i="1" a="1"/>
  <c r="C253" i="1" s="1"/>
  <c r="C254" i="1" a="1"/>
  <c r="C254" i="1" s="1"/>
  <c r="C255" i="1" a="1"/>
  <c r="C255" i="1" s="1"/>
  <c r="C256" i="1" a="1"/>
  <c r="C256" i="1" s="1"/>
  <c r="C257" i="1" a="1"/>
  <c r="C257" i="1" s="1"/>
  <c r="C258" i="1" a="1"/>
  <c r="C258" i="1" s="1"/>
  <c r="C259" i="1" a="1"/>
  <c r="C259" i="1" s="1"/>
  <c r="C260" i="1" a="1"/>
  <c r="C260" i="1" s="1"/>
  <c r="C261" i="1" a="1"/>
  <c r="C261" i="1" s="1"/>
  <c r="C262" i="1" a="1"/>
  <c r="C262" i="1" s="1"/>
  <c r="C263" i="1" a="1"/>
  <c r="C263" i="1" s="1"/>
  <c r="C264" i="1" a="1"/>
  <c r="C264" i="1" s="1"/>
  <c r="C265" i="1" a="1"/>
  <c r="C265" i="1" s="1"/>
  <c r="C266" i="1" a="1"/>
  <c r="C266" i="1" s="1"/>
  <c r="C267" i="1" a="1"/>
  <c r="C267" i="1" s="1"/>
  <c r="C268" i="1" a="1"/>
  <c r="C268" i="1" s="1"/>
  <c r="C269" i="1" a="1"/>
  <c r="C269" i="1" s="1"/>
  <c r="C270" i="1" a="1"/>
  <c r="C270" i="1" s="1"/>
  <c r="C271" i="1" a="1"/>
  <c r="C271" i="1" s="1"/>
  <c r="C272" i="1" a="1"/>
  <c r="C272" i="1" s="1"/>
  <c r="C273" i="1" a="1"/>
  <c r="C273" i="1" s="1"/>
  <c r="C274" i="1" a="1"/>
  <c r="C274" i="1" s="1"/>
  <c r="C275" i="1" a="1"/>
  <c r="C275" i="1" s="1"/>
  <c r="C276" i="1" a="1"/>
  <c r="C276" i="1" s="1"/>
  <c r="C277" i="1" a="1"/>
  <c r="C277" i="1" s="1"/>
  <c r="C278" i="1" a="1"/>
  <c r="C278" i="1" s="1"/>
  <c r="C279" i="1" a="1"/>
  <c r="C279" i="1" s="1"/>
  <c r="C280" i="1" a="1"/>
  <c r="C280" i="1" s="1"/>
  <c r="C281" i="1" a="1"/>
  <c r="C281" i="1" s="1"/>
  <c r="C282" i="1" a="1"/>
  <c r="C282" i="1" s="1"/>
  <c r="C283" i="1" a="1"/>
  <c r="C283" i="1" s="1"/>
  <c r="C284" i="1" a="1"/>
  <c r="C284" i="1" s="1"/>
  <c r="C285" i="1" a="1"/>
  <c r="C285" i="1" s="1"/>
  <c r="C286" i="1" a="1"/>
  <c r="C286" i="1" s="1"/>
  <c r="C287" i="1" a="1"/>
  <c r="C287" i="1" s="1"/>
  <c r="C288" i="1" a="1"/>
  <c r="C288" i="1" s="1"/>
  <c r="C289" i="1" a="1"/>
  <c r="C289" i="1" s="1"/>
  <c r="C290" i="1" a="1"/>
  <c r="C290" i="1" s="1"/>
  <c r="C291" i="1" a="1"/>
  <c r="C291" i="1" s="1"/>
  <c r="C292" i="1" a="1"/>
  <c r="C292" i="1" s="1"/>
  <c r="C293" i="1" a="1"/>
  <c r="C293" i="1" s="1"/>
  <c r="C294" i="1" a="1"/>
  <c r="C294" i="1" s="1"/>
  <c r="C295" i="1" a="1"/>
  <c r="C295" i="1" s="1"/>
  <c r="C296" i="1" a="1"/>
  <c r="C296" i="1" s="1"/>
  <c r="C297" i="1" a="1"/>
  <c r="C297" i="1" s="1"/>
  <c r="C298" i="1" a="1"/>
  <c r="C298" i="1" s="1"/>
  <c r="C299" i="1" a="1"/>
  <c r="C299" i="1" s="1"/>
  <c r="C300" i="1" a="1"/>
  <c r="C300" i="1" s="1"/>
  <c r="C301" i="1" a="1"/>
  <c r="C301" i="1" s="1"/>
  <c r="C302" i="1" a="1"/>
  <c r="C302" i="1" s="1"/>
  <c r="C303" i="1" a="1"/>
  <c r="C303" i="1" s="1"/>
  <c r="C304" i="1" a="1"/>
  <c r="C304" i="1" s="1"/>
  <c r="C305" i="1" a="1"/>
  <c r="C305" i="1" s="1"/>
  <c r="C306" i="1" a="1"/>
  <c r="C306" i="1" s="1"/>
  <c r="C307" i="1" a="1"/>
  <c r="C307" i="1" s="1"/>
  <c r="C308" i="1" a="1"/>
  <c r="C308" i="1" s="1"/>
  <c r="C309" i="1" a="1"/>
  <c r="C309" i="1" s="1"/>
  <c r="C310" i="1" a="1"/>
  <c r="C310" i="1" s="1"/>
  <c r="C311" i="1" a="1"/>
  <c r="C311" i="1" s="1"/>
  <c r="C312" i="1" a="1"/>
  <c r="C312" i="1" s="1"/>
  <c r="C313" i="1" a="1"/>
  <c r="C313" i="1" s="1"/>
  <c r="C314" i="1" a="1"/>
  <c r="C314" i="1" s="1"/>
  <c r="C315" i="1" a="1"/>
  <c r="C315" i="1" s="1"/>
  <c r="C316" i="1" a="1"/>
  <c r="C316" i="1" s="1"/>
  <c r="C317" i="1" a="1"/>
  <c r="C317" i="1" s="1"/>
  <c r="C318" i="1" a="1"/>
  <c r="C318" i="1" s="1"/>
  <c r="C319" i="1" a="1"/>
  <c r="C319" i="1" s="1"/>
  <c r="C320" i="1" a="1"/>
  <c r="C320" i="1" s="1"/>
  <c r="C321" i="1" a="1"/>
  <c r="C321" i="1" s="1"/>
  <c r="C322" i="1" a="1"/>
  <c r="C322" i="1" s="1"/>
  <c r="C323" i="1" a="1"/>
  <c r="C323" i="1" s="1"/>
  <c r="C324" i="1" a="1"/>
  <c r="C324" i="1" s="1"/>
  <c r="C325" i="1" a="1"/>
  <c r="C325" i="1" s="1"/>
  <c r="C326" i="1" a="1"/>
  <c r="C326" i="1" s="1"/>
  <c r="C327" i="1" a="1"/>
  <c r="C327" i="1" s="1"/>
  <c r="C328" i="1" a="1"/>
  <c r="C328" i="1" s="1"/>
  <c r="C329" i="1" a="1"/>
  <c r="C329" i="1" s="1"/>
  <c r="C330" i="1" a="1"/>
  <c r="C330" i="1" s="1"/>
  <c r="C331" i="1" a="1"/>
  <c r="C331" i="1" s="1"/>
  <c r="C332" i="1" a="1"/>
  <c r="C332" i="1" s="1"/>
  <c r="C333" i="1" a="1"/>
  <c r="C333" i="1" s="1"/>
  <c r="C334" i="1" a="1"/>
  <c r="C334" i="1" s="1"/>
  <c r="C335" i="1" a="1"/>
  <c r="C335" i="1" s="1"/>
  <c r="C336" i="1" a="1"/>
  <c r="C336" i="1" s="1"/>
  <c r="C337" i="1" a="1"/>
  <c r="C337" i="1" s="1"/>
  <c r="C338" i="1" a="1"/>
  <c r="C338" i="1" s="1"/>
  <c r="C339" i="1" a="1"/>
  <c r="C339" i="1" s="1"/>
  <c r="C340" i="1" a="1"/>
  <c r="C340" i="1" s="1"/>
  <c r="C341" i="1" a="1"/>
  <c r="C341" i="1" s="1"/>
  <c r="C342" i="1" a="1"/>
  <c r="C342" i="1" s="1"/>
  <c r="C343" i="1" a="1"/>
  <c r="C343" i="1" s="1"/>
  <c r="C344" i="1" a="1"/>
  <c r="C344" i="1" s="1"/>
  <c r="C345" i="1" a="1"/>
  <c r="C345" i="1" s="1"/>
  <c r="C346" i="1" a="1"/>
  <c r="C346" i="1" s="1"/>
  <c r="C347" i="1" a="1"/>
  <c r="C347" i="1" s="1"/>
  <c r="C348" i="1" a="1"/>
  <c r="C348" i="1" s="1"/>
  <c r="C349" i="1" a="1"/>
  <c r="C349" i="1" s="1"/>
  <c r="C350" i="1" a="1"/>
  <c r="C350" i="1" s="1"/>
  <c r="C351" i="1" a="1"/>
  <c r="C351" i="1" s="1"/>
  <c r="C352" i="1" a="1"/>
  <c r="C352" i="1" s="1"/>
  <c r="C353" i="1" a="1"/>
  <c r="C353" i="1" s="1"/>
  <c r="C354" i="1" a="1"/>
  <c r="C354" i="1" s="1"/>
  <c r="C355" i="1" a="1"/>
  <c r="C355" i="1" s="1"/>
  <c r="C356" i="1" a="1"/>
  <c r="C356" i="1" s="1"/>
  <c r="C357" i="1" a="1"/>
  <c r="C357" i="1" s="1"/>
  <c r="C358" i="1" a="1"/>
  <c r="C358" i="1" s="1"/>
  <c r="C359" i="1" a="1"/>
  <c r="C359" i="1" s="1"/>
  <c r="C360" i="1" a="1"/>
  <c r="C360" i="1" s="1"/>
  <c r="C361" i="1" a="1"/>
  <c r="C361" i="1" s="1"/>
  <c r="C362" i="1" a="1"/>
  <c r="C362" i="1" s="1"/>
  <c r="C363" i="1" a="1"/>
  <c r="C363" i="1" s="1"/>
  <c r="C364" i="1" a="1"/>
  <c r="C364" i="1" s="1"/>
  <c r="C365" i="1" a="1"/>
  <c r="C365" i="1" s="1"/>
  <c r="C366" i="1" a="1"/>
  <c r="C366" i="1" s="1"/>
  <c r="C367" i="1" a="1"/>
  <c r="C367" i="1" s="1"/>
  <c r="C368" i="1" a="1"/>
  <c r="C368" i="1" s="1"/>
  <c r="C369" i="1" a="1"/>
  <c r="C369" i="1" s="1"/>
  <c r="C370" i="1" a="1"/>
  <c r="C370" i="1" s="1"/>
  <c r="C371" i="1" a="1"/>
  <c r="C371" i="1" s="1"/>
  <c r="C372" i="1" a="1"/>
  <c r="C372" i="1" s="1"/>
  <c r="C373" i="1" a="1"/>
  <c r="C373" i="1" s="1"/>
  <c r="C374" i="1" a="1"/>
  <c r="C374" i="1" s="1"/>
  <c r="C375" i="1" a="1"/>
  <c r="C375" i="1" s="1"/>
  <c r="C376" i="1" a="1"/>
  <c r="C376" i="1" s="1"/>
  <c r="C377" i="1" a="1"/>
  <c r="C377" i="1" s="1"/>
  <c r="C378" i="1" a="1"/>
  <c r="C378" i="1" s="1"/>
  <c r="C379" i="1" a="1"/>
  <c r="C379" i="1" s="1"/>
  <c r="C380" i="1" a="1"/>
  <c r="C380" i="1" s="1"/>
  <c r="C381" i="1" a="1"/>
  <c r="C381" i="1" s="1"/>
  <c r="C382" i="1" a="1"/>
  <c r="C382" i="1" s="1"/>
  <c r="C383" i="1" a="1"/>
  <c r="C383" i="1" s="1"/>
  <c r="C384" i="1" a="1"/>
  <c r="C384" i="1" s="1"/>
  <c r="C385" i="1" a="1"/>
  <c r="C385" i="1" s="1"/>
  <c r="C386" i="1" a="1"/>
  <c r="C386" i="1" s="1"/>
  <c r="C387" i="1" a="1"/>
  <c r="C387" i="1" s="1"/>
  <c r="C388" i="1" a="1"/>
  <c r="C388" i="1" s="1"/>
  <c r="C389" i="1" a="1"/>
  <c r="C389" i="1" s="1"/>
  <c r="C390" i="1" a="1"/>
  <c r="C390" i="1" s="1"/>
  <c r="C391" i="1" a="1"/>
  <c r="C391" i="1" s="1"/>
  <c r="C392" i="1" a="1"/>
  <c r="C392" i="1" s="1"/>
  <c r="C393" i="1" a="1"/>
  <c r="C393" i="1" s="1"/>
  <c r="C394" i="1" a="1"/>
  <c r="C394" i="1" s="1"/>
  <c r="C395" i="1" a="1"/>
  <c r="C395" i="1" s="1"/>
  <c r="C396" i="1" a="1"/>
  <c r="C396" i="1" s="1"/>
  <c r="C397" i="1" a="1"/>
  <c r="C397" i="1" s="1"/>
  <c r="C398" i="1" a="1"/>
  <c r="C398" i="1" s="1"/>
  <c r="C399" i="1" a="1"/>
  <c r="C399" i="1" s="1"/>
  <c r="C400" i="1" a="1"/>
  <c r="C400" i="1" s="1"/>
  <c r="C401" i="1" a="1"/>
  <c r="C401" i="1" s="1"/>
  <c r="C402" i="1" a="1"/>
  <c r="C402" i="1" s="1"/>
  <c r="C403" i="1" a="1"/>
  <c r="C403" i="1" s="1"/>
  <c r="C404" i="1" a="1"/>
  <c r="C404" i="1" s="1"/>
  <c r="C405" i="1" a="1"/>
  <c r="C405" i="1" s="1"/>
  <c r="C406" i="1" a="1"/>
  <c r="C406" i="1" s="1"/>
  <c r="C407" i="1" a="1"/>
  <c r="C407" i="1" s="1"/>
  <c r="C408" i="1" a="1"/>
  <c r="C408" i="1" s="1"/>
  <c r="C409" i="1" a="1"/>
  <c r="C409" i="1" s="1"/>
  <c r="C410" i="1" a="1"/>
  <c r="C410" i="1" s="1"/>
  <c r="C411" i="1" a="1"/>
  <c r="C411" i="1" s="1"/>
  <c r="C412" i="1" a="1"/>
  <c r="C412" i="1" s="1"/>
  <c r="C413" i="1" a="1"/>
  <c r="C413" i="1" s="1"/>
  <c r="C414" i="1" a="1"/>
  <c r="C414" i="1" s="1"/>
  <c r="C415" i="1" a="1"/>
  <c r="C415" i="1" s="1"/>
  <c r="C416" i="1" a="1"/>
  <c r="C416" i="1" s="1"/>
  <c r="C417" i="1" a="1"/>
  <c r="C417" i="1" s="1"/>
  <c r="C418" i="1" a="1"/>
  <c r="C418" i="1" s="1"/>
  <c r="C419" i="1" a="1"/>
  <c r="C419" i="1" s="1"/>
  <c r="C420" i="1" a="1"/>
  <c r="C420" i="1" s="1"/>
  <c r="C421" i="1" a="1"/>
  <c r="C421" i="1" s="1"/>
  <c r="C422" i="1" a="1"/>
  <c r="C422" i="1" s="1"/>
  <c r="C423" i="1" a="1"/>
  <c r="C423" i="1" s="1"/>
  <c r="C424" i="1" a="1"/>
  <c r="C424" i="1" s="1"/>
  <c r="C425" i="1" a="1"/>
  <c r="C425" i="1" s="1"/>
  <c r="C426" i="1" a="1"/>
  <c r="C426" i="1" s="1"/>
  <c r="C427" i="1" a="1"/>
  <c r="C427" i="1" s="1"/>
  <c r="C428" i="1" a="1"/>
  <c r="C428" i="1" s="1"/>
  <c r="C429" i="1" a="1"/>
  <c r="C429" i="1" s="1"/>
  <c r="C430" i="1" a="1"/>
  <c r="C430" i="1" s="1"/>
  <c r="C431" i="1" a="1"/>
  <c r="C431" i="1" s="1"/>
  <c r="C432" i="1" a="1"/>
  <c r="C432" i="1" s="1"/>
  <c r="C433" i="1" a="1"/>
  <c r="C433" i="1" s="1"/>
  <c r="C434" i="1" a="1"/>
  <c r="C434" i="1" s="1"/>
  <c r="C435" i="1" a="1"/>
  <c r="C435" i="1" s="1"/>
  <c r="C436" i="1" a="1"/>
  <c r="C436" i="1" s="1"/>
  <c r="C437" i="1" a="1"/>
  <c r="C437" i="1" s="1"/>
  <c r="C438" i="1" a="1"/>
  <c r="C438" i="1" s="1"/>
  <c r="C439" i="1" a="1"/>
  <c r="C439" i="1" s="1"/>
  <c r="C440" i="1" a="1"/>
  <c r="C440" i="1" s="1"/>
  <c r="C441" i="1" a="1"/>
  <c r="C441" i="1" s="1"/>
  <c r="C442" i="1" a="1"/>
  <c r="C442" i="1" s="1"/>
  <c r="C443" i="1" a="1"/>
  <c r="C443" i="1" s="1"/>
  <c r="C444" i="1" a="1"/>
  <c r="C444" i="1" s="1"/>
  <c r="C445" i="1" a="1"/>
  <c r="C445" i="1" s="1"/>
  <c r="C446" i="1" a="1"/>
  <c r="C446" i="1" s="1"/>
  <c r="C447" i="1" a="1"/>
  <c r="C447" i="1" s="1"/>
  <c r="C448" i="1" a="1"/>
  <c r="C448" i="1" s="1"/>
  <c r="C449" i="1" a="1"/>
  <c r="C449" i="1" s="1"/>
  <c r="C450" i="1" a="1"/>
  <c r="C450" i="1" s="1"/>
  <c r="C451" i="1" a="1"/>
  <c r="C451" i="1" s="1"/>
  <c r="C452" i="1" a="1"/>
  <c r="C452" i="1" s="1"/>
  <c r="C453" i="1" a="1"/>
  <c r="C453" i="1" s="1"/>
  <c r="C454" i="1" a="1"/>
  <c r="C454" i="1" s="1"/>
  <c r="C455" i="1" a="1"/>
  <c r="C455" i="1" s="1"/>
  <c r="C456" i="1" a="1"/>
  <c r="C456" i="1" s="1"/>
  <c r="C457" i="1" a="1"/>
  <c r="C457" i="1" s="1"/>
  <c r="C458" i="1" a="1"/>
  <c r="C458" i="1" s="1"/>
  <c r="C459" i="1" a="1"/>
  <c r="C459" i="1" s="1"/>
  <c r="C460" i="1" a="1"/>
  <c r="C460" i="1" s="1"/>
  <c r="C461" i="1" a="1"/>
  <c r="C461" i="1" s="1"/>
  <c r="C462" i="1" a="1"/>
  <c r="C462" i="1" s="1"/>
  <c r="C463" i="1" a="1"/>
  <c r="C463" i="1" s="1"/>
  <c r="C464" i="1" a="1"/>
  <c r="C464" i="1" s="1"/>
  <c r="C465" i="1" a="1"/>
  <c r="C465" i="1" s="1"/>
  <c r="C466" i="1" a="1"/>
  <c r="C466" i="1" s="1"/>
  <c r="C467" i="1" a="1"/>
  <c r="C467" i="1" s="1"/>
  <c r="C468" i="1" a="1"/>
  <c r="C468" i="1" s="1"/>
  <c r="C469" i="1" a="1"/>
  <c r="C469" i="1" s="1"/>
  <c r="C470" i="1" a="1"/>
  <c r="C470" i="1" s="1"/>
  <c r="C471" i="1" a="1"/>
  <c r="C471" i="1" s="1"/>
  <c r="C472" i="1" a="1"/>
  <c r="C472" i="1" s="1"/>
  <c r="C473" i="1" a="1"/>
  <c r="C473" i="1" s="1"/>
  <c r="C474" i="1" a="1"/>
  <c r="C474" i="1" s="1"/>
  <c r="C475" i="1" a="1"/>
  <c r="C475" i="1" s="1"/>
  <c r="C476" i="1" a="1"/>
  <c r="C476" i="1" s="1"/>
  <c r="C477" i="1" a="1"/>
  <c r="C477" i="1" s="1"/>
  <c r="C478" i="1" a="1"/>
  <c r="C478" i="1" s="1"/>
  <c r="C479" i="1" a="1"/>
  <c r="C479" i="1" s="1"/>
  <c r="C480" i="1" a="1"/>
  <c r="C480" i="1" s="1"/>
  <c r="C481" i="1" a="1"/>
  <c r="C481" i="1" s="1"/>
  <c r="C482" i="1" a="1"/>
  <c r="C482" i="1" s="1"/>
  <c r="C483" i="1" a="1"/>
  <c r="C483" i="1" s="1"/>
  <c r="C484" i="1" a="1"/>
  <c r="C484" i="1" s="1"/>
  <c r="C485" i="1" a="1"/>
  <c r="C485" i="1" s="1"/>
  <c r="C486" i="1" a="1"/>
  <c r="C486" i="1" s="1"/>
  <c r="C487" i="1" a="1"/>
  <c r="C487" i="1" s="1"/>
  <c r="C488" i="1" a="1"/>
  <c r="C488" i="1" s="1"/>
  <c r="C489" i="1" a="1"/>
  <c r="C489" i="1" s="1"/>
  <c r="C490" i="1" a="1"/>
  <c r="C490" i="1" s="1"/>
  <c r="C491" i="1" a="1"/>
  <c r="C491" i="1" s="1"/>
  <c r="C492" i="1" a="1"/>
  <c r="C492" i="1" s="1"/>
  <c r="C493" i="1" a="1"/>
  <c r="C493" i="1" s="1"/>
  <c r="C494" i="1" a="1"/>
  <c r="C494" i="1" s="1"/>
  <c r="C495" i="1" a="1"/>
  <c r="C495" i="1" s="1"/>
  <c r="C496" i="1" a="1"/>
  <c r="C496" i="1" s="1"/>
  <c r="C497" i="1" a="1"/>
  <c r="C497" i="1" s="1"/>
  <c r="C498" i="1" a="1"/>
  <c r="C498" i="1" s="1"/>
  <c r="C499" i="1" a="1"/>
  <c r="C499" i="1" s="1"/>
  <c r="C500" i="1" a="1"/>
  <c r="C500" i="1" s="1"/>
  <c r="C501" i="1" a="1"/>
  <c r="C501" i="1" s="1"/>
  <c r="C502" i="1" a="1"/>
  <c r="C502" i="1" s="1"/>
  <c r="C503" i="1" a="1"/>
  <c r="C503" i="1" s="1"/>
  <c r="C504" i="1" a="1"/>
  <c r="C504" i="1" s="1"/>
  <c r="C505" i="1" a="1"/>
  <c r="C505" i="1" s="1"/>
  <c r="C506" i="1" a="1"/>
  <c r="C506" i="1" s="1"/>
  <c r="C507" i="1" a="1"/>
  <c r="C507" i="1" s="1"/>
  <c r="C508" i="1" a="1"/>
  <c r="C508" i="1" s="1"/>
  <c r="C509" i="1" a="1"/>
  <c r="C509" i="1" s="1"/>
  <c r="C510" i="1" a="1"/>
  <c r="C510" i="1" s="1"/>
  <c r="C511" i="1" a="1"/>
  <c r="C511" i="1" s="1"/>
  <c r="C512" i="1" a="1"/>
  <c r="C512" i="1" s="1"/>
  <c r="C513" i="1" a="1"/>
  <c r="C513" i="1" s="1"/>
  <c r="C514" i="1" a="1"/>
  <c r="C514" i="1" s="1"/>
  <c r="C515" i="1" a="1"/>
  <c r="C515" i="1" s="1"/>
  <c r="C516" i="1" a="1"/>
  <c r="C516" i="1" s="1"/>
  <c r="C517" i="1" a="1"/>
  <c r="C517" i="1" s="1"/>
  <c r="C518" i="1" a="1"/>
  <c r="C518" i="1" s="1"/>
  <c r="C519" i="1" a="1"/>
  <c r="C519" i="1" s="1"/>
  <c r="C520" i="1" a="1"/>
  <c r="C520" i="1" s="1"/>
  <c r="C521" i="1" a="1"/>
  <c r="C521" i="1" s="1"/>
  <c r="C522" i="1" a="1"/>
  <c r="C522" i="1" s="1"/>
  <c r="C523" i="1" a="1"/>
  <c r="C523" i="1" s="1"/>
  <c r="C524" i="1" a="1"/>
  <c r="C524" i="1" s="1"/>
  <c r="C525" i="1" a="1"/>
  <c r="C525" i="1" s="1"/>
  <c r="C526" i="1" a="1"/>
  <c r="C526" i="1" s="1"/>
  <c r="C527" i="1" a="1"/>
  <c r="C527" i="1" s="1"/>
  <c r="C528" i="1" a="1"/>
  <c r="C528" i="1" s="1"/>
  <c r="C529" i="1" a="1"/>
  <c r="C529" i="1" s="1"/>
  <c r="C530" i="1" a="1"/>
  <c r="C530" i="1" s="1"/>
  <c r="C531" i="1" a="1"/>
  <c r="C531" i="1" s="1"/>
  <c r="C532" i="1" a="1"/>
  <c r="C532" i="1" s="1"/>
  <c r="C533" i="1" a="1"/>
  <c r="C533" i="1" s="1"/>
  <c r="C534" i="1" a="1"/>
  <c r="C534" i="1" s="1"/>
  <c r="C535" i="1" a="1"/>
  <c r="C535" i="1" s="1"/>
  <c r="C536" i="1" a="1"/>
  <c r="C536" i="1" s="1"/>
  <c r="C537" i="1" a="1"/>
  <c r="C537" i="1" s="1"/>
  <c r="C538" i="1" a="1"/>
  <c r="C538" i="1" s="1"/>
  <c r="C539" i="1" a="1"/>
  <c r="C539" i="1" s="1"/>
  <c r="C540" i="1" a="1"/>
  <c r="C540" i="1" s="1"/>
  <c r="C541" i="1" a="1"/>
  <c r="C541" i="1" s="1"/>
  <c r="C542" i="1" a="1"/>
  <c r="C542" i="1" s="1"/>
  <c r="C543" i="1" a="1"/>
  <c r="C543" i="1" s="1"/>
  <c r="C544" i="1" a="1"/>
  <c r="C544" i="1" s="1"/>
  <c r="C545" i="1" a="1"/>
  <c r="C545" i="1" s="1"/>
  <c r="C546" i="1" a="1"/>
  <c r="C546" i="1" s="1"/>
  <c r="C547" i="1" a="1"/>
  <c r="C547" i="1" s="1"/>
  <c r="C548" i="1" a="1"/>
  <c r="C548" i="1" s="1"/>
  <c r="C549" i="1" a="1"/>
  <c r="C549" i="1" s="1"/>
  <c r="C550" i="1" a="1"/>
  <c r="C550" i="1" s="1"/>
  <c r="C551" i="1" a="1"/>
  <c r="C551" i="1" s="1"/>
  <c r="C552" i="1" a="1"/>
  <c r="C552" i="1" s="1"/>
  <c r="C553" i="1" a="1"/>
  <c r="C553" i="1" s="1"/>
  <c r="C554" i="1" a="1"/>
  <c r="C554" i="1" s="1"/>
  <c r="C555" i="1" a="1"/>
  <c r="C555" i="1" s="1"/>
  <c r="C556" i="1" a="1"/>
  <c r="C556" i="1" s="1"/>
  <c r="C557" i="1" a="1"/>
  <c r="C557" i="1" s="1"/>
  <c r="C558" i="1" a="1"/>
  <c r="C558" i="1" s="1"/>
  <c r="C559" i="1" a="1"/>
  <c r="C559" i="1" s="1"/>
  <c r="C560" i="1" a="1"/>
  <c r="C560" i="1" s="1"/>
  <c r="C561" i="1" a="1"/>
  <c r="C561" i="1" s="1"/>
  <c r="C562" i="1" a="1"/>
  <c r="C562" i="1" s="1"/>
  <c r="C563" i="1" a="1"/>
  <c r="C563" i="1" s="1"/>
  <c r="C564" i="1" a="1"/>
  <c r="C564" i="1" s="1"/>
  <c r="C565" i="1" a="1"/>
  <c r="C565" i="1" s="1"/>
  <c r="C566" i="1" a="1"/>
  <c r="C566" i="1" s="1"/>
  <c r="C567" i="1" a="1"/>
  <c r="C567" i="1" s="1"/>
  <c r="C568" i="1" a="1"/>
  <c r="C568" i="1" s="1"/>
  <c r="C569" i="1" a="1"/>
  <c r="C569" i="1" s="1"/>
  <c r="C570" i="1" a="1"/>
  <c r="C570" i="1" s="1"/>
  <c r="C571" i="1" a="1"/>
  <c r="C571" i="1" s="1"/>
  <c r="C572" i="1" a="1"/>
  <c r="C572" i="1" s="1"/>
  <c r="C573" i="1" a="1"/>
  <c r="C573" i="1" s="1"/>
  <c r="C574" i="1" a="1"/>
  <c r="C574" i="1" s="1"/>
  <c r="C575" i="1" a="1"/>
  <c r="C575" i="1" s="1"/>
  <c r="C576" i="1" a="1"/>
  <c r="C576" i="1" s="1"/>
  <c r="C577" i="1" a="1"/>
  <c r="C577" i="1" s="1"/>
  <c r="C578" i="1" a="1"/>
  <c r="C578" i="1" s="1"/>
  <c r="C579" i="1" a="1"/>
  <c r="C579" i="1" s="1"/>
  <c r="C580" i="1" a="1"/>
  <c r="C580" i="1" s="1"/>
  <c r="C581" i="1" a="1"/>
  <c r="C581" i="1" s="1"/>
  <c r="C582" i="1" a="1"/>
  <c r="C582" i="1" s="1"/>
  <c r="C583" i="1" a="1"/>
  <c r="C583" i="1" s="1"/>
  <c r="C584" i="1" a="1"/>
  <c r="C584" i="1" s="1"/>
  <c r="C585" i="1" a="1"/>
  <c r="C585" i="1" s="1"/>
  <c r="C586" i="1" a="1"/>
  <c r="C586" i="1" s="1"/>
  <c r="C587" i="1" a="1"/>
  <c r="C587" i="1" s="1"/>
  <c r="C588" i="1" a="1"/>
  <c r="C588" i="1" s="1"/>
  <c r="C589" i="1" a="1"/>
  <c r="C589" i="1" s="1"/>
  <c r="C590" i="1" a="1"/>
  <c r="C590" i="1" s="1"/>
  <c r="C591" i="1" a="1"/>
  <c r="C591" i="1" s="1"/>
  <c r="C592" i="1" a="1"/>
  <c r="C592" i="1" s="1"/>
  <c r="C593" i="1" a="1"/>
  <c r="C593" i="1" s="1"/>
  <c r="C594" i="1" a="1"/>
  <c r="C594" i="1" s="1"/>
  <c r="C595" i="1" a="1"/>
  <c r="C595" i="1" s="1"/>
  <c r="C596" i="1" a="1"/>
  <c r="C596" i="1" s="1"/>
  <c r="C597" i="1" a="1"/>
  <c r="C597" i="1" s="1"/>
  <c r="C598" i="1" a="1"/>
  <c r="C598" i="1" s="1"/>
  <c r="C599" i="1" a="1"/>
  <c r="C599" i="1" s="1"/>
  <c r="C600" i="1" a="1"/>
  <c r="C600" i="1" s="1"/>
  <c r="C601" i="1" a="1"/>
  <c r="C601" i="1" s="1"/>
  <c r="C602" i="1" a="1"/>
  <c r="C602" i="1" s="1"/>
  <c r="C603" i="1" a="1"/>
  <c r="C603" i="1" s="1"/>
  <c r="C604" i="1" a="1"/>
  <c r="C604" i="1" s="1"/>
  <c r="C605" i="1" a="1"/>
  <c r="C605" i="1" s="1"/>
  <c r="C606" i="1" a="1"/>
  <c r="C606" i="1" s="1"/>
  <c r="C607" i="1" a="1"/>
  <c r="C607" i="1" s="1"/>
  <c r="C608" i="1" a="1"/>
  <c r="C608" i="1" s="1"/>
  <c r="C609" i="1" a="1"/>
  <c r="C609" i="1" s="1"/>
  <c r="C610" i="1" a="1"/>
  <c r="C610" i="1" s="1"/>
  <c r="C611" i="1" a="1"/>
  <c r="C611" i="1" s="1"/>
  <c r="C612" i="1" a="1"/>
  <c r="C612" i="1" s="1"/>
  <c r="C613" i="1" a="1"/>
  <c r="C613" i="1" s="1"/>
  <c r="C614" i="1" a="1"/>
  <c r="C614" i="1" s="1"/>
  <c r="C615" i="1" a="1"/>
  <c r="C615" i="1" s="1"/>
  <c r="C616" i="1" a="1"/>
  <c r="C616" i="1" s="1"/>
  <c r="C617" i="1" a="1"/>
  <c r="C617" i="1" s="1"/>
  <c r="C618" i="1" a="1"/>
  <c r="C618" i="1" s="1"/>
  <c r="C619" i="1" a="1"/>
  <c r="C619" i="1" s="1"/>
  <c r="C620" i="1" a="1"/>
  <c r="C620" i="1" s="1"/>
  <c r="C621" i="1" a="1"/>
  <c r="C621" i="1" s="1"/>
  <c r="C622" i="1" a="1"/>
  <c r="C622" i="1" s="1"/>
  <c r="C623" i="1" a="1"/>
  <c r="C623" i="1" s="1"/>
  <c r="C624" i="1" a="1"/>
  <c r="C624" i="1" s="1"/>
  <c r="C625" i="1" a="1"/>
  <c r="C625" i="1" s="1"/>
  <c r="C626" i="1" a="1"/>
  <c r="C626" i="1" s="1"/>
  <c r="C627" i="1" a="1"/>
  <c r="C627" i="1" s="1"/>
  <c r="C628" i="1" a="1"/>
  <c r="C628" i="1" s="1"/>
  <c r="C629" i="1" a="1"/>
  <c r="C629" i="1" s="1"/>
  <c r="C630" i="1" a="1"/>
  <c r="C630" i="1" s="1"/>
  <c r="C631" i="1" a="1"/>
  <c r="C631" i="1" s="1"/>
  <c r="C632" i="1" a="1"/>
  <c r="C632" i="1" s="1"/>
  <c r="C633" i="1" a="1"/>
  <c r="C633" i="1" s="1"/>
  <c r="C634" i="1" a="1"/>
  <c r="C634" i="1" s="1"/>
  <c r="C635" i="1" a="1"/>
  <c r="C635" i="1" s="1"/>
  <c r="C636" i="1" a="1"/>
  <c r="C636" i="1" s="1"/>
  <c r="C637" i="1" a="1"/>
  <c r="C637" i="1" s="1"/>
  <c r="C638" i="1" a="1"/>
  <c r="C638" i="1" s="1"/>
  <c r="C639" i="1" a="1"/>
  <c r="C639" i="1" s="1"/>
  <c r="C640" i="1" a="1"/>
  <c r="C640" i="1" s="1"/>
  <c r="C641" i="1" a="1"/>
  <c r="C641" i="1" s="1"/>
  <c r="C642" i="1" a="1"/>
  <c r="C642" i="1" s="1"/>
  <c r="C643" i="1" a="1"/>
  <c r="C643" i="1" s="1"/>
  <c r="C644" i="1" a="1"/>
  <c r="C644" i="1" s="1"/>
  <c r="C645" i="1" a="1"/>
  <c r="C645" i="1" s="1"/>
  <c r="C646" i="1" a="1"/>
  <c r="C646" i="1" s="1"/>
  <c r="C647" i="1" a="1"/>
  <c r="C647" i="1" s="1"/>
  <c r="C648" i="1" a="1"/>
  <c r="C648" i="1" s="1"/>
  <c r="C649" i="1" a="1"/>
  <c r="C649" i="1" s="1"/>
  <c r="C650" i="1" a="1"/>
  <c r="C650" i="1" s="1"/>
  <c r="C651" i="1" a="1"/>
  <c r="C651" i="1" s="1"/>
  <c r="C652" i="1" a="1"/>
  <c r="C652" i="1" s="1"/>
  <c r="C653" i="1" a="1"/>
  <c r="C653" i="1" s="1"/>
  <c r="C654" i="1" a="1"/>
  <c r="C654" i="1" s="1"/>
  <c r="C655" i="1" a="1"/>
  <c r="C655" i="1" s="1"/>
  <c r="C656" i="1" a="1"/>
  <c r="C656" i="1" s="1"/>
  <c r="C657" i="1" a="1"/>
  <c r="C657" i="1" s="1"/>
  <c r="C658" i="1" a="1"/>
  <c r="C658" i="1" s="1"/>
  <c r="C659" i="1" a="1"/>
  <c r="C659" i="1" s="1"/>
  <c r="C660" i="1" a="1"/>
  <c r="C660" i="1" s="1"/>
  <c r="C661" i="1" a="1"/>
  <c r="C661" i="1" s="1"/>
  <c r="C662" i="1" a="1"/>
  <c r="C662" i="1" s="1"/>
  <c r="C663" i="1" a="1"/>
  <c r="C663" i="1" s="1"/>
  <c r="C664" i="1" a="1"/>
  <c r="C664" i="1" s="1"/>
  <c r="C665" i="1" a="1"/>
  <c r="C665" i="1" s="1"/>
  <c r="C666" i="1" a="1"/>
  <c r="C666" i="1" s="1"/>
  <c r="C667" i="1" a="1"/>
  <c r="C667" i="1" s="1"/>
  <c r="C668" i="1" a="1"/>
  <c r="C668" i="1" s="1"/>
  <c r="C669" i="1" a="1"/>
  <c r="C669" i="1" s="1"/>
  <c r="C670" i="1" a="1"/>
  <c r="C670" i="1" s="1"/>
  <c r="C671" i="1" a="1"/>
  <c r="C671" i="1" s="1"/>
  <c r="C672" i="1" a="1"/>
  <c r="C672" i="1" s="1"/>
  <c r="C673" i="1" a="1"/>
  <c r="C673" i="1" s="1"/>
  <c r="C674" i="1" a="1"/>
  <c r="C674" i="1" s="1"/>
  <c r="C675" i="1" a="1"/>
  <c r="C675" i="1" s="1"/>
  <c r="C676" i="1" a="1"/>
  <c r="C676" i="1" s="1"/>
  <c r="C677" i="1" a="1"/>
  <c r="C677" i="1" s="1"/>
  <c r="C678" i="1" a="1"/>
  <c r="C678" i="1" s="1"/>
  <c r="C679" i="1" a="1"/>
  <c r="C679" i="1" s="1"/>
  <c r="C680" i="1" a="1"/>
  <c r="C680" i="1" s="1"/>
  <c r="C681" i="1" a="1"/>
  <c r="C681" i="1" s="1"/>
  <c r="C682" i="1" a="1"/>
  <c r="C682" i="1" s="1"/>
  <c r="C683" i="1" a="1"/>
  <c r="C683" i="1" s="1"/>
  <c r="C684" i="1" a="1"/>
  <c r="C684" i="1" s="1"/>
  <c r="C685" i="1" a="1"/>
  <c r="C685" i="1" s="1"/>
  <c r="C686" i="1" a="1"/>
  <c r="C686" i="1" s="1"/>
  <c r="C687" i="1" a="1"/>
  <c r="C687" i="1" s="1"/>
  <c r="C688" i="1" a="1"/>
  <c r="C688" i="1" s="1"/>
  <c r="C689" i="1" a="1"/>
  <c r="C689" i="1" s="1"/>
  <c r="C690" i="1" a="1"/>
  <c r="C690" i="1" s="1"/>
  <c r="C691" i="1" a="1"/>
  <c r="C691" i="1" s="1"/>
  <c r="C692" i="1" a="1"/>
  <c r="C692" i="1" s="1"/>
  <c r="C693" i="1" a="1"/>
  <c r="C693" i="1" s="1"/>
  <c r="C694" i="1" a="1"/>
  <c r="C694" i="1" s="1"/>
  <c r="C695" i="1" a="1"/>
  <c r="C695" i="1" s="1"/>
  <c r="C696" i="1" a="1"/>
  <c r="C696" i="1" s="1"/>
  <c r="C697" i="1" a="1"/>
  <c r="C697" i="1" s="1"/>
  <c r="C698" i="1" a="1"/>
  <c r="C698" i="1" s="1"/>
  <c r="C699" i="1" a="1"/>
  <c r="C699" i="1" s="1"/>
  <c r="C700" i="1" a="1"/>
  <c r="C700" i="1" s="1"/>
  <c r="C701" i="1" a="1"/>
  <c r="C701" i="1" s="1"/>
  <c r="C702" i="1" a="1"/>
  <c r="C702" i="1" s="1"/>
  <c r="C703" i="1" a="1"/>
  <c r="C703" i="1" s="1"/>
  <c r="C704" i="1" a="1"/>
  <c r="C704" i="1" s="1"/>
  <c r="C705" i="1" a="1"/>
  <c r="C705" i="1" s="1"/>
  <c r="C706" i="1" a="1"/>
  <c r="C706" i="1" s="1"/>
  <c r="C707" i="1" a="1"/>
  <c r="C707" i="1" s="1"/>
  <c r="C708" i="1" a="1"/>
  <c r="C708" i="1" s="1"/>
  <c r="C709" i="1" a="1"/>
  <c r="C709" i="1" s="1"/>
  <c r="C710" i="1" a="1"/>
  <c r="C710" i="1" s="1"/>
  <c r="C711" i="1" a="1"/>
  <c r="C711" i="1" s="1"/>
  <c r="C712" i="1" a="1"/>
  <c r="C712" i="1" s="1"/>
  <c r="C713" i="1" a="1"/>
  <c r="C713" i="1" s="1"/>
  <c r="C714" i="1" a="1"/>
  <c r="C714" i="1" s="1"/>
  <c r="C715" i="1" a="1"/>
  <c r="C715" i="1" s="1"/>
  <c r="C716" i="1" a="1"/>
  <c r="C716" i="1" s="1"/>
  <c r="C717" i="1" a="1"/>
  <c r="C717" i="1" s="1"/>
  <c r="C718" i="1" a="1"/>
  <c r="C718" i="1" s="1"/>
  <c r="C719" i="1" a="1"/>
  <c r="C719" i="1" s="1"/>
  <c r="C720" i="1" a="1"/>
  <c r="C720" i="1" s="1"/>
  <c r="C721" i="1" a="1"/>
  <c r="C721" i="1" s="1"/>
  <c r="C722" i="1" a="1"/>
  <c r="C722" i="1" s="1"/>
  <c r="C723" i="1" a="1"/>
  <c r="C723" i="1" s="1"/>
  <c r="C724" i="1" a="1"/>
  <c r="C724" i="1" s="1"/>
  <c r="C725" i="1" a="1"/>
  <c r="C725" i="1" s="1"/>
  <c r="C726" i="1" a="1"/>
  <c r="C726" i="1" s="1"/>
  <c r="C727" i="1" a="1"/>
  <c r="C727" i="1" s="1"/>
  <c r="C728" i="1" a="1"/>
  <c r="C728" i="1" s="1"/>
  <c r="C729" i="1" a="1"/>
  <c r="C729" i="1" s="1"/>
  <c r="C730" i="1" a="1"/>
  <c r="C730" i="1" s="1"/>
  <c r="C731" i="1" a="1"/>
  <c r="C731" i="1" s="1"/>
  <c r="C732" i="1" a="1"/>
  <c r="C732" i="1" s="1"/>
  <c r="C733" i="1" a="1"/>
  <c r="C733" i="1" s="1"/>
  <c r="C734" i="1" a="1"/>
  <c r="C734" i="1" s="1"/>
  <c r="C735" i="1" a="1"/>
  <c r="C735" i="1" s="1"/>
  <c r="C736" i="1" a="1"/>
  <c r="C736" i="1" s="1"/>
  <c r="C737" i="1" a="1"/>
  <c r="C737" i="1" s="1"/>
  <c r="C738" i="1" a="1"/>
  <c r="C738" i="1" s="1"/>
  <c r="C739" i="1" a="1"/>
  <c r="C739" i="1" s="1"/>
  <c r="C740" i="1" a="1"/>
  <c r="C740" i="1" s="1"/>
  <c r="C741" i="1" a="1"/>
  <c r="C741" i="1" s="1"/>
  <c r="C742" i="1" a="1"/>
  <c r="C742" i="1" s="1"/>
  <c r="C743" i="1" a="1"/>
  <c r="C743" i="1" s="1"/>
  <c r="C744" i="1" a="1"/>
  <c r="C744" i="1" s="1"/>
  <c r="C745" i="1" a="1"/>
  <c r="C745" i="1" s="1"/>
  <c r="C746" i="1" a="1"/>
  <c r="C746" i="1" s="1"/>
  <c r="C747" i="1" a="1"/>
  <c r="C747" i="1" s="1"/>
  <c r="C748" i="1" a="1"/>
  <c r="C748" i="1" s="1"/>
  <c r="C749" i="1" a="1"/>
  <c r="C749" i="1" s="1"/>
  <c r="C750" i="1" a="1"/>
  <c r="C750" i="1" s="1"/>
  <c r="C751" i="1" a="1"/>
  <c r="C751" i="1" s="1"/>
  <c r="C752" i="1" a="1"/>
  <c r="C752" i="1" s="1"/>
  <c r="C753" i="1" a="1"/>
  <c r="C753" i="1" s="1"/>
  <c r="C754" i="1" a="1"/>
  <c r="C754" i="1" s="1"/>
  <c r="C755" i="1" a="1"/>
  <c r="C755" i="1" s="1"/>
  <c r="C756" i="1" a="1"/>
  <c r="C756" i="1" s="1"/>
  <c r="C757" i="1" a="1"/>
  <c r="C757" i="1" s="1"/>
  <c r="C758" i="1" a="1"/>
  <c r="C758" i="1" s="1"/>
  <c r="C759" i="1" a="1"/>
  <c r="C759" i="1" s="1"/>
  <c r="C760" i="1" a="1"/>
  <c r="C760" i="1" s="1"/>
  <c r="C761" i="1" a="1"/>
  <c r="C761" i="1" s="1"/>
  <c r="C762" i="1" a="1"/>
  <c r="C762" i="1" s="1"/>
  <c r="C763" i="1" a="1"/>
  <c r="C763" i="1" s="1"/>
  <c r="C764" i="1" a="1"/>
  <c r="C764" i="1" s="1"/>
  <c r="C765" i="1" a="1"/>
  <c r="C765" i="1" s="1"/>
  <c r="C766" i="1" a="1"/>
  <c r="C766" i="1" s="1"/>
  <c r="C767" i="1" a="1"/>
  <c r="C767" i="1" s="1"/>
  <c r="C768" i="1" a="1"/>
  <c r="C768" i="1" s="1"/>
  <c r="C769" i="1" a="1"/>
  <c r="C769" i="1" s="1"/>
  <c r="C770" i="1" a="1"/>
  <c r="C770" i="1" s="1"/>
  <c r="C771" i="1" a="1"/>
  <c r="C771" i="1" s="1"/>
  <c r="C772" i="1" a="1"/>
  <c r="C772" i="1" s="1"/>
  <c r="C773" i="1" a="1"/>
  <c r="C773" i="1" s="1"/>
  <c r="C774" i="1" a="1"/>
  <c r="C774" i="1" s="1"/>
  <c r="C775" i="1" a="1"/>
  <c r="C775" i="1" s="1"/>
  <c r="C776" i="1" a="1"/>
  <c r="C776" i="1" s="1"/>
  <c r="C777" i="1" a="1"/>
  <c r="C777" i="1" s="1"/>
  <c r="C778" i="1" a="1"/>
  <c r="C778" i="1" s="1"/>
  <c r="C779" i="1" a="1"/>
  <c r="C779" i="1" s="1"/>
  <c r="C780" i="1" a="1"/>
  <c r="C780" i="1" s="1"/>
  <c r="C781" i="1" a="1"/>
  <c r="C781" i="1" s="1"/>
  <c r="C782" i="1" a="1"/>
  <c r="C782" i="1" s="1"/>
  <c r="C783" i="1" a="1"/>
  <c r="C783" i="1" s="1"/>
  <c r="C784" i="1" a="1"/>
  <c r="C784" i="1" s="1"/>
  <c r="C785" i="1" a="1"/>
  <c r="C785" i="1" s="1"/>
  <c r="C786" i="1" a="1"/>
  <c r="C786" i="1" s="1"/>
  <c r="C787" i="1" a="1"/>
  <c r="C787" i="1" s="1"/>
  <c r="C788" i="1" a="1"/>
  <c r="C788" i="1" s="1"/>
  <c r="C789" i="1" a="1"/>
  <c r="C789" i="1" s="1"/>
  <c r="C790" i="1" a="1"/>
  <c r="C790" i="1" s="1"/>
  <c r="C791" i="1" a="1"/>
  <c r="C791" i="1" s="1"/>
  <c r="C792" i="1" a="1"/>
  <c r="C792" i="1" s="1"/>
  <c r="C793" i="1" a="1"/>
  <c r="C793" i="1" s="1"/>
  <c r="C794" i="1" a="1"/>
  <c r="C794" i="1" s="1"/>
  <c r="C795" i="1" a="1"/>
  <c r="C795" i="1" s="1"/>
  <c r="C796" i="1" a="1"/>
  <c r="C796" i="1" s="1"/>
  <c r="C797" i="1" a="1"/>
  <c r="C797" i="1" s="1"/>
  <c r="C798" i="1" a="1"/>
  <c r="C798" i="1" s="1"/>
  <c r="C799" i="1" a="1"/>
  <c r="C799" i="1" s="1"/>
  <c r="C800" i="1" a="1"/>
  <c r="C800" i="1" s="1"/>
  <c r="C801" i="1" a="1"/>
  <c r="C801" i="1" s="1"/>
  <c r="C802" i="1" a="1"/>
  <c r="C802" i="1" s="1"/>
  <c r="C803" i="1" a="1"/>
  <c r="C803" i="1" s="1"/>
  <c r="C804" i="1" a="1"/>
  <c r="C804" i="1" s="1"/>
  <c r="C805" i="1" a="1"/>
  <c r="C805" i="1" s="1"/>
  <c r="C806" i="1" a="1"/>
  <c r="C806" i="1" s="1"/>
  <c r="C807" i="1" a="1"/>
  <c r="C807" i="1" s="1"/>
  <c r="C808" i="1" a="1"/>
  <c r="C808" i="1" s="1"/>
  <c r="C809" i="1" a="1"/>
  <c r="C809" i="1" s="1"/>
  <c r="C810" i="1" a="1"/>
  <c r="C810" i="1" s="1"/>
  <c r="C811" i="1" a="1"/>
  <c r="C811" i="1" s="1"/>
  <c r="C812" i="1" a="1"/>
  <c r="C812" i="1" s="1"/>
  <c r="C813" i="1" a="1"/>
  <c r="C813" i="1" s="1"/>
  <c r="C814" i="1" a="1"/>
  <c r="C814" i="1" s="1"/>
  <c r="C815" i="1" a="1"/>
  <c r="C815" i="1" s="1"/>
  <c r="C816" i="1" a="1"/>
  <c r="C816" i="1" s="1"/>
  <c r="C817" i="1" a="1"/>
  <c r="C817" i="1" s="1"/>
  <c r="C818" i="1" a="1"/>
  <c r="C818" i="1" s="1"/>
  <c r="C819" i="1" a="1"/>
  <c r="C819" i="1" s="1"/>
  <c r="C820" i="1" a="1"/>
  <c r="C820" i="1" s="1"/>
  <c r="C821" i="1" a="1"/>
  <c r="C821" i="1" s="1"/>
  <c r="C822" i="1" a="1"/>
  <c r="C822" i="1" s="1"/>
  <c r="C823" i="1" a="1"/>
  <c r="C823" i="1" s="1"/>
  <c r="C824" i="1" a="1"/>
  <c r="C824" i="1" s="1"/>
  <c r="C825" i="1" a="1"/>
  <c r="C825" i="1" s="1"/>
  <c r="C826" i="1" a="1"/>
  <c r="C826" i="1" s="1"/>
  <c r="C827" i="1" a="1"/>
  <c r="C827" i="1" s="1"/>
  <c r="C828" i="1" a="1"/>
  <c r="C828" i="1" s="1"/>
  <c r="C829" i="1" a="1"/>
  <c r="C829" i="1" s="1"/>
  <c r="C830" i="1" a="1"/>
  <c r="C830" i="1" s="1"/>
  <c r="C831" i="1" a="1"/>
  <c r="C831" i="1" s="1"/>
  <c r="C832" i="1" a="1"/>
  <c r="C832" i="1" s="1"/>
  <c r="C833" i="1" a="1"/>
  <c r="C833" i="1" s="1"/>
  <c r="C834" i="1" a="1"/>
  <c r="C834" i="1" s="1"/>
  <c r="C835" i="1" a="1"/>
  <c r="C835" i="1" s="1"/>
  <c r="C836" i="1" a="1"/>
  <c r="C836" i="1" s="1"/>
  <c r="C837" i="1" a="1"/>
  <c r="C837" i="1" s="1"/>
  <c r="C838" i="1" a="1"/>
  <c r="C838" i="1" s="1"/>
  <c r="C839" i="1" a="1"/>
  <c r="C839" i="1" s="1"/>
  <c r="C840" i="1" a="1"/>
  <c r="C840" i="1" s="1"/>
  <c r="C841" i="1" a="1"/>
  <c r="C841" i="1" s="1"/>
  <c r="C842" i="1" a="1"/>
  <c r="C842" i="1" s="1"/>
  <c r="C843" i="1" a="1"/>
  <c r="C843" i="1" s="1"/>
  <c r="C844" i="1" a="1"/>
  <c r="C844" i="1" s="1"/>
  <c r="C845" i="1" a="1"/>
  <c r="C845" i="1" s="1"/>
  <c r="C846" i="1" a="1"/>
  <c r="C846" i="1" s="1"/>
  <c r="C847" i="1" a="1"/>
  <c r="C847" i="1" s="1"/>
  <c r="C848" i="1" a="1"/>
  <c r="C848" i="1" s="1"/>
  <c r="C849" i="1" a="1"/>
  <c r="C849" i="1" s="1"/>
  <c r="C850" i="1" a="1"/>
  <c r="C850" i="1" s="1"/>
  <c r="C851" i="1" a="1"/>
  <c r="C851" i="1" s="1"/>
  <c r="C852" i="1" a="1"/>
  <c r="C852" i="1" s="1"/>
  <c r="C853" i="1" a="1"/>
  <c r="C853" i="1" s="1"/>
  <c r="C854" i="1" a="1"/>
  <c r="C854" i="1" s="1"/>
  <c r="C855" i="1" a="1"/>
  <c r="C855" i="1" s="1"/>
  <c r="C856" i="1" a="1"/>
  <c r="C856" i="1" s="1"/>
  <c r="C857" i="1" a="1"/>
  <c r="C857" i="1" s="1"/>
  <c r="C858" i="1" a="1"/>
  <c r="C858" i="1" s="1"/>
  <c r="C859" i="1" a="1"/>
  <c r="C859" i="1" s="1"/>
  <c r="C860" i="1" a="1"/>
  <c r="C860" i="1" s="1"/>
  <c r="C861" i="1" a="1"/>
  <c r="C861" i="1" s="1"/>
  <c r="C862" i="1" a="1"/>
  <c r="C862" i="1" s="1"/>
  <c r="C863" i="1" a="1"/>
  <c r="C863" i="1" s="1"/>
  <c r="C864" i="1" a="1"/>
  <c r="C864" i="1" s="1"/>
  <c r="C865" i="1" a="1"/>
  <c r="C865" i="1" s="1"/>
  <c r="C866" i="1" a="1"/>
  <c r="C866" i="1" s="1"/>
  <c r="C867" i="1" a="1"/>
  <c r="C867" i="1" s="1"/>
  <c r="C868" i="1" a="1"/>
  <c r="C868" i="1" s="1"/>
  <c r="C869" i="1" a="1"/>
  <c r="C869" i="1" s="1"/>
  <c r="C870" i="1" a="1"/>
  <c r="C870" i="1" s="1"/>
  <c r="C871" i="1" a="1"/>
  <c r="C871" i="1" s="1"/>
  <c r="C872" i="1" a="1"/>
  <c r="C872" i="1" s="1"/>
  <c r="C873" i="1" a="1"/>
  <c r="C873" i="1" s="1"/>
  <c r="C874" i="1" a="1"/>
  <c r="C874" i="1" s="1"/>
  <c r="C875" i="1" a="1"/>
  <c r="C875" i="1" s="1"/>
  <c r="C876" i="1" a="1"/>
  <c r="C876" i="1" s="1"/>
  <c r="C877" i="1" a="1"/>
  <c r="C877" i="1" s="1"/>
  <c r="C878" i="1" a="1"/>
  <c r="C878" i="1" s="1"/>
  <c r="C879" i="1" a="1"/>
  <c r="C879" i="1" s="1"/>
  <c r="C880" i="1" a="1"/>
  <c r="C880" i="1" s="1"/>
  <c r="C881" i="1" a="1"/>
  <c r="C881" i="1" s="1"/>
  <c r="C882" i="1" a="1"/>
  <c r="C882" i="1" s="1"/>
  <c r="C883" i="1" a="1"/>
  <c r="C883" i="1" s="1"/>
  <c r="C884" i="1" a="1"/>
  <c r="C884" i="1" s="1"/>
  <c r="C885" i="1" a="1"/>
  <c r="C885" i="1" s="1"/>
  <c r="C886" i="1" a="1"/>
  <c r="C886" i="1" s="1"/>
  <c r="C887" i="1" a="1"/>
  <c r="C887" i="1" s="1"/>
  <c r="C888" i="1" a="1"/>
  <c r="C888" i="1" s="1"/>
  <c r="C889" i="1" a="1"/>
  <c r="C889" i="1" s="1"/>
  <c r="C890" i="1" a="1"/>
  <c r="C890" i="1" s="1"/>
  <c r="C891" i="1" a="1"/>
  <c r="C891" i="1" s="1"/>
  <c r="C892" i="1" a="1"/>
  <c r="C892" i="1" s="1"/>
  <c r="C893" i="1" a="1"/>
  <c r="C893" i="1" s="1"/>
  <c r="C894" i="1" a="1"/>
  <c r="C894" i="1" s="1"/>
  <c r="C895" i="1" a="1"/>
  <c r="C895" i="1" s="1"/>
  <c r="C896" i="1" a="1"/>
  <c r="C896" i="1" s="1"/>
  <c r="C897" i="1" a="1"/>
  <c r="C897" i="1" s="1"/>
  <c r="C898" i="1" a="1"/>
  <c r="C898" i="1" s="1"/>
  <c r="C899" i="1" a="1"/>
  <c r="C899" i="1" s="1"/>
  <c r="C900" i="1" a="1"/>
  <c r="C900" i="1" s="1"/>
  <c r="C901" i="1" a="1"/>
  <c r="C901" i="1" s="1"/>
  <c r="C902" i="1" a="1"/>
  <c r="C902" i="1" s="1"/>
  <c r="C903" i="1" a="1"/>
  <c r="C903" i="1" s="1"/>
  <c r="C904" i="1" a="1"/>
  <c r="C904" i="1" s="1"/>
  <c r="C905" i="1" a="1"/>
  <c r="C905" i="1" s="1"/>
  <c r="C906" i="1" a="1"/>
  <c r="C906" i="1" s="1"/>
  <c r="C907" i="1" a="1"/>
  <c r="C907" i="1" s="1"/>
  <c r="C908" i="1" a="1"/>
  <c r="C908" i="1" s="1"/>
  <c r="C909" i="1" a="1"/>
  <c r="C909" i="1" s="1"/>
  <c r="C910" i="1" a="1"/>
  <c r="C910" i="1" s="1"/>
  <c r="C911" i="1" a="1"/>
  <c r="C911" i="1" s="1"/>
  <c r="C912" i="1" a="1"/>
  <c r="C912" i="1" s="1"/>
  <c r="C913" i="1" a="1"/>
  <c r="C913" i="1" s="1"/>
  <c r="C914" i="1" a="1"/>
  <c r="C914" i="1" s="1"/>
  <c r="C915" i="1" a="1"/>
  <c r="C915" i="1" s="1"/>
  <c r="C916" i="1" a="1"/>
  <c r="C916" i="1" s="1"/>
  <c r="C917" i="1" a="1"/>
  <c r="C917" i="1" s="1"/>
  <c r="C918" i="1" a="1"/>
  <c r="C918" i="1" s="1"/>
  <c r="C919" i="1" a="1"/>
  <c r="C919" i="1" s="1"/>
  <c r="C920" i="1" a="1"/>
  <c r="C920" i="1" s="1"/>
  <c r="C921" i="1" a="1"/>
  <c r="C921" i="1" s="1"/>
  <c r="C922" i="1" a="1"/>
  <c r="C922" i="1" s="1"/>
  <c r="C923" i="1" a="1"/>
  <c r="C923" i="1" s="1"/>
  <c r="C924" i="1" a="1"/>
  <c r="C924" i="1" s="1"/>
  <c r="C925" i="1" a="1"/>
  <c r="C925" i="1" s="1"/>
  <c r="C926" i="1" a="1"/>
  <c r="C926" i="1" s="1"/>
  <c r="C927" i="1" a="1"/>
  <c r="C927" i="1" s="1"/>
  <c r="C928" i="1" a="1"/>
  <c r="C928" i="1" s="1"/>
  <c r="C929" i="1" a="1"/>
  <c r="C929" i="1" s="1"/>
  <c r="C930" i="1" a="1"/>
  <c r="C930" i="1" s="1"/>
  <c r="C931" i="1" a="1"/>
  <c r="C931" i="1" s="1"/>
  <c r="C932" i="1" a="1"/>
  <c r="C932" i="1" s="1"/>
  <c r="C933" i="1" a="1"/>
  <c r="C933" i="1" s="1"/>
  <c r="C934" i="1" a="1"/>
  <c r="C934" i="1" s="1"/>
  <c r="C935" i="1" a="1"/>
  <c r="C935" i="1" s="1"/>
  <c r="C936" i="1" a="1"/>
  <c r="C936" i="1" s="1"/>
  <c r="C937" i="1" a="1"/>
  <c r="C937" i="1" s="1"/>
  <c r="C938" i="1" a="1"/>
  <c r="C938" i="1" s="1"/>
  <c r="C939" i="1" a="1"/>
  <c r="C939" i="1" s="1"/>
  <c r="C940" i="1" a="1"/>
  <c r="C940" i="1" s="1"/>
  <c r="C941" i="1" a="1"/>
  <c r="C941" i="1" s="1"/>
  <c r="C942" i="1" a="1"/>
  <c r="C942" i="1" s="1"/>
  <c r="C943" i="1" a="1"/>
  <c r="C943" i="1" s="1"/>
  <c r="C944" i="1" a="1"/>
  <c r="C944" i="1" s="1"/>
  <c r="C945" i="1" a="1"/>
  <c r="C945" i="1" s="1"/>
  <c r="C946" i="1" a="1"/>
  <c r="C946" i="1" s="1"/>
  <c r="C947" i="1" a="1"/>
  <c r="C947" i="1" s="1"/>
  <c r="C948" i="1" a="1"/>
  <c r="C948" i="1" s="1"/>
  <c r="C949" i="1" a="1"/>
  <c r="C949" i="1" s="1"/>
  <c r="C950" i="1" a="1"/>
  <c r="C950" i="1" s="1"/>
  <c r="C951" i="1" a="1"/>
  <c r="C951" i="1" s="1"/>
  <c r="C952" i="1" a="1"/>
  <c r="C952" i="1" s="1"/>
  <c r="C953" i="1" a="1"/>
  <c r="C953" i="1" s="1"/>
  <c r="C954" i="1" a="1"/>
  <c r="C954" i="1" s="1"/>
  <c r="C955" i="1" a="1"/>
  <c r="C955" i="1" s="1"/>
  <c r="C956" i="1" a="1"/>
  <c r="C956" i="1" s="1"/>
  <c r="C957" i="1" a="1"/>
  <c r="C957" i="1" s="1"/>
  <c r="C958" i="1" a="1"/>
  <c r="C958" i="1" s="1"/>
  <c r="C959" i="1" a="1"/>
  <c r="C959" i="1" s="1"/>
  <c r="C960" i="1" a="1"/>
  <c r="C960" i="1" s="1"/>
  <c r="C961" i="1" a="1"/>
  <c r="C961" i="1" s="1"/>
  <c r="C962" i="1" a="1"/>
  <c r="C962" i="1" s="1"/>
  <c r="C963" i="1" a="1"/>
  <c r="C963" i="1" s="1"/>
  <c r="C964" i="1" a="1"/>
  <c r="C964" i="1" s="1"/>
  <c r="C965" i="1" a="1"/>
  <c r="C965" i="1" s="1"/>
  <c r="C966" i="1" a="1"/>
  <c r="C966" i="1" s="1"/>
  <c r="C967" i="1" a="1"/>
  <c r="C967" i="1" s="1"/>
  <c r="C968" i="1" a="1"/>
  <c r="C968" i="1" s="1"/>
  <c r="C969" i="1" a="1"/>
  <c r="C969" i="1" s="1"/>
  <c r="C970" i="1" a="1"/>
  <c r="C970" i="1" s="1"/>
  <c r="C971" i="1" a="1"/>
  <c r="C971" i="1" s="1"/>
  <c r="C972" i="1" a="1"/>
  <c r="C972" i="1" s="1"/>
  <c r="C973" i="1" a="1"/>
  <c r="C973" i="1" s="1"/>
  <c r="C974" i="1" a="1"/>
  <c r="C974" i="1" s="1"/>
  <c r="C975" i="1" a="1"/>
  <c r="C975" i="1" s="1"/>
  <c r="C976" i="1" a="1"/>
  <c r="C976" i="1" s="1"/>
  <c r="C977" i="1" a="1"/>
  <c r="C977" i="1" s="1"/>
  <c r="C978" i="1" a="1"/>
  <c r="C978" i="1" s="1"/>
  <c r="C979" i="1" a="1"/>
  <c r="C979" i="1" s="1"/>
  <c r="C980" i="1" a="1"/>
  <c r="C980" i="1" s="1"/>
  <c r="C981" i="1" a="1"/>
  <c r="C981" i="1" s="1"/>
  <c r="C982" i="1" a="1"/>
  <c r="C982" i="1" s="1"/>
  <c r="C983" i="1" a="1"/>
  <c r="C983" i="1" s="1"/>
  <c r="C984" i="1" a="1"/>
  <c r="C984" i="1" s="1"/>
  <c r="C985" i="1" a="1"/>
  <c r="C985" i="1" s="1"/>
  <c r="C986" i="1" a="1"/>
  <c r="C986" i="1" s="1"/>
  <c r="C987" i="1" a="1"/>
  <c r="C987" i="1" s="1"/>
  <c r="C988" i="1" a="1"/>
  <c r="C988" i="1" s="1"/>
  <c r="C989" i="1" a="1"/>
  <c r="C989" i="1" s="1"/>
  <c r="C990" i="1" a="1"/>
  <c r="C990" i="1" s="1"/>
  <c r="C991" i="1" a="1"/>
  <c r="C991" i="1" s="1"/>
  <c r="C992" i="1" a="1"/>
  <c r="C992" i="1" s="1"/>
  <c r="C993" i="1" a="1"/>
  <c r="C993" i="1" s="1"/>
  <c r="C994" i="1" a="1"/>
  <c r="C994" i="1" s="1"/>
  <c r="C995" i="1" a="1"/>
  <c r="C995" i="1" s="1"/>
  <c r="C996" i="1" a="1"/>
  <c r="C996" i="1" s="1"/>
  <c r="C997" i="1" a="1"/>
  <c r="C997" i="1" s="1"/>
  <c r="C998" i="1" a="1"/>
  <c r="C998" i="1" s="1"/>
  <c r="C999" i="1" a="1"/>
  <c r="C999" i="1" s="1"/>
  <c r="C1000" i="1" a="1"/>
  <c r="C1000" i="1" s="1"/>
  <c r="C1001" i="1" a="1"/>
  <c r="C1001" i="1" s="1"/>
  <c r="C1002" i="1" a="1"/>
  <c r="C1002" i="1" s="1"/>
  <c r="C1003" i="1" a="1"/>
  <c r="C1003" i="1" s="1"/>
  <c r="C1004" i="1" a="1"/>
  <c r="C1004" i="1" s="1"/>
  <c r="C1005" i="1" a="1"/>
  <c r="C1005" i="1" s="1"/>
  <c r="C1006" i="1" a="1"/>
  <c r="C1006" i="1" s="1"/>
  <c r="C1007" i="1" a="1"/>
  <c r="C1007" i="1" s="1"/>
  <c r="C1008" i="1" a="1"/>
  <c r="C1008" i="1" s="1"/>
  <c r="C1009" i="1" a="1"/>
  <c r="C1009" i="1" s="1"/>
  <c r="C1010" i="1" a="1"/>
  <c r="C1010" i="1" s="1"/>
  <c r="C1011" i="1" a="1"/>
  <c r="C1011" i="1" s="1"/>
  <c r="C1012" i="1" a="1"/>
  <c r="C1012" i="1" s="1"/>
  <c r="C1013" i="1" a="1"/>
  <c r="C1013" i="1" s="1"/>
  <c r="C1014" i="1" a="1"/>
  <c r="C1014" i="1" s="1"/>
  <c r="C1015" i="1" a="1"/>
  <c r="C1015" i="1" s="1"/>
  <c r="C1016" i="1" a="1"/>
  <c r="C1016" i="1" s="1"/>
  <c r="C1017" i="1" a="1"/>
  <c r="C1017" i="1" s="1"/>
  <c r="C1018" i="1" a="1"/>
  <c r="C1018" i="1" s="1"/>
  <c r="C1019" i="1" a="1"/>
  <c r="C1019" i="1" s="1"/>
  <c r="C1020" i="1" a="1"/>
  <c r="C1020" i="1" s="1"/>
  <c r="C1021" i="1" a="1"/>
  <c r="C1021" i="1" s="1"/>
  <c r="C1022" i="1" a="1"/>
  <c r="C1022" i="1" s="1"/>
  <c r="C1023" i="1" a="1"/>
  <c r="C1023" i="1" s="1"/>
  <c r="C1024" i="1" a="1"/>
  <c r="C1024" i="1" s="1"/>
  <c r="C1025" i="1" a="1"/>
  <c r="C1025" i="1" s="1"/>
  <c r="C1026" i="1" a="1"/>
  <c r="C1026" i="1" s="1"/>
  <c r="C1027" i="1" a="1"/>
  <c r="C1027" i="1" s="1"/>
  <c r="C1028" i="1" a="1"/>
  <c r="C1028" i="1" s="1"/>
  <c r="C1029" i="1" a="1"/>
  <c r="C1029" i="1" s="1"/>
  <c r="C1030" i="1" a="1"/>
  <c r="C1030" i="1" s="1"/>
  <c r="C1031" i="1" a="1"/>
  <c r="C1031" i="1" s="1"/>
  <c r="C1032" i="1" a="1"/>
  <c r="C1032" i="1" s="1"/>
  <c r="C1033" i="1" a="1"/>
  <c r="C1033" i="1" s="1"/>
  <c r="C1034" i="1" a="1"/>
  <c r="C1034" i="1" s="1"/>
  <c r="C1035" i="1" a="1"/>
  <c r="C1035" i="1" s="1"/>
  <c r="C1036" i="1" a="1"/>
  <c r="C1036" i="1" s="1"/>
  <c r="C1037" i="1" a="1"/>
  <c r="C1037" i="1" s="1"/>
  <c r="C1038" i="1" a="1"/>
  <c r="C1038" i="1" s="1"/>
  <c r="C1039" i="1" a="1"/>
  <c r="C1039" i="1" s="1"/>
  <c r="C1040" i="1" a="1"/>
  <c r="C1040" i="1" s="1"/>
  <c r="C1041" i="1" a="1"/>
  <c r="C1041" i="1" s="1"/>
  <c r="C1042" i="1" a="1"/>
  <c r="C1042" i="1" s="1"/>
  <c r="C1043" i="1" a="1"/>
  <c r="C1043" i="1" s="1"/>
  <c r="C1044" i="1" a="1"/>
  <c r="C1044" i="1" s="1"/>
  <c r="C1045" i="1" a="1"/>
  <c r="C1045" i="1" s="1"/>
  <c r="C1046" i="1" a="1"/>
  <c r="C1046" i="1" s="1"/>
  <c r="C1047" i="1" a="1"/>
  <c r="C1047" i="1" s="1"/>
  <c r="C1048" i="1" a="1"/>
  <c r="C1048" i="1" s="1"/>
  <c r="C1049" i="1" a="1"/>
  <c r="C1049" i="1" s="1"/>
  <c r="C1050" i="1" a="1"/>
  <c r="C1050" i="1" s="1"/>
  <c r="C1051" i="1" a="1"/>
  <c r="C1051" i="1" s="1"/>
  <c r="C1052" i="1" a="1"/>
  <c r="C1052" i="1" s="1"/>
  <c r="C1053" i="1" a="1"/>
  <c r="C1053" i="1" s="1"/>
  <c r="C1054" i="1" a="1"/>
  <c r="C1054" i="1" s="1"/>
  <c r="C1055" i="1" a="1"/>
  <c r="C1055" i="1" s="1"/>
  <c r="C1056" i="1" a="1"/>
  <c r="C1056" i="1" s="1"/>
  <c r="C1057" i="1" a="1"/>
  <c r="C1057" i="1" s="1"/>
  <c r="C1058" i="1" a="1"/>
  <c r="C1058" i="1" s="1"/>
  <c r="C1059" i="1" a="1"/>
  <c r="C1059" i="1" s="1"/>
  <c r="C1060" i="1" a="1"/>
  <c r="C1060" i="1" s="1"/>
  <c r="C1061" i="1" a="1"/>
  <c r="C1061" i="1" s="1"/>
  <c r="C1062" i="1" a="1"/>
  <c r="C1062" i="1" s="1"/>
  <c r="C1063" i="1" a="1"/>
  <c r="C1063" i="1" s="1"/>
  <c r="C1064" i="1" a="1"/>
  <c r="C1064" i="1" s="1"/>
  <c r="C1065" i="1" a="1"/>
  <c r="C1065" i="1" s="1"/>
  <c r="C1066" i="1" a="1"/>
  <c r="C1066" i="1" s="1"/>
  <c r="C1067" i="1" a="1"/>
  <c r="C1067" i="1" s="1"/>
  <c r="C1068" i="1" a="1"/>
  <c r="C1068" i="1" s="1"/>
  <c r="C1069" i="1" a="1"/>
  <c r="C1069" i="1" s="1"/>
  <c r="C1070" i="1" a="1"/>
  <c r="C1070" i="1" s="1"/>
  <c r="C1071" i="1" a="1"/>
  <c r="C1071" i="1" s="1"/>
  <c r="C1072" i="1" a="1"/>
  <c r="C1072" i="1" s="1"/>
  <c r="C1073" i="1" a="1"/>
  <c r="C1073" i="1" s="1"/>
  <c r="C1074" i="1" a="1"/>
  <c r="C1074" i="1" s="1"/>
  <c r="C1075" i="1" a="1"/>
  <c r="C1075" i="1" s="1"/>
  <c r="C1076" i="1" a="1"/>
  <c r="C1076" i="1" s="1"/>
  <c r="C1077" i="1" a="1"/>
  <c r="C1077" i="1" s="1"/>
  <c r="C1078" i="1" a="1"/>
  <c r="C1078" i="1" s="1"/>
  <c r="C1079" i="1" a="1"/>
  <c r="C1079" i="1" s="1"/>
  <c r="C1080" i="1" a="1"/>
  <c r="C1080" i="1" s="1"/>
  <c r="C1081" i="1" a="1"/>
  <c r="C1081" i="1" s="1"/>
  <c r="C1082" i="1" a="1"/>
  <c r="C1082" i="1" s="1"/>
  <c r="C1083" i="1" a="1"/>
  <c r="C1083" i="1" s="1"/>
  <c r="C1084" i="1" a="1"/>
  <c r="C1084" i="1" s="1"/>
  <c r="C1085" i="1" a="1"/>
  <c r="C1085" i="1" s="1"/>
  <c r="C1086" i="1" a="1"/>
  <c r="C1086" i="1" s="1"/>
  <c r="C1087" i="1" a="1"/>
  <c r="C1087" i="1" s="1"/>
  <c r="C1088" i="1" a="1"/>
  <c r="C1088" i="1" s="1"/>
  <c r="C1089" i="1" a="1"/>
  <c r="C1089" i="1" s="1"/>
  <c r="C1090" i="1" a="1"/>
  <c r="C1090" i="1" s="1"/>
  <c r="C1091" i="1" a="1"/>
  <c r="C1091" i="1" s="1"/>
  <c r="C1092" i="1" a="1"/>
  <c r="C1092" i="1" s="1"/>
  <c r="C1093" i="1" a="1"/>
  <c r="C1093" i="1" s="1"/>
  <c r="C1094" i="1" a="1"/>
  <c r="C1094" i="1" s="1"/>
  <c r="C1095" i="1" a="1"/>
  <c r="C1095" i="1" s="1"/>
  <c r="C1096" i="1" a="1"/>
  <c r="C1096" i="1" s="1"/>
  <c r="C1097" i="1" a="1"/>
  <c r="C1097" i="1" s="1"/>
  <c r="C1098" i="1" a="1"/>
  <c r="C1098" i="1" s="1"/>
  <c r="C1099" i="1" a="1"/>
  <c r="C1099" i="1" s="1"/>
  <c r="C1100" i="1" a="1"/>
  <c r="C1100" i="1" s="1"/>
  <c r="C1101" i="1" a="1"/>
  <c r="C1101" i="1" s="1"/>
  <c r="C1102" i="1" a="1"/>
  <c r="C1102" i="1" s="1"/>
  <c r="C1103" i="1" a="1"/>
  <c r="C1103" i="1" s="1"/>
  <c r="C1104" i="1" a="1"/>
  <c r="C1104" i="1" s="1"/>
  <c r="C1105" i="1" a="1"/>
  <c r="C1105" i="1" s="1"/>
  <c r="C1106" i="1" a="1"/>
  <c r="C1106" i="1" s="1"/>
  <c r="C1107" i="1" a="1"/>
  <c r="C1107" i="1" s="1"/>
  <c r="C1108" i="1" a="1"/>
  <c r="C1108" i="1" s="1"/>
  <c r="C1109" i="1" a="1"/>
  <c r="C1109" i="1" s="1"/>
  <c r="C1110" i="1" a="1"/>
  <c r="C1110" i="1" s="1"/>
  <c r="C1111" i="1" a="1"/>
  <c r="C1111" i="1" s="1"/>
  <c r="C1112" i="1" a="1"/>
  <c r="C1112" i="1" s="1"/>
  <c r="C1113" i="1" a="1"/>
  <c r="C1113" i="1" s="1"/>
  <c r="C1114" i="1" a="1"/>
  <c r="C1114" i="1" s="1"/>
  <c r="C1115" i="1" a="1"/>
  <c r="C1115" i="1" s="1"/>
  <c r="C1116" i="1" a="1"/>
  <c r="C1116" i="1" s="1"/>
  <c r="C1117" i="1" a="1"/>
  <c r="C1117" i="1" s="1"/>
  <c r="C1118" i="1" a="1"/>
  <c r="C1118" i="1" s="1"/>
  <c r="C1119" i="1" a="1"/>
  <c r="C1119" i="1" s="1"/>
  <c r="C1120" i="1" a="1"/>
  <c r="C1120" i="1" s="1"/>
  <c r="C1121" i="1" a="1"/>
  <c r="C1121" i="1" s="1"/>
  <c r="C1122" i="1" a="1"/>
  <c r="C1122" i="1" s="1"/>
  <c r="C1123" i="1" a="1"/>
  <c r="C1123" i="1" s="1"/>
  <c r="C1124" i="1" a="1"/>
  <c r="C1124" i="1" s="1"/>
  <c r="C1125" i="1" a="1"/>
  <c r="C1125" i="1" s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2" i="1" a="1"/>
  <c r="C2" i="1" s="1"/>
  <c r="B1101" i="1"/>
  <c r="B1099" i="1"/>
  <c r="B1098" i="1"/>
  <c r="B1065" i="1"/>
  <c r="B1062" i="1"/>
  <c r="B1061" i="1"/>
  <c r="B1058" i="1"/>
  <c r="B1057" i="1"/>
  <c r="B1056" i="1"/>
  <c r="B1055" i="1"/>
  <c r="B1054" i="1"/>
  <c r="B1053" i="1"/>
  <c r="B1052" i="1"/>
  <c r="B1051" i="1"/>
  <c r="B1050" i="1"/>
  <c r="B1049" i="1"/>
  <c r="B1048" i="1"/>
  <c r="B1039" i="1"/>
  <c r="B1038" i="1"/>
  <c r="B1037" i="1"/>
  <c r="B1035" i="1"/>
  <c r="B1034" i="1"/>
  <c r="B1033" i="1"/>
  <c r="B1032" i="1"/>
  <c r="B1031" i="1"/>
  <c r="B1000" i="1"/>
  <c r="B999" i="1"/>
  <c r="B997" i="1"/>
  <c r="B996" i="1"/>
  <c r="B984" i="1"/>
  <c r="B982" i="1"/>
  <c r="B976" i="1"/>
  <c r="B973" i="1"/>
  <c r="B972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794" i="1"/>
  <c r="B793" i="1"/>
  <c r="B792" i="1"/>
  <c r="B791" i="1"/>
  <c r="B790" i="1"/>
  <c r="B789" i="1"/>
  <c r="B788" i="1"/>
  <c r="B787" i="1"/>
  <c r="B786" i="1"/>
  <c r="B785" i="1"/>
  <c r="B776" i="1"/>
  <c r="B775" i="1"/>
  <c r="B774" i="1"/>
  <c r="B773" i="1"/>
  <c r="B772" i="1"/>
  <c r="B771" i="1"/>
  <c r="B770" i="1"/>
  <c r="B769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3" i="1"/>
  <c r="B662" i="1"/>
  <c r="B661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68" i="1"/>
  <c r="B367" i="1"/>
  <c r="B366" i="1"/>
  <c r="B365" i="1"/>
  <c r="B364" i="1"/>
  <c r="B362" i="1"/>
  <c r="B361" i="1"/>
  <c r="B360" i="1"/>
  <c r="B359" i="1"/>
  <c r="B358" i="1"/>
  <c r="B357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1" i="1"/>
  <c r="B340" i="1"/>
  <c r="B339" i="1"/>
  <c r="B332" i="1"/>
  <c r="B331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00" i="1"/>
  <c r="B299" i="1"/>
  <c r="B298" i="1"/>
  <c r="B297" i="1"/>
  <c r="B296" i="1"/>
  <c r="B295" i="1"/>
  <c r="B294" i="1"/>
  <c r="B293" i="1"/>
  <c r="B28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1" i="1"/>
  <c r="B260" i="1"/>
  <c r="B259" i="1"/>
  <c r="B49" i="1"/>
  <c r="B48" i="1"/>
  <c r="B47" i="1"/>
  <c r="B46" i="1"/>
  <c r="B44" i="1"/>
  <c r="B43" i="1"/>
  <c r="B39" i="1"/>
  <c r="B38" i="1"/>
  <c r="B37" i="1"/>
  <c r="B36" i="1"/>
  <c r="B35" i="1"/>
  <c r="B34" i="1"/>
  <c r="B33" i="1"/>
  <c r="B13" i="1"/>
  <c r="B8" i="1"/>
  <c r="B7" i="1"/>
  <c r="B5" i="1"/>
  <c r="B343" i="1" a="1"/>
  <c r="B343" i="1" s="1"/>
  <c r="B494" i="1" a="1"/>
  <c r="B494" i="1" s="1"/>
  <c r="B531" i="1" a="1"/>
  <c r="B531" i="1" s="1"/>
  <c r="B533" i="1" a="1"/>
  <c r="B533" i="1" s="1"/>
  <c r="B664" i="1" a="1"/>
  <c r="B664" i="1" s="1"/>
  <c r="B797" i="1" a="1"/>
  <c r="B797" i="1" s="1"/>
  <c r="B802" i="1" a="1"/>
  <c r="B802" i="1" s="1"/>
  <c r="B935" i="1" a="1"/>
  <c r="B935" i="1" s="1"/>
  <c r="B954" i="1" a="1"/>
  <c r="B954" i="1" s="1"/>
  <c r="B967" i="1" a="1"/>
  <c r="B967" i="1" s="1"/>
  <c r="B970" i="1" a="1"/>
  <c r="B970" i="1" s="1"/>
  <c r="B971" i="1" a="1"/>
  <c r="B971" i="1" s="1"/>
  <c r="B974" i="1" a="1"/>
  <c r="B974" i="1" s="1"/>
  <c r="B975" i="1" a="1"/>
  <c r="B975" i="1" s="1"/>
  <c r="B977" i="1" a="1"/>
  <c r="B977" i="1" s="1"/>
  <c r="B978" i="1" a="1"/>
  <c r="B978" i="1" s="1"/>
  <c r="B983" i="1" a="1"/>
  <c r="B983" i="1" s="1"/>
  <c r="B985" i="1" a="1"/>
  <c r="B985" i="1" s="1"/>
  <c r="B988" i="1" a="1"/>
  <c r="B988" i="1" s="1"/>
  <c r="B989" i="1" a="1"/>
  <c r="B989" i="1" s="1"/>
  <c r="B990" i="1" a="1"/>
  <c r="B990" i="1" s="1"/>
  <c r="B991" i="1" a="1"/>
  <c r="B991" i="1" s="1"/>
  <c r="B1004" i="1" a="1"/>
  <c r="B1004" i="1" s="1"/>
  <c r="B1006" i="1" a="1"/>
  <c r="B1006" i="1" s="1"/>
  <c r="B1010" i="1" a="1"/>
  <c r="B1010" i="1" s="1"/>
  <c r="B1011" i="1" a="1"/>
  <c r="B1011" i="1" s="1"/>
  <c r="B1012" i="1" a="1"/>
  <c r="B1012" i="1" s="1"/>
  <c r="B1013" i="1" a="1"/>
  <c r="B1013" i="1" s="1"/>
  <c r="B1014" i="1" a="1"/>
  <c r="B1014" i="1" s="1"/>
  <c r="B1015" i="1" a="1"/>
  <c r="B1015" i="1" s="1"/>
  <c r="B1017" i="1" a="1"/>
  <c r="B1017" i="1" s="1"/>
  <c r="B1018" i="1" a="1"/>
  <c r="B1018" i="1" s="1"/>
  <c r="B1021" i="1" a="1"/>
  <c r="B1021" i="1" s="1"/>
  <c r="B1022" i="1" a="1"/>
  <c r="B1022" i="1" s="1"/>
  <c r="B1023" i="1" a="1"/>
  <c r="B1023" i="1" s="1"/>
  <c r="B1024" i="1" a="1"/>
  <c r="B1024" i="1" s="1"/>
  <c r="B1025" i="1" a="1"/>
  <c r="B1025" i="1" s="1"/>
  <c r="B1028" i="1" a="1"/>
  <c r="B1028" i="1" s="1"/>
  <c r="B1029" i="1" a="1"/>
  <c r="B1029" i="1" s="1"/>
  <c r="B1036" i="1" a="1"/>
  <c r="B1036" i="1" s="1"/>
  <c r="B1040" i="1" a="1"/>
  <c r="B1040" i="1" s="1"/>
  <c r="B1060" i="1" a="1"/>
  <c r="B1060" i="1" s="1"/>
  <c r="B1063" i="1" a="1"/>
  <c r="B1063" i="1" s="1"/>
  <c r="B1064" i="1" a="1"/>
  <c r="B1064" i="1" s="1"/>
  <c r="B1066" i="1" a="1"/>
  <c r="B1066" i="1" s="1"/>
  <c r="B1068" i="1" a="1"/>
  <c r="B1068" i="1" s="1"/>
  <c r="B1067" i="1" a="1"/>
  <c r="B1067" i="1" s="1"/>
  <c r="B1069" i="1" a="1"/>
  <c r="B1069" i="1" s="1"/>
  <c r="B1070" i="1" a="1"/>
  <c r="B1070" i="1" s="1"/>
  <c r="B1071" i="1" a="1"/>
  <c r="B1071" i="1" s="1"/>
  <c r="B1072" i="1" a="1"/>
  <c r="B1072" i="1" s="1"/>
  <c r="B1073" i="1" a="1"/>
  <c r="B1073" i="1" s="1"/>
  <c r="B1074" i="1" a="1"/>
  <c r="B1074" i="1" s="1"/>
  <c r="B1075" i="1" a="1"/>
  <c r="B1075" i="1" s="1"/>
  <c r="B1076" i="1" a="1"/>
  <c r="B1076" i="1" s="1"/>
  <c r="B1077" i="1" a="1"/>
  <c r="B1077" i="1" s="1"/>
  <c r="B1078" i="1" a="1"/>
  <c r="B1078" i="1" s="1"/>
  <c r="B1079" i="1" a="1"/>
  <c r="B1079" i="1" s="1"/>
  <c r="B1080" i="1" a="1"/>
  <c r="B1080" i="1" s="1"/>
  <c r="B1081" i="1" a="1"/>
  <c r="B1081" i="1" s="1"/>
  <c r="B1082" i="1" a="1"/>
  <c r="B1082" i="1" s="1"/>
  <c r="B1085" i="1" a="1"/>
  <c r="B1085" i="1" s="1"/>
  <c r="B1086" i="1" a="1"/>
  <c r="B1086" i="1" s="1"/>
  <c r="B1087" i="1" a="1"/>
  <c r="B1087" i="1" s="1"/>
  <c r="B1088" i="1" a="1"/>
  <c r="B1088" i="1" s="1"/>
  <c r="B1089" i="1" a="1"/>
  <c r="B1089" i="1" s="1"/>
  <c r="B1090" i="1" a="1"/>
  <c r="B1090" i="1" s="1"/>
  <c r="B1091" i="1" a="1"/>
  <c r="B1091" i="1" s="1"/>
  <c r="B1092" i="1" a="1"/>
  <c r="B1092" i="1" s="1"/>
  <c r="B1093" i="1" a="1"/>
  <c r="B1093" i="1" s="1"/>
  <c r="B1094" i="1" a="1"/>
  <c r="B1094" i="1" s="1"/>
  <c r="B1095" i="1" a="1"/>
  <c r="B1095" i="1" s="1"/>
  <c r="B1096" i="1" a="1"/>
  <c r="B1096" i="1" s="1"/>
  <c r="B1097" i="1" a="1"/>
  <c r="B1097" i="1" s="1"/>
  <c r="B1100" i="1" a="1"/>
  <c r="B1100" i="1" s="1"/>
  <c r="B1102" i="1" a="1"/>
  <c r="B1102" i="1" s="1"/>
  <c r="B1115" i="1" a="1"/>
  <c r="B1115" i="1" s="1"/>
  <c r="B1116" i="1" a="1"/>
  <c r="B1116" i="1" s="1"/>
  <c r="B1117" i="1" a="1"/>
  <c r="B1117" i="1" s="1"/>
  <c r="B1118" i="1" a="1"/>
  <c r="B1118" i="1" s="1"/>
  <c r="B1120" i="1" a="1"/>
  <c r="B1120" i="1" s="1"/>
  <c r="B1121" i="1" a="1"/>
  <c r="B1121" i="1" s="1"/>
  <c r="B1119" i="1" a="1"/>
  <c r="B1119" i="1" s="1"/>
  <c r="B1123" i="1" a="1"/>
  <c r="B1123" i="1" s="1"/>
  <c r="B1125" i="1" a="1"/>
  <c r="B1125" i="1" s="1"/>
  <c r="B1124" i="1" a="1"/>
  <c r="B1124" i="1" s="1"/>
  <c r="B1122" i="1" a="1"/>
  <c r="B1122" i="1" s="1"/>
  <c r="B1114" i="1" a="1"/>
  <c r="B1114" i="1" s="1"/>
  <c r="B1113" i="1" a="1"/>
  <c r="B1113" i="1" s="1"/>
  <c r="B1112" i="1" a="1"/>
  <c r="B1112" i="1" s="1"/>
  <c r="B1111" i="1" a="1"/>
  <c r="B1111" i="1" s="1"/>
  <c r="B1110" i="1" a="1"/>
  <c r="B1110" i="1" s="1"/>
  <c r="B1109" i="1" a="1"/>
  <c r="B1109" i="1" s="1"/>
  <c r="B1108" i="1" a="1"/>
  <c r="B1108" i="1" s="1"/>
  <c r="B1107" i="1" a="1"/>
  <c r="B1107" i="1" s="1"/>
  <c r="B1106" i="1" a="1"/>
  <c r="B1106" i="1" s="1"/>
  <c r="B1105" i="1" a="1"/>
  <c r="B1105" i="1" s="1"/>
  <c r="B1104" i="1" a="1"/>
  <c r="B1104" i="1" s="1"/>
  <c r="B1103" i="1" a="1"/>
  <c r="B1103" i="1" s="1"/>
  <c r="B1084" i="1" a="1"/>
  <c r="B1084" i="1" s="1"/>
  <c r="B1083" i="1" a="1"/>
  <c r="B1083" i="1" s="1"/>
  <c r="B1059" i="1" a="1"/>
  <c r="B1059" i="1" s="1"/>
  <c r="B1047" i="1" a="1"/>
  <c r="B1047" i="1" s="1"/>
  <c r="B1046" i="1" a="1"/>
  <c r="B1046" i="1" s="1"/>
  <c r="B1045" i="1" a="1"/>
  <c r="B1045" i="1" s="1"/>
  <c r="B1044" i="1" a="1"/>
  <c r="B1044" i="1" s="1"/>
  <c r="B1043" i="1" a="1"/>
  <c r="B1043" i="1" s="1"/>
  <c r="B1042" i="1" a="1"/>
  <c r="B1042" i="1" s="1"/>
  <c r="B1041" i="1" a="1"/>
  <c r="B1041" i="1" s="1"/>
  <c r="B1030" i="1" a="1"/>
  <c r="B1030" i="1" s="1"/>
  <c r="B1027" i="1" a="1"/>
  <c r="B1027" i="1" s="1"/>
  <c r="B1026" i="1" a="1"/>
  <c r="B1026" i="1" s="1"/>
  <c r="B1020" i="1" a="1"/>
  <c r="B1020" i="1" s="1"/>
  <c r="B1019" i="1" a="1"/>
  <c r="B1019" i="1" s="1"/>
  <c r="B1016" i="1" a="1"/>
  <c r="B1016" i="1" s="1"/>
  <c r="B1009" i="1" a="1"/>
  <c r="B1009" i="1" s="1"/>
  <c r="B1008" i="1" a="1"/>
  <c r="B1008" i="1" s="1"/>
  <c r="B1007" i="1" a="1"/>
  <c r="B1007" i="1" s="1"/>
  <c r="B1005" i="1" a="1"/>
  <c r="B1005" i="1" s="1"/>
  <c r="B1003" i="1" a="1"/>
  <c r="B1003" i="1" s="1"/>
  <c r="B1002" i="1" a="1"/>
  <c r="B1002" i="1" s="1"/>
  <c r="B1001" i="1" a="1"/>
  <c r="B1001" i="1" s="1"/>
  <c r="B998" i="1" a="1"/>
  <c r="B998" i="1" s="1"/>
  <c r="B995" i="1" a="1"/>
  <c r="B995" i="1" s="1"/>
  <c r="B994" i="1" a="1"/>
  <c r="B994" i="1" s="1"/>
  <c r="B993" i="1" a="1"/>
  <c r="B993" i="1" s="1"/>
  <c r="B992" i="1" a="1"/>
  <c r="B992" i="1" s="1"/>
  <c r="B987" i="1" a="1"/>
  <c r="B987" i="1" s="1"/>
  <c r="B986" i="1" a="1"/>
  <c r="B986" i="1" s="1"/>
  <c r="B981" i="1" a="1"/>
  <c r="B981" i="1" s="1"/>
  <c r="B980" i="1" a="1"/>
  <c r="B980" i="1" s="1"/>
  <c r="B979" i="1" a="1"/>
  <c r="B979" i="1" s="1"/>
  <c r="B969" i="1" a="1"/>
  <c r="B969" i="1" s="1"/>
  <c r="B968" i="1" a="1"/>
  <c r="B968" i="1" s="1"/>
  <c r="B934" i="1" a="1"/>
  <c r="B934" i="1" s="1"/>
  <c r="B933" i="1" a="1"/>
  <c r="B933" i="1" s="1"/>
  <c r="B932" i="1" a="1"/>
  <c r="B932" i="1" s="1"/>
  <c r="B931" i="1" a="1"/>
  <c r="B931" i="1" s="1"/>
  <c r="B880" i="1" a="1"/>
  <c r="B880" i="1" s="1"/>
  <c r="B879" i="1" a="1"/>
  <c r="B879" i="1" s="1"/>
  <c r="B878" i="1" a="1"/>
  <c r="B878" i="1" s="1"/>
  <c r="B804" i="1" a="1"/>
  <c r="B804" i="1" s="1"/>
  <c r="B803" i="1" a="1"/>
  <c r="B803" i="1" s="1"/>
  <c r="B801" i="1" a="1"/>
  <c r="B801" i="1" s="1"/>
  <c r="B800" i="1" a="1"/>
  <c r="B800" i="1" s="1"/>
  <c r="B799" i="1" a="1"/>
  <c r="B799" i="1" s="1"/>
  <c r="B798" i="1" a="1"/>
  <c r="B798" i="1" s="1"/>
  <c r="B796" i="1" a="1"/>
  <c r="B796" i="1" s="1"/>
  <c r="B795" i="1" a="1"/>
  <c r="B795" i="1" s="1"/>
  <c r="B784" i="1" a="1"/>
  <c r="B784" i="1" s="1"/>
  <c r="B783" i="1" a="1"/>
  <c r="B783" i="1" s="1"/>
  <c r="B782" i="1" a="1"/>
  <c r="B782" i="1" s="1"/>
  <c r="B781" i="1" a="1"/>
  <c r="B781" i="1" s="1"/>
  <c r="B780" i="1" a="1"/>
  <c r="B780" i="1" s="1"/>
  <c r="B779" i="1" a="1"/>
  <c r="B779" i="1" s="1"/>
  <c r="B778" i="1" a="1"/>
  <c r="B778" i="1" s="1"/>
  <c r="B777" i="1" a="1"/>
  <c r="B777" i="1" s="1"/>
  <c r="B768" i="1" a="1"/>
  <c r="B768" i="1" s="1"/>
  <c r="B767" i="1" a="1"/>
  <c r="B767" i="1" s="1"/>
  <c r="B766" i="1" a="1"/>
  <c r="B766" i="1" s="1"/>
  <c r="B765" i="1" a="1"/>
  <c r="B765" i="1" s="1"/>
  <c r="B668" i="1" a="1"/>
  <c r="B668" i="1" s="1"/>
  <c r="B667" i="1" a="1"/>
  <c r="B667" i="1" s="1"/>
  <c r="B666" i="1" a="1"/>
  <c r="B666" i="1" s="1"/>
  <c r="B665" i="1" a="1"/>
  <c r="B665" i="1" s="1"/>
  <c r="B660" i="1" a="1"/>
  <c r="B660" i="1" s="1"/>
  <c r="B534" i="1" a="1"/>
  <c r="B534" i="1" s="1"/>
  <c r="B532" i="1" a="1"/>
  <c r="B532" i="1" s="1"/>
  <c r="B517" i="1" a="1"/>
  <c r="B517" i="1" s="1"/>
  <c r="B496" i="1" a="1"/>
  <c r="B496" i="1" s="1"/>
  <c r="B495" i="1" a="1"/>
  <c r="B495" i="1" s="1"/>
  <c r="B493" i="1" a="1"/>
  <c r="B493" i="1" s="1"/>
  <c r="B492" i="1" a="1"/>
  <c r="B492" i="1" s="1"/>
  <c r="B491" i="1" a="1"/>
  <c r="B491" i="1" s="1"/>
  <c r="B393" i="1" a="1"/>
  <c r="B393" i="1" s="1"/>
  <c r="B392" i="1" a="1"/>
  <c r="B392" i="1" s="1"/>
  <c r="B391" i="1" a="1"/>
  <c r="B391" i="1" s="1"/>
  <c r="B390" i="1" a="1"/>
  <c r="B390" i="1" s="1"/>
  <c r="B389" i="1" a="1"/>
  <c r="B389" i="1" s="1"/>
  <c r="B388" i="1" a="1"/>
  <c r="B388" i="1" s="1"/>
  <c r="B370" i="1" a="1"/>
  <c r="B370" i="1" s="1"/>
  <c r="B369" i="1" a="1"/>
  <c r="B369" i="1" s="1"/>
  <c r="B363" i="1" a="1"/>
  <c r="B363" i="1" s="1"/>
  <c r="B356" i="1" a="1"/>
  <c r="B356" i="1" s="1"/>
  <c r="B342" i="1" a="1"/>
  <c r="B342" i="1" s="1"/>
  <c r="B338" i="1" a="1"/>
  <c r="B338" i="1" s="1"/>
  <c r="B337" i="1" a="1"/>
  <c r="B337" i="1" s="1"/>
  <c r="B336" i="1" a="1"/>
  <c r="B336" i="1" s="1"/>
  <c r="B335" i="1" a="1"/>
  <c r="B335" i="1" s="1"/>
  <c r="B334" i="1" a="1"/>
  <c r="B334" i="1" s="1"/>
  <c r="B333" i="1" a="1"/>
  <c r="B333" i="1" s="1"/>
  <c r="B330" i="1" a="1"/>
  <c r="B330" i="1" s="1"/>
  <c r="B329" i="1" a="1"/>
  <c r="B329" i="1" s="1"/>
  <c r="B328" i="1" a="1"/>
  <c r="B328" i="1" s="1"/>
  <c r="B327" i="1" a="1"/>
  <c r="B327" i="1" s="1"/>
  <c r="B314" i="1" a="1"/>
  <c r="B314" i="1" s="1"/>
  <c r="B313" i="1" a="1"/>
  <c r="B313" i="1" s="1"/>
  <c r="B312" i="1" a="1"/>
  <c r="B312" i="1" s="1"/>
  <c r="B311" i="1" a="1"/>
  <c r="B311" i="1" s="1"/>
  <c r="B310" i="1" a="1"/>
  <c r="B310" i="1" s="1"/>
  <c r="B309" i="1" a="1"/>
  <c r="B309" i="1" s="1"/>
  <c r="B308" i="1" a="1"/>
  <c r="B308" i="1" s="1"/>
  <c r="B307" i="1" a="1"/>
  <c r="B307" i="1" s="1"/>
  <c r="B306" i="1" a="1"/>
  <c r="B306" i="1" s="1"/>
  <c r="B305" i="1" a="1"/>
  <c r="B305" i="1" s="1"/>
  <c r="B304" i="1" a="1"/>
  <c r="B304" i="1" s="1"/>
  <c r="B303" i="1" a="1"/>
  <c r="B303" i="1" s="1"/>
  <c r="B302" i="1" a="1"/>
  <c r="B302" i="1" s="1"/>
  <c r="B301" i="1" a="1"/>
  <c r="B301" i="1" s="1"/>
  <c r="B292" i="1" a="1"/>
  <c r="B292" i="1" s="1"/>
  <c r="B291" i="1" a="1"/>
  <c r="B291" i="1" s="1"/>
  <c r="B290" i="1" a="1"/>
  <c r="B290" i="1" s="1"/>
  <c r="B289" i="1" a="1"/>
  <c r="B289" i="1" s="1"/>
  <c r="B287" i="1" a="1"/>
  <c r="B287" i="1" s="1"/>
  <c r="B286" i="1" a="1"/>
  <c r="B286" i="1" s="1"/>
  <c r="B285" i="1" a="1"/>
  <c r="B285" i="1" s="1"/>
  <c r="B284" i="1" a="1"/>
  <c r="B284" i="1" s="1"/>
  <c r="B283" i="1" a="1"/>
  <c r="B283" i="1" s="1"/>
  <c r="B282" i="1" a="1"/>
  <c r="B282" i="1" s="1"/>
  <c r="B281" i="1" a="1"/>
  <c r="B281" i="1" s="1"/>
  <c r="B280" i="1" a="1"/>
  <c r="B280" i="1" s="1"/>
  <c r="B279" i="1" a="1"/>
  <c r="B279" i="1" s="1"/>
  <c r="B278" i="1" a="1"/>
  <c r="B278" i="1" s="1"/>
  <c r="B264" i="1" a="1"/>
  <c r="B264" i="1" s="1"/>
  <c r="B263" i="1" a="1"/>
  <c r="B263" i="1" s="1"/>
  <c r="B262" i="1" a="1"/>
  <c r="B262" i="1" s="1"/>
  <c r="B258" i="1" a="1"/>
  <c r="B258" i="1" s="1"/>
  <c r="B257" i="1" a="1"/>
  <c r="B257" i="1" s="1"/>
  <c r="B256" i="1" a="1"/>
  <c r="B256" i="1" s="1"/>
  <c r="B255" i="1" a="1"/>
  <c r="B255" i="1" s="1"/>
  <c r="B254" i="1" a="1"/>
  <c r="B254" i="1" s="1"/>
  <c r="B253" i="1" a="1"/>
  <c r="B253" i="1" s="1"/>
  <c r="B252" i="1" a="1"/>
  <c r="B252" i="1" s="1"/>
  <c r="B251" i="1" a="1"/>
  <c r="B251" i="1" s="1"/>
  <c r="B250" i="1" a="1"/>
  <c r="B250" i="1" s="1"/>
  <c r="B249" i="1" a="1"/>
  <c r="B249" i="1" s="1"/>
  <c r="B248" i="1" a="1"/>
  <c r="B248" i="1" s="1"/>
  <c r="B247" i="1" a="1"/>
  <c r="B247" i="1" s="1"/>
  <c r="B246" i="1" a="1"/>
  <c r="B246" i="1" s="1"/>
  <c r="B245" i="1" a="1"/>
  <c r="B245" i="1" s="1"/>
  <c r="B244" i="1" a="1"/>
  <c r="B244" i="1" s="1"/>
  <c r="B243" i="1" a="1"/>
  <c r="B243" i="1" s="1"/>
  <c r="B242" i="1" a="1"/>
  <c r="B242" i="1" s="1"/>
  <c r="B241" i="1" a="1"/>
  <c r="B241" i="1" s="1"/>
  <c r="B240" i="1" a="1"/>
  <c r="B240" i="1" s="1"/>
  <c r="B239" i="1" a="1"/>
  <c r="B239" i="1" s="1"/>
  <c r="B238" i="1" a="1"/>
  <c r="B238" i="1" s="1"/>
  <c r="B237" i="1" a="1"/>
  <c r="B237" i="1" s="1"/>
  <c r="B236" i="1" a="1"/>
  <c r="B236" i="1" s="1"/>
  <c r="B235" i="1" a="1"/>
  <c r="B235" i="1" s="1"/>
  <c r="B234" i="1" a="1"/>
  <c r="B234" i="1" s="1"/>
  <c r="B233" i="1" a="1"/>
  <c r="B233" i="1" s="1"/>
  <c r="B232" i="1" a="1"/>
  <c r="B232" i="1" s="1"/>
  <c r="B231" i="1" a="1"/>
  <c r="B231" i="1" s="1"/>
  <c r="B230" i="1" a="1"/>
  <c r="B230" i="1" s="1"/>
  <c r="B229" i="1" a="1"/>
  <c r="B229" i="1" s="1"/>
  <c r="B228" i="1" a="1"/>
  <c r="B228" i="1" s="1"/>
  <c r="B227" i="1" a="1"/>
  <c r="B227" i="1" s="1"/>
  <c r="B226" i="1" a="1"/>
  <c r="B226" i="1" s="1"/>
  <c r="B225" i="1" a="1"/>
  <c r="B225" i="1" s="1"/>
  <c r="B224" i="1" a="1"/>
  <c r="B224" i="1" s="1"/>
  <c r="B223" i="1" a="1"/>
  <c r="B223" i="1" s="1"/>
  <c r="B222" i="1" a="1"/>
  <c r="B222" i="1" s="1"/>
  <c r="B221" i="1" a="1"/>
  <c r="B221" i="1" s="1"/>
  <c r="B220" i="1" a="1"/>
  <c r="B220" i="1" s="1"/>
  <c r="B219" i="1" a="1"/>
  <c r="B219" i="1" s="1"/>
  <c r="B218" i="1" a="1"/>
  <c r="B218" i="1" s="1"/>
  <c r="B217" i="1" a="1"/>
  <c r="B217" i="1" s="1"/>
  <c r="B216" i="1" a="1"/>
  <c r="B216" i="1" s="1"/>
  <c r="B215" i="1" a="1"/>
  <c r="B215" i="1" s="1"/>
  <c r="B214" i="1" a="1"/>
  <c r="B214" i="1" s="1"/>
  <c r="B213" i="1" a="1"/>
  <c r="B213" i="1" s="1"/>
  <c r="B212" i="1" a="1"/>
  <c r="B212" i="1" s="1"/>
  <c r="B211" i="1" a="1"/>
  <c r="B211" i="1" s="1"/>
  <c r="B210" i="1" a="1"/>
  <c r="B210" i="1" s="1"/>
  <c r="B209" i="1" a="1"/>
  <c r="B209" i="1" s="1"/>
  <c r="B208" i="1" a="1"/>
  <c r="B208" i="1" s="1"/>
  <c r="B207" i="1" a="1"/>
  <c r="B207" i="1" s="1"/>
  <c r="B206" i="1" a="1"/>
  <c r="B206" i="1" s="1"/>
  <c r="B205" i="1" a="1"/>
  <c r="B205" i="1" s="1"/>
  <c r="B204" i="1" a="1"/>
  <c r="B204" i="1" s="1"/>
  <c r="B203" i="1" a="1"/>
  <c r="B203" i="1" s="1"/>
  <c r="B202" i="1" a="1"/>
  <c r="B202" i="1" s="1"/>
  <c r="B201" i="1" a="1"/>
  <c r="B201" i="1" s="1"/>
  <c r="B200" i="1" a="1"/>
  <c r="B200" i="1" s="1"/>
  <c r="B199" i="1" a="1"/>
  <c r="B199" i="1" s="1"/>
  <c r="B198" i="1" a="1"/>
  <c r="B198" i="1" s="1"/>
  <c r="B197" i="1" a="1"/>
  <c r="B197" i="1" s="1"/>
  <c r="B196" i="1" a="1"/>
  <c r="B196" i="1" s="1"/>
  <c r="B195" i="1" a="1"/>
  <c r="B195" i="1" s="1"/>
  <c r="B194" i="1" a="1"/>
  <c r="B194" i="1" s="1"/>
  <c r="B193" i="1" a="1"/>
  <c r="B193" i="1" s="1"/>
  <c r="B192" i="1" a="1"/>
  <c r="B192" i="1" s="1"/>
  <c r="B191" i="1" a="1"/>
  <c r="B191" i="1" s="1"/>
  <c r="B190" i="1" a="1"/>
  <c r="B190" i="1" s="1"/>
  <c r="B189" i="1" a="1"/>
  <c r="B189" i="1" s="1"/>
  <c r="B188" i="1" a="1"/>
  <c r="B188" i="1" s="1"/>
  <c r="B187" i="1" a="1"/>
  <c r="B187" i="1" s="1"/>
  <c r="B186" i="1" a="1"/>
  <c r="B186" i="1" s="1"/>
  <c r="B185" i="1" a="1"/>
  <c r="B185" i="1" s="1"/>
  <c r="B184" i="1" a="1"/>
  <c r="B184" i="1" s="1"/>
  <c r="B183" i="1" a="1"/>
  <c r="B183" i="1" s="1"/>
  <c r="B182" i="1" a="1"/>
  <c r="B182" i="1" s="1"/>
  <c r="B181" i="1" a="1"/>
  <c r="B181" i="1" s="1"/>
  <c r="B180" i="1" a="1"/>
  <c r="B180" i="1" s="1"/>
  <c r="B179" i="1" a="1"/>
  <c r="B179" i="1" s="1"/>
  <c r="B178" i="1" a="1"/>
  <c r="B178" i="1" s="1"/>
  <c r="B177" i="1" a="1"/>
  <c r="B177" i="1" s="1"/>
  <c r="B176" i="1" a="1"/>
  <c r="B176" i="1" s="1"/>
  <c r="B175" i="1" a="1"/>
  <c r="B175" i="1" s="1"/>
  <c r="B174" i="1" a="1"/>
  <c r="B174" i="1" s="1"/>
  <c r="B173" i="1" a="1"/>
  <c r="B173" i="1" s="1"/>
  <c r="B172" i="1" a="1"/>
  <c r="B172" i="1" s="1"/>
  <c r="B171" i="1" a="1"/>
  <c r="B171" i="1" s="1"/>
  <c r="B170" i="1" a="1"/>
  <c r="B170" i="1" s="1"/>
  <c r="B169" i="1" a="1"/>
  <c r="B169" i="1" s="1"/>
  <c r="B168" i="1" a="1"/>
  <c r="B168" i="1" s="1"/>
  <c r="B167" i="1" a="1"/>
  <c r="B167" i="1" s="1"/>
  <c r="B166" i="1" a="1"/>
  <c r="B166" i="1" s="1"/>
  <c r="B165" i="1" a="1"/>
  <c r="B165" i="1" s="1"/>
  <c r="B164" i="1" a="1"/>
  <c r="B164" i="1" s="1"/>
  <c r="B163" i="1" a="1"/>
  <c r="B163" i="1" s="1"/>
  <c r="B162" i="1" a="1"/>
  <c r="B162" i="1" s="1"/>
  <c r="B161" i="1" a="1"/>
  <c r="B161" i="1" s="1"/>
  <c r="B160" i="1" a="1"/>
  <c r="B160" i="1" s="1"/>
  <c r="B159" i="1" a="1"/>
  <c r="B159" i="1" s="1"/>
  <c r="B158" i="1" a="1"/>
  <c r="B158" i="1" s="1"/>
  <c r="B157" i="1" a="1"/>
  <c r="B157" i="1" s="1"/>
  <c r="B156" i="1" a="1"/>
  <c r="B156" i="1" s="1"/>
  <c r="B155" i="1" a="1"/>
  <c r="B155" i="1" s="1"/>
  <c r="B154" i="1" a="1"/>
  <c r="B154" i="1" s="1"/>
  <c r="B153" i="1" a="1"/>
  <c r="B153" i="1" s="1"/>
  <c r="B152" i="1" a="1"/>
  <c r="B152" i="1" s="1"/>
  <c r="B151" i="1" a="1"/>
  <c r="B151" i="1" s="1"/>
  <c r="B150" i="1" a="1"/>
  <c r="B150" i="1" s="1"/>
  <c r="B149" i="1" a="1"/>
  <c r="B149" i="1" s="1"/>
  <c r="B148" i="1" a="1"/>
  <c r="B148" i="1" s="1"/>
  <c r="B147" i="1" a="1"/>
  <c r="B147" i="1" s="1"/>
  <c r="B146" i="1" a="1"/>
  <c r="B146" i="1" s="1"/>
  <c r="B145" i="1" a="1"/>
  <c r="B145" i="1" s="1"/>
  <c r="B144" i="1" a="1"/>
  <c r="B144" i="1" s="1"/>
  <c r="B143" i="1" a="1"/>
  <c r="B143" i="1" s="1"/>
  <c r="B142" i="1" a="1"/>
  <c r="B142" i="1" s="1"/>
  <c r="B141" i="1" a="1"/>
  <c r="B141" i="1" s="1"/>
  <c r="B140" i="1" a="1"/>
  <c r="B140" i="1" s="1"/>
  <c r="B139" i="1" a="1"/>
  <c r="B139" i="1" s="1"/>
  <c r="B138" i="1" a="1"/>
  <c r="B138" i="1" s="1"/>
  <c r="B137" i="1" a="1"/>
  <c r="B137" i="1" s="1"/>
  <c r="B136" i="1" a="1"/>
  <c r="B136" i="1" s="1"/>
  <c r="B135" i="1" a="1"/>
  <c r="B135" i="1" s="1"/>
  <c r="B134" i="1" a="1"/>
  <c r="B134" i="1" s="1"/>
  <c r="B133" i="1" a="1"/>
  <c r="B133" i="1" s="1"/>
  <c r="B132" i="1" a="1"/>
  <c r="B132" i="1" s="1"/>
  <c r="B131" i="1" a="1"/>
  <c r="B131" i="1" s="1"/>
  <c r="B130" i="1" a="1"/>
  <c r="B130" i="1" s="1"/>
  <c r="B129" i="1" a="1"/>
  <c r="B129" i="1" s="1"/>
  <c r="B128" i="1" a="1"/>
  <c r="B128" i="1" s="1"/>
  <c r="B127" i="1" a="1"/>
  <c r="B127" i="1" s="1"/>
  <c r="B126" i="1" a="1"/>
  <c r="B126" i="1" s="1"/>
  <c r="B125" i="1" a="1"/>
  <c r="B125" i="1" s="1"/>
  <c r="B124" i="1" a="1"/>
  <c r="B124" i="1" s="1"/>
  <c r="B123" i="1" a="1"/>
  <c r="B123" i="1" s="1"/>
  <c r="B122" i="1" a="1"/>
  <c r="B122" i="1" s="1"/>
  <c r="B121" i="1" a="1"/>
  <c r="B121" i="1" s="1"/>
  <c r="B120" i="1" a="1"/>
  <c r="B120" i="1" s="1"/>
  <c r="B119" i="1" a="1"/>
  <c r="B119" i="1" s="1"/>
  <c r="B118" i="1" a="1"/>
  <c r="B118" i="1" s="1"/>
  <c r="B117" i="1" a="1"/>
  <c r="B117" i="1" s="1"/>
  <c r="B116" i="1" a="1"/>
  <c r="B116" i="1" s="1"/>
  <c r="B115" i="1" a="1"/>
  <c r="B115" i="1" s="1"/>
  <c r="B114" i="1" a="1"/>
  <c r="B114" i="1" s="1"/>
  <c r="B113" i="1" a="1"/>
  <c r="B113" i="1" s="1"/>
  <c r="B112" i="1" a="1"/>
  <c r="B112" i="1" s="1"/>
  <c r="B111" i="1" a="1"/>
  <c r="B111" i="1" s="1"/>
  <c r="B110" i="1" a="1"/>
  <c r="B110" i="1" s="1"/>
  <c r="B109" i="1" a="1"/>
  <c r="B109" i="1" s="1"/>
  <c r="B108" i="1" a="1"/>
  <c r="B108" i="1" s="1"/>
  <c r="B107" i="1" a="1"/>
  <c r="B107" i="1" s="1"/>
  <c r="B106" i="1" a="1"/>
  <c r="B106" i="1" s="1"/>
  <c r="B105" i="1" a="1"/>
  <c r="B105" i="1" s="1"/>
  <c r="B104" i="1" a="1"/>
  <c r="B104" i="1" s="1"/>
  <c r="B103" i="1" a="1"/>
  <c r="B103" i="1" s="1"/>
  <c r="B102" i="1" a="1"/>
  <c r="B102" i="1" s="1"/>
  <c r="B101" i="1" a="1"/>
  <c r="B101" i="1" s="1"/>
  <c r="B100" i="1" a="1"/>
  <c r="B100" i="1" s="1"/>
  <c r="B99" i="1" a="1"/>
  <c r="B99" i="1" s="1"/>
  <c r="B98" i="1" a="1"/>
  <c r="B98" i="1" s="1"/>
  <c r="B97" i="1" a="1"/>
  <c r="B97" i="1" s="1"/>
  <c r="B96" i="1" a="1"/>
  <c r="B96" i="1" s="1"/>
  <c r="B95" i="1" a="1"/>
  <c r="B95" i="1" s="1"/>
  <c r="B94" i="1" a="1"/>
  <c r="B94" i="1" s="1"/>
  <c r="B93" i="1" a="1"/>
  <c r="B93" i="1" s="1"/>
  <c r="B92" i="1" a="1"/>
  <c r="B92" i="1" s="1"/>
  <c r="B91" i="1" a="1"/>
  <c r="B91" i="1" s="1"/>
  <c r="B90" i="1" a="1"/>
  <c r="B90" i="1" s="1"/>
  <c r="B89" i="1" a="1"/>
  <c r="B89" i="1" s="1"/>
  <c r="B88" i="1" a="1"/>
  <c r="B88" i="1" s="1"/>
  <c r="B87" i="1" a="1"/>
  <c r="B87" i="1" s="1"/>
  <c r="B86" i="1" a="1"/>
  <c r="B86" i="1" s="1"/>
  <c r="B85" i="1" a="1"/>
  <c r="B85" i="1" s="1"/>
  <c r="B84" i="1" a="1"/>
  <c r="B84" i="1" s="1"/>
  <c r="B83" i="1" a="1"/>
  <c r="B83" i="1" s="1"/>
  <c r="B82" i="1" a="1"/>
  <c r="B82" i="1" s="1"/>
  <c r="B81" i="1" a="1"/>
  <c r="B81" i="1" s="1"/>
  <c r="B80" i="1" a="1"/>
  <c r="B80" i="1" s="1"/>
  <c r="B79" i="1" a="1"/>
  <c r="B79" i="1" s="1"/>
  <c r="B78" i="1" a="1"/>
  <c r="B78" i="1" s="1"/>
  <c r="B77" i="1" a="1"/>
  <c r="B77" i="1" s="1"/>
  <c r="B76" i="1" a="1"/>
  <c r="B76" i="1" s="1"/>
  <c r="B75" i="1" a="1"/>
  <c r="B75" i="1" s="1"/>
  <c r="B74" i="1" a="1"/>
  <c r="B74" i="1" s="1"/>
  <c r="B73" i="1" a="1"/>
  <c r="B73" i="1" s="1"/>
  <c r="B72" i="1" a="1"/>
  <c r="B72" i="1" s="1"/>
  <c r="B71" i="1" a="1"/>
  <c r="B71" i="1" s="1"/>
  <c r="B70" i="1" a="1"/>
  <c r="B70" i="1" s="1"/>
  <c r="B69" i="1" a="1"/>
  <c r="B69" i="1" s="1"/>
  <c r="B68" i="1" a="1"/>
  <c r="B68" i="1" s="1"/>
  <c r="B67" i="1" a="1"/>
  <c r="B67" i="1" s="1"/>
  <c r="B66" i="1" a="1"/>
  <c r="B66" i="1" s="1"/>
  <c r="B65" i="1" a="1"/>
  <c r="B65" i="1" s="1"/>
  <c r="B64" i="1" a="1"/>
  <c r="B64" i="1" s="1"/>
  <c r="B63" i="1" a="1"/>
  <c r="B63" i="1" s="1"/>
  <c r="B62" i="1" a="1"/>
  <c r="B62" i="1" s="1"/>
  <c r="B61" i="1" a="1"/>
  <c r="B61" i="1" s="1"/>
  <c r="B60" i="1" a="1"/>
  <c r="B60" i="1" s="1"/>
  <c r="B59" i="1" a="1"/>
  <c r="B59" i="1" s="1"/>
  <c r="B58" i="1" a="1"/>
  <c r="B58" i="1" s="1"/>
  <c r="B57" i="1" a="1"/>
  <c r="B57" i="1" s="1"/>
  <c r="B56" i="1" a="1"/>
  <c r="B56" i="1" s="1"/>
  <c r="B55" i="1" a="1"/>
  <c r="B55" i="1" s="1"/>
  <c r="B54" i="1" a="1"/>
  <c r="B54" i="1" s="1"/>
  <c r="B53" i="1" a="1"/>
  <c r="B53" i="1" s="1"/>
  <c r="B52" i="1" a="1"/>
  <c r="B52" i="1" s="1"/>
  <c r="B51" i="1" a="1"/>
  <c r="B51" i="1" s="1"/>
  <c r="B50" i="1" a="1"/>
  <c r="B50" i="1" s="1"/>
  <c r="B45" i="1" a="1"/>
  <c r="B45" i="1" s="1"/>
  <c r="B42" i="1" a="1"/>
  <c r="B42" i="1" s="1"/>
  <c r="B41" i="1" a="1"/>
  <c r="B41" i="1" s="1"/>
  <c r="B40" i="1" a="1"/>
  <c r="B40" i="1" s="1"/>
  <c r="B32" i="1" a="1"/>
  <c r="B32" i="1" s="1"/>
  <c r="B31" i="1" a="1"/>
  <c r="B31" i="1" s="1"/>
  <c r="B30" i="1" a="1"/>
  <c r="B30" i="1" s="1"/>
  <c r="B29" i="1" a="1"/>
  <c r="B29" i="1" s="1"/>
  <c r="B28" i="1" a="1"/>
  <c r="B28" i="1" s="1"/>
  <c r="B27" i="1" a="1"/>
  <c r="B27" i="1" s="1"/>
  <c r="B26" i="1" a="1"/>
  <c r="B26" i="1" s="1"/>
  <c r="B25" i="1" a="1"/>
  <c r="B25" i="1" s="1"/>
  <c r="B24" i="1" a="1"/>
  <c r="B24" i="1" s="1"/>
  <c r="B23" i="1" a="1"/>
  <c r="B23" i="1" s="1"/>
  <c r="B22" i="1" a="1"/>
  <c r="B22" i="1" s="1"/>
  <c r="B21" i="1" a="1"/>
  <c r="B21" i="1" s="1"/>
  <c r="B20" i="1" a="1"/>
  <c r="B20" i="1" s="1"/>
  <c r="B19" i="1" a="1"/>
  <c r="B19" i="1" s="1"/>
  <c r="B18" i="1" a="1"/>
  <c r="B18" i="1" s="1"/>
  <c r="B17" i="1" a="1"/>
  <c r="B17" i="1" s="1"/>
  <c r="B16" i="1" a="1"/>
  <c r="B16" i="1" s="1"/>
  <c r="B15" i="1" a="1"/>
  <c r="B15" i="1" s="1"/>
  <c r="B14" i="1" a="1"/>
  <c r="B14" i="1" s="1"/>
  <c r="B12" i="1" a="1"/>
  <c r="B12" i="1" s="1"/>
  <c r="B11" i="1" a="1"/>
  <c r="B11" i="1" s="1"/>
  <c r="B10" i="1" a="1"/>
  <c r="B10" i="1" s="1"/>
  <c r="B9" i="1" a="1"/>
  <c r="B9" i="1" s="1"/>
  <c r="B6" i="1" a="1"/>
  <c r="B6" i="1" s="1"/>
  <c r="B4" i="1" a="1"/>
  <c r="B4" i="1" s="1"/>
  <c r="B3" i="1" a="1"/>
  <c r="B3" i="1" s="1"/>
  <c r="B2" i="1" a="1"/>
  <c r="B2" i="1" s="1"/>
  <c r="M37" i="2"/>
  <c r="M36" i="2"/>
  <c r="M35" i="2"/>
  <c r="M34" i="2"/>
  <c r="J33" i="2"/>
  <c r="M33" i="2" s="1"/>
  <c r="M32" i="2"/>
  <c r="M27" i="2"/>
  <c r="M26" i="2"/>
  <c r="M24" i="2"/>
  <c r="M22" i="2"/>
  <c r="M21" i="2"/>
  <c r="M19" i="2"/>
  <c r="M18" i="2"/>
  <c r="J16" i="2"/>
  <c r="M16" i="2" s="1"/>
  <c r="M15" i="2"/>
  <c r="M13" i="2"/>
  <c r="M8" i="2"/>
  <c r="M7" i="2"/>
  <c r="M6" i="2"/>
  <c r="M5" i="2"/>
  <c r="J5" i="2"/>
</calcChain>
</file>

<file path=xl/sharedStrings.xml><?xml version="1.0" encoding="utf-8"?>
<sst xmlns="http://schemas.openxmlformats.org/spreadsheetml/2006/main" count="24021" uniqueCount="3467">
  <si>
    <t>Estado</t>
  </si>
  <si>
    <t>Recibida</t>
  </si>
  <si>
    <t>Extraída</t>
  </si>
  <si>
    <t>Organismo</t>
  </si>
  <si>
    <t>Proyecto</t>
  </si>
  <si>
    <t>Clase</t>
  </si>
  <si>
    <t>Protocolo</t>
  </si>
  <si>
    <t>Elucion_(uL)</t>
  </si>
  <si>
    <t>DNA 260/230</t>
  </si>
  <si>
    <t>DNA 260/280</t>
  </si>
  <si>
    <t>DNA_(ng/uL)</t>
  </si>
  <si>
    <t xml:space="preserve">Volumen uL PCR  A partir de nov </t>
  </si>
  <si>
    <t>Observaciones</t>
  </si>
  <si>
    <t>1 Tif DNAa 16S 1/3</t>
  </si>
  <si>
    <t>EXTRAÍDAS</t>
  </si>
  <si>
    <t>Por determinar</t>
  </si>
  <si>
    <t>CALYPSO-biocrust</t>
  </si>
  <si>
    <t>ambiental</t>
  </si>
  <si>
    <t>PROTOCOLO OCTUBRE 2025</t>
  </si>
  <si>
    <t>1 Tif DNAa 16S 2/3</t>
  </si>
  <si>
    <t>1 Tif DNAa 16S 3/3</t>
  </si>
  <si>
    <t>1.1_MARZO_ALGASAL</t>
  </si>
  <si>
    <t>Extraídas</t>
  </si>
  <si>
    <t>Eucariota</t>
  </si>
  <si>
    <t>ALGASAL</t>
  </si>
  <si>
    <t>Macroalgas</t>
  </si>
  <si>
    <t>PROTOCOLO MAYO 2025</t>
  </si>
  <si>
    <t>1.1RP7</t>
  </si>
  <si>
    <t>1.2_MARZO_ALGASAL</t>
  </si>
  <si>
    <t>1.3_MARZO_ALGASAL</t>
  </si>
  <si>
    <t>2 Tif DNAa 16S 1/3</t>
  </si>
  <si>
    <t>2 Tif DNAa 16S 2/3</t>
  </si>
  <si>
    <t>2 Tif DNAa 16S 3/3</t>
  </si>
  <si>
    <t>2.1 RP9</t>
  </si>
  <si>
    <t>Algasal</t>
  </si>
  <si>
    <t>MACROALGAS</t>
  </si>
  <si>
    <t>2.1_MARZO_ALGASAL</t>
  </si>
  <si>
    <t>2.2 RP9</t>
  </si>
  <si>
    <t>2.2_MARZO_ALGASAL</t>
  </si>
  <si>
    <t>2.2RP7</t>
  </si>
  <si>
    <t>2.3 RP9</t>
  </si>
  <si>
    <t>2.3_MARZO_ALGASAL</t>
  </si>
  <si>
    <t>2.3RP7</t>
  </si>
  <si>
    <t>2.4 RP9</t>
  </si>
  <si>
    <t>2.4RP7</t>
  </si>
  <si>
    <t>2.5RP7</t>
  </si>
  <si>
    <t>3.1 RP9</t>
  </si>
  <si>
    <t>3.1_MARZO_ALGASAL</t>
  </si>
  <si>
    <t>3.2 RP9</t>
  </si>
  <si>
    <t>3.2_MARZO_ALGASAL</t>
  </si>
  <si>
    <t>3.2RP7</t>
  </si>
  <si>
    <t>3.3 RP9</t>
  </si>
  <si>
    <t>3.4 RP9</t>
  </si>
  <si>
    <t>3.5 RP9</t>
  </si>
  <si>
    <t>3.6 RP9</t>
  </si>
  <si>
    <t>3.6RP7</t>
  </si>
  <si>
    <t>A1.1_EUKA</t>
  </si>
  <si>
    <t>A1.2_EUKA</t>
  </si>
  <si>
    <t>A1.3_EUKA</t>
  </si>
  <si>
    <t>A2.1_EUKA</t>
  </si>
  <si>
    <t>A2.2_EUKA</t>
  </si>
  <si>
    <t>A3.1_EUKA</t>
  </si>
  <si>
    <t>A3.2_EUKA</t>
  </si>
  <si>
    <t>Agüimes 1</t>
  </si>
  <si>
    <t>Agüimes 2</t>
  </si>
  <si>
    <t>Agüimes 3</t>
  </si>
  <si>
    <t>AH1A10_EUKB</t>
  </si>
  <si>
    <t>Microalgas</t>
  </si>
  <si>
    <t>AH1H12_EUKA</t>
  </si>
  <si>
    <t>AL1_DS</t>
  </si>
  <si>
    <t>AL1_EUKA</t>
  </si>
  <si>
    <t>AL1_ITS1</t>
  </si>
  <si>
    <t>AL1_rbcLaF</t>
  </si>
  <si>
    <t>AL1D_EUKA</t>
  </si>
  <si>
    <t>AL2DS</t>
  </si>
  <si>
    <t>(2) Rep 50μl | Rep sin lisozima</t>
  </si>
  <si>
    <t>AL2ULVA</t>
  </si>
  <si>
    <t>Fallo en extracción</t>
  </si>
  <si>
    <t>Repetir extracción</t>
  </si>
  <si>
    <t>AL2ULVAX2</t>
  </si>
  <si>
    <t>(2) Rep 50μl</t>
  </si>
  <si>
    <t>AL5 A11</t>
  </si>
  <si>
    <t>ALGASAL Punto 9 Oct</t>
  </si>
  <si>
    <t>ALGASAL-AMB</t>
  </si>
  <si>
    <t>BEA 0018</t>
  </si>
  <si>
    <t>CALYPSO</t>
  </si>
  <si>
    <t>Trebouxiophyceae</t>
  </si>
  <si>
    <t>BEA 0021</t>
  </si>
  <si>
    <t>Procariota</t>
  </si>
  <si>
    <t>Cianobacterias</t>
  </si>
  <si>
    <t>BEA 0024</t>
  </si>
  <si>
    <t>BEA 0028</t>
  </si>
  <si>
    <t>BEA 0044B</t>
  </si>
  <si>
    <t>RECIBIDAS</t>
  </si>
  <si>
    <t>Chlorophyceae</t>
  </si>
  <si>
    <t>Muestras Virgi</t>
  </si>
  <si>
    <t>BEA 0061</t>
  </si>
  <si>
    <t>BEA 0076</t>
  </si>
  <si>
    <t>BEA 0079/1</t>
  </si>
  <si>
    <t>BEA 0084</t>
  </si>
  <si>
    <t>BEA 0084/3 2/4</t>
  </si>
  <si>
    <t>Cyanobacteria</t>
  </si>
  <si>
    <t>BEA 0129B</t>
  </si>
  <si>
    <t>BEA 0139</t>
  </si>
  <si>
    <t>BEA 0143/1</t>
  </si>
  <si>
    <t>BEA 0148B</t>
  </si>
  <si>
    <t>BEA 0170B</t>
  </si>
  <si>
    <t>BEA 0171B</t>
  </si>
  <si>
    <t>BEA 0172B</t>
  </si>
  <si>
    <t>BEA 0176</t>
  </si>
  <si>
    <t>BEA 0176/1</t>
  </si>
  <si>
    <t>BEA 0176/2</t>
  </si>
  <si>
    <t>BEA 0278B</t>
  </si>
  <si>
    <t>Consultar a Belén</t>
  </si>
  <si>
    <t>BEA 0283</t>
  </si>
  <si>
    <t>BEA 0297B</t>
  </si>
  <si>
    <t>BEA 0301B</t>
  </si>
  <si>
    <t>BEA 0328</t>
  </si>
  <si>
    <t>BEA 0331</t>
  </si>
  <si>
    <t>BEA 0334</t>
  </si>
  <si>
    <t>BEA 0335</t>
  </si>
  <si>
    <t>BEA 0338</t>
  </si>
  <si>
    <t>BEA 0343B</t>
  </si>
  <si>
    <t>BEA 0349B</t>
  </si>
  <si>
    <t>BEA 0360B</t>
  </si>
  <si>
    <t>BEA 0363</t>
  </si>
  <si>
    <t>BEA 0383</t>
  </si>
  <si>
    <t>BEA 0384</t>
  </si>
  <si>
    <t>BEA 0409B</t>
  </si>
  <si>
    <t>BEA 0411</t>
  </si>
  <si>
    <t>BEA 0413</t>
  </si>
  <si>
    <t>BEA 0443</t>
  </si>
  <si>
    <t>BEA 0448</t>
  </si>
  <si>
    <t>BEA 0536</t>
  </si>
  <si>
    <t>BEA 0536B</t>
  </si>
  <si>
    <t>BEA 0540B</t>
  </si>
  <si>
    <t>BEA 0556</t>
  </si>
  <si>
    <t>BEA 0559</t>
  </si>
  <si>
    <t>BEA 0562</t>
  </si>
  <si>
    <t>BEA 0584B</t>
  </si>
  <si>
    <t>BEA 0647B</t>
  </si>
  <si>
    <t>Chlorodendrophyceae</t>
  </si>
  <si>
    <t>BEA 0742B</t>
  </si>
  <si>
    <t>BEA 0747B</t>
  </si>
  <si>
    <t>BEA 0759B</t>
  </si>
  <si>
    <t>BEA 0760</t>
  </si>
  <si>
    <t>BEA 0761</t>
  </si>
  <si>
    <t>BEA 0767</t>
  </si>
  <si>
    <t>BEA 0767B</t>
  </si>
  <si>
    <t>BEA 0772</t>
  </si>
  <si>
    <t>BEA 0774</t>
  </si>
  <si>
    <t>BEA 0774B</t>
  </si>
  <si>
    <t>BEA 0775B</t>
  </si>
  <si>
    <t>BEA 0777B</t>
  </si>
  <si>
    <t>BEA 0782</t>
  </si>
  <si>
    <t>BEA 0784</t>
  </si>
  <si>
    <t>BEA 0784B</t>
  </si>
  <si>
    <t>BEA 0789B</t>
  </si>
  <si>
    <t>BEA 0828</t>
  </si>
  <si>
    <t>Palmophyllophyceae</t>
  </si>
  <si>
    <t>Muestras Edu</t>
  </si>
  <si>
    <t>BEA 0847</t>
  </si>
  <si>
    <t>BEA 0854B R</t>
  </si>
  <si>
    <t>BEA 0858B</t>
  </si>
  <si>
    <t>BEA 0861B</t>
  </si>
  <si>
    <t>BEA 0867B</t>
  </si>
  <si>
    <t>BEA 0877</t>
  </si>
  <si>
    <t>BEA 0890</t>
  </si>
  <si>
    <t>BEA 0913</t>
  </si>
  <si>
    <t>BEA 0915B</t>
  </si>
  <si>
    <t>BEA 0942B</t>
  </si>
  <si>
    <t>BEA 0944B</t>
  </si>
  <si>
    <t>BEA 0944B X2</t>
  </si>
  <si>
    <t>BEA 0946B</t>
  </si>
  <si>
    <t>BEA 0975</t>
  </si>
  <si>
    <t>BEA 0980B</t>
  </si>
  <si>
    <t>BEA 0980B 3/4</t>
  </si>
  <si>
    <t>BEA 0986</t>
  </si>
  <si>
    <t>BEA 0987</t>
  </si>
  <si>
    <t>BEA 0991B</t>
  </si>
  <si>
    <t>Ulvophyceae</t>
  </si>
  <si>
    <t>BEA 0994B</t>
  </si>
  <si>
    <t>BEA 1000B</t>
  </si>
  <si>
    <t>Klebsormidiophyceae</t>
  </si>
  <si>
    <t>BEA 1001B</t>
  </si>
  <si>
    <t>BEA 1001Ba</t>
  </si>
  <si>
    <t>BEA 1011 X2</t>
  </si>
  <si>
    <t>BEA 1011B</t>
  </si>
  <si>
    <t>BEA 1016</t>
  </si>
  <si>
    <t>BEA 1017B</t>
  </si>
  <si>
    <t>BEA 1022</t>
  </si>
  <si>
    <t>BEA 1024</t>
  </si>
  <si>
    <t>BEA 1031B</t>
  </si>
  <si>
    <t>BEA 1031Ba</t>
  </si>
  <si>
    <t>BEA 1050</t>
  </si>
  <si>
    <t>BEA 1051</t>
  </si>
  <si>
    <t>BEA 1062B</t>
  </si>
  <si>
    <t>BEA 1065</t>
  </si>
  <si>
    <t>BEA 1070</t>
  </si>
  <si>
    <t>BEA 1110B</t>
  </si>
  <si>
    <t>BEA 1117B</t>
  </si>
  <si>
    <t>BEA 1119B</t>
  </si>
  <si>
    <t>BEA 1131B</t>
  </si>
  <si>
    <t>BEA 1144</t>
  </si>
  <si>
    <t>BEA 1146B</t>
  </si>
  <si>
    <t>BEA 1153B</t>
  </si>
  <si>
    <t>BEA 1153Ba</t>
  </si>
  <si>
    <t>BEA 1153Bb</t>
  </si>
  <si>
    <t>BEA 1153Bc</t>
  </si>
  <si>
    <t>BEA 1154B</t>
  </si>
  <si>
    <t>BEA 1170B</t>
  </si>
  <si>
    <t>BEA 1176</t>
  </si>
  <si>
    <t>BEA 1200B</t>
  </si>
  <si>
    <t>BEA 1211B</t>
  </si>
  <si>
    <t>BEA 1214B</t>
  </si>
  <si>
    <t>BEA 1217B</t>
  </si>
  <si>
    <t>BEA 1218B</t>
  </si>
  <si>
    <t>BEA 1228B</t>
  </si>
  <si>
    <t>BEA 1230B</t>
  </si>
  <si>
    <t>BEA 1233B</t>
  </si>
  <si>
    <t>BEA 1234</t>
  </si>
  <si>
    <t>BEA 1235B</t>
  </si>
  <si>
    <t>BEA 1239B</t>
  </si>
  <si>
    <t>BEA 1246</t>
  </si>
  <si>
    <t>BEA 1249B</t>
  </si>
  <si>
    <t>BEA 1251</t>
  </si>
  <si>
    <t>BEA 1251B</t>
  </si>
  <si>
    <t>BEA 1254B</t>
  </si>
  <si>
    <t>BEA 1267B</t>
  </si>
  <si>
    <t>BEA 1272</t>
  </si>
  <si>
    <t>Sin análisis calidad</t>
  </si>
  <si>
    <t>BEA 1276B</t>
  </si>
  <si>
    <t>BEA 1277</t>
  </si>
  <si>
    <t>BEA 1279B</t>
  </si>
  <si>
    <t>BEA 1302</t>
  </si>
  <si>
    <t>BEA 1302 X2</t>
  </si>
  <si>
    <t>BEA 1305B</t>
  </si>
  <si>
    <t>BEA 1323 X1</t>
  </si>
  <si>
    <t>BEA 1323 X2</t>
  </si>
  <si>
    <t>BEA 1326B</t>
  </si>
  <si>
    <t>BEA 1328B</t>
  </si>
  <si>
    <t>BEA 1334B</t>
  </si>
  <si>
    <t>Dinophyceae</t>
  </si>
  <si>
    <t>BEA 1350B</t>
  </si>
  <si>
    <t>BEA 1353B</t>
  </si>
  <si>
    <t>BEA 1355B</t>
  </si>
  <si>
    <t>BEA 1357</t>
  </si>
  <si>
    <t>BEA 1374B</t>
  </si>
  <si>
    <t>BEA 1403B</t>
  </si>
  <si>
    <t>BEA 1404B</t>
  </si>
  <si>
    <t>BEA 1414B</t>
  </si>
  <si>
    <t>Zygnematophyceae</t>
  </si>
  <si>
    <t>BEA 1428B</t>
  </si>
  <si>
    <t>BEA 1429B</t>
  </si>
  <si>
    <t>BEA 1433</t>
  </si>
  <si>
    <t>BEA 1436B</t>
  </si>
  <si>
    <t>BEA 1442B</t>
  </si>
  <si>
    <t>BEA 1445B</t>
  </si>
  <si>
    <t>BEA 1455B</t>
  </si>
  <si>
    <t>BEA 1457B</t>
  </si>
  <si>
    <t>BEA 1461</t>
  </si>
  <si>
    <t>BEA 1461B R</t>
  </si>
  <si>
    <t>BEA 1462B</t>
  </si>
  <si>
    <t>BEA 1469</t>
  </si>
  <si>
    <t>BEA 1471 X1</t>
  </si>
  <si>
    <t>BEA 1471 X2</t>
  </si>
  <si>
    <t>BEA 1472B R</t>
  </si>
  <si>
    <t>BEA 1482B</t>
  </si>
  <si>
    <t>BEA 1484 X1</t>
  </si>
  <si>
    <t>BEA 1484 X2</t>
  </si>
  <si>
    <t>BEA 1503B</t>
  </si>
  <si>
    <t>BEA 1506B</t>
  </si>
  <si>
    <t>BEA 1512B</t>
  </si>
  <si>
    <t>BEA 1514B</t>
  </si>
  <si>
    <t>BEA 1517B</t>
  </si>
  <si>
    <t>BEA 1521B</t>
  </si>
  <si>
    <t>Coccolithophyceae</t>
  </si>
  <si>
    <t>BEA 1525B</t>
  </si>
  <si>
    <t>BEA 1525B a</t>
  </si>
  <si>
    <t>BEA 1526</t>
  </si>
  <si>
    <t>BEA 1526B</t>
  </si>
  <si>
    <t>BEA 1526Ba</t>
  </si>
  <si>
    <t>BEA 1533 X2</t>
  </si>
  <si>
    <t>BEA 1533B</t>
  </si>
  <si>
    <t>BEA 1535</t>
  </si>
  <si>
    <t>BEA 1538 X1</t>
  </si>
  <si>
    <t>BEA 1538 X2</t>
  </si>
  <si>
    <t>BEA 1550B</t>
  </si>
  <si>
    <t>----</t>
  </si>
  <si>
    <t>BEA 1551B</t>
  </si>
  <si>
    <t>BEA 1555B</t>
  </si>
  <si>
    <t>BEA 1560 X2</t>
  </si>
  <si>
    <t>BEA 1560B</t>
  </si>
  <si>
    <t>BEA 1561B</t>
  </si>
  <si>
    <t>BEA 1562B</t>
  </si>
  <si>
    <t>Naturex-Genoma</t>
  </si>
  <si>
    <t>BEA 1562B R</t>
  </si>
  <si>
    <t>BEA 1563B</t>
  </si>
  <si>
    <t>BEA 1567B</t>
  </si>
  <si>
    <t>BEA 1570</t>
  </si>
  <si>
    <t>BEA 1570B R</t>
  </si>
  <si>
    <t>BEA 1571B</t>
  </si>
  <si>
    <t>BEA 1575B</t>
  </si>
  <si>
    <t>BEA 1579B</t>
  </si>
  <si>
    <t>BEA 1580B R</t>
  </si>
  <si>
    <t>BEA 1585B</t>
  </si>
  <si>
    <t>BEA 1587B</t>
  </si>
  <si>
    <t>BEA 1589B</t>
  </si>
  <si>
    <t>BEA 1595B</t>
  </si>
  <si>
    <t>BEA 1596B</t>
  </si>
  <si>
    <t>BEA 1602B</t>
  </si>
  <si>
    <t>BEA 1603B</t>
  </si>
  <si>
    <t>BEA 1635B</t>
  </si>
  <si>
    <t>BEA 1636B</t>
  </si>
  <si>
    <t>BEA 1637B</t>
  </si>
  <si>
    <t>BEA 1638B</t>
  </si>
  <si>
    <t>BEA 1647</t>
  </si>
  <si>
    <t>BEA 1658B</t>
  </si>
  <si>
    <t>Bacillariophyceae</t>
  </si>
  <si>
    <t>BEA 1661B</t>
  </si>
  <si>
    <t>BEA 1662B</t>
  </si>
  <si>
    <t>BEA 1665B</t>
  </si>
  <si>
    <t>BEA 1678B</t>
  </si>
  <si>
    <t>BEA 1680B</t>
  </si>
  <si>
    <t>BEA 1694B</t>
  </si>
  <si>
    <t>BEA 1701B</t>
  </si>
  <si>
    <t>BEA 1702B</t>
  </si>
  <si>
    <t>redisolver</t>
  </si>
  <si>
    <t>BEA 1784B</t>
  </si>
  <si>
    <t>BEA 1807B</t>
  </si>
  <si>
    <t>BEA 1824B</t>
  </si>
  <si>
    <t>BEA 1827B</t>
  </si>
  <si>
    <t>BEA 1828</t>
  </si>
  <si>
    <t>BEA 1829B</t>
  </si>
  <si>
    <t>BEA 1830B</t>
  </si>
  <si>
    <t>BEA 1833B</t>
  </si>
  <si>
    <t>BEA 1835B</t>
  </si>
  <si>
    <t>BEA 1838B</t>
  </si>
  <si>
    <t>BEA 1839B</t>
  </si>
  <si>
    <t>BEA 1841B</t>
  </si>
  <si>
    <t>BEA 1842B</t>
  </si>
  <si>
    <t>BEA 1843B R</t>
  </si>
  <si>
    <t>BEA 1844B</t>
  </si>
  <si>
    <t>BEA 1846B</t>
  </si>
  <si>
    <t>BEA 1849B</t>
  </si>
  <si>
    <t>BEA 1860B</t>
  </si>
  <si>
    <t>BEA 1861B</t>
  </si>
  <si>
    <t>BEA 1862B</t>
  </si>
  <si>
    <t>BEA 1863B</t>
  </si>
  <si>
    <t>BEA 1864B</t>
  </si>
  <si>
    <t>BEA 1868B</t>
  </si>
  <si>
    <t>BEA 1874B</t>
  </si>
  <si>
    <t>BEA 1876  2</t>
  </si>
  <si>
    <t>BEA 1876B 1</t>
  </si>
  <si>
    <t>BEA 1876B R</t>
  </si>
  <si>
    <t>BEA 1889B</t>
  </si>
  <si>
    <t>BEA 1890B</t>
  </si>
  <si>
    <t>BEA 1891B</t>
  </si>
  <si>
    <t>BEA 1892B</t>
  </si>
  <si>
    <t>BEA 1899B</t>
  </si>
  <si>
    <t>Bangiophyceae</t>
  </si>
  <si>
    <t>BEA 1901B</t>
  </si>
  <si>
    <t>BEA 1907B</t>
  </si>
  <si>
    <t>BEA 1908B</t>
  </si>
  <si>
    <t>BEA 1911B</t>
  </si>
  <si>
    <t>BEA 1912B</t>
  </si>
  <si>
    <t>BEA 1913B</t>
  </si>
  <si>
    <t>BEA 1916B</t>
  </si>
  <si>
    <t>BEA 1925B</t>
  </si>
  <si>
    <t>BEA 1943B</t>
  </si>
  <si>
    <t>BEA 1944B</t>
  </si>
  <si>
    <t>BEA 1945B</t>
  </si>
  <si>
    <t>BEA 1947B</t>
  </si>
  <si>
    <t>BEA 1950B</t>
  </si>
  <si>
    <t>BEA 1951B</t>
  </si>
  <si>
    <t>BEA 1952B</t>
  </si>
  <si>
    <t>BEA 1953B</t>
  </si>
  <si>
    <t>BEA 1954B</t>
  </si>
  <si>
    <t>BEA 1955B</t>
  </si>
  <si>
    <t>BEA 1956B</t>
  </si>
  <si>
    <t>BEA 1957B</t>
  </si>
  <si>
    <t>BEA 1959B</t>
  </si>
  <si>
    <t>BEA 1960B</t>
  </si>
  <si>
    <t>BEA 1961B</t>
  </si>
  <si>
    <t>BEA 1962B</t>
  </si>
  <si>
    <t>BEA 1964B</t>
  </si>
  <si>
    <t>BEA 1966B</t>
  </si>
  <si>
    <t>BEA 1967B</t>
  </si>
  <si>
    <t>BEA 1968B</t>
  </si>
  <si>
    <t>BEA 1969B</t>
  </si>
  <si>
    <t>BEA 1974B</t>
  </si>
  <si>
    <t>BEA 1978B</t>
  </si>
  <si>
    <t>BEA 1983B</t>
  </si>
  <si>
    <t>BEA 2003B</t>
  </si>
  <si>
    <t>BEA 2012B</t>
  </si>
  <si>
    <t>BEA 2014B</t>
  </si>
  <si>
    <t>BEA 2021B</t>
  </si>
  <si>
    <t>BEA 2025B</t>
  </si>
  <si>
    <t>BEA 2031B</t>
  </si>
  <si>
    <t>BEA 2039B</t>
  </si>
  <si>
    <t>BEA 2045B</t>
  </si>
  <si>
    <t>BEA 2046B</t>
  </si>
  <si>
    <t>BEA 2064B</t>
  </si>
  <si>
    <t>macroalgas</t>
  </si>
  <si>
    <t>BEA 2073B</t>
  </si>
  <si>
    <t>microalgas</t>
  </si>
  <si>
    <t>BEA 2074B</t>
  </si>
  <si>
    <t>BEA 2077B</t>
  </si>
  <si>
    <t>BEA 2081B</t>
  </si>
  <si>
    <t>BEA 2091B</t>
  </si>
  <si>
    <t>BEA 2092B</t>
  </si>
  <si>
    <t>BEA 2093B</t>
  </si>
  <si>
    <t>BEA 2097B</t>
  </si>
  <si>
    <t>BEA 2135B</t>
  </si>
  <si>
    <t>BEA 2136B</t>
  </si>
  <si>
    <t>BEA 2136Ba</t>
  </si>
  <si>
    <t>BEA 2138B</t>
  </si>
  <si>
    <t>BEA 2142B</t>
  </si>
  <si>
    <t>BEA 2166B</t>
  </si>
  <si>
    <t>BEA 2168B</t>
  </si>
  <si>
    <t>BEA 2175B</t>
  </si>
  <si>
    <t>BEA 2176B</t>
  </si>
  <si>
    <t>BEA 2177B</t>
  </si>
  <si>
    <t>BEA 2178B</t>
  </si>
  <si>
    <t>Rodophyceae</t>
  </si>
  <si>
    <t>BEA 2179B</t>
  </si>
  <si>
    <t>Phaeophyceae</t>
  </si>
  <si>
    <t>BEA 2184B</t>
  </si>
  <si>
    <t>BEA 2185B</t>
  </si>
  <si>
    <t>BEA 2186B</t>
  </si>
  <si>
    <t>BEA 2187B</t>
  </si>
  <si>
    <t>BEA0037a</t>
  </si>
  <si>
    <t>BEA0079/1a</t>
  </si>
  <si>
    <t>BEA0079/1b</t>
  </si>
  <si>
    <t>BEA0079/2</t>
  </si>
  <si>
    <t>BEA0084a</t>
  </si>
  <si>
    <t>29/09/2025</t>
  </si>
  <si>
    <t>50</t>
  </si>
  <si>
    <t>BEA0084b</t>
  </si>
  <si>
    <t>1.75</t>
  </si>
  <si>
    <t>BEA0088a</t>
  </si>
  <si>
    <t>BEA0088b</t>
  </si>
  <si>
    <t>CALYPSO-genoma</t>
  </si>
  <si>
    <t>BEA0088c</t>
  </si>
  <si>
    <t>BEA0088d</t>
  </si>
  <si>
    <t xml:space="preserve">Repetir </t>
  </si>
  <si>
    <t>BEA0089</t>
  </si>
  <si>
    <t>0.96</t>
  </si>
  <si>
    <t>1.71</t>
  </si>
  <si>
    <t>BEA0094</t>
  </si>
  <si>
    <t>Sin análisis calidad registrado</t>
  </si>
  <si>
    <t>-</t>
  </si>
  <si>
    <t>BEA0095a</t>
  </si>
  <si>
    <t>BEA0095b</t>
  </si>
  <si>
    <t>BEA0148a</t>
  </si>
  <si>
    <t>PROTOCOLO CHLOROFORMO SHORT</t>
  </si>
  <si>
    <t>BEA0148b</t>
  </si>
  <si>
    <t>BEA0149</t>
  </si>
  <si>
    <t>BEA0150</t>
  </si>
  <si>
    <t>BEA0151</t>
  </si>
  <si>
    <t>BEA0173</t>
  </si>
  <si>
    <t>BEA0176/1</t>
  </si>
  <si>
    <t>BEA0176/2</t>
  </si>
  <si>
    <t>BEA0176a</t>
  </si>
  <si>
    <t>BEA0197B</t>
  </si>
  <si>
    <t>BEA0247</t>
  </si>
  <si>
    <t>BEA0253</t>
  </si>
  <si>
    <t>BEA0278</t>
  </si>
  <si>
    <t>Protocolo 2024</t>
  </si>
  <si>
    <t>BEA0283</t>
  </si>
  <si>
    <t>BEA0287</t>
  </si>
  <si>
    <t>BEA0297</t>
  </si>
  <si>
    <t>BEA0300LIOF</t>
  </si>
  <si>
    <t>BEA0301B(1/4)</t>
  </si>
  <si>
    <t>BEA0325</t>
  </si>
  <si>
    <t>BEA0338</t>
  </si>
  <si>
    <t>BEA0343B</t>
  </si>
  <si>
    <t>Recibidas</t>
  </si>
  <si>
    <t>BEA0349B</t>
  </si>
  <si>
    <t>BEA0355</t>
  </si>
  <si>
    <t>BEA0358</t>
  </si>
  <si>
    <t>BEA0360B</t>
  </si>
  <si>
    <t>BEA0363</t>
  </si>
  <si>
    <t>BEA0364</t>
  </si>
  <si>
    <t>BEA0365</t>
  </si>
  <si>
    <t>BEA0379</t>
  </si>
  <si>
    <t>BEA0385</t>
  </si>
  <si>
    <t>BEA0409</t>
  </si>
  <si>
    <t>BEA0411</t>
  </si>
  <si>
    <t>BEA0431</t>
  </si>
  <si>
    <t>BEA0441B</t>
  </si>
  <si>
    <t>BEA0443</t>
  </si>
  <si>
    <t>BEA0456B_EUKA</t>
  </si>
  <si>
    <t>BEA0473_f</t>
  </si>
  <si>
    <t>BEA0473a</t>
  </si>
  <si>
    <t>BEA0473b</t>
  </si>
  <si>
    <t>BEA0473c</t>
  </si>
  <si>
    <t>BEA0473d</t>
  </si>
  <si>
    <t>BEA0473e</t>
  </si>
  <si>
    <t>BEA0478</t>
  </si>
  <si>
    <t>BEA0484</t>
  </si>
  <si>
    <t>BEA0532B</t>
  </si>
  <si>
    <t>BEA0536</t>
  </si>
  <si>
    <t>BEA0562</t>
  </si>
  <si>
    <t>BEA0571</t>
  </si>
  <si>
    <t>BEA0586</t>
  </si>
  <si>
    <t>BEA0589</t>
  </si>
  <si>
    <t>BEA0615</t>
  </si>
  <si>
    <t>BEA0647B</t>
  </si>
  <si>
    <t>BEA0659</t>
  </si>
  <si>
    <t>BEA0660B</t>
  </si>
  <si>
    <t>BEA0668B</t>
  </si>
  <si>
    <t>BEA0669</t>
  </si>
  <si>
    <t>BEA0742B</t>
  </si>
  <si>
    <t>BEA0747B</t>
  </si>
  <si>
    <t>BEA0749</t>
  </si>
  <si>
    <t>BEA0773</t>
  </si>
  <si>
    <t>BEA0850B_ITS</t>
  </si>
  <si>
    <t>03/2025</t>
  </si>
  <si>
    <t>BEA0852a</t>
  </si>
  <si>
    <t>BEA0852b</t>
  </si>
  <si>
    <t>BEA0906a</t>
  </si>
  <si>
    <t>BEA0906b</t>
  </si>
  <si>
    <t>BEA0918</t>
  </si>
  <si>
    <t>BEA0920B</t>
  </si>
  <si>
    <t>BEA0928</t>
  </si>
  <si>
    <t>BEA0952</t>
  </si>
  <si>
    <t>BEA0965</t>
  </si>
  <si>
    <t>BEA0980B(3/4)</t>
  </si>
  <si>
    <t>BEA0984</t>
  </si>
  <si>
    <t>BEA0991B</t>
  </si>
  <si>
    <t>BEA0994B</t>
  </si>
  <si>
    <t>BEA1008</t>
  </si>
  <si>
    <t>BEA1021</t>
  </si>
  <si>
    <t>BEA1025a</t>
  </si>
  <si>
    <t>BEA1025b</t>
  </si>
  <si>
    <t>BEA1031</t>
  </si>
  <si>
    <t>BEA1031B(2/4)</t>
  </si>
  <si>
    <t>BEA1041</t>
  </si>
  <si>
    <t>BEA1049_c</t>
  </si>
  <si>
    <t>BEA1049a</t>
  </si>
  <si>
    <t>BEA1049b</t>
  </si>
  <si>
    <t>BEA1054</t>
  </si>
  <si>
    <t>BEA1059</t>
  </si>
  <si>
    <t>BEA1067_27F</t>
  </si>
  <si>
    <t>BEA1069</t>
  </si>
  <si>
    <t>BEA1069_781F</t>
  </si>
  <si>
    <t>BEA1069_ITS</t>
  </si>
  <si>
    <t>BEA1077a</t>
  </si>
  <si>
    <t>BEA1077b</t>
  </si>
  <si>
    <t>BEA1081</t>
  </si>
  <si>
    <t>BEA1119B</t>
  </si>
  <si>
    <t>BEA1131B</t>
  </si>
  <si>
    <t>BEA1135</t>
  </si>
  <si>
    <t>BEA1138</t>
  </si>
  <si>
    <t>BEA1140</t>
  </si>
  <si>
    <t>BEA1153B</t>
  </si>
  <si>
    <t>BEA1153B2</t>
  </si>
  <si>
    <t>BEA1153B3</t>
  </si>
  <si>
    <t>BEA1153B4</t>
  </si>
  <si>
    <t>BEA1154B</t>
  </si>
  <si>
    <t>BEA1170B</t>
  </si>
  <si>
    <t>BEA1175</t>
  </si>
  <si>
    <t>BEA1182B</t>
  </si>
  <si>
    <t>BEA1189_27F</t>
  </si>
  <si>
    <t>BEA1192</t>
  </si>
  <si>
    <t>BEA1198</t>
  </si>
  <si>
    <t>BEA1201_781F</t>
  </si>
  <si>
    <t>BEA1210</t>
  </si>
  <si>
    <t>BEA1218</t>
  </si>
  <si>
    <t>BEA1224_27F</t>
  </si>
  <si>
    <t>BEA122927F</t>
  </si>
  <si>
    <t>17/03/2025</t>
  </si>
  <si>
    <t>BEA1230</t>
  </si>
  <si>
    <t>BEA1233</t>
  </si>
  <si>
    <t>BEA1237</t>
  </si>
  <si>
    <t>BEA1251B</t>
  </si>
  <si>
    <t>BEA1253</t>
  </si>
  <si>
    <t>BEA1253_27F</t>
  </si>
  <si>
    <t>BEA1256</t>
  </si>
  <si>
    <t>30-50</t>
  </si>
  <si>
    <t>BEA1256_27F</t>
  </si>
  <si>
    <t>BEA1258</t>
  </si>
  <si>
    <t>BEA1259B</t>
  </si>
  <si>
    <t>BEA1263B</t>
  </si>
  <si>
    <t>BEA1264B</t>
  </si>
  <si>
    <t>BEA1265B</t>
  </si>
  <si>
    <t>BEA1266B</t>
  </si>
  <si>
    <t>BEA1267_27F</t>
  </si>
  <si>
    <t>BEA1275_27F</t>
  </si>
  <si>
    <t>BEA1276</t>
  </si>
  <si>
    <t>BEA1277_27F</t>
  </si>
  <si>
    <t>BEA1278</t>
  </si>
  <si>
    <t>BEA1279_27F</t>
  </si>
  <si>
    <t>BEA1279B</t>
  </si>
  <si>
    <t>BEA1280</t>
  </si>
  <si>
    <t>BEA1280_27F</t>
  </si>
  <si>
    <t>BEA1292_27F</t>
  </si>
  <si>
    <t>BEA1303a</t>
  </si>
  <si>
    <t>BEA1303b</t>
  </si>
  <si>
    <t>BEA1303c</t>
  </si>
  <si>
    <t>BEA1304</t>
  </si>
  <si>
    <t>BEA1305B</t>
  </si>
  <si>
    <t>BEA1312</t>
  </si>
  <si>
    <t>BEA1319B</t>
  </si>
  <si>
    <t>BEA1322</t>
  </si>
  <si>
    <t>BEA1322B</t>
  </si>
  <si>
    <t>BEA1323B</t>
  </si>
  <si>
    <t>BEA1325B</t>
  </si>
  <si>
    <t>BEA1326B</t>
  </si>
  <si>
    <t>BEA1327B</t>
  </si>
  <si>
    <t>BEA1329a</t>
  </si>
  <si>
    <t>BEA1329b</t>
  </si>
  <si>
    <t>BEA1329c</t>
  </si>
  <si>
    <t>BEA1329_781F</t>
  </si>
  <si>
    <t>BEA1329B</t>
  </si>
  <si>
    <t>BEA1335_781F</t>
  </si>
  <si>
    <t>BEA1336B</t>
  </si>
  <si>
    <t>BEA1340B</t>
  </si>
  <si>
    <t>BEA1341B</t>
  </si>
  <si>
    <t>BEA1350B</t>
  </si>
  <si>
    <t>PROTOCOLO 2024</t>
  </si>
  <si>
    <t>BEA1351B</t>
  </si>
  <si>
    <t>BEA1358</t>
  </si>
  <si>
    <t>BEA1359a</t>
  </si>
  <si>
    <t>BEA1359b</t>
  </si>
  <si>
    <t>BEA1381</t>
  </si>
  <si>
    <t>BEA1381B</t>
  </si>
  <si>
    <t>BEA1382B</t>
  </si>
  <si>
    <t>BEA1383</t>
  </si>
  <si>
    <t>BEA1383B</t>
  </si>
  <si>
    <t>BEA1386a</t>
  </si>
  <si>
    <t>BEA1386B</t>
  </si>
  <si>
    <t>BEA1396B</t>
  </si>
  <si>
    <t>BEA1403B</t>
  </si>
  <si>
    <t>BEA1404</t>
  </si>
  <si>
    <t>BEA1411B</t>
  </si>
  <si>
    <t>BEA1413B</t>
  </si>
  <si>
    <t>BEA1414B</t>
  </si>
  <si>
    <t>BEA1427_27F</t>
  </si>
  <si>
    <t>BEA1430</t>
  </si>
  <si>
    <t>BEA1456</t>
  </si>
  <si>
    <t>BEA1456_781F</t>
  </si>
  <si>
    <t>BEA1456_its</t>
  </si>
  <si>
    <t>BEA1461</t>
  </si>
  <si>
    <t>BEA1461_27F</t>
  </si>
  <si>
    <t>BEA1469</t>
  </si>
  <si>
    <t>BEA1472</t>
  </si>
  <si>
    <t>BEA1473_27F</t>
  </si>
  <si>
    <t>BEA1473B</t>
  </si>
  <si>
    <t>BEA1482</t>
  </si>
  <si>
    <t>BEA1483</t>
  </si>
  <si>
    <t>BEA1495B</t>
  </si>
  <si>
    <t>BEA1503B</t>
  </si>
  <si>
    <t>BEA1504a</t>
  </si>
  <si>
    <t>BEA1504B</t>
  </si>
  <si>
    <t>BEA1505</t>
  </si>
  <si>
    <t>BEA1505B</t>
  </si>
  <si>
    <t>BEA1506_781F</t>
  </si>
  <si>
    <t>BEA1506B</t>
  </si>
  <si>
    <t>BEA1509_781F</t>
  </si>
  <si>
    <t>BEA1516B</t>
  </si>
  <si>
    <t>BEA1517B</t>
  </si>
  <si>
    <t>BEA1526a</t>
  </si>
  <si>
    <t>BEA1526b</t>
  </si>
  <si>
    <t>BEA1528B</t>
  </si>
  <si>
    <t>BEA1529B</t>
  </si>
  <si>
    <t>BEA1532B</t>
  </si>
  <si>
    <t>BEA1533B</t>
  </si>
  <si>
    <t>BEA1534_27F</t>
  </si>
  <si>
    <t>BEA1534B</t>
  </si>
  <si>
    <t>BEA1535</t>
  </si>
  <si>
    <t>BEA1536B</t>
  </si>
  <si>
    <t>BEA1541B</t>
  </si>
  <si>
    <t>BEA1542</t>
  </si>
  <si>
    <t>BEA1543</t>
  </si>
  <si>
    <t>BEA1543a</t>
  </si>
  <si>
    <t>BEA1543b</t>
  </si>
  <si>
    <t>BEA1544a</t>
  </si>
  <si>
    <t>BEA1544b</t>
  </si>
  <si>
    <t>BEA1547_27Fa</t>
  </si>
  <si>
    <t>BEA1547b</t>
  </si>
  <si>
    <t>BEA1554B</t>
  </si>
  <si>
    <t>BEA1555B</t>
  </si>
  <si>
    <t>BEA1557_27Fa</t>
  </si>
  <si>
    <t>BEA1557b</t>
  </si>
  <si>
    <t>BEA1558B</t>
  </si>
  <si>
    <t>BEA1559B</t>
  </si>
  <si>
    <t>BEA1562B</t>
  </si>
  <si>
    <t>BEA1564</t>
  </si>
  <si>
    <t>BEA1565</t>
  </si>
  <si>
    <t>BEA1565B</t>
  </si>
  <si>
    <t>BEA1566</t>
  </si>
  <si>
    <t>BEA1567</t>
  </si>
  <si>
    <t xml:space="preserve">Sin análisis de calidad </t>
  </si>
  <si>
    <t>BEA1567B</t>
  </si>
  <si>
    <t>BEA1568</t>
  </si>
  <si>
    <t>BEA1570</t>
  </si>
  <si>
    <t>BEA1571B</t>
  </si>
  <si>
    <t>BEA1574</t>
  </si>
  <si>
    <t>BEA1574B</t>
  </si>
  <si>
    <t>BEA1575</t>
  </si>
  <si>
    <t>BEA1575B</t>
  </si>
  <si>
    <t>BEA1576</t>
  </si>
  <si>
    <t>BEA1577a</t>
  </si>
  <si>
    <t>BEA1577b</t>
  </si>
  <si>
    <t>BEA1577c</t>
  </si>
  <si>
    <t>BEA1578a</t>
  </si>
  <si>
    <t>BEA1578b</t>
  </si>
  <si>
    <t>BEA1580B(3/4)</t>
  </si>
  <si>
    <t>BEA1581a</t>
  </si>
  <si>
    <t>BEA1581b</t>
  </si>
  <si>
    <t>BEA1581B(2/3)</t>
  </si>
  <si>
    <t>BEA1582</t>
  </si>
  <si>
    <t>BEA1582B</t>
  </si>
  <si>
    <t>BEA1583a</t>
  </si>
  <si>
    <t>BEA1583b</t>
  </si>
  <si>
    <t>BEA1584</t>
  </si>
  <si>
    <t>BEA1587B</t>
  </si>
  <si>
    <t>BEA1588_27F</t>
  </si>
  <si>
    <t>BEA1596B</t>
  </si>
  <si>
    <t>BEA1597a</t>
  </si>
  <si>
    <t>BEA1597b</t>
  </si>
  <si>
    <t>BEA1597B</t>
  </si>
  <si>
    <t>BEA1598</t>
  </si>
  <si>
    <t>BEA1598B</t>
  </si>
  <si>
    <t>BEA1599a</t>
  </si>
  <si>
    <t>BEA1599b</t>
  </si>
  <si>
    <t>BEA1599c</t>
  </si>
  <si>
    <t>BEA1601a</t>
  </si>
  <si>
    <t>BEA1601b</t>
  </si>
  <si>
    <t>BEA1602</t>
  </si>
  <si>
    <t>BEA1602B</t>
  </si>
  <si>
    <t>BEA1605_27F</t>
  </si>
  <si>
    <t>BEA1637a</t>
  </si>
  <si>
    <t>BEA1638B</t>
  </si>
  <si>
    <t>BEA1639_27F</t>
  </si>
  <si>
    <t>BEA1639B</t>
  </si>
  <si>
    <t>BEA1646</t>
  </si>
  <si>
    <t>BEA1646B</t>
  </si>
  <si>
    <t>BEA1648</t>
  </si>
  <si>
    <t>BEA1649B</t>
  </si>
  <si>
    <t>BEA1650B</t>
  </si>
  <si>
    <t>BEA1651B</t>
  </si>
  <si>
    <t>BEA1654B</t>
  </si>
  <si>
    <t>BEA1655B</t>
  </si>
  <si>
    <t>BEA1656B</t>
  </si>
  <si>
    <t>BEA1657B</t>
  </si>
  <si>
    <t>BEA1659</t>
  </si>
  <si>
    <t>BEA1662B</t>
  </si>
  <si>
    <t>BEA1666</t>
  </si>
  <si>
    <t>BEA1666B</t>
  </si>
  <si>
    <t>BEA1678B</t>
  </si>
  <si>
    <t>BEA1694B</t>
  </si>
  <si>
    <t>BEA1695</t>
  </si>
  <si>
    <t>BEA1696</t>
  </si>
  <si>
    <t>BEA1701B</t>
  </si>
  <si>
    <t>BEA1702B</t>
  </si>
  <si>
    <t>BEA1740B</t>
  </si>
  <si>
    <t>BEA1741</t>
  </si>
  <si>
    <t>BEA1750</t>
  </si>
  <si>
    <t>BEA1807</t>
  </si>
  <si>
    <t>BEA1807B</t>
  </si>
  <si>
    <t>BEA1808B</t>
  </si>
  <si>
    <t>BEA1824B</t>
  </si>
  <si>
    <t>BEA1827</t>
  </si>
  <si>
    <t>BEA1827B</t>
  </si>
  <si>
    <t>BEA1828</t>
  </si>
  <si>
    <t>BEA1828B</t>
  </si>
  <si>
    <t>BEA1831</t>
  </si>
  <si>
    <t>BEA1832</t>
  </si>
  <si>
    <t>BEA1832B</t>
  </si>
  <si>
    <t>BEA1833a</t>
  </si>
  <si>
    <t>BEA1833b</t>
  </si>
  <si>
    <t>BEA1840</t>
  </si>
  <si>
    <t>BEA1840B</t>
  </si>
  <si>
    <t>BEA1841</t>
  </si>
  <si>
    <t>BEA1841B</t>
  </si>
  <si>
    <t>BEA1842</t>
  </si>
  <si>
    <t>BEA1842B</t>
  </si>
  <si>
    <t>BEA1843B</t>
  </si>
  <si>
    <t>BEA1843B/1</t>
  </si>
  <si>
    <t>BEA1845</t>
  </si>
  <si>
    <t>BEA1846</t>
  </si>
  <si>
    <t>BEA1846B</t>
  </si>
  <si>
    <t>BEA1847</t>
  </si>
  <si>
    <t>BEA1849</t>
  </si>
  <si>
    <t>BEA1852</t>
  </si>
  <si>
    <t>BEA1858</t>
  </si>
  <si>
    <t>BEA1858B</t>
  </si>
  <si>
    <t>BEA1859B</t>
  </si>
  <si>
    <t>BEA1860B</t>
  </si>
  <si>
    <t>BEA1861B</t>
  </si>
  <si>
    <t>BEA1862</t>
  </si>
  <si>
    <t>BEA1862B</t>
  </si>
  <si>
    <t>BEA1863</t>
  </si>
  <si>
    <t>BEA1863B</t>
  </si>
  <si>
    <t>BEA1864</t>
  </si>
  <si>
    <t>BEA1864B</t>
  </si>
  <si>
    <t>BEA1865B</t>
  </si>
  <si>
    <t>BEA1876</t>
  </si>
  <si>
    <t>BEA1877</t>
  </si>
  <si>
    <t>BEA1878</t>
  </si>
  <si>
    <t>BEA1879</t>
  </si>
  <si>
    <t>BEA1879B</t>
  </si>
  <si>
    <t>BEA1880</t>
  </si>
  <si>
    <t>BEA1881B</t>
  </si>
  <si>
    <t>BEA1884</t>
  </si>
  <si>
    <t>BEA1884B</t>
  </si>
  <si>
    <t>BEA1885</t>
  </si>
  <si>
    <t>BEA1886a</t>
  </si>
  <si>
    <t>BEA1886b</t>
  </si>
  <si>
    <t>BEA1887</t>
  </si>
  <si>
    <t>BEA1887B</t>
  </si>
  <si>
    <t>BEA1888</t>
  </si>
  <si>
    <t>BEA1889B</t>
  </si>
  <si>
    <t>BEA1890B</t>
  </si>
  <si>
    <t>BEA1891B</t>
  </si>
  <si>
    <t>BEA1892B</t>
  </si>
  <si>
    <t>BEA1895_27F</t>
  </si>
  <si>
    <t>BEA1896_27F</t>
  </si>
  <si>
    <t>BEA1900_27F</t>
  </si>
  <si>
    <t>BEA1901B</t>
  </si>
  <si>
    <t>BEA1902</t>
  </si>
  <si>
    <t>BEA1905</t>
  </si>
  <si>
    <t>BEA1905B</t>
  </si>
  <si>
    <t>BEA1906</t>
  </si>
  <si>
    <t>BEA1907B</t>
  </si>
  <si>
    <t>BEA1908</t>
  </si>
  <si>
    <t>BEA1908B</t>
  </si>
  <si>
    <t>BEA1909B</t>
  </si>
  <si>
    <t>BEA1910</t>
  </si>
  <si>
    <t>BEA1912</t>
  </si>
  <si>
    <t>BEA1912B</t>
  </si>
  <si>
    <t>BEA1913</t>
  </si>
  <si>
    <t>BEA1914_27F</t>
  </si>
  <si>
    <t>BEA1915</t>
  </si>
  <si>
    <t>BEA1916a</t>
  </si>
  <si>
    <t>BEA1916b</t>
  </si>
  <si>
    <t>BEA1918</t>
  </si>
  <si>
    <t>BEA1924B</t>
  </si>
  <si>
    <t>BEA1925B</t>
  </si>
  <si>
    <t>BEA1927B</t>
  </si>
  <si>
    <t>BEA1938B</t>
  </si>
  <si>
    <t>BEA1941B</t>
  </si>
  <si>
    <t>BEA1942B</t>
  </si>
  <si>
    <t>BEA1945B</t>
  </si>
  <si>
    <t>BEA1946B</t>
  </si>
  <si>
    <t>BEA1948</t>
  </si>
  <si>
    <t>BEA1948B</t>
  </si>
  <si>
    <t>BEA1950B</t>
  </si>
  <si>
    <t>BEA1952B</t>
  </si>
  <si>
    <t>BEA1953B</t>
  </si>
  <si>
    <t>BEA1955B</t>
  </si>
  <si>
    <t>BEA1956B</t>
  </si>
  <si>
    <t>BEA1957B</t>
  </si>
  <si>
    <t>BEA1958B</t>
  </si>
  <si>
    <t>BEA1959B</t>
  </si>
  <si>
    <t>BEA1960B</t>
  </si>
  <si>
    <t>BEA1961B</t>
  </si>
  <si>
    <t>BEA1962B</t>
  </si>
  <si>
    <t>BEA1963B</t>
  </si>
  <si>
    <t>BEA1964B</t>
  </si>
  <si>
    <t>BEA1966B</t>
  </si>
  <si>
    <t>BEA1967B</t>
  </si>
  <si>
    <t>BEA1968B</t>
  </si>
  <si>
    <t>BEA1969B</t>
  </si>
  <si>
    <t>BEA1970B</t>
  </si>
  <si>
    <t>BEA1972B</t>
  </si>
  <si>
    <t>BEA1974B</t>
  </si>
  <si>
    <t>BEA1975B</t>
  </si>
  <si>
    <t>BEA1976B</t>
  </si>
  <si>
    <t>BEA1977B</t>
  </si>
  <si>
    <t>BEA1978B</t>
  </si>
  <si>
    <t>BEA1979B</t>
  </si>
  <si>
    <t>BEA1980B</t>
  </si>
  <si>
    <t>BEA1981B</t>
  </si>
  <si>
    <t>BEA1982B</t>
  </si>
  <si>
    <t>BEA1983B</t>
  </si>
  <si>
    <t>BEA1984B</t>
  </si>
  <si>
    <t>BEA1985B</t>
  </si>
  <si>
    <t>BEA1986B</t>
  </si>
  <si>
    <t>BEA1989</t>
  </si>
  <si>
    <t>BEA1989B</t>
  </si>
  <si>
    <t>BEA1990</t>
  </si>
  <si>
    <t>BEA1990B</t>
  </si>
  <si>
    <t>BEA1991B</t>
  </si>
  <si>
    <t>BEA1992</t>
  </si>
  <si>
    <t>BEA1992B</t>
  </si>
  <si>
    <t>BEA1993_EUKA</t>
  </si>
  <si>
    <t>BEA1994</t>
  </si>
  <si>
    <t>BEA1995B</t>
  </si>
  <si>
    <t>BEA1996a</t>
  </si>
  <si>
    <t>BEA1996b</t>
  </si>
  <si>
    <t>BEA1996d</t>
  </si>
  <si>
    <t>BEA1997</t>
  </si>
  <si>
    <t>BEA1997B</t>
  </si>
  <si>
    <t>BEA1998B</t>
  </si>
  <si>
    <t>BEA1999</t>
  </si>
  <si>
    <t>BEA1999B</t>
  </si>
  <si>
    <t>BEA2000a</t>
  </si>
  <si>
    <t>BEA2000b</t>
  </si>
  <si>
    <t>BEA2001a</t>
  </si>
  <si>
    <t>BEA2001b</t>
  </si>
  <si>
    <t>BEA2002</t>
  </si>
  <si>
    <t>BEA2002B</t>
  </si>
  <si>
    <t>---</t>
  </si>
  <si>
    <t>BEA2003B</t>
  </si>
  <si>
    <t>BEA2005</t>
  </si>
  <si>
    <t>BEA2005B</t>
  </si>
  <si>
    <t>BEA2017_rbcLaF</t>
  </si>
  <si>
    <t>BEA2021a</t>
  </si>
  <si>
    <t>BEA2021b</t>
  </si>
  <si>
    <t>BEA2022</t>
  </si>
  <si>
    <t>BEA2023</t>
  </si>
  <si>
    <t>BEA2024a</t>
  </si>
  <si>
    <t>BEA2024b</t>
  </si>
  <si>
    <t>BEA2025a</t>
  </si>
  <si>
    <t>BEA2025b</t>
  </si>
  <si>
    <t>BEA2025c</t>
  </si>
  <si>
    <t>BEA2028</t>
  </si>
  <si>
    <t>BEA2031</t>
  </si>
  <si>
    <t>BEA2031_27F</t>
  </si>
  <si>
    <t>BEA2031B</t>
  </si>
  <si>
    <t>BEA2032</t>
  </si>
  <si>
    <t>BEA2034_27F</t>
  </si>
  <si>
    <t>BEA2035</t>
  </si>
  <si>
    <t>BEA2039</t>
  </si>
  <si>
    <t>BEA2039a</t>
  </si>
  <si>
    <t>BEA2039b</t>
  </si>
  <si>
    <t>BEA2039c</t>
  </si>
  <si>
    <t>BEA2039d</t>
  </si>
  <si>
    <t>BEA2039e</t>
  </si>
  <si>
    <t>BEA2039X2</t>
  </si>
  <si>
    <t>BEA2043B</t>
  </si>
  <si>
    <t>BEA2045B</t>
  </si>
  <si>
    <t>BEA2046B</t>
  </si>
  <si>
    <t>BEA2056</t>
  </si>
  <si>
    <t>BEA2057</t>
  </si>
  <si>
    <t>BEA2073B</t>
  </si>
  <si>
    <t>BEA2074B</t>
  </si>
  <si>
    <t>BEA2077B</t>
  </si>
  <si>
    <t>BEA2078</t>
  </si>
  <si>
    <t>BEA2079B</t>
  </si>
  <si>
    <t>BEA2082B</t>
  </si>
  <si>
    <t>BEA2083B</t>
  </si>
  <si>
    <t>BEA2087</t>
  </si>
  <si>
    <t>BEA2088</t>
  </si>
  <si>
    <t>BEA2090</t>
  </si>
  <si>
    <t>BEA2092B</t>
  </si>
  <si>
    <t>BEA2093B</t>
  </si>
  <si>
    <t>BEA2097B</t>
  </si>
  <si>
    <t>BEA2101</t>
  </si>
  <si>
    <t>BEA2103_27F</t>
  </si>
  <si>
    <t>BEA2106</t>
  </si>
  <si>
    <t>BEA2109</t>
  </si>
  <si>
    <t>BEA2126_27F</t>
  </si>
  <si>
    <t>BEA2127_27F</t>
  </si>
  <si>
    <t>BEA2131_27F</t>
  </si>
  <si>
    <t>BEA2132</t>
  </si>
  <si>
    <t>BEA2135B1</t>
  </si>
  <si>
    <t>BEA2135B2</t>
  </si>
  <si>
    <t>BEA2136B1</t>
  </si>
  <si>
    <t>BEA2136B2</t>
  </si>
  <si>
    <t>BEA2141B</t>
  </si>
  <si>
    <t>BEA2144B</t>
  </si>
  <si>
    <t>BEA2145B</t>
  </si>
  <si>
    <t>BEA2146B</t>
  </si>
  <si>
    <t>BEA2175B</t>
  </si>
  <si>
    <t>BEA2177B</t>
  </si>
  <si>
    <t>BEA2178B</t>
  </si>
  <si>
    <t>BEA2187B</t>
  </si>
  <si>
    <t>ENTREPBR_rbcLaF</t>
  </si>
  <si>
    <t>Feliciana</t>
  </si>
  <si>
    <t>Sin análisis calidadregistrado</t>
  </si>
  <si>
    <t>GLA7_EUKA</t>
  </si>
  <si>
    <t>Datos Feliciana</t>
  </si>
  <si>
    <t>GLH3_EUKA</t>
  </si>
  <si>
    <t>HL2G5_EUKA</t>
  </si>
  <si>
    <t>JOHN_ULVA</t>
  </si>
  <si>
    <t>LARA_MUESTRA</t>
  </si>
  <si>
    <t>LK2E2_EUKA</t>
  </si>
  <si>
    <t>MUESTRAFILTROITC</t>
  </si>
  <si>
    <t>P1.1 RP7</t>
  </si>
  <si>
    <t>P1.1RP7</t>
  </si>
  <si>
    <t>PL1B8</t>
  </si>
  <si>
    <t>PL2 G5</t>
  </si>
  <si>
    <t>PL2B3</t>
  </si>
  <si>
    <t>PL3A10</t>
  </si>
  <si>
    <t>PL3B10</t>
  </si>
  <si>
    <t>PL3B5</t>
  </si>
  <si>
    <t>PL3C1</t>
  </si>
  <si>
    <t>PL3D8</t>
  </si>
  <si>
    <t>PL3D8_EUKA</t>
  </si>
  <si>
    <t>PL3G1</t>
  </si>
  <si>
    <t>PL3MNB11_EUKA</t>
  </si>
  <si>
    <t>PL4 D10</t>
  </si>
  <si>
    <t>PL4 E6</t>
  </si>
  <si>
    <t>PL4D10</t>
  </si>
  <si>
    <t>PL4E6</t>
  </si>
  <si>
    <t>PL6 B2</t>
  </si>
  <si>
    <t>PL6 D1</t>
  </si>
  <si>
    <t>PL6 H10</t>
  </si>
  <si>
    <t>PL7 E9</t>
  </si>
  <si>
    <t>PL8 A7</t>
  </si>
  <si>
    <t>PL8 B1</t>
  </si>
  <si>
    <t>Playa Embarcadero</t>
  </si>
  <si>
    <t>PLAYA_MALAGA</t>
  </si>
  <si>
    <t>Punto 9 Octubre</t>
  </si>
  <si>
    <t>RBCH10_EUKA</t>
  </si>
  <si>
    <t>RD1A8_EUKA</t>
  </si>
  <si>
    <t>RD1F9_EUKA</t>
  </si>
  <si>
    <t>RDCE1_EUKA</t>
  </si>
  <si>
    <t>REC 0022</t>
  </si>
  <si>
    <t>REC 0022B</t>
  </si>
  <si>
    <t>REC 0024B</t>
  </si>
  <si>
    <t>REC 0031</t>
  </si>
  <si>
    <t>REC 0066</t>
  </si>
  <si>
    <t>REC 0067B</t>
  </si>
  <si>
    <t>REC 0196B</t>
  </si>
  <si>
    <t>Stylonematophyceae</t>
  </si>
  <si>
    <t>REC 0197B</t>
  </si>
  <si>
    <t>REC0067B</t>
  </si>
  <si>
    <t>REC0196B</t>
  </si>
  <si>
    <t>RH1B12_EUKA</t>
  </si>
  <si>
    <t>RJ1A12_EUKA</t>
  </si>
  <si>
    <t>RJ2A12_EUKA</t>
  </si>
  <si>
    <t>RJ2C2_EUKA</t>
  </si>
  <si>
    <t>RJ2D12_EUKA</t>
  </si>
  <si>
    <t>RP1G7</t>
  </si>
  <si>
    <t>RP9 1.1</t>
  </si>
  <si>
    <t>RP9 1.1a</t>
  </si>
  <si>
    <t>Salmuera ITC</t>
  </si>
  <si>
    <t>Salmuera ITC 2</t>
  </si>
  <si>
    <t>Salmuera ITC 3</t>
  </si>
  <si>
    <t>SalmueraITC_AMB_X1</t>
  </si>
  <si>
    <t>SalmueraITC_AMB_X2</t>
  </si>
  <si>
    <t>SalmueraITC_AMB_X3</t>
  </si>
  <si>
    <t>Ulva aguadulce 2</t>
  </si>
  <si>
    <t>Ulva Sara 1</t>
  </si>
  <si>
    <t>Ulva Sara 1a</t>
  </si>
  <si>
    <t>Ulva_marisma_cadiz</t>
  </si>
  <si>
    <t>Ulva_marisma_cadizx2</t>
  </si>
  <si>
    <t>Ulva_RP</t>
  </si>
  <si>
    <t>Val 7.2</t>
  </si>
  <si>
    <t>VAL7.2</t>
  </si>
  <si>
    <t>Extracción ADN</t>
  </si>
  <si>
    <t xml:space="preserve">PCRs </t>
  </si>
  <si>
    <t>FECHA INICIO</t>
  </si>
  <si>
    <t>BEA0037</t>
  </si>
  <si>
    <t>BEA1886</t>
  </si>
  <si>
    <t>BEA1996</t>
  </si>
  <si>
    <t>BEA2021</t>
  </si>
  <si>
    <t>BEA2024</t>
  </si>
  <si>
    <t>BEA1025</t>
  </si>
  <si>
    <t>BEA1077</t>
  </si>
  <si>
    <t>BEA1916</t>
  </si>
  <si>
    <t>BEA1526</t>
  </si>
  <si>
    <t>BEA1583</t>
  </si>
  <si>
    <t>FELICIANA</t>
  </si>
  <si>
    <t>BEA1506</t>
  </si>
  <si>
    <t>BEA1516</t>
  </si>
  <si>
    <t>BEA1517</t>
  </si>
  <si>
    <t>BEA2000</t>
  </si>
  <si>
    <t>BEA1150</t>
  </si>
  <si>
    <t>BEA1544</t>
  </si>
  <si>
    <t>BEA1577</t>
  </si>
  <si>
    <t>BEA1597</t>
  </si>
  <si>
    <t>Resultado</t>
  </si>
  <si>
    <t>Primer</t>
  </si>
  <si>
    <t>PCR</t>
  </si>
  <si>
    <t>Fecha_PCR</t>
  </si>
  <si>
    <t>FechaPCRREPETIDA</t>
  </si>
  <si>
    <t xml:space="preserve">Observaciones </t>
  </si>
  <si>
    <t>PLACA</t>
  </si>
  <si>
    <t>FechaenvíoPlaca</t>
  </si>
  <si>
    <t>Sanger_ALGASAL</t>
  </si>
  <si>
    <t>TufA4/R</t>
  </si>
  <si>
    <t>SECUENCIADA</t>
  </si>
  <si>
    <t>ITS1/ITS4</t>
  </si>
  <si>
    <t>SSU/ITS4</t>
  </si>
  <si>
    <t>Positivo</t>
  </si>
  <si>
    <t>rbcLaF/LaR</t>
  </si>
  <si>
    <t>ACEPTADO</t>
  </si>
  <si>
    <t>3.1</t>
  </si>
  <si>
    <t>3.2</t>
  </si>
  <si>
    <t>EUKA/EUKB</t>
  </si>
  <si>
    <t>Sanger-FELICIANA</t>
  </si>
  <si>
    <t>27F/1494R</t>
  </si>
  <si>
    <t>Sanger-Colección</t>
  </si>
  <si>
    <t>Secuenciada</t>
  </si>
  <si>
    <t>781F/23S03R</t>
  </si>
  <si>
    <t>BEA0088</t>
  </si>
  <si>
    <t>Sanger-PDI</t>
  </si>
  <si>
    <t>Enviar ITS</t>
  </si>
  <si>
    <t>Sanger-Salvador</t>
  </si>
  <si>
    <t>ITS_SSU/ITS4T</t>
  </si>
  <si>
    <t>BEA0297_2</t>
  </si>
  <si>
    <t>Relizar región ITS</t>
  </si>
  <si>
    <t>BEA0300</t>
  </si>
  <si>
    <t>781f/23S03R</t>
  </si>
  <si>
    <t>BEA0300ITS</t>
  </si>
  <si>
    <t>realizar its</t>
  </si>
  <si>
    <t>BEA0441</t>
  </si>
  <si>
    <t>Sanger_colección</t>
  </si>
  <si>
    <t>BEA0473</t>
  </si>
  <si>
    <t>BEA0850</t>
  </si>
  <si>
    <t>REPETIR</t>
  </si>
  <si>
    <t>Sanger-pdi</t>
  </si>
  <si>
    <t>781F/23S</t>
  </si>
  <si>
    <t>Sanger-Guillherme</t>
  </si>
  <si>
    <t>BEA1058</t>
  </si>
  <si>
    <t>hacer 16S</t>
  </si>
  <si>
    <t>BEA1190</t>
  </si>
  <si>
    <t>EUKa/Eukb</t>
  </si>
  <si>
    <t xml:space="preserve">REVISAR </t>
  </si>
  <si>
    <t>BEA1224</t>
  </si>
  <si>
    <t>BEA1229</t>
  </si>
  <si>
    <t>BEA1275</t>
  </si>
  <si>
    <t>BEA1277</t>
  </si>
  <si>
    <t>BEA1279</t>
  </si>
  <si>
    <t>PLACA_2024</t>
  </si>
  <si>
    <t>NEGATIVO</t>
  </si>
  <si>
    <t>BEA1391</t>
  </si>
  <si>
    <t>Pos nov gen</t>
  </si>
  <si>
    <t>Sanger_Colección</t>
  </si>
  <si>
    <t>BEA1395</t>
  </si>
  <si>
    <t>BEA1463</t>
  </si>
  <si>
    <t>PEDIR MUESTRA</t>
  </si>
  <si>
    <t>BEA1473</t>
  </si>
  <si>
    <t>BEA1504</t>
  </si>
  <si>
    <t>Repetir</t>
  </si>
  <si>
    <t>Euka/eukb</t>
  </si>
  <si>
    <t>16S e ITS</t>
  </si>
  <si>
    <t>repetir</t>
  </si>
  <si>
    <t>BEA1534</t>
  </si>
  <si>
    <t>BEA1547</t>
  </si>
  <si>
    <t>BEA1559</t>
  </si>
  <si>
    <t>18S001F_18S13R</t>
  </si>
  <si>
    <t>PCR DMSO 5% BSA Y [DNA] 30-46</t>
  </si>
  <si>
    <t>33_DMSO_BSA_AJUSTE</t>
  </si>
  <si>
    <t>pedir muestra</t>
  </si>
  <si>
    <t>POSITIVO</t>
  </si>
  <si>
    <t>secuenciada</t>
  </si>
  <si>
    <t>Sanger-colección</t>
  </si>
  <si>
    <t>BEA1587</t>
  </si>
  <si>
    <t>PCR 29 30 31 REPETIDA AJUSTANDO ADN CON BSA Y DMSO 5, AJUSTANDO TERMOCICLADOR A CADA PRIMER CARPETA 2064</t>
  </si>
  <si>
    <t>BEA1639</t>
  </si>
  <si>
    <t>BEA1644</t>
  </si>
  <si>
    <t>BEA1645</t>
  </si>
  <si>
    <t>BEA1889</t>
  </si>
  <si>
    <t>BEA1895</t>
  </si>
  <si>
    <t>its</t>
  </si>
  <si>
    <t>BEA1986</t>
  </si>
  <si>
    <t>BEA1993</t>
  </si>
  <si>
    <t>ITS1/4</t>
  </si>
  <si>
    <t>BEA1998</t>
  </si>
  <si>
    <t>bea2000</t>
  </si>
  <si>
    <t>BEA2003</t>
  </si>
  <si>
    <t>BEA2014</t>
  </si>
  <si>
    <t>Revisar</t>
  </si>
  <si>
    <t>euka/b</t>
  </si>
  <si>
    <t>revisar</t>
  </si>
  <si>
    <t>BEA2036</t>
  </si>
  <si>
    <t>BEA2054</t>
  </si>
  <si>
    <t>BEA2055</t>
  </si>
  <si>
    <t>BEA2086</t>
  </si>
  <si>
    <t>BEA2096</t>
  </si>
  <si>
    <t>BEA2098</t>
  </si>
  <si>
    <t>BEA2103</t>
  </si>
  <si>
    <t>BEA2107</t>
  </si>
  <si>
    <t>BEA2108</t>
  </si>
  <si>
    <t>BEA2178</t>
  </si>
  <si>
    <t>ENTREPBR5</t>
  </si>
  <si>
    <t>GLA7</t>
  </si>
  <si>
    <t>GLH3</t>
  </si>
  <si>
    <t>HL2G5</t>
  </si>
  <si>
    <t>Sanger-JAN</t>
  </si>
  <si>
    <t>Sanger_JAN</t>
  </si>
  <si>
    <t>LARAMUESTRA</t>
  </si>
  <si>
    <t>Sanger-Feliciana</t>
  </si>
  <si>
    <t>LK2E2</t>
  </si>
  <si>
    <t>M22.2</t>
  </si>
  <si>
    <t>M22.3</t>
  </si>
  <si>
    <t>Sanger_Feliciana</t>
  </si>
  <si>
    <t>PLAAMALAGA</t>
  </si>
  <si>
    <t>playamalaga</t>
  </si>
  <si>
    <t>RD1A8</t>
  </si>
  <si>
    <t>RD1F9</t>
  </si>
  <si>
    <t>RD3B3</t>
  </si>
  <si>
    <t>RDCE1</t>
  </si>
  <si>
    <t>RDCH10</t>
  </si>
  <si>
    <t>RH1B12</t>
  </si>
  <si>
    <t>RJ1A12</t>
  </si>
  <si>
    <t>RJ2A12</t>
  </si>
  <si>
    <t>RJ2D12</t>
  </si>
  <si>
    <t>RJ2H4</t>
  </si>
  <si>
    <t>RP2MAYO</t>
  </si>
  <si>
    <t>RP3M1</t>
  </si>
  <si>
    <t>RP3M2</t>
  </si>
  <si>
    <t>REVISAR</t>
  </si>
  <si>
    <t>RP3MAYO</t>
  </si>
  <si>
    <t>RPNOV</t>
  </si>
  <si>
    <t>RS1H1</t>
  </si>
  <si>
    <t>RS2C2</t>
  </si>
  <si>
    <t>ULVACADIZ</t>
  </si>
  <si>
    <t>ULVAMARISMACADIZ</t>
  </si>
  <si>
    <t>VAL1:20</t>
  </si>
  <si>
    <t>REPETIDO</t>
  </si>
  <si>
    <t>PCR DMSO 5% BSA Y [DNA] 30-62</t>
  </si>
  <si>
    <t>PCR DMSO 5% BSA Y [DNA] 30-64</t>
  </si>
  <si>
    <t>PCR DMSO 5% BSA Y [DNA] 30-65</t>
  </si>
  <si>
    <t>PCR DMSO 5% BSA Y [DNA] 30-66</t>
  </si>
  <si>
    <t>PCR DMSO 5% BSA Y [DNA] 30-67</t>
  </si>
  <si>
    <t>PCR DMSO 5% BSA Y [DNA] 30-68</t>
  </si>
  <si>
    <t>BEA2135</t>
  </si>
  <si>
    <t>BEA2135X2</t>
  </si>
  <si>
    <t>BEA2136</t>
  </si>
  <si>
    <t>RP91.1</t>
  </si>
  <si>
    <t>RP91.1X2</t>
  </si>
  <si>
    <t>BEA2187</t>
  </si>
  <si>
    <t>VALONIA 1:20</t>
  </si>
  <si>
    <t>BEA1978</t>
  </si>
  <si>
    <t>BEA1974</t>
  </si>
  <si>
    <t>RP3_MAYO</t>
  </si>
  <si>
    <t>1.1MARZO</t>
  </si>
  <si>
    <t>2.2MARZO</t>
  </si>
  <si>
    <t>2.3MARZO</t>
  </si>
  <si>
    <t>3.1MARZO</t>
  </si>
  <si>
    <t>pl3b5</t>
  </si>
  <si>
    <t>PCR 29 30 31 REPETIDA AJUSTANDO ADN CON BSA Y DMSO 5, AJUSTANDO TERMOCICLADOR A CADA PRIMER CARPETA 2025</t>
  </si>
  <si>
    <t>359F_1494R</t>
  </si>
  <si>
    <t>PCR DMSO 5% BSA Y [DNA] 35</t>
  </si>
  <si>
    <t>PCR DMSO 5% BSA Y [DNA] 30-69</t>
  </si>
  <si>
    <t>PCR 29 30 31 REPETIDA AJUSTANDO ADN CON BSA Y DMSO 5, AJUSTANDO TERMOCICLADOR A CADA PRIMER CARPETA 2044</t>
  </si>
  <si>
    <t>359F_1494</t>
  </si>
  <si>
    <t>PCR 32 PENDIENTE REPETIR CON BSA , DMSO Y REVISANDO [] DNA</t>
  </si>
  <si>
    <t>359F_/1494r</t>
  </si>
  <si>
    <t>Pedir muestra</t>
  </si>
  <si>
    <t>No encontrada</t>
  </si>
  <si>
    <t>PCR DMSO 5% BSA Y [DNA] 30-56</t>
  </si>
  <si>
    <t>PCR DMSO 5% BSA Y [DNA] 30-57</t>
  </si>
  <si>
    <t>PCR DMSO 5% BSA Y [DNA] 30-58</t>
  </si>
  <si>
    <t>PCR DMSO 5% BSA Y [DNA] 30-59</t>
  </si>
  <si>
    <t>PCR DMSO 5% BSA Y [DNA] 30-60</t>
  </si>
  <si>
    <t>BEA1560x2</t>
  </si>
  <si>
    <t>bea1571</t>
  </si>
  <si>
    <t>bea1575</t>
  </si>
  <si>
    <t>bea1580</t>
  </si>
  <si>
    <t>bea1596</t>
  </si>
  <si>
    <t xml:space="preserve">PEDIR MUESTRA </t>
  </si>
  <si>
    <t>PCR DMSO 5% BSA Y [DNA] 30-61</t>
  </si>
  <si>
    <t>PCR DMSO 5% BSA Y [DNA] 30-63</t>
  </si>
  <si>
    <t>PCR DMSO 5% BSA Y [DNA] 30-71</t>
  </si>
  <si>
    <t>TUFAR</t>
  </si>
  <si>
    <t>PCR DMSO 5% BSA Y [DNA] 30-77</t>
  </si>
  <si>
    <t>PCR DMSO 5% BSA Y [DNA] 30-70</t>
  </si>
  <si>
    <t>PCR 29 30 31 REPETIDA AJUSTANDO ADN CON BSA Y DMSO 5, AJUSTANDO TERMOCICLADOR A CADA PRIMER CARPETA 2042</t>
  </si>
  <si>
    <t>PCR 29 30 31 REPETIDA AJUSTANDO ADN CON BSA Y DMSO 5, AJUSTANDO TERMOCICLADOR A CADA PRIMER CARPETA 2081</t>
  </si>
  <si>
    <t>SSU/ITS21</t>
  </si>
  <si>
    <t>PCR 29 30 31 REPETIDA AJUSTANDO ADN CON BSA Y DMSO 5, AJUSTANDO TERMOCICLADOR A CADA PRIMER CARPETA 2061</t>
  </si>
  <si>
    <t>PCR DMSO 5% BSA Y [DNA] 30-75</t>
  </si>
  <si>
    <t>PCR 29 30 31 REPETIDA AJUSTANDO ADN CON BSA Y DMSO 5, AJUSTANDO TERMOCICLADOR A CADA PRIMER CARPETA 2043</t>
  </si>
  <si>
    <t>PCR 29 30 31 REPETIDA AJUSTANDO ADN CON BSA Y DMSO 5, AJUSTANDO TERMOCICLADOR A CADA PRIMER CARPETA 2082</t>
  </si>
  <si>
    <t>SSU/ITS22</t>
  </si>
  <si>
    <t>PCR 29 30 31 REPETIDA AJUSTANDO ADN CON BSA Y DMSO 5, AJUSTANDO TERMOCICLADOR A CADA PRIMER CARPETA 2062</t>
  </si>
  <si>
    <t>PCR DMSO 5% BSA Y [DNA] 30-76</t>
  </si>
  <si>
    <t>PCR 29 30 31 REPETIDA AJUSTANDO ADN CON BSA Y DMSO 5, AJUSTANDO TERMOCICLADOR A CADA PRIMER CARPETA 2083</t>
  </si>
  <si>
    <t>SSU/ITS23</t>
  </si>
  <si>
    <t>PCR 29 30 31 REPETIDA AJUSTANDO ADN CON BSA Y DMSO 5, AJUSTANDO TERMOCICLADOR A CADA PRIMER CARPETA 2063</t>
  </si>
  <si>
    <t>PCR DMSO 5% BSA Y [DNA] 30-72</t>
  </si>
  <si>
    <t>PCR DMSO 5% BSA Y [DNA] 30-73</t>
  </si>
  <si>
    <t xml:space="preserve"> CTD DP RBCL7</t>
  </si>
  <si>
    <t>PCR DMSO 5% BSA Y [DNA] 30-50</t>
  </si>
  <si>
    <t>PCR 29 30 31 REPETIDA AJUSTANDO ADN CON BSA Y DMSO 5, AJUSTANDO TERMOCICLADOR A CADA PRIMER CARPETA 2074</t>
  </si>
  <si>
    <t>PCR 29 30 31 REPETIDA AJUSTANDO ADN CON BSA Y DMSO 5, AJUSTANDO TERMOCICLADOR A CADA PRIMER CARPETA 2035</t>
  </si>
  <si>
    <t>PCR 29 30 31 REPETIDA AJUSTANDO ADN CON BSA Y DMSO 5, AJUSTANDO TERMOCICLADOR A CADA PRIMER CARPETA 2054</t>
  </si>
  <si>
    <t>PCR DMSO 5% BSA Y [DNA] 30-51</t>
  </si>
  <si>
    <t>PCR 29 30 31 REPETIDA AJUSTANDO ADN CON BSA Y DMSO 5, AJUSTANDO TERMOCICLADOR A CADA PRIMER CARPETA 2036</t>
  </si>
  <si>
    <t>PCR 29 30 31 REPETIDA AJUSTANDO ADN CON BSA Y DMSO 5, AJUSTANDO TERMOCICLADOR A CADA PRIMER CARPETA 2075</t>
  </si>
  <si>
    <t>PCR 29 30 31 REPETIDA AJUSTANDO ADN CON BSA Y DMSO 5, AJUSTANDO TERMOCICLADOR A CADA PRIMER CARPETA 2055</t>
  </si>
  <si>
    <t>PCR 29 30 31 REPETIDA AJUSTANDO ADN CON BSA Y DMSO 5, AJUSTANDO TERMOCICLADOR A CADA PRIMER CARPETA 2037</t>
  </si>
  <si>
    <t>PCR 29 30 31 REPETIDA AJUSTANDO ADN CON BSA Y DMSO 5, AJUSTANDO TERMOCICLADOR A CADA PRIMER CARPETA 2076</t>
  </si>
  <si>
    <t>PCR 29 30 31 REPETIDA AJUSTANDO ADN CON BSA Y DMSO 5, AJUSTANDO TERMOCICLADOR A CADA PRIMER CARPETA 2056</t>
  </si>
  <si>
    <t>PCR DMSO 5% BSA Y [DNA] 30-52</t>
  </si>
  <si>
    <t>PCR 29 30 31 REPETIDA AJUSTANDO ADN CON BSA Y DMSO 5, AJUSTANDO TERMOCICLADOR A CADA PRIMER CARPETA 2038</t>
  </si>
  <si>
    <t>PCR 29 30 31 REPETIDA AJUSTANDO ADN CON BSA Y DMSO 5, AJUSTANDO TERMOCICLADOR A CADA PRIMER CARPETA 2077</t>
  </si>
  <si>
    <t>PCR 29 30 31 REPETIDA AJUSTANDO ADN CON BSA Y DMSO 5, AJUSTANDO TERMOCICLADOR A CADA PRIMER CARPETA 2057</t>
  </si>
  <si>
    <t>PCR 29 30 31 REPETIDA AJUSTANDO ADN CON BSA Y DMSO 5, AJUSTANDO TERMOCICLADOR A CADA PRIMER CARPETA 2039</t>
  </si>
  <si>
    <t>PCR 29 30 31 REPETIDA AJUSTANDO ADN CON BSA Y DMSO 5, AJUSTANDO TERMOCICLADOR A CADA PRIMER CARPETA 2078</t>
  </si>
  <si>
    <t>PCR 29 30 31 REPETIDA AJUSTANDO ADN CON BSA Y DMSO 5, AJUSTANDO TERMOCICLADOR A CADA PRIMER CARPETA 2058</t>
  </si>
  <si>
    <t>PCR 29 30 31 REPETIDA AJUSTANDO ADN CON BSA Y DMSO 5, AJUSTANDO TERMOCICLADOR A CADA PRIMER CARPETA 2026</t>
  </si>
  <si>
    <t>PCR 29 30 31 REPETIDA AJUSTANDO ADN CON BSA Y DMSO 5, AJUSTANDO TERMOCICLADOR A CADA PRIMER CARPETA 2065</t>
  </si>
  <si>
    <t>PCR 29 30 31 REPETIDA AJUSTANDO ADN CON BSA Y DMSO 5, AJUSTANDO TERMOCICLADOR A CADA PRIMER CARPETA 2045</t>
  </si>
  <si>
    <t>PCR 29 30 31 REPETIDA AJUSTANDO ADN CON BSA Y DMSO 5, AJUSTANDO TERMOCICLADOR A CADA PRIMER CARPETA 2027</t>
  </si>
  <si>
    <t>PCR 29 30 31 REPETIDA AJUSTANDO ADN CON BSA Y DMSO 5, AJUSTANDO TERMOCICLADOR A CADA PRIMER CARPETA 2066</t>
  </si>
  <si>
    <t>PCR 29 30 31 REPETIDA AJUSTANDO ADN CON BSA Y DMSO 5, AJUSTANDO TERMOCICLADOR A CADA PRIMER CARPETA 2046</t>
  </si>
  <si>
    <t>PCR 29 30 31 REPETIDA AJUSTANDO ADN CON BSA Y DMSO 5, AJUSTANDO TERMOCICLADOR A CADA PRIMER CARPETA 2028</t>
  </si>
  <si>
    <t>PCR 29 30 31 REPETIDA AJUSTANDO ADN CON BSA Y DMSO 5, AJUSTANDO TERMOCICLADOR A CADA PRIMER CARPETA 2067</t>
  </si>
  <si>
    <t>PCR 29 30 31 REPETIDA AJUSTANDO ADN CON BSA Y DMSO 5, AJUSTANDO TERMOCICLADOR A CADA PRIMER CARPETA 2047</t>
  </si>
  <si>
    <t>PCR DMSO 5% BSA Y [DNA] 30-45</t>
  </si>
  <si>
    <t>PCR 29 30 31 REPETIDA AJUSTANDO ADN CON BSA Y DMSO 5, AJUSTANDO TERMOCICLADOR A CADA PRIMER CARPETA 2029</t>
  </si>
  <si>
    <t>PL6_B2</t>
  </si>
  <si>
    <t>PCR 29 30 31 REPETIDA AJUSTANDO ADN CON BSA Y DMSO 5, AJUSTANDO TERMOCICLADOR A CADA PRIMER CARPETA 2068</t>
  </si>
  <si>
    <t>PCR 29 30 31 REPETIDA AJUSTANDO ADN CON BSA Y DMSO 5, AJUSTANDO TERMOCICLADOR A CADA PRIMER CARPETA 2048</t>
  </si>
  <si>
    <t>PCR DMSO 5% BSA Y [DNA] 30-47</t>
  </si>
  <si>
    <t>PCR 29 30 31 REPETIDA AJUSTANDO ADN CON BSA Y DMSO 5, AJUSTANDO TERMOCICLADOR A CADA PRIMER CARPETA 2030</t>
  </si>
  <si>
    <t>PCR 29 30 31 REPETIDA AJUSTANDO ADN CON BSA Y DMSO 5, AJUSTANDO TERMOCICLADOR A CADA PRIMER CARPETA 2069</t>
  </si>
  <si>
    <t>PCR 29 30 31 REPETIDA AJUSTANDO ADN CON BSA Y DMSO 5, AJUSTANDO TERMOCICLADOR A CADA PRIMER CARPETA 2049</t>
  </si>
  <si>
    <t>PCR DMSO 5% BSA Y [DNA] 30-48</t>
  </si>
  <si>
    <t>PCR 29 30 31 REPETIDA AJUSTANDO ADN CON BSA Y DMSO 5, AJUSTANDO TERMOCICLADOR A CADA PRIMER CARPETA 2031</t>
  </si>
  <si>
    <t>PCR 29 30 31 REPETIDA AJUSTANDO ADN CON BSA Y DMSO 5, AJUSTANDO TERMOCICLADOR A CADA PRIMER CARPETA 2070</t>
  </si>
  <si>
    <t>PCR 29 30 31 REPETIDA AJUSTANDO ADN CON BSA Y DMSO 5, AJUSTANDO TERMOCICLADOR A CADA PRIMER CARPETA 2050</t>
  </si>
  <si>
    <t>PCR 29 30 31 REPETIDA AJUSTANDO ADN CON BSA Y DMSO 5, AJUSTANDO TERMOCICLADOR A CADA PRIMER CARPETA 2073</t>
  </si>
  <si>
    <t>PCR DMSO 5% BSA Y [DNA] 30-49</t>
  </si>
  <si>
    <t>PCR 29 30 31 REPETIDA AJUSTANDO ADN CON BSA Y DMSO 5, AJUSTANDO TERMOCICLADOR A CADA PRIMER CARPETA 2034</t>
  </si>
  <si>
    <t>PCR 29 30 31 REPETIDA AJUSTANDO ADN CON BSA Y DMSO 5, AJUSTANDO TERMOCICLADOR A CADA PRIMER CARPETA 2053</t>
  </si>
  <si>
    <t>PCR 29 30 31 REPETIDA AJUSTANDO ADN CON BSA Y DMSO 5, AJUSTANDO TERMOCICLADOR A CADA PRIMER CARPETA 2032</t>
  </si>
  <si>
    <t>PCR 29 30 31 REPETIDA AJUSTANDO ADN CON BSA Y DMSO 5, AJUSTANDO TERMOCICLADOR A CADA PRIMER CARPETA 2071</t>
  </si>
  <si>
    <t>PCR 29 30 31 REPETIDA AJUSTANDO ADN CON BSA Y DMSO 5, AJUSTANDO TERMOCICLADOR A CADA PRIMER CARPETA 2051</t>
  </si>
  <si>
    <t>PL8_B1</t>
  </si>
  <si>
    <t>PCR 29 30 31 REPETIDA AJUSTANDO ADN CON BSA Y DMSO 5, AJUSTANDO TERMOCICLADOR A CADA PRIMER CARPETA 2052</t>
  </si>
  <si>
    <t>PCR 29 30 31 REPETIDA AJUSTANDO ADN CON BSA Y DMSO 5, AJUSTANDO TERMOCICLADOR A CADA PRIMER CARPETA 2033</t>
  </si>
  <si>
    <t>PCR 29 30 31 REPETIDA AJUSTANDO ADN CON BSA Y DMSO 5, AJUSTANDO TERMOCICLADOR A CADA PRIMER CARPETA 2072</t>
  </si>
  <si>
    <t>PCR DMSO 5% BSA Y [DNA] 30-53</t>
  </si>
  <si>
    <t>PCR 29 30 31 REPETIDA AJUSTANDO ADN CON BSA Y DMSO 5, AJUSTANDO TERMOCICLADOR A CADA PRIMER CARPETA 2040</t>
  </si>
  <si>
    <t>PCR 29 30 31 REPETIDA AJUSTANDO ADN CON BSA Y DMSO 5, AJUSTANDO TERMOCICLADOR A CADA PRIMER CARPETA 2079</t>
  </si>
  <si>
    <t>PCR 29 30 31 REPETIDA AJUSTANDO ADN CON BSA Y DMSO 5, AJUSTANDO TERMOCICLADOR A CADA PRIMER CARPETA 2059</t>
  </si>
  <si>
    <t>PCR 29 30 31 REPETIDA AJUSTANDO ADN CON BSA Y DMSO 5, AJUSTANDO TERMOCICLADOR A CADA PRIMER CARPETA 2080</t>
  </si>
  <si>
    <t>PCR DMSO 5% BSA Y [DNA] 30-54</t>
  </si>
  <si>
    <t>PCR 29 30 31 REPETIDA AJUSTANDO ADN CON BSA Y DMSO 5, AJUSTANDO TERMOCICLADOR A CADA PRIMER CARPETA 2041</t>
  </si>
  <si>
    <t>PCR 29 30 31 REPETIDA AJUSTANDO ADN CON BSA Y DMSO 5, AJUSTANDO TERMOCICLADOR A CADA PRIMER CARPETA 2060</t>
  </si>
  <si>
    <t>Ulva_sara_TUFAR</t>
  </si>
  <si>
    <t>PCR DMSO 5% BSA Y [DNA] 30-74</t>
  </si>
  <si>
    <t>Placa</t>
  </si>
  <si>
    <t>Fecha_Placa</t>
  </si>
  <si>
    <t>Tipo</t>
  </si>
  <si>
    <t>Calidad secuencia</t>
  </si>
  <si>
    <t>PRIMER</t>
  </si>
  <si>
    <t>Fecha_análisis_secuencia</t>
  </si>
  <si>
    <t>Secuencia FASTA</t>
  </si>
  <si>
    <t>Finalizado</t>
  </si>
  <si>
    <t xml:space="preserve">PLACA 1 </t>
  </si>
  <si>
    <t>Sanger-ALGASAL</t>
  </si>
  <si>
    <t>BAJA CALIDAD</t>
  </si>
  <si>
    <t>CONJUNTO</t>
  </si>
  <si>
    <t>&gt;A1_1_EUKAB_LOWQUALITY
TTTGATGGTACCACACTACTCGGATAACCGTATTAAAGCTACAGCTAATACGTGCGCAACTCCCGACTCACGAAGGGACGTATTTATTATATTCAAGACCGACCGTGCTTGCACGTCTTTGGTGAATCATGGAAACTTCACGAATCGCAGGGTTTATCCCGGCGATGTTTCATTCAACTTTCTGCCCTATCAACTTTCGACGGGAGTATACAGGACTACCGTGGTGGTAACGGATGACGGAGGATTAGGGTTCGATTCCGGATAGGGAGCCTGATAAACGGCTACCACATCCAAGGAAGGCAGCAGGCCCGCAAATTACCCAATCCTGACACAGGGAGGTAGTGACAATAAATATCAATTCTGGGCCACATGGTCCGGTAATTGGAATGAGTACAATGTAAACACCTTAACGAGGATCCATTGGAGGGCAAGTCTGGTGCCAGCAGCCGCGGCAATTCCAGCTCCAATAACGTATATTTAAGTTGTTGCAGTTAAAAAGCTCGTACTTGGATTTCGGGTGGGACGCAGCGGTCTCGCATTGCGTTTGTACTGCTGCACCGCCTCCTTCTTGCCGGGGGGCGGCCCATCGGACTTCACTGTCTGGGGCGTCAGAATCGGCGATGTTACTGTGAGTAAATTAGAGTGTTCAAAGCAAGCGTACGCTCTGAATATAATAACATGGGATAACACCACAGGACTCTGGCCTATCTTGTTGGTCTATAAGACCAGAATAATGATTAATAG</t>
  </si>
  <si>
    <t>BUENA CALIDAD</t>
  </si>
  <si>
    <t>&gt;A1_2_EUKB
GGCAATTTGGGCCAGCAGCCCGGTATTCCAGTTCCAATAGCGTATATTAAGTTTTGCAGTAAAAGCTCGTAGTGGATTTCGGGTGGACGCAGCGTCTCGCATGCGTTGTACTGCTGCAGCCCTCTTTTTGCCGGGGCGGCCCATCGGACTTCACTGTCTGGGGTCAGAATCGGCGATGTTACTTTGAGTAAATTAGAGTGTTCAAAGCAAGCTTACGCTCTGAATATAATAGCATGGGATAACACGACAGGACTCTGGCCTATCGTGTTGGTCTATAGGACCAGAGTAATGATTAAGAGGGACAGTCGGGGGCATTCGTATTCCGTTGTCAGAGGTGAAATTCTTGGATTTACGGAAGACGAACATCTGCGAAAGCATTTGCCAAGGATGTTTTCATTGATCAAGAACGAAAGTTGGGGGCTCGAAGACGATTAGATACCGTCGTAGTCTCAACCATAAACGATGCCGACTAGGGATTGGCGGGTGTTTTTTTGATGACTCCGCCAGCACCTCATGAGAAATCAAAGTTTTTGGGTTCCGGGGGGAGTATGGTCGCAAGGCTGAAACTTAAAGGAATTGACGGAAGGGCACCACCAGGCGTGGAGCCTGCGGCTTAATTTGACTCAACACGGGAAAACTTACCAGGTCCAGACATAGGAAGGATTGACAGATTGAGAGCTCTTTCTTGATTCTATGGGTGGTGGTGCATGGCCGTTCTTAGTTGGTGGGTTGCCTTGTCAGGTTGATTCCGGTAACGAACGAGACCTCAGCCTGCTAAATAGTGACGTCTGCTTCGGCAGTCGCGCGCTTCTTAGAGGGACTGTTGGCGTCTAGCCAATGGAAGTATGAGGCAATAACAGGTCTGTGATGCCCTTAGATGTTCTGGGCCGCACGCGCGCTACACTGATACGTTCAACGAGCTCCTTGACCGAGAGGTCCGGGTAATCTTTGAAACCGTATCGTGATGGGGATAGAACATTGCAATTATTGTTCTTCAACGAGGAATGCCTAGTAAGCGCGAGTCATCATCTCGCGTTGATTACGTCCCTGCCCTTTGTACACACCGCCCGTCGCTCCTACCGATTGAACGTGCTGGTGAAGCGTTAGGACTGGAACTTTGGGCCGGTCTCCTGCCCATCGTTTCGGGAATTTCGTAGAAC</t>
  </si>
  <si>
    <t>Filogenia</t>
  </si>
  <si>
    <t>&gt;A1_3_EUKA_lOQQC_DOBLESEQ
CTGACGGCGACTGAGATTACGCCATGCATGTCTAGTATAAACCGTTTATACTGTAGAAACTGCGAAGGGCTCATTAAATCATTTAGATTTTATTTGATGGCCCCACACTACTCGGATAACCGTAATAAAGCTACAGCTAATACGTGCGTAACTCCCGACTTACGAAGGGACGTATTTATTAGATTCCCCCCGACCGTGCTTGCACGTCTTTGGTGAATCATGGGAACTTCACGAATCGCAGGGTCTATCCCGGCGATGTTTCATTCAACTTTCTGCCCTATCAACTTTCGACGGTGGTATAGAGGACTACCGTGGTGGTAACGGGTGACGGAGGATTAGGGTTCAATTCCGGACAGGGAGCCTGATAAACGGCTACCACATCCAAGGAAGGCAGCAAGCGCGCAAATTACCCAATCCTGACGCAGGGAGGTAGTGACAATAAATATCAATTCTGGGCCACTTGGTCCGGTAATTGGAATGATTACAACGCATACGCCTTAACCAGGATCCATTGGAGGGCGAGTCTGGTGCCCGCAGCCGCGGCAATTCCAGCTCCAATAACGTATATTTAAGTTGTTGCAGTTAAAAAACTCGTAGTTGGATTTCGTGTGGGACGCACCGGTCTCCCATTGCTGTTGTACTGCTGCAGCCCTCCTTCTTGCCGGGGGCGGCCCGTCGCACTTCACTGTCTGGGGGTCAGAGTCGGCGATGTTACTTTGAATAAATTAGAGTGTTCAAAGCAAGCTTACGCTCTGAATATAATTAGCAT</t>
  </si>
  <si>
    <t>&gt;A2_1_EUKAB
TGCATGTCTAAGTATAAACAGTTTATACTGTGAAACTGCGAATGGCTCATTAAATCAGTTAGAGTTTATTTGATGGTACCACACTACTCGGATAACCGTAGTAAAGCTACAGCTAATACGTGCGTAACTCCCGACTTACGAAGGGACGTATTTATTAGATTCAAGGCCGACCGTGCTTGCACGTCTTTGGTGAATCATGGTAACTTCACGAATCGCAGGGTTTATCCCGGCGATGTTTCATTCAACTTTCTGCCCTATCAACTTTCGACGGTAGTATAGAGGACTACCGTGGTGGTAACGGGTGACGGAGGATTAGGGTTCGATTCCGGAGAGGGAGCCTGAGAAACGGCTACCACATCCAAGGAAGGCAGCAGGCGCGCAAATTACCCAATCCTGACACAGGGAGGTAGTGACAATAAATATCAATTCTGGGCCACATGGTCCGGTAATTGGAATGAGTACAATGTAAACGCCTTAACGAGGATCCATTGGAGGGCAAGTCTGGTGCCAGCAGCCGCGGTAATTCCAGCTCCAATAGCGTATATTTAAGTTGTTGCAGTTAAAAAGCTCGTAGTTGGATTTCGGGTGGGACGCAGCGGTCTCGCATTGCGTTTGTACTGCTGCAGCCCTCCTTCTTGCCGGGGGCGGCCCATCGGACTTCACTGTCTGGGGGTCAGAATCGGCGATGTTACTTTGAGTAAATTAGAGTGTTCAAAGCAAGCTTACGCTCTGAATATAATAGCATGGGATAACACGACAGGACTCTGGCCTATCGTGTTGGTCTATAGGACCAGAGTAATGATTAAGAGGGACAGTCGGGGGCATTCGTATTCCGTTGTCAGAGGTGAAATTCTTGGATTTACGGAAGACGAACATCTGCGAAAGCATTTGCCAAGGATGTTTTCATTGATCAAGAACGAAAGTTGGGGGCTCGAAGACGATTAGATACCGTCGTAGTCTCAACCATAAACGATGCCGACTAGGGATTGGCGGGTGTTTTTTTGATGACTCCGCCAGCACCTCATGAGAAATCAAAGTTTTTGGGTTCCGGGGGGAGTATGGTCGCAAGGCTGAAACTTAAAGGAATTGACGGAAGGGCACCACCAGGCGTGGAGCCTGCGGCTTAATTTGACTCAACACGGGAAAACTTACCAGGTCCAGACATAGGAAGGATTGACAGATTGAGAGCTCTTTCTTGATTCTATGGGTGGTGGTGCATGGCCGTTCTTAGTTGGTGGGTTGCCTTGTCAGGTTGATTCCGGTAACGAACGAGACCTCAGCCTGCTAAATAGTGACGTCTGCTTCGGCAGTCGCGCGCTTCTTAGAGGGACTGTTGGCGTCTAGCCAATGGAAGTATGAGGCAATAACAGGTCTGTGATGCCCTTAGATGTTCTGGGCCGCACGCGCGCTACACTGATACGTTCAACGAGCTCCTTGACCGAGAGGTCCGGGTAATCTTTGAAACCGTATCGTGATGGGGATAGAACATTGCAATTATTGTTCTTCAACGAGGAATGCCTAGTAAGCGCGAGTCATCATCTCGCGTTGATTACGTCCCTGCCCTTTGTACACACCGCCCGTCGCTCCTACCGATTGAACGTGCTGGTGAAGCGTTAGGACTGGAACTTTGGGCCGGTCTCCTGCCCATTGTTTC</t>
  </si>
  <si>
    <t>&gt;A2_2_EUKAB
TGTAGGTATAACCTGTATACCGGTAAACTGCGAATGGCTCGGTAAATCAGTTATAGTTTATTTGATAGTGCAACCTACTCGGATAACCGTAGTAACACTAGAGCTAATACGTGCGTAAATCCCGACTTTTTGAAGGGACGTATTTATTAGATTTATGGTCAGCCGGGCTTGCCCGACCAGCGGTGAATCATGGTAACTTGACGGATTGCATGGCCTTCGTGCCGGCGACGTGTCATTCAAGTTTCTGCCCCATCAGGTTTCGACTGTAGTGTATTGGACTACAGTGCCTATAACGGGTAGCGGAGGATTAGGGTTCGATTCCGGAGAGGGAGCCTGAGAAACGGCTACCACATCCAAGGAAGGCAGCAGGCGCGCAAATTACCCAATCCCAATTCAGGGAGGTAGTGACAAGAAATAGCAATGCGGGGCGGATTCGCTCTGCAATTGGAATGAGAACAATGTAAACCACTTAACGAGTATCAATTGGAGGGCAAGTCTGGTGCCAGCAGCCGCGGTAATTCCAGCTCCAATAGCGTATATGTAAGTTGTTGCGATTAAAAAGCCCGTAGCTGAACCTCGGGTAACCCTGCCGGTCCGCATCATGTGAGTACTGTCGTGGGTTGCCTTTCTGGTAAGACCGTATCACGGGGTTAATTCACCGGGAACGAGGCTTGCCAAGGTTACTTTGAGTAAAATAGAGTGTTCAAAGCAAGCATGCGCTATGAATACACTAGCATGGGATAACACGACATGACCGGCGGTCTATCTTGTTGGCCTGTAGATCTGTTGGTAATGGCTAATAGGGACGGTCGGGGGCATTCGTATTTCGCTGTCAGAGGTGAAATTCTTGGATTTGCGAAAGACGAACTACTGCGAAAGCATTTGCCAAGGACGCTTTCATTAGTCAAGGACGAAAGTCGGGGGATCGAAGACGATTAGATACCGTCGTAGTCTCGACCATAAACGATGCCAATTAGGGATTGGAGGGCGGATCCATTATGCCTCCTCCAGCACCTTCCGCGAAAGCAAAATTTATGGGCTTCGGGGGGAGTATGGTCGCAGGGCTGAAACTTAAAGGAATTGACGGAACGGCACCACCAGGCGTGGAGCCTGCGGCTTAATTTGACTCAACACGGGAAAACTTACCAGGTCCAGACAAGAGGAGGATTTACAGATTGATAGCTCTTTAAAGATTTTTTGGATGGTGGTGCATGGCCGTTCTTAGTTCGTGGATTGATTTGTCAGGTTGATTCCGGTAACGGACGAGACCCCAACCTACTAACTAGCTCTGGTTGATATACAGCCTGCCAGCTTCTTAGAGGGACTCTCGGAATGAAACCGAAGGAGGTGGGGCAATAACAGGTCTGTGATGCCCTTAGATGTCCTGGGCCGCACGCGCGCTACACTGATGCATTCAACGAGCCTACCTGTGCCGAGAGGTATGGGCAATCTGCGAAACTGCATCGTGATGGGGCTAGATTATTGCAATTATTGATCTTCAACGAGGAATGCCTAGTAAGCGCGAGTCATCAACTCGCGTTGATTACGTCCCTGCCGTTTGTACACACCGCCCGTCGCTCCTACCGATTGAGTGTGCTGGTGAAATGTTCGGATTGGACGGCCGTTCGTAAGAGGGTCTTCTGAGAAGTTCATTGAACCCTCTCACTAGAGAATGAGAGCTGTATGCCTAC</t>
  </si>
  <si>
    <t>&gt;A3_1_EUKA
TGCATGTCTAGTATAAACAGTTTATACTGTGAAACTGCGAATGGCTCATTAAATCAGTTAGAGTTTATTTGATGGTACCACACTACTCGGATAACCGTAGTAAAGCTACAGCTAATACGTGCGTAACTCCCGACTTACGAAGGGACGTATTTATTAGATTCAAGGCCGACCGTGCTTGCACGTCTTTGGTGAATCATGGTAACTTCACGAATCGCAGGGTTTATCCCGGCGATGTTTCATTCAACTTTCTGCCCTATCAACTTTCGACGGTAGTATAGAGGACTACCGTGGTGGTAACGGGTGACGGAGGATTAGGGTTCGATTCCGGAGAGGGAGCCTGAGAAACGGCTACCACATCCAAGGAAGGCAGCAGGCGCGCAAATTACCCAATCCTGACACAGGGAGGTAGTGACAATAAATATCAATTCTGGGCCACATGGTCCGGTAATTGGAATGAGTACAATGTAAACGCCTTAACGAGGATCCATTGGAGGGCAAGTCTGGTGCCAGCAGCCGCGGTAATTCCAGCTCCAATAGCGTATATTTAAGTTGTTGCAGTTAAAAAGCTCGTAGTTGGATTTCGGGTGGGACGCAGCGGTCTCGCATTGCGTTTGTACTGCTGCAGCCCTCCTTCTTGCCGGGGGCGGCCCATCGGACTTCACTGTCTGGGGGTCAGAATCGGCGATGTTACTTTGAGTAAATTAGAGTGTTCAAAGCAAGCTTACGCTCTGAATATAATAGCATGGGATAACACGACAGGACTCTGGCCTATCGTGTTGGTCTATAGGACCAGAGTAATGATTAAGAGGGACAGTCGGGGGCATTCGTATTCCGTTGTCAGAGGTGAAATTCTTGGATTTACGGAAGACGAACATCTGCGAAAGCATTGGCCAAGGATGTTTTCATTGATCAAGAACGAAAGTTGGGGGCTCGAAGACGATAAGATACCGTCGTAGTCTCAACCATAAACGATGCCAACAGGATTGGCGGGGTGTTTTTTTGATGACT</t>
  </si>
  <si>
    <t>&gt;A3_2_EUKAB_Premix
TGCATGTCTAAGTATAAACAGTTTATACTGTGAAACTGCGAATGGCTCATTAAATCAGTTAGAGTTTATTTGATGGTACCACACTACTCGGATAACCGTAGTAAAGCTACAGCTAATACGTGCGTAACTCCCGACTTACGAAGGGACGTATTTATTAGATTCAAGGCCGACCGTGCTTGCACGTCTTTGGTGAATCATGGTAACTTCACGAATCGCAGGGTTTATCCCGGCGATGTTTCATTCAACTTTCTGCCCTATCAACTTTCGACGGTAGTATAGAGGACTACCGTGGTGGTAACGGGTGACGGAGGATTAGGGTTCGATTCCGGAGAGGGAGCCTGAGAAACGGCTACCACATCCGAGGAAGGCAGCAGGCGCGCAAATTACCCAATCCTGACACAGGGAGGTAGTGACAATAAATATCAATTCTGGGCCACATGGTCCGGTAATTGGAATGAGTACAATGTAAACGCCTTAACGAGGATCCATTGGAGGGCAAGTCTGGTGCCAGCAGCCGCGGTAATTCCAGCTCCAATAGCGTATATTTAAGTTGTTGCAGTTAAAAAGCTCGTAGTTGGATTTCGGGTGGGACGCAGCGGTCTCGCATTGCGTTTGTACTGCTGCAGCCCTCCTTCTTGCCGGGGGCGGCCCATCGGACTTCACTGTCTGGGGGTCAGAATCGGCGATGTTACTGTGAGTAAATTAGAGTGTTCAAAGCAAGCTTACGCTCTGAATATAATAGCATGGGATAACACGACAGGACTCTGGCCTATCGTGTTGGTCTATAGGACCAGAGTAATGATTAAGAGGGACAGTCGGGGGCATTCGTATTCCGTTGTCAGAGGTGAAATTCTTGGATTTACGGAAGACGAACATCTGCGAAAGCATTTGCCAAGGATGTCTTCATTGATCAAGAACGAAAGTCGGGGGCTCGAAGACGATTAGATACCGTCGTAGTCTCAACCATAAACGATGCCGACTAGGGATTGGCGGGTGTTTTTTTGATGACTCCGCCAGCACCTCATGAGAAATCAAAGTTTCTGGGTTCCGGGGGGAGTATGGTCGCAAGGCTGAAACTTAAAGGAATTGACGGAAGGGCACCACCAGGCGTGGAGCCTGCGGCTTAATTTGACTCAACACGGGAAAACTTACCAGGTCCAGACATAGGAAGGATTGACAGATTGAGAGCTCTTTCTTGATTCTATGGGTGGTGGTGCATGGCCGTTCTTAGTTGGTGGGTTGCCTTGTCAGGTTGATTCCGGTAACGAACGAGACCTCAGCCTGCTAAATAGTGACGTCTGCTTCGGCAGTCGCGCGCTTCTTAGAGGGACTGTTGGCGTCTAGCCAATGGAAGTATGAGGCAATAACAGGTCTGTGATGCCCTTAGATGTTCTGGGCCGCACGCGCGCTACACTGATACGTTCAACGAGCTCCTTGACCGAGAGGTCCGGGTAATCTTTGAAACCGTATCGTGATGGGGATAGAACATTGCAATTATTGTTCTTCAACGAGGAATGCCTAGTAAGCGCGAGTCATCATCTCGCGTTGATTACGTCCCTGCCCTTTGTACACACCGCCCGTCGCTCCTACCGATTGAACGTGCTGGTGAAGCGTTAGGACTGGAACTTTGGGCCGGTCTCCTGCCCATTGTTTCGGGAATTTCGTTGAACCCT</t>
  </si>
  <si>
    <t>&gt;AH1A10_EUKAB_1683_Chlorella_cf
TGCATGTCTAAGTATAAACTGCTTTATACTGTGAAACTGCGAATGGCTCATTAAATCAGTTATAGTTTATTTGATGGTACTTACTACTCGGATACCCGTAGTAAATCTAGAGCTAATACGTGCGTAAATCCCGACTTCTGGAAGGGACGTATTTATTAGATAAAAGGCCGACCGGGCTTCTGCCCGACTCGCGGTGAATCATGATAACTTCACGAATCGCATGGCCTTGTGCCGGCGATGTTTCATTCAAATTTCTGCCCTATCAACTTTTGATGGTAGGATAGAGGCCTACCATGGTGGTAACGGGTGACGGAGGATTAGGGTTCGATTCCGGAGAGGGAGCCTGAGAAACGGCTACCACATCCAAGGAAGGCAGCAGGCGCGCAAATTACCCAATCCTGACACAGGGAGGTAGTGACAATAAATAACAATACTGGGCCTTTTCAGGTCTGGTAATTGGAATGAGTACAATCTAAACCCCTTAACGAGGATCAATTGGAGGGCAAGTCTGGTGCCAGCAGCCGCGGTAATTCCAGCTCCCATAGCGTATATCTAAGTTGCTGCAGTTAAAAAGCTCGTAGTTGGATTTCGGGTGGGACCTGCCGGTCCGCCGTTTCGGTGTGCACTGGCAGGGCTCACCTTGTTGCCCGGGACGGGCTCCTGGGCTTCACTGTCCGGGACTCGGAGTCGGCGCTGTTACTTTGAGTAAATTAGAGTGTTCAAAGCAGGCCTACGCTCTGAATACATTAGCATGGAATAACACGATAGGACTCTGGCCTATCCTGTTGGTCTGTAGGACCGGAGTAATGATTAAGAGGGACAGTCGGGGGCATTCGTATTTCATTGTCAGAGGTGAAATTCTTGGATTTATGAAAGACGAACTACTGCGAAAGCATTTGCCAAGGATGTTTTCATTAATCAAGAACGAAAGTTGGGGGCTCGAAGACGATTAGATACCGTCCTAGTCTCAACCATAAACGATGCCGACTAGGGATCGGCGGATGTTTCTTCGATGACTCCGCGGGCACCTTATGAGAAATCAAAGTTTTTGGGTTCCGGGGGGAGTATGGTCGCAAGGCTGAAACTTAAAGGAATTGACGGAAGGGCACCACCAGGCGTGGAGCCTGCGGCTTAATTTGACTCAACACGGGAAAACTTACCAGGTCCAGACATAGTGAGGATTGACAGATTGAGAGCTCTTTCTTGATTCTATGGGTGGTGGTGCATGGCCGTTCTTAGTTGGTGGGTTGCCTTGTCAGGTTGATTCCGGTAACGAACGAGACCTCAGCCTGCTAAATAGTCACGGTTGGTTCGCCAGCCGGCGGACTTCTTAGAGGGACTATTGGCGACTAGCCAATGGAAGCATGAGGCAATAACAGGTCTGTGATGCCCTTAGATGTTCTGGGCCGCACGCGCGCTACACTGATGCATTCAACGAGCCTAGCCTTGGCCGAGAGGCCCGGGTAATCTTCGAAACTGCATCGTGATGGGGATAGATTATTGCAATTATTAATCTTCAACGAGGAATGCCTAGTAAGCGCAAGTCATCAGCTTGCGTTGATTACGTCCCTGCCCTTTGTACACACCGCCCGTCGCTCCTACCGATTGGGTGTGCTGGTGAAGTGTTCGGATTGGCGACCTGGGGCGGTCTCCGCTCTCGGCCGCCGAGAAGTTCATTAAACC</t>
  </si>
  <si>
    <t>NEGATIVA</t>
  </si>
  <si>
    <t>No aislado</t>
  </si>
  <si>
    <t>&gt;AL1_EUKAB_Premix
CGAAGTGGCTCACCTAAATCAGTTAGAGTTTATTTGATGGTACCACACTACTCGGATAACCGTAGTAAAGCTACAGCTAATACGTGCGTAACTCCCGACTTACGAAGGGACGTATTTATTAGATTCAAGACCGACCGTGCTTGCACGTCTTTGGTGAATCATGGTAACTTCACGAATCGCAGGGTCTATCCCGGCGATGTTTCATTCAACTTTCTGCCCTATCAACTTTCGACGGTGGTATAGAGGACTACCGTGGTGGTAACGGGTGACGGAGGATTAGGGTTCGATTCCGGAGAGGGAGCCTGAGAAACGGCTACCACATCCCAGGAAGGCAGCAGGCGCGCAAATTACCCAATCCTGACACAGGGAGGTAGTGACAATAAATATCAATTCTGGGCCACTTGGTCCGGTAATTGGAATGAGTACAATGTAAACGCCTTAACGAGGATCCATTGGAGGGCAAGTCTGGTGCCAGCAGCCGCGGTAATTCCAGCTCCAATAGCGTATATTTAAGTTGTTGCAGTTAAAAAGCTCGTAGTTGGATTTCGGGTGGGACGCAGCGGTCTCGCATTGCGTTTGTACTGCTGCAGCCCTCCTTCTTGCCGGGGGCGGCCCTCCGGACTTTATTGTCTGGGGGTCAGAATCGGCGATGTTACTTTGAGTAAATTAGAGTGTTCAAAGCAAGCTTACGCTCTGAATATAATAGCATGGGATAACACGACAGGACTCTGGCCTATCGTGTTGGTCTATAGGACCAGAGTAATGATTAAGAGGGACAGTCGGGGGCATTCGTATTCCGTTGTCAGAGGTGAAATTCTTGGATTTACGGAAGACGAACATCTGCGAAAGCATTTGCCAAGGATGTTTTCATTGATCAAGAACGAAAGTTGGGGGCTCGAAGACGATAAGATACCGTCGTAGTCTCAACCATAAACGATGCCGACTAGGGATTGGCGGGTGTTTTTTTGATGACTCCGCCAGCACCTCATGAGAAATCAAAGTTTTTGGGTTCCGGGGGGAGTATGGTCGCAAGGCTGAAACTTAAAGGAATTGACGGAAGGGCACCACCAGGCGTGGAGCCTGCGGCTTAATTTGACTCAACACGGGAAAACTTACCAGGTCCAGACATTAGGAAGGATTGACAGATTGAGAGCTCTTTCTTGATTCTATGGGTGGTGGTGCATGGCCGTTCTTAGTTGGTGGGTTGCCTTGTCAGGTTGATTCCGGTAACGAACGAGACCTCAGCCTGCTAAATAGTGACGTCTGCTGCGGCAGTCGCGCGCTTCTTAGAGGGACTGTTGGCGTCTAGCCAATGGAAGTATGAGGCAATAACAGGTCTGTGATGCCCTTAGATGTTCTGGGCCGCACGCGCGCTACACTGATACGTTCAACGAGCTCCTTGACCGAGAGGCCCGGGTAATCTTTGAAACCGTATCGTGATGGGGATAGAACATTGCAATTATTGTTCTTCAACGAGGAATGCCTAGTAAGCGCGAGTCATCATCTCGCGTTGATTACGTCCCTGCCCTTTGTACACACCGCCCGTCGCTCCTACCGATTGAACGTGCTGGTGAAGCGTTAGGACTGGAACTTCGGGCAGGTCTCCTGCTCATTGTTTCGGGAATTTCGTG</t>
  </si>
  <si>
    <t>&gt;AL1D_EUKAB_Premix
CTGCTTATACTGTGAAACTGCGAATGGCTCATTAAATCAGTTATAGTTTATTTGATGGTACCTTTACTCGGATAACCGTAGTAATTCTAGAGCTAATACGTGCGTAAATCCCGACTTCTGGAAGGGACGTATTTATTAGATAAAAGGCCAGCCGGGCTTGCCCGACTCTTGGCGAATCATGATAACTTCACGAATCGCACGGCTTTATGCCGGCGATGTTTCATTCAAATTTCTGCCCTATCAACTTTCGATGGTAGGATAGAGGCCTACCATGGTGGTAACGGGTGACGGAGGATTAGGGTTCGATTCCGGAGAGGGAGCCTGAGAAACGGCTACCACATCCAAGGAAGGCAGCAGGCGCGCAAATTACCCAATCCCAACACGGGGAGGTAGTGACAATAAATAACAATACCGGGCATTTTTGTCTGGTAATTGGAATGAGTACAATCTAAATCCCTTAACGAGTATCCATTGGAGGGCAAGTCTGGTGCCAGCAGCCGCGGTAATTCCAGCTCCAATAGCGTATATTTAAGTTGTTGCAGTTAAAAAGCTCGTAGTTGGATTTCGGGTGGGTTGTAGCGGTCAGCCTTTGGTTAGTACTGCTACGGCCTACCTTTCTGCCGGGGACGAGCTCCTGGGCTTAACTGTCCGGGACTCGGAATCGGCGAGGTTACTTTGAGTAAATTAGAGTGTTCAAAGCAAGCCTACGCTCTGAATACATTAGCATGGAATAACACGATAGGACTCTGGCTTATCTTGTTGGTCTGTAAGACCGGAGTAATGATTAAGAGGGACAGTCGGGGGCATTCGTATTTCATTGTCAGAGGTGAAATTCTTGGATTTATGAAAGACGAACTTCTGCGAAAGCATTTGCCAAGGATGTTTTCATTAATCAGGAACGAAAGTTGGGGGCTCGAAGACGATTAGATACCGTCGTAGTCTCAACCATAAACGATGCCGACTAGGGATTGGCAGGTGTTTCGTTGATAACCCTGCCAGCACCTTATGAGAAATCAAAGTTTTTGGGTTCCGGGGGGAGTATGGTCGCAAGGCTGAAACTTAAAGGAATTGACGGAAGGGCACCACCAGGCGTGGAGCCTGCGGCTTAATTTGACTCAACACGGGAAAACTTACCAGGTCCAGACACGGGGAGGATTGACAGATTGAGAGCTCTTTCTTGATTCTGTGGGTGGTGGTGCATGGCCGTTCTTAGTTGGTGGGTTGCCTTGTCAGGTTGATTCCGGTAACGAACGAGACCTCAGCCTGCTAAATAGTCACGTCTACCTCGGTAGGCGCCTGACTTCTTAGAGGGACTATTGGCGTTTAGCCAATGGAAGTGTGAGGCAATAACAGGTCTGTGATGCCCTCAGATGTTCTGGGCCGCACGCGCGCTACACTGATGCATTCAACGAGCCTATCCTTGGCCGAGAGGTCCGGGTAATCTTTGAAACTGCATCGTGATGGGGATAGATTATTGCAATTATTAGTCTTCAACGAGGAATGCCTAGTAAGCGCGAGTCATCAGCTCGCGTTGATTACGTCCCTGCCCTTTGTACACACCGCCCGTCGCTCCTACCGATTGGGTGTGCTGGTGAAGTGTTTGGATCGGTATCAATGGG</t>
  </si>
  <si>
    <t>Negativo para publicación</t>
  </si>
  <si>
    <t>Triple-secuencia</t>
  </si>
  <si>
    <t>MEDIA CALIDAD</t>
  </si>
  <si>
    <t>Secuencia bacteria Rhizobium</t>
  </si>
  <si>
    <t>Secuencia pero mala</t>
  </si>
  <si>
    <t>Filogenia pendiente</t>
  </si>
  <si>
    <t>&gt;GLA7_EUKA_Premix
CATGTCTAAGTATAAACTGCTTTATACTGTGAAACTGCGAATGGCTCATTAAATCAGTTATAGTTTATTTGATGGTACCTTACTACCGGATAACCGTAGTAATTCTAGAGCTAATACGTGCGTAAATCCCGACTTCTGGAAGGGACGTATTTATTAGATTTAAGGCCGACCCGGCTCTGCCGGTCTCGCGGTGAATCATGATAACTTCACGAATCGCATGGCCTTGCGCCGGCGATGTTTCATTCAAATTTCTGCCCTATCAACTTTCGATGGTAGGATAGAGGCCTACCATGGTGGTAACGGGTGACGGAGGATTAGGGTTCGATTCCGGAGAGGGAGCCTGAGAAACGGCTACCACATCCAAGGAAGGCAGCAGGCGCGCAAATTACCCAATCCTGACACAGGGAGGTAGTGACAATAAATAACAATACCGGGCCTTTTCAGGTCTGGTAATTGGAATGAGTACAATCTAAACCCCTTAACGAGGATCAATTGGAGGGCAAGTCTGGTGCCAGCAGCCGCGGTAATTCCAGCTCCCATAGCGTATATTTAAGTTGCTGCAGTTAAAAAGCTCGTAGTTGGATTTCGGGCGGGGCCTGCCGGTCCGCCGTTTCGGTGTGCACTGGCAGGGCCCGCCTTGTTGCCGGGGACGGGCTCCTGGGCTTCACTGTCCGGGACTCGGAGTCGGCGCTGTTACTTTGAGTAAATTAGAGTGTTCAAAGCAGGCCTACGCTCTGAATACATTAGCATGGAATAACACGATAGGACTCTGGCCTATCCTGTTGGTCTGTAGGACCGGAGTAATGATTAAGAGGGACAGTCGGGGGCATTCGTATTTCGATGTCAGAGGTGAAATTCTTGGATTTTCGAAAGACGAACTACTGCGAAAGCATTTGCCAAGGATGTTTTCATTAATCAAGAACGAAAGTTGGGGGCTCGAAGACGATTAGATACCGTCCTAGTCTCAACCATAAACGATGCCGACTAGGGATCGGCGGAAGTTTCTTCGATGACTCCGCCGGCACCTTATGAGAAATCAAAGTTTTTGGGTTCCGGGGGGAGTATGGTCGCAAGGCTGAAACTTAAAGGAATTGACGGAAGGGCACCACCAGGCGTGGAGCCTGCGGCTTAATTTGACTCAACACGGGAAAACTTACCAGGTCCAGACATAGTGAGGATTGACAGATTGAGAGCTCTTTCTTGATTCTATGGGTGGTGGTGCATGGCCGTTCTTAGTTGGTGGGTTGCCTTGTCAGGTTGATTCCGGTAACGAACGAGACCTCAGCCTGCTAAATAGTCACGGCCTCCTCGGGGGCCGGCAGACTTCTTAGAGGGACTATTGG</t>
  </si>
  <si>
    <t>&gt;GLH3_EUKA_Premix Chlorella thermophila
GTATAAACTGTTTTATACTGTGAAACTGCGAATGGCTCATTAAATCAGTTATAGTTTATTTGATGGTACCTACTACTCGGATACCCGTAGTAAATCTAGAGCTAATACGTGCGCAAATCCCGACTTCTGGAAGGGACGTATTTATTAGATAAAAGGCCGACCGGGCTTGCCCGACTCGCGGTGAATCATGATAACTTCACGAATCGCATGGCCTCGTGCCGGCGATGTTTCATTCAAATTTCTGCCCTATCAACTTTCGATGGTAGGATAGAGGCCTACCATGGTGGTAACGGGTGACGGAGGATTAGGGTTCGATTCCGGAGAGGGAGCCTGAGAAACGGCTACCACATCCAAGGAAGGCAGCAGGCGCGCAAATTACCCAATCCTGACACAGGGAGGTAGTGACAATAAATAACAATACTGGGCCTTTTCAGGTCTGGTAATTGGAATGAGTACAATCTAAACCCCTTAACGAGGATCAATTGGAGGGCAAGTCTGGTGCCAGCAGCCGCGGTAATTCCAGCTCCAATAGCGTATATTTAAGTTGCTGCAGTTAAAAAGCTCGTAGTTGGATTTCGGGTGGGGCCTGCCGGTCCGCCGTTTCGGTGTGCACTGGCAGGGCCCACCTTGTTGCCGGGGACGGGCTCCTGGGCTTCACTGTCCGGGACTCGGAGTCGGCGCTGTTACTTTGAGTAAATTAGAGTGTTCAAAGCAGGCCTACGCTCTGAATACATTAGCATGGAATAACACGATAGGACTCTGGCCTATCCTGTTGGTCTGTAGGACCGGAGTAATGATTAAGAGGGACAGTCGGGGGCATTCGTATTTCATTGTCAGAGGTGAAATTCTTGGATTTATGAAAGACGAACTACTGCGAAAGCATTTGCCAAGGATGTTTTCATTAATCAAGAACGAAAGTTGGGGGCTCGAAGACAATAAGATACCGTCCTAGTCTCAACCATAAACGATGCCAACTAGGGATCGGCGGATGTTTCTTCGATGACTCCGCCGGCACCTTATGAGAAATCAAAGTTTTTGGGTTCCGGGGGGAATATGGTCGCAAGGCTGAAACTTAAAGGAATTGACGGAAGGGCACCACCAGGCCTGGAGCCTGCGGCTTAATTTGACTCAACACGGGAAAACTTACCAGGTCCAGACATAGTGAGGATTGACAGATTGAGAGCTCTTTCTTGATTCTATGGGTGGTGGTGCATGGCCGTTCTTAGTTGGTGGGTTGCCTTGTCAGGTTGATTCCGGTAACGAACGAGACCTCAGCCTGCTAAATAGTCACGGTTGGCTCGCCAGCCGGCGGACTTCTTAGAGGGACTATTGGCGACTAGCCAATGGAAGCATGAGGCAATAACAGGTCTGTGATGCCCTTAGATGTTCTGGGCCGCACGCGCGCTACACTGATGCATTCAACGAGCCTATCCTTGGCCGAGAGGCCCGGGTAATCTTTGAATCTGCATCGTGATGGGGATAGATTATTGCAATTATTAATCTTCAACGAGGAATGCCTAGTAAGCGCAAGTCATCAGCTTGCGTTGATTACGTCCCTGCCCTTTGTACACACCGCCCGTCGCTCCTACCGATTGGGTGTGCTGGTGAAGTGTTCGGATTGGCGACCGGGGGCGGTCTCCGCTCTCGGCCGC</t>
  </si>
  <si>
    <t>&gt;HL2G5_EUKB_Premix
GTTGTTCAGTTTCAGCGCCAGTGGCTGGAAACAAGTTGCTAGTCACATTCCCATTTGCAGGTCAACAACCTGCAAAATGATTGTGGCAACATCCTCAAATTGCTGGGAAGCCCTAAAGCTGCTACATACCAAAGCTCGCTGGAAACAGCTAGCTGGCCAGGTTAATAACCTCGGGTATGGTGACAATTGTAGCAGATGAAGCATGCTCACATGCTGAAATGGGTAATCAGCAGCCAAGTCCTAAACGTGCTCGGTGTGGACAAGAGCCAAACCCAGTATGCATGGATGCAGTTCACAGACTAAATGGGGATGGGCCATCTAGGTCACATGGAGGCTAATGCATCCTTGGACCTGACGACGGCTTAAGATATAGTCGGCCTGTATCGAGAGGTACCCGATAGGAGGAAGTTTCAGCATTATGAAACGGAGAGCCTACCGGACGTCGTGTAATACTGTCTAGAGTAATCTGGCCAGGGCAAACTCTACCATGTTGGAGTCAATGCCTACGACGTAGATTCAGCGGGAGCCTGCGGCTTAATTTGACTCAACACGGGAAAACTTACCAGGTCCAGACATAGTGAGGATTGACAGATTGAGAGCTCTTTCTTGATTCTATGGGTGGTGGTGCATGGCCGTTCTTAGTTGGTGGGTTGCCTTGTCAGGTTGATTCCGGTAACGAACGAGACCTCAGCCTGCTAAATAGTCCTAGTTGCTTTTTGCAGCTAGCTGACTTCTTAGAGGGACTATTGGCGTTTAGTCAATGGAAGTATGAGGCAATAACAGGTCTGTGATGCCCTTAGATGTTCTGGGCCGCACGCGCGCTACACTGATGCATTCAACAAGCCTATCCTTGACCGAAAGGTCCGGGTAATCTTTGAAACTGCATCGTGATGGGGATAGATTATTGCAATTATTAGTCTTCAACGAGGAATGCCTAGTAAGCGCAAGTCATCAGCTTGCGTTGATTACGTCCCTGCCCTTTGTACACACCGCCCGTCGCTCCTACCGATTGGGTGTGCTGGTGAAGTGTTCGGATTGGCAGCTTAGGGTGGCAACACCTCAGGTCTGCCGAGAAGTTCATTAAACCCTC</t>
  </si>
  <si>
    <t>Sanger-Jan</t>
  </si>
  <si>
    <t>&gt;J3_EUKA_Premix
CTGTGAAACTGCAAAGGGCTCAATAAATCATTTAGAGTTTATTTGATGGTACCACACTACTCGGATAACCGTAGTAAAGCTACAGCTAATACGTGCGTAACTCCCGACTTACGAAGGGACGTATTTATTAGATTCAAGGCCGACCGTGCTTGCACGTCTTTGGTGAATCACGGTAACTTCACGAATCGCATGGTTTATCCCGGCTATGTTTCATTCAACTTTCTGCCCTATCAACTTTCGACGGTAGTATAGAGGACTACCGTGGTGGTAACGGGTGACGGACGATTAAGGTTCGATTCCAGAGAGGGAGCCTGAGAAACGGCTACCACATCCGAGGAAGGCAGCAGGCGCGCAAATTACCCAATCCTGACACAGGGAGGTAGTGACAATAAATATCAATTCTGGGCCACATGGTCCGGTAATTGGAATGAGTACAATGTAAACGCCTTAACAAGGATCCCTTGAAGGGCAAGTCTGGTGCCACCAGCCCCGGTAATTCCGGCTCCAATAGCGTAAATCTAATTTGTTGCATTTAAAAAGCTCGTAGTTGGATTTCGGGTGGGACGCAGCGGTCTCGCATTGCGTTTGTACTGCTGCAGCCCTCCTTCTTGCCGGGGGCGGCCCATCGGACTTCTCTGTCTGGGGGTCACAAACGGCTATTTTACTTTGAGTAAATTATAGTGTTCAAAGCAAGCTTACGCTCTGAATATAATAGCATGGGAGAACACAACCGGACTCTGGCCTATCGTGTTGGTCTATAGGACCATAGTAATGATCAACAGGGACAGTCAGGGGCATTCTTATTCCGTTGTCAGAGGTGAAATTCTTGGATTTACGGAAGACGACCATCTGCGAAAGCATTGTCCAAGGATGTTTTCATTGATCATAACGAAAGTTGGGGGCTCGAAGACAATAAGATACCGTCGTAGTCTCAACCTAAACTATCCGACAACGATTGGCGGTG</t>
  </si>
  <si>
    <t>&gt;LK2E2_EUKB_Premix
CGGGACTGGGAGTCGGCGAGGATACTTTGAGTAAATGGAGTGTTCAAAGCAGGCCTACGCTCTGAACATTTAGCATGAATATCACGATAGGACTCTGGCCTATCTTGTTGGTCTGTAGGACCGGAGTAATGATTAAGAGGGACAGTCGGGGGCATTCGTATTTCATTGTCAGAGGTGAAATTCTTGGATTTATGAAAGACGAACTACTGCGAAAGCATTTGCCAAGGATGTTTTCATTAATCAAGAACGAAAGTTGGGGGCTCGAAGACGATTAGATACCGTCGTAGTCTCAACCATAAACGATGCCGACTAGGGATTGGCGGATGTTCTTTTGATGACTCCGCCAGCACCTTATGAGAAATCAAAGTTTTTGGGTTCCGGGGGGAGTATGGTCGCAAGGCTGAAACTTAAAGGAATTGACGGAAGGGCACCACCAGGCGTGGAGCCTGCGGCTTAATTTGACTCAACACGGGAAAACTTACCAGGTCCAGACATAGTGAGGATTGACAGATTGAGAGCTCTTTCTTGATTCTATGGGTGGTGGTGCATGGCCGTTCTTAGTTGGTGGGTTGCCTTGTCAGGTTGATTCCGGTAACGAACGAGACCTCAGCCTGCTAAATAGTGACGTGCGCTTTTTGCGGACGGCTCACTTCTTAGAGGGACTATTGGCGCTCAGTCAATGGAAGTATGAGGCAATAACAGGTCTGTGATGCCCTTAGATGTTCTGGGCCGCACGCGCGCTACACTGATGCATTCAACGAGCCTATCCTTGACCGAGAGGTCCGGGTAATCTTTGAAACTGCATCGTGATGGGGATAGATTATTGCAATTATTAGTCTTCAACGAGGAATGCCTAGTAAGCGCAAGTCATCAGCTTGCGTTGATTACGTCCCTGCCCTTTGTACACACCGCCCGTCGCTCCTACCGATTGGGTGTGCTGGTGAAGTGTTCGGATTGGCAGAAGTTGGTGGCAACACTGACTACTGCCGAGAAGTTCATTAAA</t>
  </si>
  <si>
    <t>Pseudomuriella  sp.</t>
  </si>
  <si>
    <t>&gt;RBCH10_EUKB_Premix
GTGTTCAAAGCAGGCCTACGCTCTGAATACGTTAGCATGGAATAACACGATAGGACTCTGGCCTATCTTGTTGGTCTGTGGGACCGGAGTAATGATTAAGAGGGACGGTCGGGGGCATTCGTATTTCATTGTCAGAGGTGAAATTCTTGGATTTATGAAAGACGAACTTCTGCGAAAGCATTTGCCAAGGATGTTTTCATTAATCAAGAACGAAAGTTGGGGGCTCGAAGACGATTAGATACCGTCCTAGTCTCAACCATAAACGATGCCGACTAGGGATCGGCGGGTGTTCTTTCGATGACCCCGCCGGCACCTTACGAGAAATCAAAGTTTTTGGGTTCCGGGGGGAGTATGGTCGCAAGGCTGAAACTTAAAGGAATTGACGGAAGGGCACCACCAGGCGTGGAGCCTGCGGCTTAATTTGACTCAACACGGGAAAACTTACCAGGTCCAGACATAGTGAGGATTGACAGATTGAGAGCTCTTTCTTGATTCTATGGGTGGTGGTGCATGGCCGTTCTTAGTTGGTGGGTTGCCTTGTCAGGTTGATTCCGGTAACGAACGAGACCTCAGCCTGCTAAATAGTCACGCTCGGCTTCTGCCGGGCGGCAGCGCTTCTTAGAGGGACTATCGGCGACTAGCCGATGGAAGTGTGAGGCAATAACAGGTCTGTGATGCCCTTAGATGTTCTGGGCCGCACGCGCGCTACACTGACGCAATCAACGAGCCCAGCCTTGGTCGAGAGACCCGGGTAATCTTGTAACCTGCGTCGTGATGGGGCTAGACTCTTGCAATTATTAGTCTTCAACGAGGAATGCCTAGTAAGCGCGAGTCATCAGCTCGCGTTGATTACGTCCCTGCCCTTTGTACACACCGCCCGTCGCTCCTACCGATTGGATGTGCTGGTGAAGCCCTAGGACTGGCGGCCTTTGGTGGTTCTCCGCCGACGGTCGCCGGGAATTCGGTTAAACC</t>
  </si>
  <si>
    <t>&gt;RD1A8_EUKA_B
TATAAACTGCTTATACTGTGAAACTGCGAATGGCTCATTAAATCAGTTATAGTTTATTTGGTGGTACCTTCTTACTCGGAATAACCGTAAGAAATTTAGAGCTAATACGTGCGTAAATCCCGACTTCTGGAAGGGACGTATATATTAGATAAAAGGCCGACCGGACTCTGTCCGACCCGCGGTGAATCATGATATCTTCACGAAGCGCATGGCCTTGTGCCGGCGCTGTTCCATTCAAATTTCTGCCCTATCAACTTTCGATGGTAGGATAGAGGCCTACCATGGTGGTAACGGGTGACGGAGGATTAGGGTTCGATTCCGGAGAGGGAGCCTGAGAAACGGCTACCACATCCAAGGAAGGCAGCAGGCGCGCAAATTACCCAATCCTGATACGGGGAGGTAGTGACAATAAATAACAATACCGGGCATTTCATGTCTGGTAATTGGAATGAGTACAATCTAAATCCCTTAACGAGGATCCATTGGAGGGCAAGTCTGGTGCCAGCAGCCGCGGTAATTCCAGCTCCAATAGCGTATATTTAAGTTGTTGCAGTTAAAAAGCTCGTAGTTGGATTTCGGGTGGGTTTCAGCGGTCCGCCTATGGTGAGTACTGCTGTGGCCTATCTTACTGTCGGGGACCTGCTTCTGGGCTTCATTGTCCGGGACAGGGATTCGGCATGGTTACTTTGAGTAAATTGGAGTGTTCAAAGCAGGCTTACGCCGTGAACATTTTAGCATGGAATAACATGATAGGACTCTGCCCTATTCTGTTGGCCTGTAGGAGTGGAGTAATGATTAAGAGGAACAGTCGGGGGCATTCGTATTTCATTGTCAGAGGTGAAATTCTTGGATTTATGAAAGACGAACTACTGCGAAAGCATTTGCCAAGGATGTTTTCATTAATCAAGAACGAAAGTTGGGGGCTCGAAGACGATTAGATACCGTCGTAGTCTCAACCATAAACGATGCCAACTAGGGATTGGCGGACGTTTTTGCATGACTCCCTCAGCACCTTGAGAGAAATCAAAGTTTTTGGGTCCCGGGGGGGGTATGGTCGCAAGGCTGAAACTTAAAGGAATTGACGGAAGGGCACCACCAGGCGTGGAGCCGGCGGCTTAATTTGACTCAACACGGGAAAACTTACCAGGTCCAGACATAGGAAGGATTGACAGATTGAGAGCTCTTTCTTGATTCTATGGGTGGTGGTGCATGGCCGTTCTTAGTTGGTGGGTTGTCTTGTCAGGTTGATTCCGGTAACGAACGAGACCTCAGCCTTTAAATAGTCACTGTCGCTTTTTGCGGCTGGCTTTTGACTTCTTAGAGGGACAGTTGGCGTTTAGTCAACGGAAGTATGAGGCAATAACAGGTCTGTGATGCCCTTAGATGTTCTGGGCCGCACGCGCGCTACACTGATGCATTCAACAAGCCTATCCCTAGCCGAAAGGCTCGGGTAATCTTTGAAACTGCATCGTGATGGGGATAGATTATTGCAATTATTAGTCTTCAACGAGGAATGCCTAGTAAGCGCAATTCATCAGATTGCGTTGATTACGTCCCTGCCCTTTGTACACACCGCCCGTCGCTCCTACCGATTGGGTGTGCTGGTGAAGTGTTCGGATTGGCAATTATCGGTGGCAACACCGTCGATTGCCGAGAAGTTCA</t>
  </si>
  <si>
    <t>&gt;RD1F9_EUKA_Premix
CATGCATGTCTAAGTATAAACTGCTTATACTGTGAAACTGCGAATGGCTCATTAAATCAGTTATAGTTTATTTGGTGGTACCTTACTACTCGGATAACCGTAGTAATTCTAGAGCTAATACGTGCGTAAATCCCGACTCCTGGAAGGGACGTATATATTAGATAAAAGGCCGACCGGACTTTGTCCGACCCGCGGTGAATCATGATATCTTCACGAAGCGCATGGCCTTGCGCCGGCGCTGTTCCATTCAAATTTCTGCCCTATCAACTTTCGATGGTAGGATAGAGGCCTACCATGGTGGTAACGGGTGACGGAGGATTAGGGTTCGATTCCGGAGAGGGAGCCTGAGAAACGGCTACCACATCCAAGGAAGGCAGCAGGCGCGCAAATTACCCAATCCTGATACGGGGAGGTAGTGACAATAAATAACAATACCGGGCATTTCATGTCTGGTAATTGGAATGAGTACAATCTAAATCCCTTAACGAGGATCCATTGGAGGGCAAGTCTGGTGGACATTCAACCCATGCTGTTGACGCCAGAGATAGTAGGGCATTTGCTATGTTTGCAATTGTTATGCCTGCTAGTCGAGCAATCATTCAATTGAACGGGCTGATTGCCGGCAAGACGACCTGGTACGGGGAAGGCCTTCACTATTAAGGGCTAATCCCGTGGCGAGCTTGCAAAGGGTGACTTTTGTAAAGCCGTTGTAACGCACGGTAAGGCGTCGGCTGACTCAGTCAGAGTTGGCTTAAGGGACGTGCTAACCCCACCCGATGATAAAGGGTGTCCAATGCAATAGCACCCGTTCTGCAAAGGCATTGGAGGGCTACAGTGTAAGGAGGAAATGCCATACACTTGCCCGGTACAATTCAACTGGGATTCCAAGAGTTACCAATTCAATCAAATCAACATCAGATTGCCTTGGTAAAGTCGAACCCAGTGAAAGTGGCCAGCAGCCGCGGTAATTCCCGCTCCATAGCGTATATTTAAGTTGTTGCAGTTAAAAG
&gt;RD1F9_EUKB_Premix
AAACAACCAGCTGGCCAGGTTAATAACCTCGGGTATGGTGACAACTGTAGCAGATGAAGCATGCTCACATGCTGAAATGTGTAATCAGCAGCCAAGTCCTAAACGTGCTCGGTGTGCTTAACACAGCTTCACCAAGTGTGCATGGATGCAGTTCACAGACTAAATGGGGGTGGGTCATCTAGTTCAACAGAACATCTCGATGGCTTAAGATATTGTCGGCCTGTACCGAGAGGTACCCGGCAGGAGGAAGTTTCAATCTAAATGAAATGGAGAGCCTGTCGGACGTCGTGTAATACTGTCTAGAGCAATCTAGCCAGGGCAAGCTCCACCACGGTGGAGCCAGTGCGTACGACGTAGAATCAGCGGGAGCCTGCGGCTTAATTTGACTCAACACGGGAAAACTTACCAGGTCCAGACATAGTGAGGATTGACAGATTGAGAGCTCTTTCTTGATTCTATGGGTGGTGGTGCATGGCCGTTCTTAGTTGGTGGGTTGCCTTGTCAGGTTGATTCCGGTAACGAACGAGACCTCAGCCTGCTAAATAGTCCTAGTTGCTTTTTGCAGCTAGCTGACTTCTTAGAGGGACTATTGGCGTTTAGTCAATGGAAGTATGAGGCAATAACAGGTCTGTGATGCCCTTAGATGTTCTGGGCCGCACGCGCGCTACACTGATGCATTCAACAAGCCTATCCTTGACCGAAAGGTCCGGGTAATCTTTGAAACTGCATCGTGATGGGGATAGATTATTGCAATTATTAGTCTTCAACGAGGAATGCCTAGTAAGCGCAAGTCATCAGCTTGCGTTGATTACGTCCCTGCCCTTTGTACACACCGCCCGTCGCTCCTACCGATTGGGTGTGCTGGTGAAGTGTTCGGATTGGCAGCTTAGGGTGGCAACACCTCAGGTCTGCCGAGAAGTTCATTAAACCCTCCCACCTAGAGAAGAGAGTCGAATGCAGC</t>
  </si>
  <si>
    <t>&gt;RDCE1_EUKA_Premix
GCATGTCTAAGTATAAACTGCTTATACTGTGAAACTGCGAATGGCTCATTAAATCAGTTATAGTTTATTTGGTGGTACCTTACTACTCGGATAACCGTAGTAATTCTAGAGCTAATACGTGCGCAAATCCCGACTCCTGGAAGGGACGTATATATTAGATAAAAGGCCGACCGGACTTTGTCCGACCCGCGGTGAATCATGATATCTTCACGAAGCGTATGGCCTTGCGCCGACGCTGTTCCATTCAAATTTCTGCCCTATCAACTTTCGATGGTAGGATAGAGGCCTACCATGGTGGTAACGGGTGACGGAGGATTAGGGTTCGATTCCGGAGAGGGAGCCTGAGAAACGGCTACCACATCCAAGGAAGGCAGCAGGCGCGCAAATTACCCAATCCTGATACGGGGAGGTAGTGACAATAAATAACAATACCGGGCATTTCATGTCTGGTAATTGGAATGAGTACAATCTAAATCCCTTAACGAGGATCCATTGGAGGGCAAGTCTGGTGGACATTCAACCCATGCTGTTGACGCCAGAGATAGTAGGGCATTTGCTATGTTTGCAATTGTTATGCCTGCTAGTCGAGCAATCATTCAATTGAACGGGCTGATTGCCGGCAAGACGACCTGGTACGGGGAAGGCCCTCACAACTAAGGGCTAATCCCGTGGCGAGCTTGCAAAAGGTGACTTTTGTAAAGCCGTCGTAACGCACGGTAAGGCGTCGGCTGACTCAATAAGAGTTGGCTTAAGGGACGTGCTAACCCCACCCGATGATAAAGGGTGTCCAATGCAATAGCACCCGTTCTGCAAAGGCATTGGAGGGCTATAGTGTAAGGAGGAAATGCCATACACTGCCCGGTACAATTCAACTGGGATTCCAAGAGGTACCCAGTGAAAGTGGCCAGCAGCCGCGGTAATTCCAGCTCCAATAGCGTATATTTAAGTTGTTGCAGTTAAAAAGCTCGTAGTTGGATTTCGGGTGGGTTCTAGCGGTCCGCCTATGGTGAGTACTGCTATGGCCTTCCTT                                  &gt;RDCE1_EUKB_Premix
GGCAACATCCTCAAATTGCTGGGAAGCCCTAAAACTGCTACATACCAAAGCTTGTTGGAAACAACTAGCTGGCCAGGTTAATGACCTCGGGTATGGTGACAACTGTAGCAGATGAAGCATGCTCACATGCTGAAATGGGTAATCAGCAGCCAAGTCCTAAACGTGCTCGATGTGTTCAACATGACTCCACCGCAAGGGAGCTTATTGGTTGTCCAAGACACACCAAGCATGCATGGATGCAGTTCACAGACTAAATGGGGGTGGGCCCTCGAGGCTTAAGATATAGTCGGCCTGTACCGAGAGGTACCCGACAGGAGGAAGTTTCAGCCATACTGAAATGGAGAGCCTGTCGGACGTCGTGTAATACTGTCTAGAGCAATCTAGCCAGGGCAAGCTCCACCACGGTGGAGCCAATGTAGGCCTACGACGTAGATTCAGCGGGAGCCTGCGGCTTAATTTGACTCAACACGGGAAAACTTACCAGGTCCAGACATAGTGAGGATTGACAGATTGAGAGCTCTTTCTTGATTCTATGGGTGGTGGTGCATGGCCGTTCTTAGTTGGTGGGTTGCCTTGTCAGGTTGATTCCGGTAACGAACGAGACCTCAGCCTGCTAAATAGTCCTAGTTGCTTTTTGCAGCTAGCTGACTTCTTAGAGGGACTATTGGCGTTTAGTCAATGGAAGTATGAGGCAATAACAGGTCTGTGATGCCCTTAGATGTTCTGGGCCGCACGCGCGCTACACTGATGCATTCAACAAGCCTATCCTTGACCGAAAGGTCCGGGTAATCTTTGAAACTGCATCGTGATGGGGATAGATTATTGCAATTATTAGTCTTCAACGAGGAATGCCTAGTAAGCGCAAGTCATCAGCTTGCGTTGATTACGTCCCTGCCCTTTGTACACACCGCCCGTCGCTCCTACCGATTGGGTGTGCTGGTGAAGTGTTCGGATTGGCAGCTTAGGGTGGCAACACCTCAGGTCTGCCGAGAAGTTCATTAAACCCTCCC</t>
  </si>
  <si>
    <t>&gt;RH1B12_EUKA_Premix
TCTAAGTATAAACTGCTTTATACTGTGAAACTGCGAATGGCTCATTAAATCAGTTATAGTTTATTTGATGGTACCTTACTACCGGATAACCGTAGTAATTCTAGAGCTAATACGTGCGTAAATCCCGACTTCTGGAAGGGACGTATTTATTAGATTTAAGGCCGACCCGGCTCTGCCGGTCTCGCGGTGAATCATGATAACTTCACGAATCGCATGGCCTTGCGCCGGCGATGTTTCATTCAAATTTCTGCCCTATCAACTTTCGATGGTAGGATAGAGGCCTACCATGGTGGTAACGGGTGACGGAGGATTAGGGTTCGATTCCGGAGAGGGAGCCTGAGAAACGGCTACCACATCCAAGGAAGGCAGCAGGCGCGCAAATTACCCAATCCTGACACAGGGAGGTAGTGACAATAAATAACAATACCGGGCCTTTTCAGGTCTGGTAATTGGAATGAGTACAATCTAAACCCCTTAACGAGGATCAATTGGAGGGCAAGTCTGGTGCCAGCAGCCGCGGTAATTCCAGCTCCCATAGCGTATATCTAAGTTGCTGCAGTTAAAAAGCTCGTAGTTGGATTTCGGGCGGGGCCTGCCGGTCCGCCGTTTCGGTGTGCACTGGCAGGGCCCGCCTTGTTGCCCGGGACGGGCTCCTGGGCTTCACTGTCCGGGACTCGGAGTCGGCGCTGTTACTTTGAGTAAATTAGAGTGTTCAAAGCAGGCCTACGCTCTGAATACATTAGCATGGAATAACACGATTGGACTCTGGCCTATCCTGTTGGTCTGTAGGACCGGAGTAATGATTAAGAGGGACAGTCGGGGGCATTCGTATTTCGATGTCAGAGGTGAAATTCTTGGATTTTCGAAAGACGAACTACTGCGAAAGCATTTGCCAAGGATGTTTTCATTAATCAAGAACGAAAGTTGGGGGCTCGAAGACAATTAGATACCGTCCTAGTCTCAACCATAAACGATGCCGACTAGGGATCGGCGGATGTTTCTTCGATGACTCCGCCGGCACCTTATGAGAAATCAAAGTTTTTGGGTTCCGGGGGGAGTATGGTCGCAAGGCTGAAACTTAAAGGAATTGACGGAAGGGCACCACCAGGCGTGGAGCCTGCGGCTTAATTTGACTCAACACGGGAAAACTTACCAGGTCCAGACATAGTGAGGATTGACAGATTGAGAGCTCTTTCTTGATTCTATGGGTGGTGGTGCATGGCCGTTCTTAGTTGGTGGGTTGCCTTGTCAGGTTGATTCCGGTAACGAACGAGACCTCAGCCTGCTAAATAGTCACGGCCTCCTCGGGGGCCGGCAGACTTCTTAGAGGGACTATTGGCGACTAGCCAATGGAAGCATGAGGCAATAACAGGTCTGTGATGCCCTTAGATGTTCTGGGCCGCACGCGCGCTACACTGATGCAATCAACGAGCCTAGCCTTGGCCGAGAGGCCCGGGTAA-TCTTTGAAACTGCATCGTGATGGGGATAGATTATTGCAATTATTAATCTTCAACGAGGAATGCCTAGTAAGCGCAAGTCATCAGCTTGCGTTGATTACGTCCCTGCCCTTTGTACACACCGCCCGTCGCTCCTACCGATTGGGTGTGCTGGTGAAGTGTTCGGATTGGCAACCCGGGGCGGTTTCC</t>
  </si>
  <si>
    <t>&gt;RJ1A12_EUKA_B
TGCATGTCTAAGTATAAACTGCTTTATACTGTGAAACTGCGAATGGCTCATTAAATCAGTTATAGTTTATTTGATGGTACCTACTACTCGGATACCCGTAGTAAATCTAGAGCTAATACGTGCGTAAATCCCGACTTCTGGAAGGGACGTATTTATTAGATAAAAGGCCGACCGGGCTCTGCCCGACTCGCGGTGAATCATGATAACTTCACGAATCGCATGGCCTTGTGCCGGCGATGTTTCATTCAAATTTCTGCCCTATCAACTTTCGATGGTAGGATAGAGGCCTACCATGGTGGTAACGGGTGACGGAGGATTAGGGTTCGATTCCGGAGAGGGAGCCTGAGAAACGGCTACCACATCCAAGGAAGGCAGCAGGCGCGCAAATTACCCAATCCTGACACAGGGAGGTAGTGACAATAAATAACAATACTGGGCCTTTTCAGGTCTGGTAATTGGAATGAGTACAATCTAAACCCCTTAACGAGGATCAATTGGAGGGCAAGTCTGGTGCCAGCAGCCGCGGTAATTCCAGCTCCAATAGCGTATATCTAAGTTGCTGCAGTTAAAAAGCTCGTAGTTGGATTTCGGGTGGGGCCTGCCGGTCCGCCGTTTCGGTGTGCACTGGCAGGGCCCACCTTGTTGCCGGGGACGGGCTCCTGGGCTTCACTGTCCGGGACTCGGAGTCGGCGCTGTTACTTTGAGTAAATTAGAGTGTTCAAAGCAGGCCTACGCTCTGAATACATTAGCATGGAATAACACGATAGGACTCTGGCCTATCCTGTTGGTCTGTAGGACCGGAGTAATGATTAAGAGGGACAGTCGGGGGCATTCGTATTTCATTGTCAGAGGTGAAATTCTTGGATTTATGAAAGACGAACTACTGCGAAAGCATTTGCCAAGGATGTTTTCATTAATCAAGAACGAAAGTTGGGGGCTCGAAGACGATTAGATACCGTCCTAGTCTCAACCATAAACGATGCCAACTAGGGATCGGCGGATGTTTCTTCGATGACTCCGCCGGCACCTTATGAGAAATCAAAGTTTTTGGGTTCCGGGGGGGATATGGTCGCAAGGCTGAAACTTAAAGGAATTGACGGAAGGGCACCACCCGGCGTGGAGCCTGCGGCTTAATTTGACTCAACACGGGAAAACTTACCAGGTCCAGACATAGTGAGGATTGACAGATTGAGAGCTCTTTCTTGATTCTATGGGTGGTGGTGCATGGCCGTTCTTAGTTGGTGGGTTGCCTTGTCAGGTTGATTCCGGTAACGAACGAGACCTCAGCCTGCTAAATAGTCACGGTTGGTTCTCCAGCCGGCGGACTTCTTAGAGGGACTATTGGCGACTAGCCAATGGAAGCATGAGGCAATAACAGGTCTGTGATGCCCTTAGATGTTCTGGGCCGCACGCGCGCTACACTGATGCATTCAACGAGCCTAGCCTTGGCCGAGAGGCCCGGGTAATCTTTGAAACTGCATCGTGATGGGGATAGATTATTGCAATTATTAATCTTCAACGAGGAATGCCTAGTAAGCGCAAGTCATCAGCTTGCGTTGATTACGTCCCTGCCCTTTGTACACACCGCCCGTCGCTCCTACCGATTGGGTGTGCTGGTGAAGTGTTCGGATTGGCGACCGGGTGCGGTCTCCGCTCTCGGCCGCCGAGAAGTTCAT</t>
  </si>
  <si>
    <t>&gt;RJ2A12_EUKB_Premix
TTCTGGTCACATTACCATCTCTGGCAAGACAGCCTGCAGTATGGACGTGGCAACACCCTCAAATTGCTGGGAAGCCCTAAAGCTGCTACATACCAAAGCTTGTCGGAAACAACCAGCAGGCCAGGTTAATAACCTCGGGTATGGTGACAACTGTAGCAGATGAAGCATGCTCACATGCTGAAATGTGTAATCAGCAGCCAAGTCCTAAACGTGCTCGGTGTGCTTAACACAGCTTCACCAAGTGTGCATGGATGCAGTTCACAGACTAAATGGGGGTGGGTCATCTAGTTCAACAGAACATCTCGATGGCTTAAGATATTGTCGGCCTGTACCGAGAGGTACCCGGCAGGAGGAAGTTTCAATCTAAATGAAATGGAGAGCCTGTCGGACGTCGTGTAATACTGTCTAGAGCAATCTAGCCAGGGCAAGCTCCACCACGGTGGAGCCAGTGCGTACGACGTAGAATCAGCGGGAGCCTGCGGCTTAATTTGACTCAACACGGGAAAACTTACCAGGTCCAGACATAGTGAGGATTGACAGATTGAGAGCTCTTTCTTGATTCTATGGGTGGTGGTGCATGGCCGTTCTTAGTTGGTGGGTTGCCTTGTCAGGTTGATTCCGGTAACGAACGAGACCTCAGCCTGCTAAATAGTCCTAGTTGCTTTTTGCAGCTAGCTGACTTCTTAGAGGGACTATTGGCGTTTAGTCAATGGAAGTATGAGGCAATAACAGGTCTGTGATGCCCTTAGATGTTCTGGGCCGCACGCGCGCTACACTGATGCATTCAACAAGCCTATCCTTGACCGAAAGGTCCGGGTAATCTTTGAAACTGCATCGTGATGGGGATAGATTATTGCAATTATTAGTCTTCAACGAGGAATGCCTAGTAAGCGCAAGTCATCAGCTTGCGTTGATTACGTCCCTGCCCTTTGTACACACCGCCCGTCGCTCCTACCGATTGGGTGTGCTGGTGAAGTGTTCGGATTGGCAGCTTAGGGTGGCAACACCTCAGGTCTGCCGAGAAGTTCAT
&gt;RJ2A12_EUKA_Premix
ACTGCTTATACTGTGAAACTGCGAATGGCTCATTAAATCAGTTATAGTTTATTTGGTGGTACCTTACTACTCGGATAACCGTAGTAATTCTAGAGCTAATACGTGCGTAAATCCCGACTCCTGGAAGGGACGTATATATTAGATAAAAGGCCGACCGGACTTTGTCCGACCCGCGGTGAATCATGATATCTTCACGAAGCGCATGGCCTTGCGCCGGCGCTGTTCCATTCAAATTTCTGCCCTATCAACTTTCGATGGTAGGATAGAGGCCTACCATGGTGGTAACGGGTGACGGAGGATTAGGGTTCGATTCCGGAGAGGGAGCCTGAGAAACGGCTACCACATCCAAGGAAGGCAGCAGGCGCGCAAATTACCCAATCCTGATACGGGGAGGTAGTGACAATAAATAACAATACCGGGCATTTCATGTCTGGTAATTGGAATGAGTACAATCTAAATCCCTTAACGAGGATCCATTGGAGGGCAAGTCTGGTGGACATTCAACCCATGCTGTTGACGCCAGAGATAGTAGGGCATTTGCTATGTTTGCAATTGTTATGCCTGCTAGTCGAGCAATCATTCAATTGAACGGGCTGATTGCCGGCAAGACGACCTGGTACGGGGAAGGCCTTCACTATTAAGGGCTAATCCCGTGGCGAGCTTGCAAAGGGTGACTTTTGTAAAGCCGTTGTAACGCACGGTAAGGCGTCGGCTGACTCAGTCAGAGTTGGCTTAAGGGACGTGCTAACCCCACCCGATGATAAAGGGTGTCCAATGCAATAGCACCCGTTCTGCAAAGGCATTGGAGGGCTACAGTGTAAGGAGGAAATGCCATACACTTGCCCGGTACAATTCAACTGGGATTCCAAGAGTTACCAATTCAATCAAATCAACATCAGATTGCCTTGGTAAAGTCGAACCCAGTGAAAGTGGCCAGCAGCCGCGGTAATTCCAGCTCCAATAGCGTATATTTAAGTTGTTGCAGTTAAAAGCTCGTAGTTGG</t>
  </si>
  <si>
    <t>Scenedesmaceae</t>
  </si>
  <si>
    <t>&gt;RJ2C2_EUKA_B
GTCTAAGTATAAACTGCTTATACTGTGAAACTGCGAATGGCTCATTAAATCAGTTATAGTTTATTTGGTGGTACCTTCTTACTCGGAATAACCGTAAGAAATTTAGAGCTAATACGTGCGTAAATCCCGACTTCTGGAAGGGACGTATATATTAGATAAAAGGCCGACCGGACTCTGTCCGACCCGCGGTGAATCATGATATCTTCACGAAGCGCATGGCCTTGTGCCGGCGCTGTTCCATTCAAATTTCTGCCCTATCAACTTTCGATGGTAGGATAGAGGCCTACCATGGTGGTAACGGGTGACGGAGGATTAGGGTTCGATTCCGGAGAGGGAGCCTGAGAAACGGCTACCACATCCAAGGAAGGCAGCAGGCGCGCAAATTACCCAATCCTGATACGGGGAGGTAGTGACAATAAATAACAATACCGGGCATTTCATGTCTGGTAATTGGAATGAGTACAATCTAAATCCCTTAACGAGGATCCATTGGAGGGCAAGTCTGGTGCCAGCAGCCGCGGTAATTCCAGCTCCCATAGCGTATATTTAAGTTGTTGCAGTTAAAAAGCTCGTAGTTGGATTTCGGGTGGGTTTCAGCGGTCCGCCTATGGTGAGTACTGCTGTGGCCTATCTTACTGTCGGGGACCTGCTTCTGGGCTTCATTGTCCGGGACAGGGATTCGGCATGGTTACTTTGAGTAAATTGGAGTGTTCAAAGCAGGCTTACGCCGTGAACATTTTAGCATGGAATAACATGATAGGACTCTGCCCTATTCTGTTGGCCTGTAGGAGTGGAGTAATGATTAAGAAGGAACAGTCGGGGGCATTCGTATTTCATTGTCAGAGGTGAAATTCTTGGATTTATGAAAGACGAACTACTGCGAAAGCATTGCCCAAGGATGTTTTCATTAATCAAGAACGAAAGTTGGGGGCTCGAAGACAATAAGATACCGTCGTAGTCTCAACCATAAACGATGCCCACAAGGGATTGGCGGAAGTTTTTGCATGACTCCCTCAGCACCTTGAGAGAAATCAAAGTTTTTGGGTTCCGGGGGGAGTATGGTCGCAAGGCTGAAACTTAAAGGAATTGACGGAAGGGCACCACCAGGCGTGGAGCCTGCGGCTTAATTTGACTCAACACGGGAAAACTTACCAGGTCCAGACATAGGAAGGATTGACAGATTGAGAGCTCTTTCTTGATTCTATGGGTGGTGGTGCATGGCCGTTCTTAGTTGGTGGGTTGTCTTGTCAGGTTGATTCCGGTAACGAACGAGACCTCAGCCTTTAAATAGTCACTGTCGCTTTTTGCGGCTGGCTTTTGACTTCTTAGAGGGACAGTTGGCGTTTAGTCAACGGAAGTATGAGGCAATAACAGGTCTGTGATGCCCTTAGATGTTCTGGGCCGCACGCGCGCTACACTGATGCATTCAACAAGCCTATCCCTAGCCGAAAGGCTCGGGTAATCTTTGAAACTGCATCGTGATGGGGATAGATTATTGCAATTATTAGTCTTCAACGAGGAATGCCTAGTAAGCGCAATTCATCAGATTGCGTTGATTACGTCCCTGCCCTTTGTACACACCGCCCGTCGCTCCTACCGATTGGGTGTGCTGGTGAAGTGTTCGGATTGGCAATTATCGGTGGCAACACCGTCGATTGCCGAGAAGTTC</t>
  </si>
  <si>
    <t>&gt;RJ2D12_EUKA_B
CTGCTTATACTGTGAAACTGCGAATGGCTCATTAAATCAGTTATAGTTTATTTGGTGGTACCTTCTTACTCGGAATAACCGTAAGAAATTTAGAGCTAATACGTGCGTAAATCCCGACTTCTGGAAGGGACGTATATATTAGATAAAAGGCCGACCGGACTCTGTCCGACCCGCGGTGAATCATGATATCTTCACGAAGCGCATGGCCTTGTGCCGGCGCTGTTCCATTCAAATTTCTGCCCTATCAACTTTCGATGGTAGGATAGAGGCCTACCATGGTGGTAACGGGTGACGGAGGATTAGGGTTCGATTCCGGAGAGGGAGCCTGAGAAACGGCTACCACATCCAAGGAAGGCAGCAGGCGCGCAAATTACCCAATCCTGATACGGGGAGGTAGTGACAATAAATAACAATACCGGGCATTTCATGTCTGGTAATTGGAATGAGTACAATCTAAATCCCTTAACGAGGATCCATTGGAGGGCAAGTCTGGTGCCAGCAGCCGCGGTAATTCCAGCTCCCATAGCGTATATTTAAGTTGTTGCAGTTAAAAAGCTCGTAGTTGGATTTCGGGTGGGTTTCAGCGGTCCGCCTATGGTGAGTACTGCTGTGGCCTATCTTACTGTCGGGGACCTGCTTCTGGGCTTCATTGTCCGGGACAGGGATTCGGCATGGTTACTTTGAGTAAATTGGAGTGTTCAAAGCAGGCTTACGCCGTGAACATTTTAGCATGGAATAACATGATAGGACTCTGCCCTATTCTGTTGGCCTGTAGGAATGGAGTAATGATTAAGAGGAACAGTCGGGGGCATTCGTATTTCATTGTCAGAGGTGAAATTCTTGGATTTATGAAAGACGAACTACTGCGAAAGCATTTGCCAAGGATGTTTTCATTAATCAAGAACGAAAGTTGGGGGCTCGAAGACAATAAGATACCGTCGTAGTCTCACCATAAACGATGCCCACAAGGGATTGGCCGGAAGTTTTTGCATGAATCCCTCAGCACCTTGAGAGAAATCAAAATTTTTGGGTTCCGGGGGGAGTATGGTCCCAGGGCTGAAAATTATTGGAATTGACCGAAGGGCGCACCCAGGCCTGGAGCCTGCGGCTTAATTTGACTCAACACGGGAAAACTTACCAGGTCCAGACATAGGAAGGATTGACAGATTGAGAGCTCTTTCTTGATTCTATGGGTGGTGGTGCATGGCCGTTCTTAGTTGGTGGGTTGTCTTGTCAGGTTGATTCCGGTAACGAACGAGACCTCAGCCTTTAAATAGTCACTGTCGCTTTTTGCGGCTGGCTTTTGACTTCTTAGAGGGACAGTTGGCGTTTAGTCAACGGAAGTATGAGGCAATAACAGGTCTGTGATGCCCTTAGATGTTCTGGGCCGCACGCGCGCTACACTGATGCATTCAACAAGCCTATCCCTAGCCGAAAGGCTCGGGTAATCTTTGAAACTGCATCGTGATGGGGATAGATTATTGCAATTATTAGTCTTCAACGAGGAATGCCTAGTAAGCGCAATTCATCAGATTGCGTTGATTACGTCCCTGCCCTTTGTACACACCGCCCGTCGCTCCTACCGATTGGGTGTGCTGGTGAAGTGTTCGGATTGGCAATTATCGGTGGCAACACCGTCGATTGCCGAGAAGTTCATTAAACC</t>
  </si>
  <si>
    <t>&gt;RPNOV_EUKAB
TGCATGTCTAAGTATAAACAGTTTATACTGTGAAACTGCGAATGGCTCATTAAATCAGTTAGAGTTTATTTGATGGTACCACACTACTCGGATAACCGTAGTAAAGCTACAGCTAATACGTGCGTAACTCCCGACTTACGAAGGGACGTATTTATTAGATTCAAGGCCGACCGTGCTTGCACGTCTTTGGTGAATCATGGTAACTTCACGAATCGCAGGGTCTATCCCGGCGATGTTTCATTCAACTTTCTGCCCTATCAACTTTCGACGGTAGTATAGAGGACTACCGTGGTGGTAACGGGTGACGGAGGATTAGGGTTCGATTCCGGAGAGGGAGCCTGAGAAACGGCTACCACATCCCAGGAAGGCAGCAGGCGCGCAAATTACCCAATCCTGACACAGGGAGGTAGTGACAATAAATATCAATTCTGGGCCACATGGTCCGGTAATTGGAATGAGTACAATGTAAACGCCTTAACGAGGATCCATTGGAGGGCAAGTCTGGTGCCAGCAGCCGCGGTAATTCCAGCTCCAATAGCGTATATTTAAGTTGTTGCAGTTAAAAAGCTCGTAGTTGGATTTCGGGTGGGACGCAGCGGTCTCGCATTGCGTTTGTACTGCTGCAGCCCTCCTTCTTGCCGGGGGCGGCCCTTCGGACTTCACTGTCTGGGGGTCAGAATCGGCGATGTTACTTTGAGTAAATTAGAGTGTTCAAAGCAAGCTTACGCTCTGAATATAATAGCATGGGATAACACGACAGGACTCTGGCCTATCGTGTTGGTCTATAGGACCAGAGTAATGATTAAGAGGGACAGTCGGGGGCATTCGTATTCCGTTGTCAGAGGTGAAATTCTTGGATTTACGGAAGACGAACATCTGCGAAAGCATTTGCCAAGGATGTTTTCATTGATCAAGAACGAAAGTTGGGGGCTCGAAGACGATTAGATACCGTTGTAGTCTCAACCATAAACGATGCCGACTAGGGATTGGCGGGTGTTTTTTTGATGACCCCGCCAGCACCTCATGAGAAATCAAAGTTTTTGGGTTCCGGGGGGAGTATGGTCGCAAGGCTGAAACTTAAAGGAATTGACGGAAGGGCACCACCAGGCGTGGAGCCTGCGGCTTAATTTGACTCAACACGGGAAAACTTACCAGGTCCAGACATAGGAAGGATTGACAGATTGAGAGCTCTTTCTTGATTCTATGGGTGGTGGTGCATGGCCGTTCTTAGTTGGTGGGTTGCCTTGTCAGGTTGATTCCGGTAACGAACGAGACCTCAGCCTGCTAAATAGTGACGTCTGCTGCGGCAGTCGCGCGCTTCTTAGAGGGACTGTTGGCGTCTAGCCAATGGAAGTATGAGGCAATAACAGGTCTGTGATGCCCTTAGATGTTCTGGGCCGCACGCGCGCTACACTGATACGTTCAACGAGCTCCTTGACCGAGAGGCCCGGGTAATCTTTGAAACCGTATCGTGATGGGGATAGAACATTGCAATTATTGTTCTTCAACGAGGAATGCCTAGTAAGCGCGAGTCATCATCTCGCGTTGATTACGTCCCTGCCCTTTGTACACACCGCCCGTCGCTCCTACCGATTGAACGTGCTGGTGAAGCGTTAGGACTGGAACTTTGGGCCGGTTTCCTGCCCA</t>
  </si>
  <si>
    <t>&gt;RS1H1_EUKA_Premix
TGCTTTATACTGTGAAACTGCGAATGGCTCATTAAATCAGTTATAGTTTATTTGATGGTACCTTACTACCGGATAACCGTAGTAATTCTAGAGCTAATACGTGCGTAAATCCCGACTTCTGGAAGGGACGTATTTATTAGATTTAAGGCCGACCCGGCTCTGCCGGTCTCGCGGTGAATCATGATAACTTCACGAATCGCATGGCCTTGCGCCGGCGATGTTTCATTCAAATTTCTGCCCTATCAACTTTCGATGGTAGGATAGAGGCCTACCATGGTGGTAACGGGTGACGGAGGATTAGGGTTCGATTCCGGAGAGGGAGCCTGAGAAACGGCTACCACATCCAAGGAAGGCAGCAGGCGCGCAAATTACCCAATCCTGACACAGGGAGGTAGTGACAATAAATAACAATACCGGGCCTTTTCAGGTCTGGTAATTGGAATGAGTACAATCTAAACCCCTTAACGAGGATCAATTGGAGGGCAAGTCTGGTGCCAGCAGCCGCGGTAATTCCAGCTCCCATAGCGTATATTTAAGTTGCTGCAGTTAAAAAGCTCGTAGTTGGATTTCGGGCGGGGCCTGCCGGTCCGCCGTTTCGGTGTGCACTGGCAGGGCCCGCCTTGTTGCCGGGGACGGGCTCCTGGGCTTCACTGTCCGGGACTCGGAGTCGGCGCTGTTACTTTGAGTAAATTAGAGTGTTCAAAGCAGGCCTACGCTCTGAATACATTAGCATGGAATAACACGATAGGACTCTGGCCTATCCTGTTGGTCTGTAGGACCGGAGTAATGATTAAGAGGGACAGTCGGGGGCATTCGTATTTCGATGTCAGAGGTGAAATTCTTGGATTTTCGAAAGACGAACTACTGCGAAAGCATTGGCCAAGGATGTTTTCATTAATCAAGAACGAAAGTTGGGGGCTCGAAGACAATAAGATACCGTCCTAGTCTCACCATAAACAATGCCCACTAGGGATCGGCGGATGTTTCTTCCATGACTCCGCCGGCACCTTATGAGAAATCAAAGTTTTTTGGTTCCGGGGGGAGTATGGTCGCAAGGCTGAAACTTAAAGGAATTGACGGAAGGGCACCACCAGGCGTGGAGCCTGCGGCTTAATTTGACTCAACACGGGAAAACTTACCAGGTCCAGACATAGTGAGGATTGACAGATTGAGAGCTCTTTCTTGATTCTATGGGTGGTGGTGCATGGCCTTTCTTAGTTGGTGGGTTGCCTTGTCAGGTTGATTCCGGTAACGAACGAGACCTCAGCCTGCTAAATAGTCACGGCCTCCTCGGGGGCCGGCAGACTTCTTAGAGGGACTATTGGCGACTAGCCAATGGAAGCATGAGGCAATAACAGGTCTGTGATGCCCTTAGATGTTCTGGGCCGCACGCGCGCTACACTGATGCAATCAACGAGCCTAGCCTTGGCCGAGAGGCCCGGGTAATCTTTGAAACTGCATCGTGATGGGGATAGATTATTGCAATTATTAATCTTCAACGAGGAATGCCTAGTAAGCGCAAGTCATCAGCTTGCGTTGATTACGTCCCTGCCCTTTGTACACACCGCCCGTCGCTCCTACCGATTGGGTGTGCTGGTGAAGTGTTCGGATTGGCAACCCGGGGCGGTTTCCGCCCTGGGCTGCCGAGAAGTTCATTAA</t>
  </si>
  <si>
    <t>PLACA 2</t>
  </si>
  <si>
    <t>30/06-08/07/2025</t>
  </si>
  <si>
    <t>conjunto</t>
  </si>
  <si>
    <t>Filogenia informe algasal+</t>
  </si>
  <si>
    <t>Realizar análisis</t>
  </si>
  <si>
    <t>euka/eukb</t>
  </si>
  <si>
    <t xml:space="preserve">negativa en la pcr repetida </t>
  </si>
  <si>
    <t>&gt;BEA1887_EUKA_Premix
TCTAGTATAAACTGCTTATACAGAGATAGCAACTGCGAATGGCTCATTAAATCAGTTATAGTTTATTTGATGGTACCTACTACTCGGATAACCGTAGTAATTCTAGAGCTAATACGTGCGTAAATCCCGACTTCTGGAAGGGACGTATTTATTAGATAAAAGGCCGACCGGACTTTGTCCGACCCGCGGTGACTCATGATAACTAAACGAATCGCACGGCCTTGTGCCGGCGATGTTTCATTCAAATTTCTGCCCTATCAACTTTCGATGGTAGGATAGAGGCCTACCATGGTGGTAACGGGTGACGGAGGATTAGGGTTCGATTCCGGAGAGGGAGCCTGAGAAACGGCTACCACATCCAAGGAAGGCAGCAGGCGCGCAAATTACCCAATCCTGATACGGGGAGGTAGTGACAATAAATAACAATACCGGGCTTTTCAAGTCTGGTAATTGGAATGAGTACAATCTAAATCCCTTAACGAGGATCCATTGGAGGGCAAGTCTGGTGAACATTCGACACATGCTGTTGACGCCAGAGATAGTAGGGCAGCTCTCGTAGCTGTTACGCCTGCTAGTCGAGCAAACCATTGATTGTGGAATGGGGTTGGTTGCCGGCAAGATGACCTGGAACGGGGAAGGCTAACCTGCATGCGCAATGCAGCACGCTAATCCCGTGGCGAGCTGGCAAAGGGCAACTTTTGCACAGCCGTCGTAACGCACGCTAAGGCATCGGCTGACTCTATGAGTTGGCTTAAGGGACGTGCTAATCCCATCCGAAAGGATGCTCAAAGCAATAGCACCCATTCTGCGAAGGCATTGAGGGGCAACAGCATCATGAGGAAATGCTTGATGCTGCCCGGTAAAAAATGGCCAGCACCCGCGGTAATTCCCGCTCCATAGCGTAAATTTAAGTTGTTGCAGTTTAAAAAGCTCGTAATTTGGATTTCGGGTGGGTTCCAGCG</t>
  </si>
  <si>
    <t>&gt;BEA1890_EUKB_Premix
GGTTACTTTGAGTAAATTAGAGTTTTCAAAGCCAGGCTTACGCCAGAATACTTTAGCCAGGGAATAACCACGATAGGACTCTGGCCTATCTTGTTGTCGTAGGACCTGGAGTAATGATTAGAGGGACAGTTGGGGGGCCTTTCGTACTTCATTGTTTAGAGGTGAAATTCTGGATTTTTGAAAGACGAAACTACTGCGAAAGCTTTGCCAGGGATGTTTTCTTTATCAAGAACGAAAAGTGGGGGGCTCGAAGACGATTAGATACCGTTGGTAGTCTCAACCATAAACGATGCCGACTAGGGATGGGCGAATGTTTTTTTAATGACTTCGCCAGCACCTTTTGAGAAATCAAAGTTTTTGGGTTCCGGGGGGAGTATGGTCGCAAGGCTGAAACTTAAAGGAATTGACGGAAGGGCACCACCCAGGCGTGGAGCGTGCGGCTTAATTTGACTCAACACGGGAAAACTTACCAGGTCCAGACATAGTGAGGATTGACAGATTGAGAGCTCTTTCTTGATTCTATGGGTGGTGGTGCATGGCCGTTCTTAGTTGGTGGGTTGCCTTGTCAGGTTGATTCCGGTAACGAACGAGACCTCAGCCTGCTAAATAGTCTCAGTTGCTTTTTGCAGCTGGCTGACTTCTTAGAGGGACTATTGGCGTTTAGTCAATGGAAGTATGAGGCAATAACAGGTCTGTGATGCCCTCAGATGTTCTGGGCCGCACGCGCGCTACACTGATGCATTCAACAAGCCTATCCTTGACCGAAGGGTCTGGGTAATCTTTGAAACTGCATCGTGATGGGGATAGATTATTGCAATTATTAGTCTTCAACGAGGAATGCCTAGTAAGCGCAAGTCATCAGCTTGCGTTGATTACGTCCCTGCCCTTTGTACACACCGCCCGTCGCTCCTACCGATTGGGTGTGCTGGTGAAGTGTTCGGATTGGCAGCTTAGGGTGGCAACACCTCAGGTCTGCCAGAGAAGTTCATTAAACCCTCCCACCTAGAG
&gt;BEA1890_EUKA_Premix
CTAAGTATAAACTGCTTATACTGTGCAAACTGCGAATGGCTCATTAAATCAGTTATAGTTTATTTGGTGGTACCTTACTACTCGGATAACCGTAGTAATTCTAGAGCTAATACGTGCGTAAATCCCGACTTCTGGAAGGGACGTATATATTAGATAAAAGGCCGACCGAGCTTTGCTCGACCCGCGGTGAATCATGATATCTTCACGAAGCGCATGGCCTTGTGCCGGCGCTGTTCCATTCAAATTTCTGCCCTATCAACTTTCGATGGTAGGATAGAGGCCTACCATGGTGGTAACGGGTGACGGAGGATTAGGGTTCGATTCCGGAGAGGGAGCCTGAGAAACGGCTACCACATCCAGGAAGGCAGCAGGCGCGCAAATTACCCAATCCTGATACGGGGAGGTAGTGACAATAAATAACAATACCGGGCATTTTATGTCTGGTAATTGGAATGAGTACAATCTAAATCCCTTAACGAGGATCCATTGGAGGGCAAGTCTGGTGCCAGCAGCCGCGGTAATTCCCGCTCCATAGCGTATATCTAAGTTGTTGCAGTTAAAAAGCTCGTAGTTGGATTTCGGGTGGGTTCTAGCGGTCCGCCCATTGTGAGTACTGCTATGGCCTTCCTTTCTGTCGGGGACGGGCTTCTGGGCTTCACTGTCCGGGACTCGGAATCCACCTGGTTACTTTGAGTAAATTAAAGTGTTCAAAGCAGGCTTACGCCCAAATACTTTAGCATGGAATAACACGATTGGACTCTTGGCCTATTTTGGTTGGTCTGTAGGAACCGGAATAATGATTAAAAAGGGAAAGTCGGGGGCATTCGTATTTCATTGTCCGAAGGTGAAATTCTTGGATTTATGAAAGACAACTACTGCGAAAGCAGTTGCCAGGAAGTTTTCATTAATCATAAAAAAAG</t>
  </si>
  <si>
    <t>&gt;BEA1909_EUKB_Premix
CCTTTAGGGGAAAACCTGGCGGGGCCCCTCCCAAACGGTGGGGGACCTGTTTTTGGGTTTCTTTTTCCGGGACAGGGTTTGGCAGGGTTACTTTGAGTAAATAGAGTTTTCAAAGCAGGCTTACGCCCGTGAATACTTAGCAGGAATAACCTTATAGGACTCTGCCCTATTTTGTTGGCCGTGGAGGGGAGTAATGATTAAGAGGAACAGTTGGGGGCCTTCGTATTTCATGTAGAGGTGAAATTCTGGATTTTTGAAAGACGAATTATTGCGAAAGCATTGCCAAGGGATGTTTTCTTTAATCAAGAACGAAAGTGGGGGGCTCGAAGACGATTAGAAACCGTTGTAGTCTCAACCATAAACGATGCCGACTAGGGATGGGCGGACGTTTTTGCATGATTCCGTCAGCACCATGAGAGAAATCAAAGTTTTTGGGTTCCGGGGGGAGTATGGTCGCAAGGCTGAAACTTAAAGGAATTGACGGAAGGGCACCACCAGGCGTGGAGCCTGCGGCTTAATTTGACTCAACACGGGAAAACTTACCAGGTCCAGACATAGGAAGGATTGACAGATTGAGAGCTCTTTCTTGATTCTATGGGTGGTGGTGCATGGCCGTTCTTAGTTGGTGGGTTGTCTTGTCAGGTTGATTCCGGTAACGAACGAGACCTCAGCCTTTAAATAGTCACTGTCGCTTTTTGCGGCTGGCTTTGACTTCTTAGAGGGACAGTTGGCGTTTAGTCAACGGAAGTATGAGGCAATAACAGGTCTGTGATGCCCTTAGATGTTCTGGGCCGCACGCGCGCTACACTGATGCATTCAACAAGCCTATCCCTAGCCGAAAGGCTCGGGTAATCTTTGAAACTGCATCGTGATGGGGATAGATTATTGCAATTATTAGTCTTCAACGAGGAATGCCTAGTAAGCGCAATTCATCAGATTGCGTTGATTACGTCCCTGCCCTTTGTACACACCGCCCGTCGCTCCTACCGATTGGGTGTGCTGGTGAAGTGTTCGGATTGGCAATTGAAGGTGGCAACACCGTCGATTACCAGAAAAGTT
&gt;BEA1909_EUKA_CALIDAD_MEDIA
TAAACTGCTTATACTGTGCAAACTGCGAATGGCTCATTAAATCAGTTATAGTTTATTTGGTGGTACCTTCTTACTCGGAATAACCGTAAGAAAATTAGAGCTAATACGTGCGTAAATCCCGACTTCTGGAAGGGACGTATATATTAGATAAAAGGCCGACCGGGCTCTGCCCGACCCGCGGTGAATCATGATATCTTCACGAAGCGCATGGCCTTGCGCCGGCGCTGTTCCATTCAAATTTCTGCCCTATCAACTTTCGATGGTAGGATAGAGGCCTACCATGGTGGTAACGGGTGACGGAGGATTAGGGTTCGATTCCGGAGAGGGAGCCTGAGAAACGGCTACCACATCCGAGGAAGGCAGCAGGCGCGCAAATTACCCAATCCTGATACGGGGAGGTAGTGACAATAAATAACAATACCGGGCATTTCATGTCTGGTAATTGGAATGAGTACAATCTAAATCCCTTAACGAGGATCCATTGGAGGGCAAGTCTGGTGAACAAAACAACGCAATGCTGTTGACGCCCGAGATAGTAGGGCAGTTTCATAACTGTTATGCCTGCTAGTCGAGCAGCCATTGACATGGAATGGGTTGGCTGCCGGCAAGACGACCTGGTACGGGGAAAGGCTAAGTTGCTGCGAAGCAATATGCTATCCCGTGGCGAGCTGGCAAAGGGTGACTTTTGCATAGCCCTCGTAACGCAAGGGTAAGGCGTCCGCCGACTCTTAAGAGTTGGCTTAAGGGACGTGCTAACCCCATCCCAAAGGGTGCCTGATGGAAGAGTACCCATTCTACAAAGCCCTCAGGGAGCGACAGTGTGATGAAGAAATGCTTCACACTGCTTGGTAGTAACGCATTGGATTCACAATCTGCCACCGAGTCTTGCATTGGCATCGCCAATGCCTGCCTGCGGATGCCTCGGAAAGATGGAATCCCTCGCGAAGTGGCCCGCACCCGCGGTAATTCCCGCTCCCATAGCGTA
&gt;BEA1909_EUKB_Premix
CCTTTAGGGGAAAACCTGGCGGGGCCCCTCCCAAACGGTGGGGGACCTGTTTTTGGGTTTCTTTTTCCGGGACAGGGTTTGGCAGGGTTACTTTGAGTAAATAGAGTTTTCAAAGCAGGCTTACGCCCGTGAATACTTAGCAGGAATAACCTTATAGGACTCTGCCCTATTTTGTTGGCCGTGGAGGGGAGTAATGATTAAGAGGAACAGTTGGGGGCCTTCGTATTTCATGTAGAGGTGAAATTCTGGATTTTTGAAAGACGAATTATTGCGAAAGCATTGCCAAGGGATGTTTTCTTTAATCAAGAACGAAAGTGGGGGGCTCGAAGACGATTAGAAACCGTTGTAGTCTCAACCATAAACGATGCCGACTAGGGATGGGCGGACGTTTTTGCATGATTCCGTCAGCACCATGAGAGAAATCAAAGTTTTTGGGTTCCGGGGGGAGTATGGTCGCAAGGCTGAAACTTAAAGGAATTGACGGAAGGGCACCACCAGGCGTGGAGCCTGCGGCTTAATTTGACTCAACACGGGAAAACTTACCAGGTCCAGACATAGGAAGGATTGACAGATTGAGAGCTCTTTCTTGATTCTATGGGTGGTGGTGCATGGCCGTTCTTAGTTGGTGGGTTGTCTTGTCAGGTTGATTCCGGTAACGAACGAGACCTCAGCCTTTAAATAGTCACTGTCGCTTTTTGCGGCTGGCTTTGACTTCTTAGAGGGACAGTTGGCGTTTAGTCAACGGAAGTATGAGGCAATAACAGGTCTGTGATGCCCTTAGATGTTCTGGGCCGCACGCGCGCTACACTGATGCATTCAACAAGCCTATCCCTAGCCGAAAGGCTCGGGTAATCTTTGAAACTGCATCGTGATGGGGATAGATTATTGCAATTATTAGTCTTCAACGAGGAATGCCTAGTAAGCGCAATTCATCAGATTGCGTTGATTACGTCCCTGCCCTTTGTACACACCGCCCGTCGCTCCTACCGATTGGGTGTGCTGGTGAAGTGTTCGGATTGGCAATTGAAGGTGGCAACACCGTCGATTACCAGAAAAGTT</t>
  </si>
  <si>
    <t>&gt;BEA_1910_18S_533
GTAGTCATATGCTTGTCTCAAAGATTAAGCCATGCATGTCTAAGTATAAACTGCTTATACTGTGAAACTGCGAATGGCTCATTAAATCAGTTATAGTTTATTTGGTGGTACCTTCTTACTCGGAATAACCGTAAGAAAATTAGAGCTAATACGTGCGTAAATCCCGACTTCTGGAAGGGACGTATATATTAGATAAAAGGCCGACCGGGCTCTGCCCGACCCGCGGTGAATCATGATATCTTCACGAAGCGCATGGCCTTGCGCCGGCGCTGTTCCATTCAAATTTCTGCCCTATCAACTTTCGATGGTAGGATAGAGGCCTACCATGGTGGTAACGGGTGACGGAGGATTAGGGTTCGATTCCGGAGAGGGAGCCTGAGAAACGGCTACCACATCCAAGGAAGGCAGCAGGCGCGCAAATTACCCAATCCTGATACGGGGAGGTAGTGACAATAAATAACAATACCGGGCATATCATGTCTGGTAATTGGAATGAGTACAATCTAAATCCCTTAACGAGGATCCATTGGAGG</t>
  </si>
  <si>
    <t>&gt;BEA1911_EUKA_Premix
TCTAGTATAAACTGCTTATACTAGAAGCAACTGCGAATGGCTCATTAAATCAGTTATAGTTTATTTGGTGGTACCTTCTTACTCGGAATAACCGTAAGAAAATTAGAGCTAATACGTGCGTAAATCCCGACTTCTGGAAGGGACGTATATATTAGATAAAAGGCCGACCGGACTTTGTCCGACCCGCGGTGAATCATGATATCTTCACGAAGCGCATGGCCTTGTGCCGGCGCTGTTCCATTCAAATTTCTGCCCTATCAACTTTCGATGGTAGGATAGAGGCCTACCATGGTGGTAACGGGTGACGGAGGATTAGGGTTCGATTCCGGAGAGGGAGCCTGAGAAACGGCTACCACATCCAAGGAAGGCAGCAGGCGCGCAAATTACCCAATCCTGATACGGGGAGGTAGTGACAATAAATAACAATACCGGGCATTTTATGTCTGGTAATTGGAATGAGTACAATCTAAATCCCTTAACGAGGATCCATTGGAGGGCAAGTCTGGTGCCAGCAGCCGCGGTAATTCCAGCTCCATAGCGTATATTTAAGTTGTTGCAGTTAAAAGCTCGTAGTTGGATTTCGGGTGGGTTTCAGCGGTCCGCCTATGGTGAGCACTGCTGTGGCCTTCCTTACTGTCGGGGACCTGCTTCTGGGCTTCATTGTCCGGGACAGGGATTCGGCATGGTTACTTTGAGTAAATTAGAGTGTTCAAAGCAGGCTTACGCCCTGAATACTTTAGCATGGAAAAACATGATAGGACTCTGCCCTATTCTGTTGGCCTGTAGGAGTGGAGTAATGATTAAAAAGGAAAAGTCCGGGGGCATTCGTATTTCATTGTCCAAAGGTGAAATTCTTGGATTTTTGAAAGACAAATACGGCGAAAGCATTTGCCCAAGGAAGTTTTCATTAATCAAGAAACGAAAGTTGGGGGCTCGAAAACAATAAATACCGTCGTAATCTCACCATAAACAATCCCAACAAGGGATTGGTCGGAAGTTTT
&gt;BEA1911_EUKB_Premix
TTCATTTTCCGGGAAAAGGGTTTCGGCCAGGGTTACTTTGAGTAAATAGAGTTTTCAAAGCAGGCTTACGCCGTGAATACTTAGCAGGACTAACTTATAGGATTTTGCCCTTTTTTGTTGGCCCGTGGGAGGGGAGTAATGATTAAGAGGAACAGTTGGGGGCATTTGTATTTCATTGTTAAGAGGTGAAATTCTGGATTTTTGAAAGACGAAATATTGCGAAAGCTTTGCCAGGGATGTTTTCTTTAATCAAGAACGAAAGTGGGGGCTCGAAGACGGTCAGAAACCGTTGTAGTTTCAACCATAAACGATGCCGACTAGGGATGGGCGGACGTTTTTGCATGATTCCGTAAGCACCTTGAGAGAAATCAAAGTTTTTGGGTTCCGGGGGGAGTATGGTCGCAAGGCTGAAACTTAAAGGAATTGACGGAAGGGCACCACCAGGCGTGGAGCCTGCGGCTTAATTTGACTCAACACGGGAAAACTTACCAGGTCCAGACATAGGAAGGATTGACAGATTGAGAGCTCTTTCTTGATTCTATGGGTGGTGGTGCATGGCCGTTCTTAGTTGGTGGGTTGTCTTGTCAGGTTGATTCCGGTAACGAACGAGACCTCAGCCTTTAAATAGTTACAGTCGCTTTTTGCGGCTGGTTTGACTTCTTAGAGGGACAGTTGGCGTTTAGTCAACGGAAGTATGAGGCAATAACAGGTCTGTGATGCCCTTAGATGTTCTGGGCCGCACGCGCGCTACACTGATGCATTCAACAAGCCTATCCCTAGCCGAAAGGCTCGGGTAATCTTTGAAACTGCATCGTGATGGGGATAGATTATTGCAATTATTAGTCTTCAACGAGGAATGCCTAGTAAGCGCAATTCATCAGATTGCGTTGATTACGTCCCTGCCCTTTGTACACACCGCCCGTCGCTCCTACCGATTGGGTGTGCTGGTGAAGTGTTCGGATTGGCTGTTGAAGGTGGCAACACCGTCGAAACCAAGAAG</t>
  </si>
  <si>
    <t>&gt;BEA1982_EUKA_Premix
ACTGCGAATGGCTCATTAAATCAGTTATAGTTTATTTGGTGGTACCTTACTACTCGGATAACCGTAGTAATTCTAGAGCTAATACGTGCGTAAATCCCGACTTCTGGAAGGGACGTATATATTAGATAAAAGGCCGACCGAGCTTTGCTCGACCCGCGGTGAATCATGATATCTTCACGAAGCGCATGGCCTTGTGCCGGCGCTGTTCCATTCAAATTTCTGCCCTATCAACTTTCGATGGTAGGATAGAGGCCTACCATGGTGGTAACGGGTGACGGAGGATTAGGGTTCGATTCCGGAGAGGGAGCCTGAGAAACGGCTACCACATCCGAGGAAGGCAGCAGGCGCGCAAATTACCCAATCCTGATACGGGGAGGTAGTGACAATAAATAACAATACCGGGCATTTTATGTCTGGTAATTGGAATGAGTACAATCTAAATCCCTTAACGAGGATCCATTGGAGGGCAAGTCTGGTGCCAGCAGCCGCGGTAATTCCAGCTCCAATAGCGTATATTTAAGTTGTTGCAGTTAAAAAGCTCGTAGTTGGATTTCGGGTGGGTTCTAGCGGTCCGCCTATGGTGAGTACTGCTATGGCCTTCCTTTCTGTCGGGGACGGGCTTCTGGGCTTCACTGTCCGGGACTCGGAGTCGACGTGGTTTACTTTGAGTAAATTAGAGTGTTCAAAGCAGGCTTACGCCCAGAATACTTTAGCATGGAATAACACGATGGGACTCTGGCCTATCTTGGTTGGTCTGTAGGACCGGAGTAATGATTAAAAAGGGACAGTCGGGGGCATTCGTATTTCATTGTCAGAAGGTGAAATTCTTGGATTTATGAAAGACAAAATACTGGCGAAAGCATTTGCCCAAGGAAGTTTTTCATTAATCAAGAAAGAAAGTTGGGGGCTCGAAAACAATAAGATACCCGTCCTAATCTCACCCATAAACAATGCCAACAAGGGATTGGGCGAAAGGTTTTTTTTAATGACTTCCCCCGCCCCTTAAGAAAAATCAAAATTTTTGGGTTTCCGGGGGGAG
&gt;BEA1982_EUKB_Premix_
ATGACTTCGCCAGCACGTTTTGAGAAATCAAAGTTTTTGGGTTCCGGGGGGAGTATGGTCGCAAGGCTGAAACTTAAAGGAATTGACGGAAGGGCACCACCCAGGCGTGGAGCCTGCGGCTTAATTTGACTCAACACGGGAAAACTTACCAGGTCCAGACATAGTGAGGATTGACAGATTGAGAGCTCTTTCTTGATTCTATGGGTGGTGGTGCATGGCCGTTCTTAGTTGGTGGGTTGCCTTGTCAGGTTGATTCCGGTAACGAACGAGACCTCAGCCTGCTAAATAGTCTCAGTTGCTTTTTGCAGCTGGCTGACTTCTTAGAGGGACTATTGGCGTTTAGTCAATGGAAGTATGAGGCAATAACAGGTCTGTGATGCCCTCAGATGTTCTGGGCCGCACGCGCGCTACACTGATGCATTCAACAAGCCTATCCTTGACCGAAGGGTCTGGGTAATCTTTGAAACTGCATCGTGATGGGGATAGATTATTGCAATTATTAGTCTTCAACGAGGAATGCCTAGTAAGCGCAAGTCATCAGCTTGCGTTGATTACGTCCCTGCCCTTTGTACACACCGCCCGTCGCTCCTACCGATGGGTGTGCTGGTGAAGTGTTAAGGATTGGCAGCTTAGGGTGGCAACACCTCACTAAACCAAGAAC</t>
  </si>
  <si>
    <t>&gt;BEA1993_EUKA_Premix
TCACCTGAAGATTAAATAAAGGTACCTTACTACTTGGATAACCGTAGTAATTCTAGAGCTAATACATGCAACAAGTCCCGACTTCTGGAAGGGATGTATTTATTAGACAAAAAACCAACACGAGTGGGTTCACGCCCTCCGATCCCTTGGTGATTCATAATAACTTCTCGAATCGCATGGCTTCATGCCGGCAATGCTTCATTCAAATTTCTGCCCTATCAACTTTCGATGGTAGGATAGAGGCCTACCATGGTGTTAACGGGTAACGGAGAATTAGGGTTCGATTCCGGAGAGGGCGCCTGAGAGATGGCGACCACATCCTAGGAAGGCAGCAGGCGCGCAAATTACCCAATCGCAACTCGCGGAGGTAGTGACAATAAATAACAATACACGGCTTTCTAAGTCGTGTAATTGGAATGAGAACAATTTAAATCCCTTATCGAGGATCAATTGGAGGGAAAGTCTGGTGCCAGCAGCCGCGGTAATTCCAGCTCCAATAGCGTATATTAAAGTTGTTGCAGTTAAAAAGCTCGTAGTTGGATTTCGGGACGGGGCGGCTGGTCTGCCTATGGTGTGTACTAGCCGTGCCCGTCCTTCCTTCCGGGGATGGCTTCTGCTCTTAATTGAGTGGGAGTCAGACACGGATCCTTTACTTTGAGTAAATTGGAG
&gt;BEA1993_EUKB_Premix
GCCAGGGAATAATAAAATAGGACCCTTGGTTTTATTTTGTTGGTTTTTAGGATCGAGGTAAGGATTAATAGGGATAGTTGGGGGCATTCATATTCCGTTGTCAGAGGTGAAATTCTTGGATTTACGGAAGATGAACTACTGCGAAAGCATTTGCCAAGGATGTTTTCATTAATCAAGAACGAAAGTTAGGGGATCGAAGACGATCAGATACCGTCGTAGTCTTAACCATAAACTATGCCGACTGCGGATCAGAGGATGTTTTTTTCACGACTCCTTTGGCACGCTATGAGAAATCAAAGTTTTTGGGTTCCGGGGGGAGTATGGTCGCAAGGCTGAAACTTAAAGGAATTGACGGAAGGGCACCACCAGGAGTGGAGCCTGCGGCTTAATTTGACTCAACACGGGGAAACTTACCAGGTCCGGACATAGTAAGGATTGACAGATTGAGAGCTCTTTCTTGATTCTATGGGTGGTGGTGCATGGCCGTTCTTAGTTGGTGGAGCGATTTGTCTGGTTAATTCCGTTAACGAACGAGACCTTAACCTACTAAATAGTTACGCGAACATTTTTGTTCACGGTCAACTTCTTAGAGGGACTATTTGTGTCTAATGAATGGAAGTTTGAGGCAATAACAGGTCTGTGATGCCGTCAGATCTTCTGGGCCGCACGCGCGTTACACTGATGAATTCAACGAGCTCTTCCTTGACCGATAGGTCTGGGTAATCTTGTGAAATTTAATCCTGATGGGGATAGATCACTGCAATTATTGATCTTCAACGAGGAATTCCTAGTAAGCATGAGTCATCAGCTCGCGTTGAGTACGTCCCTGCCCTTTGTACACACCGCCCGTCGCTCCTACCGATTGAATGGTCCGGTGAAATTTAAATAAACCGGGATCTCCCGCCGGACGGTAGGTGACCCAAAAATAAACGATCATGATCCACCTAAGTACTTACTTACTCTTCCCGAAGATATGGCCTCC</t>
  </si>
  <si>
    <t>&gt;BEA_2001_ITS_941_dunaliella
TTGCCGGGACATCCTGCTAAGTTGTTGGTACCACCTCACAATGGAAACGTTGTGCAGGAACCATGGTGAAAGTCGTGGGCAAGGTAATAATCCAACAAATAGGGACGATCCGCAGCCAAGTGCTAAGGTACTTCTCAGATGTGAGAGTGCTATGCACGCAGTTCACAGACTAGATGGCAGTGGGTTCCTTCCACACGGATGGAGCTTAAGATATAGTCGAGCCCTGCTGAAAGGCAGCTTGCCAGAGGATTGCTTTGTTGTATGAGCATGAGAGCTGGTGAGGAGAGCACTCTGCGTACAGAGTGTCCTTGGACCAACTGAGGTGAACCTGCGGAAGGATCATTGAATCTATCAATAACCACACCGTGAACCTTCATTGTCTGGCCCATCAATACCCTCCGGGGTTTGGTGCTTCCTGGGCAGCATTAAGTTGCTGTTCGGGTTGGGCTCGGCTGCCCAAAACTCTTTGGGCAGTCCGGGTTGGTCCTTACTAACCAACAACACCAAACAAAAACTAAAGCCAAAGATATGTGCTCGGCCTAGCCGTCACATCCTAACTGAGACAATTCTCATCAACGGATATCTTGGCTCTCGCAACGATGAAGAACGCAGCGAAATGCGATACGTAGTGTGAATTGCAGAATTCCGTGAATCATCAAATCTTTGAACGCAAATTGCGCCCAAGGCTTCGGCTTAGGGCATGTTTGCCTCAGCGTCGGGTTAATCTCACAAACCCTCCCCCCAAGTGGAGTGGAGGGCTAGTGGATCTGGCTGTTCCAGAACTTGGATGCATTCACTTGTGTCCACTCAAAGGTCTGGATCAGCTGAAGCACAGAGGCTAGCTCACGACCCGCTAAGGGCCGCAACTGGGTAGGCAGCTCTCGCTCGCTATTTCTAGTTGTTGGCTTGGTGTCATGGGCTTGGCCCTCAAACAGGAAACC</t>
  </si>
  <si>
    <t>&gt;BEA2032_EUKB_Premix_calidad_media_
GGTTACTTTGAGTAAATTAGAGTTTTCAAAGCAGGCCTTACCCTCGGAATACGTTAGCAGGGAATACCCCATAGGATTCCGGCTTATCTTGTTGTCTGTAAGACGGGAGTAATGATTAAGAGGGACCGTTGGGGGCCTTCGTATTTCATTGTTAGAGGTGAAATTCTGGATTTTTGAAAGACGAATTTTTGCGAAAGCTTTGCCAGGGATGTTTTCCTTTATCAAGAACGAAAGTGGGGGCTCGAAGACGTTAGAAACTGTAGTAGTCTCAACCATAAACGATGCCGACTAGGGATTGGCAGGTGTTTCGTTGATGACCCTGCCAGCACCTTTTGAGAAATCAAAGTTTTTGGGTTCCGGGGGGAGTATGGTCGCAAGGCTGAAACTTAAAGGAATTGAGGGAAGGGCACCACCAGGCGTGGAGCCTGCGGCTTAATTTGACTCAACACGGGGAAACTTACCAGGTCCAGACACGGGGAGGATTGACAGATTGAGAGCTCTTTCTTGATTCTGTGGGTGGTGGTGCATGGCCGTTCTTAGTTGGTGGGTTGCCTTGTCAGGTTGATTCCGGTAACGAACGAGACCTCAGCCTACTAAATAGTCGCGCCTACGCTTGTAGACGCCTGGCTTCTTAGAGGGACTATTGGCGTTTAGCCAATGGAAGTGTGAGGCAATAACAGGTCTGTGATGCCCTTAGATGTTCTGGGCCGCACGCGCGCTACACTGATGCATTCAACGAGCCTACCCTTGGCCGAGAGGTCCGGGTAATCTTTGAAACTGCATCGTGATGGGGATAGATCATTGCAATTATTGGTCTTCAACGAGGAATGCCTAGTAAGCGTGAGTCATCAGCTCACGTTGATTACGTCCCTGCCCTTTGTACACACCGCCCGTCGCTCCTACCGATTGGGTGTGCTGGTGAAGTGTTTGGATTGGCGCCTGCTGGGGGGAAACCTCCTCTGGTGCTGAGAAGGACATTAAACCCTCCCACCTAGAGA
&gt;BEA2032_EUKA_Premix_buena_calidad
CTAGTATAAACTGCTTATACTAGTGCAAACTGCGAATGGCTCATTAAATCAGTTATAGTTTATTTGATGGTACCTTTACTCGGATAACCGTAGTAATTCTAGAGCTAATACGTGCGCAAATCCCGACTTCTGGAAGGGACGTATTTATTAGATAAAAGGCCAGCCGGGCTTGCCCGACTCTTGGCGAATCATGATAACTTCACGAATCGCACGGCTTCGGCCGGCGATGTTTCATTCAAATTTCTGCCCTATCAACTTTCGATGGTAGGATAGAGGCCTACCATGGTGGTAACGGGTGACGGGGGATTAGGGTTCGATTCCGGAGAGGGAGCCTGAGAAACGGCTACCACATCCAAGGAAGGCAGCAGGCGCGCAAATTACCCAATCCCAACACGGGGAGGTAGTGACAATAAATAACAATACCGGGCATTCTTGTCTGGTAATTGGAATGAGAACAATTTAAACCCCTTATCGAGTATCCATTGGAGGGCAAGTCTGGTGCCAGCAGCCGCGGTAATTCCAGCTCCATAGCGTATATATAAGTTGTTGCAGTTAAAAAGCTCGTAATTGGATTTCGGGTGGGTTCTAGCGGTCCACCATTGGTGAGTACTGCTACGGCCTACCTTTCTGCCGGGAACGGGTTCTTGGACTTAACTGTCTGGGAATCGGGATCGGCGAGGTTACTTTGAGTAAATTAAAGTGTTCAAAGCAGGCCTACCCTCTTAAAACTTTTGCATGGAAAAACACGATGGGACTCCCGCTTATCTTGTTGGTCTGTAAAACTGGGAGTAATGATTAAAAAGGGAAAGTCGGGGGCATTCGTATTTCAG</t>
  </si>
  <si>
    <t>&gt;BEA2055_ITS4_Premix_Ulva_tepida
GAGGGATTCATTTTATGCCGGGGTCATCAATTTTCTGAGGGGGGTCATGGGGTCGGAGTCATTCACAGCGGTGCATCCTCTGCGGCGCGTATCGAGGGGTCTGCGGACGAGCCGTGGCGTATTCTACGGTGGCGGCAGTCGGCCGCCCCCCCGGGGCGAGGCGGGGCCTGGATCCCTCAACCCATCTCAACCCTTGGCCCGAGAAGGCTCTTCGCAAGGGAGACACCCCGGGGCGACAGTCAGTGAGACCTCTCACAACATGAGATATCGGGTCTCTCGGCACTGTGAAGACACGCAGAAAAATGCTAAATGTGGTGAGTAGTGCAAATTTCCGAGTGTCATAATCTCTTAGAGCGCACATCCCCTGTAGACTCTTCAGAGGACAACACATGCCCCTGAGCGTGAAGATACCCTCCTCACGCACAACCCCGCGCGGATATGGCCCCCCCCCCCCCGCTCTCACGTCCGGGCCGGCTGAAAAACAGAGGCTCGCGCGCGGCCCACTCGTGGCCCCGACTAGGTAGGTAGCTCGCTACTGCTAGGCGGGGGCTCTGGGTCTCCCCGATGGGGCCCCAAAGGAAACTCCCATTCATC</t>
  </si>
  <si>
    <t>&gt;BEA2118_EUKA_Premix_levadura_Pichia guilliermondii 
GTCTAGTATAAGCAATTTATACAGTGAAACTGCGAATGGCTCATTAAATCAGTTATCGTTTATTTGATAGTACCTTTACTACTTGGATAACCGTGGTAATTCTAGAGCTAATACATGCTAAAAATCCCGACTGTTTGGAAGGGATGTATTTATTAGATAAAAAATCAATGCTCTTTGAGCTCTTTGATGATTCATAATAACTTTTCGAATCGCATGGCCTTGTGCTGGCTATGGTTCATTCAAATTTCTGCCCTATCAACTTTCGATGGTAGGATAGTGGCCTACCATGGTTTCAACGGGTAACGGGGAATAAGGGTTCGATTCCAGAGAGGGAGCCTGAGAAACGGCTACCACATCCAAGGAAGGCAGCAGGCGCGCAAATTACCCAATCCCGACACGGGGAGGTAGTGACAATACATAACGATACAGGGCCCTTTCGGGTCTTGTAATTGGAATGAGTACAATGTAAATACCTTAACGAGGAACAATTGGAGGGCAAGTCTGGTGCCAGCAGCCGCGGTAATTCCAGCTCCATAGCGTATATGAAAGTTGTTGCAGTTAAAAAGCTCGTAATTGAACTTTGGGCTTGGTTGGCCGGTCCGCCTTTTTGGCGAGTACTGGACCCACCGAGCCTTTCCTTCTGGCTAACCATTCGCCCTTGTGGTGTTTGGCGAACCAGGACTTTTACTTTGAAAAAATTAGAGTGTTCAAAGCAGGCCTTTGCTCGAAAATTTAGCATGGAAAAATAGAAAAGGAAGTTTTGGTTCTTTTTTGTTGGTTTCTAGGACCATCGTAATGATTAAAAAGGGACGGTCGGGGGCATCATATTCATTTGTCAAAGTGAAATTCTTAGATTTACTGAAAACTAACTACTGCGAAAGCATTTGCCAGGACGTTTTCATTAATCACGAAACGAAAGTTAGGGGATCGAAAATGATCAAATACCGTCCTAATCTTAACCATGAACTATGCCCAACAAGGGTTCGGGTGT
&gt;BEA2118_EUKB_Premix_hongo
AAGTCTTTGTAGTTTAGAACTTTGGGGCGTGGGTGGGCCCGTCCCCCCCTTTTGGGCGAGTAACGGGACCCCAACCCGACCCCTTTCTTTCGGGCTAACCCTTTCGCCCCTTGTGGTGTTCGGCGAACCCAGGACTTTTACTTTGAAAAAATAAGAGTGTTCAAAGCAGGCCCTTTGCTCGAAATATAGCAGGGAATAATAGAATAGGACGTTATGGTTCTATTTTGTTGGTTTCTAGGACCATCGTAATGATTATAGGGACGGTCGGGGGCATCAGTATTCAGTTGTTAGAGGTGAAATTTTAGATTTACTGAAGACTAATTACTGCGAAAGCATTTGCCAAGGACGTTTTCCTTTATCAAGAACGAAAGTTAGGGGATCGAAGATGATCAGAAACCGTCGTAGTCTTAACCATCAACTATGCCGACTAGGGATCGGGTGTTGTTCTTTTTTTGACGCACTCGGCACCTTACGAGAAATCAATGTCTTTGGGTTCTGGGGGGAGTATGGTCGCAAGGCTGAAACTTAAAGGAATTGACGGAAGGGCACCACCAGGAGTGGAGCGTGCGGCTTAATTTGACTCAACACGGGGAAACTCACCAGGTCCAGACACAATAAGGATTGACAGATTGAGAGCTCTTTCTTGATTTTGTGGGTGGTGGTGCATGGCCGTTCTTAGTTGGTGGAGTGATTTGTCTGCTTAATTGCGATAACGAACGAGACCTTAACCTACTAAATAGTGCTGCTAGCTTTTGCTGGTATAGTCACTTCTTAGAGGGACGATCGATTTCAAGTCGATGGAAGTATGAGGCAATAACAGGTCTGTGATGCCCTTAGACGTTCTGGGCCGCACGCGCGCTACACTGACGGAGCCAGCGAGTATTAACCTTGGCCGAGAGGTCTGGGAAATCTTGTGAAAATCCGTCGTGCTGGGGATAGAGCATTGTAATTATTGCTCTTCAACGAGGAATTCCTAGTAAGCGCAAGTCATCAGCGTGCGTTGATTACGTCCCTGCCCTTTGTACACACCGCCCGTCGCTACTACCGATTGAATGGCTTAGTGAGGCCTCCGGATTGGTTTAAAGAAGGGGGCAACTCCATCTGGAACCGAAAAGCTGGTCAAACTTGG</t>
  </si>
  <si>
    <t>&gt;ENTREPBR_rbcLaR_F_lara_NO_VALIDA
CCAACAGAGACTAAAGCAGGCGCTGGATTTAAAGCGGGTGTAAAAGATTACCGTTTAACTTATTACACTCCTGATTACGTTGTAAAAGATACTGATATCTTAGCTGCATTCCGTATGACTCCACAACCAGGTGTTCCACCTGAAGAATGTGGTGCAGCCGTAGCAGCTGAATCATCAACAGGAACTTGGACAACTGTATGGACAGACGGTCTAACAACTTTAGACCGTTACAAAGGGCGTTGTTACGATATCGAACCAGTACCTGGTGAAGACAACCAATACATTGCTTACGTAGCTTACCCAATCGATTTATTCGAAGAAGGTTCAGTAACAAACTTATTCACATCAATCGTAGGAAACGTATTTGGTTTCAAAGCTTTACGTGCTCTTCGTTTAGAAGATCTTCGTATTTCTACAGCTTACGCAAAAACTTTCGAAGGACCCCCACACGGTATTCAAGTTGAACGTTACAAATTAAACAAATACGGACGAGGACTTTTAGGATGTACGATCAAACCTAAATTAGGTTTATCAGCTAAAAACTACGGACGTGCTGTTTACGAATGTTTACGCG</t>
  </si>
  <si>
    <t>Ulva lactuca</t>
  </si>
  <si>
    <t>&gt;PL3D8_EUKA_Premix_Skeletonema menzelii_Chaetoceros tenuissimus 
GCTAGGGGGTCCAGATTCGCCATGCATGTGTAAGTATAAGATACTTTATCGAAACTGCGGACGGCTCATTATATCAGTTATAGTTTATTTGATAATCCCTTACTACTTGGATAACCGTAGTAATTCTAGAGCTAATACATGCATAATAGCGGAACTCTCGGGAACCGCCGTGTTTATTAGTATTAAACCTTCACTCTTCGGAGTTGATTTGGTGAGTCATAATAACCTTTCGAATTGCACGCACTCGTTGCGGCAATGGATCATTCAAGTTTCTGCCCTATCAGCTTGGGATGGTAGTGTATTGGACTACCATGGCTTTAACGGGTAACGAATTGTTAGGGCAAGATTTCGGAGAGGGAGCCTGAGAGACGGCTACCACATCCCAGGAAGGCAGCAGGCGCGTAAATTACCCAATCCTGACACAGGGAGGTAGTGACAATAAATAACAATGCCGGGCCTTTACAGGTCTGGCAATTGGAATGAGAACAATTTAAATCCCTTATCGAGTATCAATTGGAGGGCAAGTCTGGTGCCAGCAGCCGCGGTAATTCCAGCTCCCATAGCGTATATTAAAGTTGTTGCAGTTAAAAAGCTCGTAGTTGGATTTCTGGCAGGGGTGAACGGCCACACACAATGTGTGTGAGCTTGTTTATCTCGCCCTCCTTGGGGGAGATTTTGCTTGGCATTAAGTTGTCGGGTAAAGGATACCCATCGTTTACCGTGAAAAAATTAGAGTGTTTAAAGCAGGCTTATGCCGTTGAATATATTAGCATGGAATAATAAGATAGGACTTTGGGTCTATTTTTGTTGGTTTGCGAGTCAAAGTAATGATTAAAAAGGGACAGTTGGGGGTATTCGTATTTCATTGTCCGAAGGTGAAATTCTTGGATTTCTGAAAGACGAACTACTGCGAAAGCATTACCAAGGATGTTTTCATTAATCAAGAAACGAAAGTTAGGGATCGAAAAAGATAGATACCATCGTAATCTTAACCATAAACAATGCCCACCCAGAATTGGGGGTTGTTTTTTTGGATTCCCTCCCGCCCTGTTTGAAAAAAAAAAAAATCTTTTGTTTCCC</t>
  </si>
  <si>
    <t>&gt;PL3MNB11_EUKA_Premix
TAAGTTCAATGATTTGACCAAAAAACTGCGAATGGCTCATTATATCAGTTATAGTTTATTTGATAGTCCCTTACTACTTGGATACCCGTAGTAATTCTAGAGCTAATACATGCGTAAACACTCGACCTTTGGAAGAGTGGTATTTATTAGATTGAAACCAACCCGTTTCGGCGGTGTCCTGGTGATTCATAATAACTTTTCGGATTGCATTGCAACATTTCATTCAAGTTTCTGCCCTATCAGCTTTGACGGTAGTGTATTGGACTACCGTGGCTTTAACGGGTAACGGAGGATTAGGGTTTGATTCCGGAGAGGGAGCCTGAGAGACGGCTACCACATCCAGGAAGGCAGCAGGCGCGTAAATTACCCAATCCTGACACAGGGAGGTAGTGACAATAAATAACAATGCCGTGCCCTTTTGGGTATGGCTTTTGGAATGAGAGAAACACAGAATCCACATCGAGGATCAATTGGAGGGCAAGTCTGGTGCCAGCAGCCGCGGTAATTCCCGCTCCATAGCGTAAATTAAAGTTGCTGCAGTTAAAAAGCTCGTAGTTGCATTTCCCAAGGCAAGGGATTAGTCCGACCTTTGGTGGGTATTTAATCCTCTTGCCTCGTCCTTGAGTGGTGCTTCTTGGTATTAAGTTATCGAGGAGATAGCCGCTCATCGTTTACTGTGAGAAAATTAAAGTGTTCAAAGCAGGCTTATGCCGTTGAAAATTTAGCATGGAAAAATAAAATAGGACCTCGGTACTATTTTTGTTGGTTTGAGAACCAAGGTAATGATAAAAAGGGAAAGTTGGGGGTATTCGTATTCCATTTGTCAAAGGTGAAATTCTTAAATTTACGGAAAACAAACTACTGCGAAAGCATTTACCAAGGATGTTTTCATTAATCAAAAAAGAAAGTATGGGGATCGAAAATAATAAAAACGATCGTAGGTCCATACCAAAAACCTATGCCCAACCCA
&gt;PL3MNB11_EUKB_Premix
TCCCCACCCTTGGGGGGGTTATTTTTTCCTCCTGCCTCCCTCCCGGGAGGTGGTGCTTCTTGGTTTTAAGTTAATCGAGGAAAATAGCCCCTTATCGTTTTACTGTGAGAAAATTAGAGTGTTCAAAGCAGGCTTAGCCCGTGGAACATTTTAGCCAGGGAATAATTAAGATAGGACCTCGGTACTATTTGTTGGTTTGAGAACCAAGGTAATGATGAATAGGGACAGTGGGGGGTTTTTGTATTCAGTTGTTAGAGGTGAAATTTTAAGATTTACGGAAGACGAAATTACTGCGAAAGCATTTACCAGGGATGTTTTCCTTTAATCAAGAACGAAAGTTTGGGGATCGAAGATGATTAGAAACCATGTGGTCTATACCATAAACTAGGCCGACTCGGGATTGTCAGGTGTCTTTTGACCTGGGCAGCACTGTGTGAGAAATCAAAGTCTTTGGGTTCCGGGGGGAGTATGGTCGCAAGGCTGAAACTTAAAGAAATTGACGGAAGGGCACCACCAGGAGTGGAACCTGCGGCTTAATTTGACTCAACACGGGAAAACTTATCAGGTCCAGACATAGTGAGGATTGACAGATTGAGAGCTCTTTCTTGATTCTATGGGTGGTGGTGCATGGCCGTTCTTAGTTGGTGGAGTGATTGTCTGGTTAATTCCGTTAACGAACGAGACCCCAGCCTGCTAAATACTTGCACGAATGACTTTTCATTGGTGACAGGTTCTTAGAGGGACATGTAGTATAAAACTACAGGAAGATTGGGGCAATAACAGGTCTGTGATGCCCTTAGATGTTCTGAACCGCACGCGTGTTACACTGATGCATTCAACGAGCTTTACCTTGGCCGAGAGGCCTGGGAAATCTTTTTAGCATGCATCGTGATAGGGATTGATTATTGCAATTATTAATCATGAACGAGGAATTCCTAGTAAACGCATTTCATCAAAATGCATTGATTACGTCCCTGCCCTTTGTACACACCGCCCGTCGCACCTACCGATTGAGTGGTCCGGTGAAGTCTCGAGATTGTGGCAATCTCCTTTATTGGAGTTTGACTGCGAGAACTTGCCTAAACC</t>
  </si>
  <si>
    <t>&gt;RPNOV_rbcLaR_Premix
GACTAAAGCAGGCGCTGGATTTAAAGCGGGTGTAAAAGATTACCGTTTAACTTATTACACTCCTGATTACGTTGTAAAAGATACTGATATCTTAGCTGCATTCCGTATGACTCCACAACCAGGTGTTCCACCTGAAGAATGTGGTGCAGCCGTAGCAGCTGAATCATCAACAGGAACTTGGACAACTGTATGGACAGACGGTCTAACAACTTTAGACCGTTACAAAGGGCGTTGTTACGATATCGAACCAGTACCTGGTGAAGACAACCAATACATTGCTTACGTAGCTTACCCAATCGATTTATTCGAAGAAGGTTCAGTAACAAACTTATTCACATCAATCGTAGGAAACGTATTTGGTTTCAAAGCTTTACGTGCTCTTCGTTTAGAAGATCTTCGTATTTCTACAGCTTACGCAAAAACTTTTGAAGGACCCCCACACGGTATTCAAGTTGAACGTGACAAATTAAACAAATACGGACGAGGACTTTTAGGATGTACGATCAAACCTAAATTAGGTTTATCAGCTAAAAACTACGGACGTGCTGTTTACGAATGTTTACGTGGT</t>
  </si>
  <si>
    <t>&gt;J3_rbcLaR_F_premix
TAAACAGGCGCTGGATTTAAAGCGGGTGTAAAAGATTACCGTTTAACTTATTACACTCCTGATTACGTTGTAAAAGATACTGATATGTTAGGTGCATTCCGTATGACTCCACAACCAGGTGTTCCACCTGAAGAATGTGGTGCAGCCGTAGCAGCTGAATCATCAACAGGAACTTGGACAACTGTATGGACAGACGGTCTAACAACTTTAGACCGTTACAAAGGGCGTTGTTACGATATCGAACCAGTACCTGGTGAAGACAACCAATACATTGCTTACGTAGCTTACCCAATCGATTTATTCGAAGAAGGTTCAGTAACAAACTTATTCACATCAATCGTAGGAAACGTATTTGGTTTCAAAGCTTTACGTGCTCTTCGTTTAGAAGATCTTTGTATTTCTTCAGCTTACGCAAAAACTTTTGAAGGACCCCCACACGGTATTCAAGTTGAACGTGACAAATTAAACAAATACGGACGAGGACTTTTAGGATGTACGATCAAACCTAAATTAGGTTTATCAGCTAAAAACTACGGACGTGCTGTTTACGAATGTTTACGTGGTGGA</t>
  </si>
  <si>
    <t>&gt;RP2MAYO_rbcLaR_F_premix
AACCCTTTAAAGAAAGGGTAATTTTGGGGGCCGGGGTTTTTATTTTCGGGCCCAAAACCGGGTTCGAAAAGGTAAACCCCAGCTTAAAAAATTCCCCCCGGGGGGTTCCCCCCCCCAGGGTTTAAATTTCAAAAGGGAAATGAGGTGCGGTCCCGCCAACCACCGCGGTGAGTGTTTTGGCGGTTAAATTTCGGTGCAACTCGGGGGGGGGCCTTTTCTCGGGGCCTAGTCCTCCGCCCGGAATTCCCCATCGATAGTGTATCAGTGCCCTTTCGAGTACGGCGGAGCCATGTGATGACTCAACGTATTTCAAATTCGTGTTCGTGAGATGCTGTGGTTGAATTCTGTAAAATGGCGCCAACCTCGTCGATAGTTCCCAGCGTTCAGTGTGGCGCTCATGGGCAGTAAGTGGGCAAAGCCGTAGGAATCTCAGGATCACGTCATGTCTGCATGTCCCCAGCTCGATTGGTGACACATGTCGTACAATCGTCCAGTCAACGCGACTCCTACTCGCAGGAGCCAGCCAATACCATGCAACTCTGGCTCAGTTCAGATTGCCGAGCGCGACTAACGTGCCTGAAGGAGGAATTCCTAGTAATCGCCGGTTCCGATTTTTAGTCCACCCCCAACAGAGACTAAAGCAGGCGCTGGATTTAAAGCGGGTGTAAAAGATTACCGTTTAACTTATTACACTCCTGATTACGTTGTAAAAGATACTGATATCTGAGGTGCATTCCGTACGACTCCACAACCAGGTGTTCCACCTGAAGAATGTGGTGCAGCCGTCGCAGCTGAATCATCAACCGGAACTTGGTCAAACAGTATGGACAGACGGTCTAACAACTTTAGACCGTTACAAAGGGCGTTGTTACGATATCGAACCAGTACATGGTGAAGACAAACAATACATTGGTTAGGTAGCTTACCCAATCGATTTATTCGAAGAAGGTTCAGTAACAAACTTATTCACATCAATCGTAGGGAAACGTATTTGGTTTCAAAGCTTTACGTGCTGTTCGTTTAGAAGATCTTCGTATTTGATCAGCTTACGCAAAAACTTTTGAAAGGACCCCCACACGGTATTCAAGTTGAATCGTTATAAATTAAACAAGAACGGACGAGGACTTTTAGGATGTACGATCAAACCTAAATTAGGTTTATCAGCTAAAAACTACGGACGTGCTGTTTACGAATG</t>
  </si>
  <si>
    <t>PLACA 3</t>
  </si>
  <si>
    <t>Revisar PCR</t>
  </si>
  <si>
    <t>REVISAR BANDA PCR</t>
  </si>
  <si>
    <t>BACTERIA</t>
  </si>
  <si>
    <t>BAJA INTENSIDAD</t>
  </si>
  <si>
    <t>1494R</t>
  </si>
  <si>
    <t xml:space="preserve">Secuencia multiple </t>
  </si>
  <si>
    <t>Secuencia multiple : BACTERIA</t>
  </si>
  <si>
    <t>27F</t>
  </si>
  <si>
    <t>Secuenciada bacteria intensidad media y alta única</t>
  </si>
  <si>
    <t>Secuenciada bacteria intensidad única en 27F y mezclada en 1494R</t>
  </si>
  <si>
    <t>Usarla de comparativa</t>
  </si>
  <si>
    <t>&gt;BEA1889_rbcLaR_F_R_Tetradesmus
CACAACAGAGACTAAAGCCGGTGCTGGATTTAAAGCCGGAGTAAAAGATTACCGTTTAACTTATTACACTCCAGATTACGTTGTAAAGATACTGATATCTTAGCAGCATTCCGTATGACTCCACAACCAGGTGTTCCACCTGAAGAATGTGGTGCTGCGTAGCAGCAGA-TCATCAACAGAACTGGACAACTGTATGGACATGATGTCTAACAAGTTAGACCGTTACAAAGGACGTTGTTACGATATCGAACCAGTTCCAGGAGAAGACAACCAATATATTGCTTACGTAGCATACCCAATTGACCTATTCGAAGAAGGTTCAGTAACAAACTTATTCACTTCAATTGTAGGAAACGTATTTGGTTTCAAAGCTTTACGTGCTCTTCGTTTAGAAGATCTTCGTATTTCCTCAGCTTACGTTAAAACTTTCGAAGGACCTCCTCACGGTATTCCAAGTTGAACGTGACAAATTAAACAAATATGGTCGTGGATTATTAGGATGTACGATCAAACCTAAATTAGGTTTATCAGCTAAAAACTACGGACGTGCTGTTTACGAATGGATCAA</t>
  </si>
  <si>
    <t>&gt;BEA1914_1494R_Premix_Geitlerinema 
TGCATCGACTAGGTATTCGCTGGATCCACAGTTACTAAGATGAGGGCCCCACGTGATTTGTTATCGTCACGGAGACTACAGCTGCAGCGGATCCCTGAAGGGGAGGCTTGGACGGACACAGTGGCATGCGTGTACTCGTTCTGAGATGTGGTATCCGCACGAGCGCACCTCGTCCTAGTCCCAGCATTAGTGGCACTCTGAGAGACGCCGTGCAACCGGAGAAGGTGGGATGACGTCAAGTCAGCATGCCCCTACGCCCTGGCTACACACGTACTACAATGCTACGGACAAAGGGTTGCAAGCGCGCGAGTGCAAGCTAATCCCATAAACCGTGGCTCAGTTCAGATCGAAGCTTGCAACTCAGCTTCGTGAAGGCGGAATCGCTAGTAATCGCAGGTCAGCATACTGCGGTGAATACCGTTCCCGGGCCTTGTACACACCGCCCGTCACACCATGGGAGACTGGCCACGCCCGAAGTCGTTAT</t>
  </si>
  <si>
    <t>&gt;BEA_2003_ITS_968_Dunaliella
ATTCAAGCTTGCAACACCATCAAATTGCCGGGACATCCTGCTAAGCTGTCAGTACCGCTCTCATATGTATGTATGCTGAAAGGCTGTGAGGGCACCGCGGTGAGAGCCGCGGGTATGGTAAGAACCTGACAGATAGGGACAATCGGCAGCCAAGTGCTAAGGTACTTCTCAGTCTTGAGAGTGCTATGCATGCAGTTCACAGACTAAATGGTGGTGGGTTCCCTTCTCTATTGCTAGAGGGAGAGGAGCTTAAGATATAGTCGAGCCCTGCTGAAAGGCAGTCTACCAGAGGAATGTTTTTGCTTAGAAACACGAGAGCTGGTAGAGGAAGTACAATAAACTTCTGGACAACACTGAGGTGAACCTGCGGAAGGATCATTGAATCTATCAATAACCACACCGTGAACCTTTTTTGTCTGGCCCATCAACTCCCATCTTATGATGGGTTTGGTGCTTCCTGGGCAGCATTCATTTGCTGCCTGGGTTGGGCTCGGCTGCCCAAACACTCTTTGGGCAGTTCGGGTTGGTCCTTATTAACCAACAACACCAAACAAAAACTAAAGCCATAGATATGTGGTCGGCCTAGCCGTCACATCCTAACTGAGACAATTCTCAACAACGGATATCTTGGCTCTCGCAACGATGAAGAACGCAGCGAAATGCGATACGTAGTGTGAATTGCAGAATTCCGTGAATCATCAAATCTTTGAACGCAAATTGCGCCCAAGGCTTCGGCTTAGGGCATGTTTGCCTCAGCGTCGGGTTAATCTCACAACCCCTCTCCCCATTGCATGGAGTAGAGGGCTAGTGGACCTGGCTGTTCCAGAACTTGGAAGTACATTCATTTGTCTCCATTTAAAAGGTCTGGATCAGCTGAAGCACAGAGGCTAGCTCACGACCCGTCAAGGGCCGCAACTGGGTAGGCAGCTCTCGCTCGCTATTTCTAGTTGTTGGCTTGGGATCATGGG</t>
  </si>
  <si>
    <t>He secuenciado un vector</t>
  </si>
  <si>
    <t>baja calidad</t>
  </si>
  <si>
    <t>Múltiple secuencia</t>
  </si>
  <si>
    <t>CALIDAD MEDIA</t>
  </si>
  <si>
    <t>&gt;BEA2102_1494R_Cyanothece_low_quality
ACAGCTGTGACCGGCGCCTGGAGTCAGAGGACGTGGATGTATTCAAAAGGTTGATGATCGCGTTAGCATCGATGTAGTCAGCTCATGTAAGATATGAGGGAGAATGCGGTCGATCAGCGGATGTGATGAATGGGAGTTTGATTCATAGAAACGGCAAGGTAAACCGTGCTCTAGAGTATGATGTGTGCCGCGTCGAGTAGCTATCCGTGGATACACAGTGACTAAGATGAGGGCGACACGGATTTGTTATCGTCACGGAGACTACAGCTGCAGCGGACCGTAATGCTTCTTGGACGGACCAGTGTCAGCGTCTCAGTCGGCTGGAGTGTTATCCCACGACCACCTCGTGTAGTGCACATAATGGCCTCAGGAGATGCGTGCAACCTGAGAAGGTGGGATGCGCAAGTCACATCCCGTAATCTTGGCGACACACATACTACAATGGTTAAGACAAAGGGCAGCCAACTCGCAAGAGAGAGCGAATCCCATCAAACTTAGCCTCAGTTCAGATTGCAGGCTGCAACTAGCCTGCATGAAGGAGGAATCGCTAGTAATCGCAGGTCAGCATAACTGCGGTGAATTCGTTCCTCGGGCCTCGTACACACCGCCCGTCATCACCATGGAAGCTGGTCACGCCCGAAGTCATTACCCTAACCCTT</t>
  </si>
  <si>
    <t>revisar pcr</t>
  </si>
  <si>
    <t>&gt;BEA2107_rbcLaR_Premix_nose_yo
CCACAACAGAGACTAAAGCCGGTGCTGGGTTTAAAGCCGGAGTAAAAGACTACCGTCTTACTTACTATACTCCAGATTACGTTGTAAAAGATACTGATATTTTAGCAGCATTCCGTATGACTCCACAACCAGGTGTTCCACCTGAAGAATGTGGTGCTGCAGTAGCTGCAGAATCTTCAACAGGTACTTGGACAACTGTATGGACTGATGGTTTAACAAGTTTAGACCGTTACAAAGGACGTTGTTACGATATCGAACCAGTTCCAGGAGAAGACAACCAATATATTGCTTACCTAGCTTACCCAATCGATTTATTCGAAGAAGGTTCAGTAACAAACTTATTCACATCAATCGTAGGAAACGTATTTGGTTTCAAAGCTTTACGTGCTCTTCGTTTAGAAGATCTTCGTATTTCTGCAGCTTACGTTAAAACTTTCATAGGACCTCCTCACGGAATCCAAGTTGAACGTTACAAATTAAACAAATATGGTCGTGGACTATTAGGATTTACGATCAAACCTAAATTAGGTTTATCAGCTAAAAACTACGGACGTGCTGTTTACGAATGTTTACGCGGT</t>
  </si>
  <si>
    <t>baja</t>
  </si>
  <si>
    <t>Más de una secuencia</t>
  </si>
  <si>
    <t>No valida</t>
  </si>
  <si>
    <t>&gt;RK2D9_1494R_low_quality_bacteria
TTCCATGAGAACCGAGACAATCCGTGAGAGAGCCTGGCTTAATTTTTAAGAAGAGTTGCGGATTGAGATAGACGGCAACTCCTGCCACAGCGGTATCGGGGTCAGGTTTCGGATGATCGCGTAAGATCTGTAGTGTTTAAAGTTACTGCAATCCCAGAGTCAACTTGGACAGCAGAAGAGATCAAGGCTGATTACGGTAGGGTAGAGGGAATTCTAGTGAGCGGTGAATGCACAGAGATTAGGAAGACACCAGTGCGAGGCCTTTATGGCCGTGCTGACATGAGAGATGACAGCGGGGGAGTGATAGGATTAGATCCCTCGTATCCCAGCCGTAACGATGGATACTAAGTGCTTCGAAAACAGTGCGTAGCTAACGCGTTAAGTATCCCGCCTGGGGAGTATGCTCGCAAGAGTGAAACTCAAAGGAATTGACGGGGGCCCGCACAAGCGGTGGATTATGTGGTTTAATTTGATGCAACGCGAAGACCTTACCAGGGATAGACAGGGAGAGAACTTTTAGAAATGAATTGGTGCCCGAAAGGGAACTTTCCGTCAGGTGGTGCATGGCTGTCGTCAGCTCGTGCCGTGAGGTGTATAGTTAAGTCTAGCAACGAGCGCAACCCTCGTCTCTAGTTACTCCTAGTGAGACAACTCTGGAGAGACTGCCGGTGCAAGCCGGAGGAAGGAGAGGATGACGTCAAGTCAGCATGCCCCTTACATCCTGGGCTACACACGTAATACAATGGCTGAGACAATCGGAAGCAAACTCGCGAGAGTAAGCGAATCTGCCAAACTCAGCCTCAGTTCGGATTGTAGGCTGCAACTTGCCTACATGAAGCCGGAATCGCTAGTAATCGCCAGTCAGCTATATGGCGGTGAATACGTTCCCGGGCCTTGTACACACCGCCCGTCACACCACGGGAGCTGGTTCTGCCCTAAGTCGTACCCTAACCGTTGGA</t>
  </si>
  <si>
    <t>PLACA 4</t>
  </si>
  <si>
    <t>&gt;BEA0589_SSU_Premix
AGAGTCTCAGCCATATCACTTTCTTGTCTCGTCCCTATGAGTATCCTCCCAGTCAACAAGCGACCAGCGGTCTACAGTGCATTATATGAGTGCCTTAGAGGTGAAAGTCTTATCCACTCTGCGTGTAACTGGCTGTAATAATTTGTGTCTTGACTGGCACTATACCGCTCTGTACCATTTACTTGGTGCACCTGTATAGTTAAGGCATCTCTGTAAGCCTTTGCTGATCCCAAAGCATGCTGATGTGAGTCTCACTGTGGCTCAGGTTGGTTAATTCGAACCTGAGTCAGGTTCCTGTTTCTTAGCTCTCATGTTAGGTGTGAAAGGGGTGTATTCTGAGATCACATAGTGCCATCTAAACAATGGTAGTATGTGGCGAGGATGCATGTCCGGTAGCTCCTTTTATGTTGATCGGACGTTGGATAATTAAATTATCTGACCAAAGGGATCGGGCTTTTATCTTGTCTAACCGCCCCACTATATATCTCAAGTCCTTCCTTAGTGGCTCTCTGACTTGCTGCCAAAAACCACTGCTCATAAGAACGTAATGTTCTTGTCTCGGGCTCACGAGCCCCAAAAGCAGCGGACTGCTGATGCGTTTTGTTGGGGTGCAAGAAACAAAGTCAATCCCCAATCTTTTATGCAAAAAGAAATTTACCTCGTGCCCTTGACCAAAAAGATAGTCTCCCTCAAGATTCGGGTTCCCCCCAAAACAACAAGTCTCTGTGGGTAGTTTGCCCGCCAGCGGAAAAAACCCCCCCTCACGGACAGTGGCCGGCCCGGAAACAAAGGCCCCTTAAGAGGGGTGGAGTGACATAACCCTACCCGGGGCCCGAATAAAAACCAAAGGAACCGGTTTGGGGGGGGGGGCCGTTTGGAAAAAAACCCCCCCCGGTGTTTTAGTAGTTCCCCCAAAAAAATTTGTTGGCCCGGGGTTTTTGGGGCTGTATAAGAAACGGAAAAAACCCGCTGGCAAGAGCGGGGGAAAAAGGGGAAAAAACCTCAACCCCCCCGGTTTTTAAGGGGGGTGTTGGGCCACACCATTTGTTTGTGTGTGTTTGGGGGGGGGGGGAAAAACCCCCGGGGAAAAAAAAAAAAAAAAAAAAAAAAAAAAAAAAAAAAAACCCCCCCCCCCCGGCGGGGACAGAGAGAAAAAAAAAAAAAAAAAAAAAAAAAAAGGGGGGGGGGGGGGGGGGGGGGGGGGGGGGGGGAGGGGGGGGGGGGGGGGGGGGGGGGGGGGGGGGGGGGAGGGGGGGGGGGGGGGGGGGGGGGGGGGGAGGGGGGGAGGGGGGGGGGGGAGGGGGGGGGGGAGGGGGGGGGGGGGGGGCGGGGGCGGGGGGAGGGGGGGGGGGGGGGTGGCGGGGAGGGGGGGGGAGAGCGGGGGGGGGGGGGGCGGGGGGGGT</t>
  </si>
  <si>
    <t>&gt;BEA1192_SSU_ITS4T
CGGGCTTGGATTCATTTCCAAGCCCGTGCAGCCTGGGCCTGCACCTTCACGGTGTGGGTTCGGGTTGGGTGCGCCGCCCAAACCTTTTGGGCGTGTCGCGCTGGCCCCTCAACCAAACCAACATTAACACCAAACCCAAACCTTACCTAGAACTCTTAATTGAATGCGGAAGGCCAAGCCTATACGCATCCTAACTAAGACAACTCTCAACAACGGATATCTTGGCTCTCGCAACGATGAAGAACGCAGCGAAATGCGATACGTAGTGTGAATTGCAGAATTCCGTGAACCATCGAATCTTTGAACGCATATTGCGCTCGAGGCCTCGGCCGAGAGCATGTCTGCCTCAGCGTCGGGTTTATATCACACCTCTATACCCATGTATAAAGGCGTGGACCTGGCCGTTCCAGCTCGGCTTTCTTACAGCTCTCTAAGGGCTATAAGATGTACAGCTCTGGATCGGCTGAAGAGCAGAGTCTTAACCAGGACCCATTATCAAGGGCCGCAACTGGGTGGGCAATCTTAAAACCATTGCTAAAAGCTTTAGTTGTTGGCCTGGGCGCCCGGTACAAGGACCTCAACCCAGGAATTACAACATATAAACCATAATCTCGACCTGAGCTCAGGCAAGAACACCCGCTGAACTTAAGCATATCAATAAGCGGAGGAAAAGAAAATAACAATGATGT</t>
  </si>
  <si>
    <t>&gt;BEA0484_SSU_ITS4T
ACACAGCGAACCACCGTACGCGCCCTCGGGCCAGGCCCCAACCAGGGACTGCCCGCGCGCTGGAAAACACTCGTTCGGCCCACGGGTCGGCGGGTGGGGGACCAGCGGGACGTCCTCCCGACCCCTCCTTCCTCCGGGAAGGAGCCGGGAGTGTGCGGCCGGCCACCCCCTGTCCAACTCACACAACCCAAACAACACAACCAAACTGAAGCGAAAGCGGGTCTGCCCGAAAGGGCGCCGCGACCACAAACAAAAGACAACTCTCAACAACGGATATCTTGGCTCCCGCATCGATGAAGAACGCAGCGAAATGCGATACGTAGTGTGAATTGCAGAATTCCGTGAATCATCGAATCTTTGAACGCATATTGCGCTCGAGACCTCGGTCGAGAGCATGCCTGTCTCAGCGTCGGCTCACCCCTCGCCCACCCTTTCCCCTGTGGGAAGGTGCCTGGACGGACGTGGCCGTCTCGCTCCCAGCTCGCCAACGAGCACCGGGAGCGGGTCGGCTGAGGTGCAGGGCCCGCGGCGCGACCCGGACGAGAGGGCGCCAGCATGGTAGGTGGCTCAACGCTGCATGCCGCTGTCGCCTCTCATCTCGGCCCGAACAAGGTCGCATCAACCGTCCGCTCGGCCACCATGCAGGAACAGTCGCCCCAGCCGCAGCGATGCGGCGGGCGATTCAACCCTTCGACCTGAGATCAGACGAGACCACCCGCTGAACTTAAGCATATCAATTAAGCGGAGAAAAGAA</t>
  </si>
  <si>
    <t>&gt;BEA0297_ITS4T_SSU_2
AACCACACAGCGAACCAACCGTACGCGCCCTCGGGCCAGGCCCCCACCAGGGACTGCCCGCGCGCTGGAAAACACTCGTTCGGCCCACGGGTCGGCGGGTGGGGGACCAGCGGGACGCCCTCCCGACCCCTCCTTCCCGGATCGGGAAGGAGCCGGGAGTGTGCGGCCGGCCGCCCCCTGTCCAACTCACACAACCCAAACAACACAATCAAACTGAAGCGAAAGCGGGTCTGCCCGAAAGGGGCGCCGCGACCACAAACAAATGACAACTCTCAACAACGGATATCTTGGCTCCCGCATCGATGAAGAACGCAGCGAAATGCGATACGTAGTGTGAATTGCAGAATTCCGTGAATCATCGAATCTTTGAACGCATATTGCGCTCGAGACCTCGGTCGAGAGCATGCCTGTCTCAGCGTCGGCTCACCCCTCGCCCACCCTTTCCCCTCTGCGGAGGAAAGGTGCCTGGACGGACGTGGCCGTCTCGCTCCCGGCTCGGCAACGAGCACGGGGAGCGGGTCGGCTGAAGTGCAGGGCCCGCGGCGCGACCCGGACGAGAGGGCGCCAGCATGGTAGGTGGCTCAACGCTGCATGCCGCTGTCGCCCTTCATCTCGGCCCGAACAAGGTCGCATCAATCGTCCGCTCGGCCACCAAGCAGGAACAGTCGCCCGCCCGCAGCGACGCGGCGGCCGACTCAACCCTTCGACCTGAGATCAGACAAGACTACCCGCTGAACTTAAGCA</t>
  </si>
  <si>
    <t>&gt;BEA0928_ITS4T_Stichococcus
CCACAGCGACCCACCGTACGTCGCCCTCGGACAGGCCCCCACCAGGGACTGTCCGCGCGCTGGAAAACACTCGTTCGGCCCACGGGTCGGCGGGTGGGGGACCAGCGGGACGCCCTCTCCAACCACAAACCTTTTTCCCCAACAAGGAAAAAGGTTTGGGAGAGTGCCGCGGCCGGCCGCCCCCTGTCCAACTCACACAACCCAAACCACACAAGCAAACTGAAGCGAAAGCGGGTCCGCCCGAAAGGGCGCCGCGAACACAAACAAAAGACAACTCTCAACAACGGATATCTTGGCTCCCGCATCGATGAAGAACGCAGCGAAATGCGATACGTAGTGTGAATTGCAGAATTCCGTGAATCATCGAATCTTTGAACGCATATTGCGCTCGAGACTTCGGTCGAGAGCATGCCTGTCTCAGCGTCGGCTCACCCCTCGCCCACCCTTTCCGCTTTCACCGTGGAAAGGTGCCTGGACGGACGTGGCCGTCTCGATTGAATTTTGGTTTTCCCCAAGAAACGATCGGGTCGGCTGAAGTGCAGGGCCCGCGGCGCGACCCGGACAAGAGAGCGCCAGCATGGTAGGTGGCTTCAACGCTGCATGCCGCTGTCGTCTCCCCTTGGCCCGATCACCAGTGTCGCATCCAATCGTCCGCTCGGCCAACAAGCAGGAAACGCGCGTCGGAGCCGCCGGTTGTGCAAATAATCGGCGGCGCCGCGCCATTCAAACCTTCGACCTGAGATCAGACAAGACCACCCGCTGAACTTAA</t>
  </si>
  <si>
    <t>&gt;BEA0441_SSU_ITS4T
CGGGCCAGGCCCCAACCAGGGACTGCCCGCGCGCTGGAAAACACTCGTTCGGCCCACGGGTCGGCGGGTGGGGGACCAGCGGGACGTCCTCCCGACCCCTCCTTCCTCCGGGAAGGAGCCGGGAGTGTGCGGCCGGCCACCCCCTGTCCAACTCACACAACCCAAACAACACAACCAAACTGAAGCGAAAGCGGGTCTGCCCGAAAGGGCGCCGCGACCACAAACAAAAGACAACTCTCAACAACGGATATCTTGGCTCCCGCATCGATGAAGAACGCAGCGAAATGCGATACGTAGTGTGAATTGCAGAATTCCGTGAATCATCGAATCTTTGAACGCATATTGCGCTCGAGACCTCGGTCGAGAGCATGCCTGTCTCAGCGTCGGCTCACCCCTCGCCCACCCTTTCCCCTGTGGGAAGGTGCCTGGACGGACGTGGCCGTCTCGCTCCCAGCTCGCCAACGAGCACCGGGAGCGGGTCGGCTGAAGTGCAGGGCCCGCGGCGCGACCCGGACGAGAGGGCGCCAGCATGGTAGGTGGCTCAGCGCTGCATGCCGCTGTCGCCTCTCATCTCGGCCCGAACAAGGTCGCATCAACCGTCCGCTCGGCCACCAAGCAGGAACAGTCGCCCCAAGCCGCAGCGATGCGGCGGGCGATTCAACCCTTCGACCTGAGATCAGACAAGACCACCCGCTGAACTTAAGCATATCAGTAAACCGG</t>
  </si>
  <si>
    <t>&gt;BEA0297_SSU_ITS4T
GGGCCAGGCCCCCACCAGGGACTGCCCGCGCGCTGGAAAACACTCGTTCGGCCCACGGGTCGGCGGGTGGGGGACCAGCGGGACGCCCTCCCGACCCCTCCTTCCCGGATCGGGAAGGAGCCGGGAGTGTGCGGCCGGCCGCCCCCTGTCCAACTCACACAACCCAAACAACACAATCAAACTGAAGCGAAAGCGGGTCTGCCCGAAAGGGCGCCGCGACCACAAACAAATGACAACTCTCAACAACGGATATCTTGGCTCCCGCATCGATGAAGAACGCAGCGAAATGCGATACGTAGTGTGAATTGCAGAATTCCGTGAATCATCGAATCTTTGAACGCATATTGCGCTCGAGACCTCGGTCGAGAGCATGCCTGTCTCAGCGTCGGCTCACCCCTCGCCCACCCTTTCCCCTCTGCGGAGGAAAGGTGCCTGGACGGACGTGGCCGTCTCGCTCCCGGCTCGGCAACGAGCACGGGGAGCGGGTCGGCTGAAGTGCAGGGCCCGCGGCGAGACCCGGACGAGAGGGCGCCAGCATGGTAGGTGGCTCAACGCTGCATGCCGCTGTCGCCCTTCATCTCGGCCCGAACAAGGTCGCATCAATCGTCCGCTCGGCCACCAAGCAGGAACAGTCGCCCGCCCGCAGCGACGCGGCGGCCGACTCAACCCTTCGACCTGAGATCAGACAAGACTACCCGCTGAACTTAAGCATATCAATAAGCGGAGGA</t>
  </si>
  <si>
    <t>&gt;BEA1885_EUKA_EUKB_Desmodesmus_scenedesmus
AACTCGCTTATACATAGATGCAACTGCGAATGGCTCATTAAATCAGTTATAGTTTATTTGGTGGTACCTTCTTACTCGGAATAACCGTAAGAAAATTAGAGCTAATACGTGCGTAAATCCCGACTTCTGGAAGGGACGTATATATTAGATAAAAGGCCGACCGGGCTCTGCCCGACCCGCGGTGAATCATGATATCTTCACGAAGCGCATGGTCTTGTGCCGGCGCTGTTCCATTCAAATTTCTGCCCTATCAACTTTCGATGGTAGGATAGAGGCCTACCATGGTGGTAACGGGTGACGGAGGATTACGGTTCG</t>
  </si>
  <si>
    <t>&gt;BEA1886_EUKA_B_Desmodesmus_sp.TAATTAAGCTCACCTACCGGTCGGGATCGACAAACTTATTAAATATTTAGAGCTAATACGTGCGTAAATCCCAGACTTCTGGAAGGGACGTATATATTAGATAAAAGGCCGACCGGGCTTTGCCCGACCCGCGGTGAATCATGATATCTTCACGAAGCGCATGGCCTTGTGCCGGCGCTGTTCCATTCAAATTTCTGCCCTATCAACTTTCGATGGTAGGATAGAGGCCTACCATGGTGGTAACGGGTGACGGAGGATTAGGGTTCGATTCCGGAGAGGGAGCCTGAGAAACGGCTACCACATCCAAGGAAGGCAGCAGGCGCGCAAATTACCCAATCCTGATACGGGGAGGTAGTGACAATAAATAACAATACCGGGCATTTCATGTCTGGTAATTGGAATGAGTACAATCTAAATCCCTTAACGAGGATCCATTGGAGGGCAAGTCTGGTGCCAGCAGCCGCGGTAATTCCAGCTCCAATAGCGTATATTTAAGTTGTTGCAGTTAAAAAGCTCGTAGTTGGATTTCGGGTGGGTTTTAGCGGTCCGCCTATGGTGAGTACTGCTATGGCCTTCCTTACTGTCGGGGACCTGCTTCTGGGCTTCACTGTCCGGGACAGGGATTCGGCATGGTTACTTTGAGTAAATTAGAGTGTTCAAAGCAGGCTTACGCCGTGAATACTTTAGCATGGAATAACATAATAGGA</t>
  </si>
  <si>
    <t>&gt;BEA1807_EUKB_Cosmarium_sp
CCAGTATCCGTCTATGGCTCTCACCTCATAAGCGAGTGCGACTAAGGATTGGGCGAATCTCATAGACTCCGCCAGCCCTTTGGGAAATCAAAGTTTGGGTCCGAGGAGATATGGTGCAGGCTGAAACTTAAAGATTTGACGGGAGGGCACCCCCAGTGTGTGGAGCTTGCGGCTAATTGACTCAACGCGGGGGAAACTTACCAGGTCCAGACATAGTAAGGGATGGACAGATTGAGAAGCCTCTTTCTGATTCTATGGGTGGTGGTGGCATGCCCGTCCTAGTTGGTGGAGTGATTGGTCTGGTATTCGTTACCGAACGGAGACCTCAGCTTGCTAACTAGTTACTCGAACATTCGTGTTCGAGGCCAACTTCTTAGAGGGACTATCGGCGGTTTAGCCGGCTGGAAGTTTGAGGCAATAACAGGTCTGTGATGCCCTTAAGATGTTCTGGGCCGCACGCGCGCTACATGAAGATTCTAAGCGATCTTCCCGTGTATCAAAAGTTTTAGAATCTCTCTGAATTTTCATCGTGATGGGGATAGATTATTGCAATTATTGATCTTCAACGAGGAATACCTAGTAAGCGCGAGTCATCAGCTCGCGTTGATTACGTCCCTGCCCTTTGTACACACCGCCCGTCGCTCCTACCGATTGAATGATCCGGTGAAGTTTTCGGATTGCGGCGACGCTGGCGGTTCGCCGCCGGTGACGTTGTGAGAAGTTCATTAAACCTTATCATTTAGAGGAAGGAGAAGTCGTAACAAGGTTTTCCATTGGTCCTTCTCGCCCCCGCTTTGTCGTCCGCGACATCGTGGTTCGAGACGCACGGAAGCCTGAGTGGGGCTGCTTCACGGCTGCACTCGCTAGTGCTGGGCAGCAAAGCTCGGTGCGACGTCGTCAATTTGCGGGGAACGTCCCAAAAACCCTCGGCGCATGGATACCAAGATATATATAAGTGCACCTGCTCCCATTTTTTTACGGTGTAGTAGATGGCGCCAAGCGTGGCCGAGCCAGCGAGCTCGGGTGTGGTAAGAACTCCTCGCCGATGGACTGACCCGCAGCCAAGCCTCGGGGGCCCGGCCTCCGTGGTGGTGCTCACAGACTAGATGTTAGACTGGGTCAACCTGCGCGATACGTAGGCTCCCTACAGTAACGGTGCGTGCTCCGGCCGTGTGTGTAGGTGTAGCTAGTGTCAGAGAGACGTGTCAATTC
&gt;BEA1807_EUKA_Cosmarium_sp.
TTTTATACAAGTGAACTGCGAATGGCTCATTAAATCAGTTATAGTTTATTTGATGGTACCTACTACTCGGATAACCGTAGTAATTCTAGAGCTAATACGTGCACAAACTCCCGACTTCTGGAAGGGACGCATTTATTAGATAAAAGGCCAATCCGGGCTTGCTCGGCATTGCGGTGATTCATAATAACTCCACGAATCGCATGGCCTTGCGCCGGCGATGTTTCATTCAAATTTCTGCCCTATCAACTTTCGATGGTAGGATAGAGGCCTACCATGGTGGTAACGGGTGACGGAGAATTAGGGTTCGATTCCGGAGAGGGAGCCTGAGAAACGGCTACCACATCCAAGGAAGGCAGCAGGCGCGCAAATTACCCAATCCTGATACAGGGAGGTAGTGACAATAAATAACAATACCGGGCTCTTCGAGTCTGGTAATTGGAATGAGTACAATCTAAATCCCTTAACGAGGATCCATTGGAGGGCAAGTCTGGTGCCAGCAGCCGCGGTAATTCCAGCTCCAATAGCGTATATTTAAGTTGTTGCAGTTAAAAAGCTCGTAGTTGGATTTTGGGTTGGAGGATTCGGTCTGCCGACAGGTTGATACTGTCTCCTCCATCCTTCTTGCCGGGGACGCGTCCTGGCCTTCACTGGCTGGGGCGTGGAGTCGGCGATGTTACTTTGAAAAAATTAGAGTGTTCAAAGCAGGCCTATGCTCTGAATACATTAGCATGGAATAACGTGATAGGACTCTGGTCCTATTGTGTTGGTCTTCGGGACCGGAGTAATGATTAATAGGGACAGTTGGGGGCATTCGTATTTCATTGTCAGAGGTGAAATTCTTGGATTTATGAAAGACGAACTACTGCGAAAGCATTTGCCAAGGATGTTTTCATTAATCAAGAACGAAAGTTGGGGGCTCGAAGACGATCAGATACCGTCCTAGTCTCAACCATAAACGATGCCGACAAGGGATTGGGCGGAAATACCTTAT</t>
  </si>
  <si>
    <t>Sanger-algasal</t>
  </si>
  <si>
    <t>Secuencia baja calidad</t>
  </si>
  <si>
    <t>ITS1/ITS5</t>
  </si>
  <si>
    <t>MALA CALIDAD</t>
  </si>
  <si>
    <t>Secuenciada alfaprotebacteria</t>
  </si>
  <si>
    <t>Secuenciada alfaprotebacteria &gt;BEA1575_1494R_Premix
ATGGGGCGCGCGTGGGGGGGGGGGGGGCGTTTCTCCCCCCCCCCTCTTCTCCCGGGGGTTCCACCCCCCCCTTTCTCCCAAAAGGGGGGCCAAAAAAATAATAGGGGGTCAAAAAAAAAAAAATATGTTTTTCCCCCCGGGGAAGGAAATTAACCCCCACACGTTTAAAAGACCCGGAGGGGACACCTCCCCCCCCGCCCCCCCCATTTTTTTGGGGGGGGGGAGGGGGTCTTTTAGGATTTTCCGGGGGTTAAATCGCCGCGGGTTGGGGGGGTTTTTTAATTTTTTGGGGAAATCCTTAGTTATAAAACCCAAGAAACCCCCCTTTAAAAGGGGAACCCCAGAATTTTTGGGGGGGGTAGGGGAATTTCGGGGGGTAGGCCGCGAAATGTGGTAAAATTTTGGAAGAAAACCCCCGGGGGAAGGGGTTTTTCTTGCCACACAATTTAATCGTTTTGGTGTGAAAGGGGGGGGGGCAAACGGGTTTTTTTCCCCCTGGTTTCCCCCCCTTTCAACGATGATAAATTATCTTTTTGGGATGAAAGAGACTTGGTGGAGCAGGTTTATGCCTTTAGTTTTCCGCCTGGGGAGTACGGGCGCAAGATTAAAAATCAAAGGAAATGAGGGGGGCTGCACAAGCGGGGGAGCATTTGGTTTAATTTGAAGCAACGTGCAGAACCTTACCAGAGTTTGACCATCCTGATCGGGGATAGCGGAGACACTTTCTTTCACTTTGGGGGGATCAGAGACAGGTGCGGCAGGTGCGGTGGTCAGCTCGTGTGTTGAGATGTTGGGTTAAGTCCCGCAAAGAGCGCAACCTTCTTCCTTAGTGGCACATCATTCAGTTGGGCACTCTAAGGAAAACGCGCGGTGATAAGCGGGGGGAGAGGGGGGGAGGAGACAAAGTCTCCTGCGGCCCTTTGTCGGGGGGGGCCACACTAGTACAACAATAGAGGACAACAGGGGAGCAAGCGTGGGAAGGCGAGCAAATTACCATAAACCGTGGCTCAGTTCAGATTGCAGGCTGCAACTCGCGTGCATGAAGGCGGAATCGCTAGTAATCGCCGGTCAGCCATACGGCGGTGAATACGTTCCCGGGCCTTGTACACACCGCCCGTCACACCATGGAGAGCTTGGTTACACCCGAAGTCGTGTACCCTAACCGCTATGTGAGCAGATGACGCACGCAGATGCCATCTCAC</t>
  </si>
  <si>
    <t>secuenciada alfa protebacteria &gt;bea1596_1494R_Premix
AACAGACCTTTCTTCTCTCCACCCTCAGCCGCGCCCGGGGGGGGCAGGCGGGGTTGGGAGATATATAAAGTGTGGGGGGAAAACCTCCCCGGGGCTGTTTTTCTTTTCTTTTGGGGGGGCTTCTTCCCCCCCTCCACCGTGGGGCCGCGCCCCCCCCCCAACATTTTTTTGCGGGGGGGGGCGGGGGGCACTCTTTTCGCCCAAGGGGGAAATGCCTTTCTCCCCCCAATGGGCGGAGGGAAAAAGGCCCTAGGGGTTTAAATGTTCTTTTCCCCCGGGGGAAAAAGACACAAACCAGGAGAAAAAAGCCCCGGGAAAATCCCCCCCCGCCGCCCCCGTTATTTCGCAGGGGGGCGAGGGTTTTTCGAATTACTGGGCGTAAAGCGCGCGTGGGCGGTTTTTTAATTAGAGGGGAAAGCCCAGTGCTCAACACCCGAACTCCCTTTGAAAATGGAAAACCTGATCTCGGAGAGGTCAGGGGAATTTCGAGGCAGAGGGGAAATTCGGAGATATTTGGAAGAACACCAGTGGCGAAGGCGACTGACTGGCCACGTATTGACGGTGAGGTGGGAAAGCGGGGGGAGCAAACAGGATTAGATACCCTGGTTGTCCACCCCGTAAACGATGAAAACTATCTTTTCGGGCTCATAGAGCTTGAGTGGAGCAGCTAACGCATTAAGTTATCCGCCTGGGGAGTACGGTCGCAAGATTAAAACTCAAAGGAATTGACGGGGGCCTGCACAAGCGGTGGAGCATGTGGTTTAATTTGAAGCAACGCGCAGAACCTTACCAGCGTTTGACATCCTGATCGCGGATAGTGGAGACACTTTCCTTCAGTTTGGCGGGATCAGTGACAGGTGCTGCATGGCCGTCGTCAGCTCGTGTCGTGAGATGTTGGGTTAAGTCCCGCAACGAGCGCAACCCTCATCCCTAGTTGCCATCATTCAGTTGGGCACTCTAAGGAAACTGCCGGTGATAAGCCGGAGGAAGGTGGGGATGACGTCAAGTCCTCATGGCCCCTACGCGCTGGGCTACACACGTGCTACAATGGCAACTACACTGGGCAGCAACCCTGCGAGGGGTAGATAATCTCCAAAAATTCTCTCACTTTTCGATTGTTCTCTGCACATCGAGAGCACGAAGAGCGGAATCGCTAGTAATCGCGGATCAGCACGCCGCGCTGAGTACGTTCTCCCGGCCTCGTACACACCCCCCCTCACACCACGGGAGATGGTTTCACCCGAAGGCAGTGCTCTAACCCCCAAGGAGGCAGCTGACCACGTCGTCTAGCGGAAA</t>
  </si>
  <si>
    <t>secuenciada alfa protebacteria &gt;BEA1580_1494R_Premix
ATTTTTAATTTCTATCGTCGCACATATATACCACACCGCCCGACTCCTCCCCCCTCCTCTCCCCCCTCCCCACCCCGCGGTGGGGGGCGGGCGCCCCGCCGCCCCGTCCGTGGTTGTGTGTTGGGGTATACGTAATAATCTCACTCCCACCTCGCCACCCTGCCATGCGCCGCTCCGCGCGGCGGCCCCGCGCCACCACCCACCCCCCGCGCCGGGCGGGGGGGGGCGGTGTTGGTTGTTTCATAATACACAAACCATCCTCGTGAGAGACTATCTGGTGTCATTAGTATAGACTGTGATAGGAGAGGCCACACACCCCACACACTCACCACTCCGCTGTCTAAGAAAGGTTTCACCCAAAAAAAAAAATTTTTTTTTCTTCAACTCGCGCGCCACCCCGCCCCCGCCGCTGCCCCCCGGGGGGGGGGGTCGGGGGGTTCTTTGTTGAGAAAAAAAAGACGTATATAGGTTCGCGCTCCGGGGGGACGGGGGGGGCGCGCGAGAGTCAAGTTTCTCTCTAATGTCAGGGAGAGAACTCACACTCCCTCATCCCCCCCGGGGGGGATGTTTAGTTCTGAATTACTTTTTCCCTAAGTGCGTAACCGGACTGTTCACCCCGCCAAGAATTTTCATTCTTTTATCCGGGTTGAGGGTGTCGTGGGGTTGGGTACCTCGGGGAGAAGCCTACGGGGTGGGGTCTGGAAGGGGGGAGGAGTGAACGAGGTACGGTGCTCTGGGTGATTACCACTCCGAGAAAGAAAGTAAAGTATAGTTAGGGGTGCACCGGGCTCGTGCGGGCCTGTCAATAAAAATAGAATTAATTGCGGCGACAGCGGGCTGTTGGACTTAAATTCAACACGAAAAACGGGGGCGCGTGAAAGCGTGGGGGCAAGGGCGCTATTAAGGCGAAACGTGCGAGAACATGACTGAGACCTCGCTTCTTCTTTTGGTCTTGAGGAGGAATTTTGCCTTATTAGCGCTGGAGCAGAGCGACGACGATGACACGGCTTGGTCTGCCTGTCGTTGTGAGAGGCTGGGTTGTCTTTCGAAAGTGAGGGCAACCCTTCTCCCTTGGTTGCCTTAAGTGGGTTGGGCACTTTAGGGAAACCGTCTGGATATTAGGGGGAGGAGGGGGGGGAGGAGGTCAAGTCCTCAGGCCTCGTCGGCGGTGGGGTCCAGGGTTGCACAAATGGTACAATGGCCGGTACGGAGAGCAGCCAGGGGGTGACCAGGAGCGAATGTATAAAGCCGGTCACAGTTCGGATCGGAGTCTGCAACTCGACTCCGTGAAGCTGGAATCGCTAGTAATCGGATATCAGCCATGATCCGGTGAATACGTTCCCGGGCCTTGTACACACCGCCCGTCAAGCCATGGAAGCTGGGGGTACCTGAAGTCGGTCGCCGCAGGGAGCTGCCTACGTGAGTCTATCGTT</t>
  </si>
  <si>
    <t>Secuenciada bacteria</t>
  </si>
  <si>
    <t>&gt;RP1_G7_2_Navicula_sp.
GCCCCCCGAACTTTAATCATGCTTTCGGTGCTTCCTGCAGTTCTTTTTTATTCTATCTTCCCTTACTACTTGGATAACCGTCCTAATTCTAGAGCTAATACATGCGTCAATACCCTTCTGGGGTAGTATTTATTACATGGAAACCAACCCCTTCGGGGTGATGTGGTGATCATAATAAGCTTGCGCATCGCACGGCTTCGGCTGGCGATGGATCATTCATGTTTCTGCCCTATCAGCTCTTGGATGGTAGGGTATTGGCCTACCATGGCTTTAACGGGTAACGGGAAATTAGGGTTTGACTCCGGATACGGAGCCTGACATACTGCTACCACCTCCAAGGAAGGCTCCCTGCCCGTACCTTACCCAATCCTGACACGTGGAGGTAGTGACAATAAATAACAATGCCGGTGCCATCATTGGTCTGGCAATTGGATATGAGAACAATTTAAATCCCTTATCGAGGATCAATTGGAGGGCAAGTCTGGTGCCAGCAGCCGCGGTAATTCCAGCTCCAATAGCTTATATTAAAGTTGTTGCAGTTAAAAAGCCTCGTACTTGGATTTGTGGCCTACGGCGGGTTCCAGGCACTTGTTGTCTGACTAACTTGCTGTTGCCATCCTTGGGTGGAACAAGTGTGGCATTAGGTTGTCGTGCAGGGGATGCCCATCATTTACTGTGAAAAAATTAGAGTGTTCAAAGCAGGCTTATGCCGTTGAATATATTAGCATGGAATAATGAGATAGGACTTTTTTGCTATTTTGTTGGTTTGCGCAAAGAGGTAATGATTAATAGGGACAGTTGGGGGTATTCGTATTCCATTGTCAGAGGTGAAATTCTTGGATTTTTGGAAGACGAACTACTGCGAAAGCATTTACCAAGGATGTTTTCATTAATCAAGAACGAAAGTTAGGGGATCGAAGATGATTAGATACCATCGTAGTCTTAACCATAAACTATGCCGACAAGGGATTGGTGGAGTCTCGTTATGTCTCCATCAGCACCTTATGAGAAATCACAAGTCTTTTGGGTTCCGGGGGGAGTATGGTCCCAAGGGTTGAAAACTTTA</t>
  </si>
  <si>
    <t>Secuenciado hongo  &gt;BEA0742B_EUKB_Premix
GGCCGGACCTCCGGAATTCGGTGCGAGTTTCTCCATTTCACTGGGCTCCAATTGGGCGCGGGTACGGGGAAATCAAAAGTTTTTGGGTTTCTGGGGGGAGTATGGTCGCAAGGGCTGAAACTTAAAGAAATTGACGGAAGGGCACCACCAGGAGTAAACTTTCAAAGCTAGCCGCAGTGTCTCTGCTCCGAACAGCCGCCCGAAAGGGTCGGTGGTGATTTCCTTGTCCACGAACAAAACTAATGGCTAGTCCAGCGCGAAAGAGCTGGGCGACACATCCAAATTGCGGGAAACTCCTTAGAGCTCTAGCTACCGCGGCCCCATCGTGAGGTGGGGTGCAGCACCAGGTTAATGGCCTCGGGTATGGTAACAACGCTAGAGATTGGACAATCCGCAGCCAAGCCTCTTGCTTTTTCCTTTGGGGAAAGCGAGTGGAAGGTTCAGAGACTAAATGGTTGTGGGTGGCATCGACGAACTCACACATGTGTGTGTGAGAGCATTCGACAGCTGCTTAAGATATAGTCCGAGCCCATTGGGAAACCTTGGGAATTTGGCTAAAAACCGAATTGCATACAATCGGGAGCCTGCGGCTTAATTTGACTCAACACGGGAAAACTCACCGGGTCCGGACATAGTAAGGATTGACAGATTGATGGCGCTTTCATGATTCTATGGGTGGTGGTGCATGGCCGTTCTTAGTTGGTGGAGTGATTTGTCTGGTTAATTCCGATAACGAACGAGACCTTGACCTGCTAAATAGACGGGTTGACATTTTGTTGGCCCCTTATGTCTTCTTAGAGGGACAATCGACCGTCTAGGTGATGGAGGCAAAAGGCAATAACAGGTCTGTGATGCCCTTAGATGTTCCGGGCTGCACGCGCGCTACACTGACAGAGACAACGAGTGAGGCCCCTTGTCCGAAATGACTGGGTAAACTTGTGAAACTTTGTCGTGCTGGGGATGGAGCTTTGTAATTTTTGCTCTTCAACGAGGAATTCCTAGTAAGCGCAAGTCATCAGCTTGCGTTGACTACGTCCCTGCCCTTTGTACACACCGCCCGTCGCTACTACCGATTGAATGGCTTAGTGAGGACTTGGGAGAGTACGTCGGGGAGCCAGCAATGGCACCCTGATGGATCAAACTCTTACAAACTTGTCGTAAGTGGAGTCGCGAGCTGTTATCTGGTAA</t>
  </si>
  <si>
    <t>&gt;PL4_E6_EUKB_Navicula sp 
GGGAGAGAACAATCCCGTTGCTTCACCGGACCATTCAATCGGTAGGTGCGACGGGCGGTGTGTACAAAGGGCAGGGACGTAATCAATGCAAATTGATGATTTGCGTTTACTAGGAATTCCTCGTTCAAGATTAATAATTGCAATAATCTATCCCTATCACGATGCACGTTCAAAAGATTGCCCAGGCCTCTCGGCCAAGGTAAAACTCGTTGAATGCATCAGTGTAGCGCGCGTGCGGCCCAGGACATCTAAGGGCATCACAGACCTGTTATTGCCACTATCCTCCTGCATCTGATAGAATGCACGTCCCTCTAAGAAGCCAGCAGTCAGTGAAGATTCACTCACCGGGCTATTTAGCAGGCAGTGGTCTCGTTCGTTAACGGAATTAACCAGACAAATCACTCCACCAACTAAGAACGGCCATGCACCACCACCCATAGAATCAAGAAAGAGCTCTCAATCTGTCAATCCTCACTATGTCTGGACCTGGTAAGTTTTCCCGTGTTGAGTCAAATTAAGCCGCAGGCTCCACTCCTGGTGGTGCCCTTCCGTCAATTTCTTTAAGTTTCAGCCTTGCGACCATACTCCCCCCGGAACCCAAAGACTTGTGATTTCTCATAAGGTGCTGATGGAGACGTAACGAGACCCCACCAATCCCTTGTCGGCATAGTTTATGGTTAAGACTACGATGGTATCTAATCATCTTCGATCCCCTAACTTTCGTTCTTGATTAATGAAAACATCCTTGGTAAATGCTTTCGCAGTAGTTCGTCTTCCAAAAATCCAAGAATTTCACCTCTGACAATGGAATACGAATACCCCCAACTGTCCCTATTAATCATTACCTCTTCGCGCAAACCAACAAAATAGCGAAAAAGTCCTATCTTATTATTCCATGCTAATATATTCAACGGCATACGCCCTGG</t>
  </si>
  <si>
    <t>&gt;PL4_D10_EUKB_Navicula sp 
TAGGAACTTTTCTGTGCTTTTTGGTTGTTCGGGCGGGGGACGCCCAATCGTTTACTTCTGAAAAAATTAGAGTGTTCAAAGCACGCTTCGGCCGTGGAACATATTTGCTCGGAATCCTCAAATTCGATTTTTTCGTTTTTTGTTGGTTGCGGGAGAAGGTAATGATTAATAGGGACAGTCGGGGGTTTTCGTTATTCCACTGGTCAGAGGTGAAATTCTGGGATTTTGGGAAGACGAAATTACTGCGAAAGCATTTACCAAGGGATGTTTTCCTTTATCAAGAAAGAAAAGTTAGGGGATGGAAGATGATTAGATACCATTGTTGTTTTAACCATAAACTTATGCCGACAAGGGATTGGTGGAGTCTCGTTACGTTTCCATCAGCACCTTATGAGAAATCACAAGTCTTTGGGTTCCGGGGGGAGTATGGTCGCAAGGCTGAAACTTAAAGAAATTGACGGAAGGGCACCACCCGGAGTGGAGCCTGCGGCTTAATTTGACTCAACACGGGAAAACTTACCAGGTCCAGACATAGTGAGGATTGACAGATTGAGAGCTCTTTCTTGATTCTATGGGTGGTGGTGCATGGCCGTTCTTAGTTGGTGGAGTGATTTGTCTGGTTAATTCCGTTAACGAACGAGACCACTGCCTGCTAAATAGCCCAGTGAGTGAATCTTCACTGACTGCTGGCTTCTTAGAGGGACGTGCATTCTATCAGATGCAGGAGGATAGTGGCAATAACAGGTCTGTGATGCCCTTAGATGTCCTGGGCCGCACGCGCGCTACACTGATGCATTCAACGAGTCTTACCTTGGCCGAGAGGCCTGGGCAATCTTTTGAACGTGCATCGTGATAGGGATAGATTATTGCAATTATTAATCTTGAACGAGGAATTCCTAGTAAACGCAAATCATCAATTTGCATTGATTACGTCCCTGCCCTTTGTACACACCGCCCGTCGCACCTACCGATTGAATGGTCCGGTGAAGCCTCGGGATTGTGACCAGTTCACTTTATTGGGAGTTGGTTGAAGAGAACTTGTCTAAACCTTATCATAACGAGAACG</t>
  </si>
  <si>
    <t>Secuenciada hongo</t>
  </si>
  <si>
    <t>Secuenciado hongo</t>
  </si>
  <si>
    <t>Se secuencia adn cianobacteria pero no da una resolución &lt; 200 pb</t>
  </si>
  <si>
    <t>&gt;BEA1564_1494R_Nostocales
GAATAAGCATCGGCGAAATTCCTCGCCCGCAGCCGCGGTATACTGGCGGAGGCAAGCGTTTTCTGAATGATTGGGCGTAAAAGCGTCCGCAGGGGGCTGTGTAAGTCTGCTGTGAAAGAATGAGGCTCAACCTCATCAAAGCAGCGGTAACTACACGGCGAGAGTGCTTTGGGGGTAGAGGGAATTCTTCGGTGGAGCGGTGAAATGTGTAGATATCTGGAAGAACACCGCTGGCGAAAGCGCTTTGCTAGGCCGCAACTGACACTGAGGGACGAAAGCTAGGGGAGCGAATGCGATTAGATACCCCCGTAGTCCTCGCCGTAAACGAGGGATACTAGGCGTGGCTTGTATCGACACGAGCCGTGCCGGAGCTAACGCGTTAAGTATCCCGCCTGGGGAGTACGCACGCAAGTGTGAAACTCAAAGGAATTGACGGGGGCCCGCACCAGCGGTGGAGTCTGTGGTTTAATTTGGTGCAACGCGAAGAACCTTACCAAGACTTGACATGTCGCGAATTTTCCTGAAAGGGAAAAGTGCCTTCGGGAGCGCGAACACAGCTGGTGCATGGCGGTCGTCAGCTCGTGTCGTGAGATGTTGGGTTAAGTCCCGCAACGAGCGCAACCCTCGTTTTTAGTTGCCAGCATTAAGTTGGGCACTCTAAAGAGACAGCCGGTGACAAACCGGAGGAAGGTGGGGATGACGTCAAGTCAGCATGCCCCCTACGTCTTGGGGCTACACACGTACTACAACAATACGGACAACGGGCAGCTACACAGCGATGTGATGCAAATCTCATAAACCGTAGCTCAGTTCAGATCGCAGGCTGCAACTCGCATGCGTGAAGGAGGAATCGCTAGTAATTGCAGGTCAGCATACTGCAGTGAATTCGTTCCCGGGCCTCGTACACACCGCCCGTCACACCACGGAAGCGGGCAACGCCCGAAGTCCTTACTCCAACCTTAGGGG</t>
  </si>
  <si>
    <t>Secuenciada bacteria Tenacibaculum maritimum</t>
  </si>
  <si>
    <t>Secuenciada alfaprotebacteria &gt;BEA1587_1494R_Premix
ATCATTCGCTATACGTGGTCGCTGCCTCGTTGCGGTTAACAATCGCTCTTGCGAGGTAACACCATACTCACTCGTGGTGTGACGGGCGGTGTGTACGCGCCTGAAAACATATTCCCGCCGCGTGCAGATCCGCTTTTACTAGATTCTCCCTCCTCGTGCTCTCGTTTCACACAGCACTCTCCACTGTGATACCTTTTTTGGATTTTCCCTCCCCCCCCTAGCTTCCCCCCCCGGGCCCACTCATTTAGGAAACTTGGAACCCCCCTAATTGGTGGAGGAGTCTAGTGTCATCCCCACCTCCCTCCGGAAGGACACGTGTCCCTGAGAATGAAAAAATGGTGGGCATAAAAGAATATGGTCCTGTACTGAATATCCAAATCTAAGAAAAACTGATACGCATGCCCACCGAATCCAGGAACAAAGAAATATAATCTGGGAGACAGGCAAGAAGACAAGGAATAGAGAGGTTTGCTCATTGCAAAAAAAGAGCCACGTTGGGGGGCGGGGGCGATCCTTAATGAAAATTCGGGGGTCTCAGGCCAATCGATTTTAAATATGCTTGTTCTGTCATCACTACAATGAGCTTTTATTGAATTGTGGGAGAAGAGGAAAATACGCTTCCCTCTCGCATTATAGTCGTCATTATAGGGTAATAACCTTGGCGCATTCCAAATATTATATAGGGAGGGAAGACGGGAAGAAACCCAACGCCTAAGGGTCTGAATAGGGGTAGGTTGTTTATGTTGGGGAAAATCTTCCTTGATAGCCAAAGCGAATTGCAAATTTTCAACGCTGGCACTTAATTGGGGGGGGGGGAATATTCGGGTGTTTTTTGTTTAGCCAAGGGGATGTACTTTTTTTATCCATATGTTTTCTCTCAAGGAGGGTCATTAAGTCGATGTGTGAAGCCCCCCCTCCAGGAGTGGCGAGCGCGACCGTAGTGGGGTATCTCCCTATAAGGAGCGCTACTCAAGTTCCCCCTTGGCCACCCCCACTATAAGAAGACCCCCAGAAGACGCGAAATTCGTTTGCGACAGCGTGTTTCCCCCCGTACACTAGGCGGTCGGGGAGAAAAAAAAAAAAAAAAAAAAGAAAAAAAAAAAA</t>
  </si>
  <si>
    <t>&gt;BEA0918_1494R_Premix
AATGTGGAAAACAAAAAATATTTTTCTTGCCCCCCGGGGGGGGGGCGGGTTTAGAATAATAAAATGTTTGGGGGGAAAAAGGGCCCAAACCAAGGGGGCGGGGTTTTTTGGTTTGTTTTGGGGGGTGTTTTTCACCCCAAAAGGGGGGAGGGGGACCCCCCCCCCAATTTCTTTGGGGGGGGCGGGTGGGAATTTTCCCAATTGGGCGAAAGCCCGTTCCAACAAATGGCGCGGGAGGGAAGAAGGCCTTAGGGTTTTAAAACTTCTTTTCTCCGGGGAGAATAAAGACAGACCCCGAGAGTAAGATCCTTGCGAACATACCCCCCCGCAGCCGCCGGTATTATGAGGGAGCGACGAGTTTTTTCGAGATATTTTGGCGTATAGCGCATCTGGGCGGCCCTTCATCTTCATGAGGTGAAAGACCGGGGCTGCATAACCCGAACCGCCTTTGAAAAAAAGAGGGCGTCGAATCTTGGAGTAGGCGAGAGGAAGTACTGCCCGGTGGAGCTGAGATATGTAGATATTTGGAAGAAGCAACACGGGCCGAGAGAGACTCGCTGTGCACGTATAGACGCTGTGGTGGGAGAGAGCGGGGAGCGAGCAAGATATGATATCCCCGTGTTGCACGCCCTAAACGCTGAGAACAATCTGTCTGGGTTCATTGAACTCGGGCGTCGCAGCTAACGCATTCACTTATCCTCCTCGGGAGTACTATCGCAAGCATTAAAACTCAAAAGAATAATAGTGGGCGGGCACCACCAGCGGAGCATGTGGTGTATTTATTTAGCAACGCGCAGAACCAACACCAGCATGTGACATGTCTTGTATGTTCCCTCATAGAAGGGTTACTTCCCTTCGGGAGGTACGAACACAGTGGTGCCAGGGCGTTGTTCACCTCGGTTCTTGAGATGTGGGGTTAATTCCCCCAACCGAGCGCACCCCTCGTTTTTATTGCCCCTCATTAAGTTGGGCACTCTAAAGAAACCGCCCGGTGATAACCCGGAGGAAGGTGGGGATGACGTCAAGTCCTCATGGCCCTTACACGCTGGGCTACACACGTGCTACAAAGGTCGGGACACTGAGCAGCTAGATCGCGAGATCATGATAATCTCAAAAAGCCGTCTCACTTCGGATTGTTCTTTGCAACTCGAGAGCCCGAAAGGCGGGATCGCTTGTAATCGCGGATTCAGCATGCCGCGCGGAGAATACTTTCCGGCGCTGTGCACACACCGCCGTGTCACCTCATGAGAGTGAGAACCCCAGAGCGCTGAGGTCAACCGC</t>
  </si>
  <si>
    <t>secuencia baja intesidad bacteria</t>
  </si>
  <si>
    <t>Secuenciada alfa proteobacteria</t>
  </si>
  <si>
    <t>&gt;PL1D81_1494R_Leptothoe
GGAGACGGTGCTTTGACGGTACCTAGGAGGATTAAGCATAGGACTAAGTACCGTGCCAGCTCGCCTGCCGTGCAGACGGCGGTAGCAAGCAGTGTGCGAGACAGTTATTCGGGCGTACAGCGTGCTGTAGGCGGTTAGTTGAGGTCAGCTGTTAGTGCGATGCAGAATTAACCTGCAGATGAAGCTACTGAAAACGCGTTTAACTAGAGATGGTTCTGGAGTTAGAGTGAAGTCAGAGGGAATGCTGGTGAAGTAGCGTAGATATTGGGAAGATCAGCCAGTAGAGACGGCGCTGCGACTGGCAGCTATACTGACGCTGATGGACGATGAGGCGGGGAGCGAAAGGGGAGCAGAACACCCTGTAGTACCAGGTGTGTACACGCGGATACTAGATGTTTACGCGTATCGACCCTGCAGTACCGAAGCAACAAGGGAAAGTATATAAGTAAAGCGAGTACGCACGTACAGTGTGCAACTCAAAAGTCAAGAGGAATGGACCGCACTACCGCACGGAGCTATGGAGCTTGTGGTGATGCAACGCGAAGAACGTGGACCGGATCTGACATCCGAAGGATATCTGAGAAAATCAGAAAATGCATTTGGTAGTGAGAGACTGATCAAGCATGGCGCATGGTCATCTTCAGTCTCGAGATGTGAGGGTTAAGTCCCGCTCCGAGCAGCAACCCACAATCCCTAGATGCCATCACCAGCATGGGCACTGTGGAGAGACTAAGTAGAGACAACTCGGAGGAAGGTGTGGACGACGTCAAGTCATCATGTCCTCTTCGCTCTGGGGCCCACACGTACTACAATGCAACGGACAAAGCGGCAGCCAACTAGCGATCCTGAGATAATCCCCCAATCTCTGAACCAGCTTAGCATTCAGGATGCAACTCGCGAACTTGAATGCGGAATCGCTGGTAATCTCATGTCAGCGCATCGCGCAGAGTACGTTCCCTGGCCTCGTACACACCGCCCATCACGCCAGTCAAGCCAGCCAAGCCGGAGATGCTTACCGTACCCGGCG</t>
  </si>
  <si>
    <t>Placa 2024</t>
  </si>
  <si>
    <t>REVISAR FILOGENIA</t>
  </si>
  <si>
    <t>&gt;BEA_0456_18S_2750
ATGCATGTCTAAGTATAAACTGCTTATACTGTGAAACTGCGAATGGCTCATTAAATCAGTTATAGTTTATTTGATGGTACCTCTACTCGGATAACCGTAGTAATTCTAGAGCTAATACGTGCGCACATCCCGACTTCTGGAAGGGACGTATTTATTAGATAAAAGGCCAGCCGGGGTTTCCCCGACCTGCGTTGACTCATGGTAACTTCACGAATCGCATGGCCTCGTGCCGGCGATGTTTCATTCAAATTTCTGCCCTATCAACTTTCGATGGTAGGATAGAGGCCTACCATGGTGGTAACGGGTGACGGAGGATTAGGGTTCGATTCCGGAGAGGGAGCCTGAGAAACGGCTACCACATCCAAGGAAGGCAGCAGGCGCGCAAATTACCCAATCCCGACACGGGGAGGTAGTGACAATAAATAACAATACCGGGCGTTCATCGTCTGGTAATTGGAATGAGTACAATCTAAATCCCTTAACGAGGATCAATTGGAGGGCAAGTCTGGTGCCAGCAGCCGCGGTAATTCCAGCTCCAATAGCGTATATTTAAGTTGTTGCAGTTAAAAAGCTCGTAGTTGGATTTCGGGCGGGTCACAGCGGTCCGCCTCTGGTGTGCACTGCCGTTGATCCGCCTTTCTGTCGGGGACGGGCTCCTGGGCTTCACTGTCCGGGACCCGGGCTCGACGAGGTTACTTTGAGTAAATTAGAGTGTTCAAAGCAGGCGATCGCCCTGAATACATTAGCATGGAATAGCACGATAGGACTCTGGCCTATCTTGCTGGTCTGTAGGACCGGAGTAATGATTAAGAGGGACAGTCGGGGGCATTCGTATTTCATTGTCAGAGGTGAAATTCTTGGATTTATGAAAGACGAACTTCTGCGAAAGCATTTGCCAAGGATGTTTTCATTGATCAAGAACGAAAGTTGGGGGCTCGAAGACGATTAGATACCGTCGTAGTCTCAACCATAAACGATGCCGACCAGGGATTGGCGGGCGTTCTTTTGATGACCCCGCCAGCACCTTGAGAGAAATCAGAGTCTTTGGGTTCCGGGGGGAGTATGGTCGCAAGGCTGAAACTTAAAGGAATTGACGGAAGGGCACCACCAGGCGTGGAGCCTGCGGCTTAATTTGACTCAACACGGGAAAACTTACCAGGTCCAGACACGGGGATGATAAACAGATTGAGAGCTCTTTTTTGATTCTGTGGGTGGTGGTGCATGGCCGTTCTTAGTTGGTGGGTTGCCTTGTCAGGTTGATTCCGGTAACGAACGAGACCTCAGCCTGCTAAATAGTCACGCGTCCTTTCTGGACACGCTTGACTTCTTAGAGGGACTATTGTCGTTTAGGCAATGGAAGTGTGAGGCAATAACAGGTCTGTGATGCCCTTAGATGTTCTGGGCCGCACGCGCGCTACACTGATGCATTCAACGAGCCTATCCTTGGCCGAGAGGCCCGGGTAATCTTTGAAACTGCATCGTGATGGGGATAGATTATTGCAATTATTAGTCTTCAACGAGGAATGCCTAGTAAGCGCGAGTCATCAGCTCGCGTTGATTACGTCCCTGCCCTTTGTACACACCGCCCGTCGCTCCTACCGATTGGGTGTGCTGGTGAAGTGTTCGGATTGGCTCTTATTGGTGGCAACACTGATTGGAGCCGAGAAGATCATTAAACCCTCCCACCTAGAGGAAGGAGAAGTCGTAACAAGGTTTCCGTAGGTGAACCTGCGGAAGGATCATTGAATCTATCAACAACCACACCTTTGTGAACTATTCAACGTCGGCCTCATGTTTAGACTTGCAAAAGGCTAGGCATGGAGGCGTGTTAGCTCCTAGAGCTAGCACGTCTGGCTTATATACACTTGTGTATATGGGTCGGCCCCTTTATTAACCAACCACTCCAAACCAAACCAATCTGAAGCAAACTGTGTAGCCGGCTTGGCCGTCCTACACGTCTAACTAAGACAACTCTCAACAACGGATATCTTGGCTCTCGCAACGATGAAGAACGCAGCGAAATGCGATACGTAGTGTGAATTGCAGAATTCCGTGAATCATCAAGTCTTTGAACGCATATTGCGCTCGAGGCATCTGCCGAGAGCATGTCTGCCTCAGCGTCGATGTATACCTCATCCCACCACACCCTGTGTGATGGAATGGACCTGGCCGTCCCGGCTTCCTTCATTGAAGGCCGGGTCTGCTGAAGCACAGAGGCTAAACAAGGACCTATATGGGCCGCATCTAGGTAGGCAGCTTACGCTCCATATTTAGATGTAGGCTTTGGTTTTTGATATAAGCCCTCAAACAGGAACCTACTTACATTTTCGACCTGAGCTCAGGCAAGAACACCCGCTGAACTTAAGCATATCAATAAGCGGAGGAAAAGAAACTAACCAGGATTCCCCTAGTAACGGCGAGTGAAACGGGAATAGCCCAACTTGAAAATCTCTTCGGAGAATTGTAGTCTATAGAAGCGCCCTCTGTAGCGGCGGGACCCCAAGTCTGGTGGAAGCCAGCGTCAGAGAGGGTGAGAACCCCGTCGGGTCTACGCTTAGCTGCTTCACGAGGTGCTTTCCACGAGTCGGGTTGTTTGGGAATGCAGCCCAAAATGGGAGGTAAATCCCTTCTAAGGCTAAATACTGGCGAGAGACCGATAGCGAACAAGTACCGTGAGGGAAAGATGAAAAGAACTTTGAAAAGAGAGTTAAAAAGTGCTTGAAATTGTTGAGGGGGAAGCGTTTGGAAGA</t>
  </si>
  <si>
    <t>&gt;BEA_0837_18S_2695
GCTGTCTAAGTATAAACTGCTTATACTGTGAAACTGCGAATGGCTCATTAAATCAGTTATAGTTTATTTGATGGTACCTTTACTCGGATAACCGTAGTAATTCTAGAGCTAATACGTGCGTAAATCCCGACTTCTGGAAGGGACGTATTTATTAGATAAAAGGCCAGCCGGGCTTGCCCGACTCTTGGCGAATCATGATAACTTCACGAATCGCACGGCTTCGGCCGGCGATGTTTCATTCAAATTTCTGCCCTATCAACTTTCGATGGTAGGATAGAGGCCTACCATGGTGGTAACGGGTGACGGAGGATTAGGGTTCGATTCCGGAGAGGGAGCCTGAGAAACGGCTACCACATCCAAGGAAGGCAGCAGGCGCGCAAATTACCCAATCCCAACACGGGGAGGTAGTGACAATAAATAACAATACCGGGCATTTTTGTCTGGTAATTGGAATGAGTACAATCTAAATCCCTTAACGAGTATCCATTGGAGGGCAAGTCTGGTGCCAGCAGCCGCGGTAATTCCAGCTCCAATAGCGTATATTTAAGTTGTTGCAGTTAAAAAGCTCGTAGTTGGATTTCGGGTGGGTTGTAGCGGTCAGCCTTTGGTTAGTACTGCTACGGCCTACCTTTCTGCCGGGGACGAGCTCCTGGGCTTAACTGTCTGGGACTCGGAATCGGCGAGGTTACTTTGAGTAAATTAGAGTGTTCAAAGCAAGCATACGCTCTGAATACATTAGCATGGAATAACACGATAGGACTCTGGCTTATCTTGTTGGTCTGTAAGACCGGAGTAATGATTAAGAGGGACAGTCGGGGGCATTCGTATTTCATTGTCAGAGGTGAAATTCTTGGATTTATGAAAGACGAACTTCTGCGAAAGCATTTGCCAAGGATGTTTTCATTAATCAAGAACGAAAGTTGGGGGCTCGAAGACGATTAGATACCGTCGTAGTCTCAACCATAAACGATGCCGACTAGGGATTGGCAGGCGTTTCGTTAATGACCCTGCCAGCACCTTATGAGAAATCAAAGTTTTTGGGTTCCGGGGGGAGTATGGTCGCAAGGCTGAAACTTAAAGGAATTGACGGAAGGGCACCACCAGGCGTGGAGCCTGCGGCTTAATTTGACTCAACACGGGAAAACTTACCAGGTCCAGACACGGGGAGGATTGACAGATTGAGAGCTCTTTCTTGATTCTGTGGGTGGTGGTGCATGGCCGTTCTTAGTTGGTGGGTTGCCTTGTCAGGTTGATTCCGGTAACGAACGAGACCTCAGCCTGCTAAATAGTCACGTCTACCTCGGTAGGCGCTTGACTTCTTAGAGGGACTATTGGCGTTTAGCCAATGGAAGTGTGAGGCAATAACAGGTCTGTGATGCCCTTAGATGTTCTGGGCCGCACGCGCGCTACACTGATACATTCAACGAGCCTATCCTTGGCCGAGAGGTCCGGGTAATCTTTGAAACTGTATCGTGATGGGGATAGATTATTGCAATTATTAGTCTTCAACGAGGAATGCCTAGTAAGCGCGAGTCATCAGCTCGCGTTGATTACGTCCCTGCCCTTTGTACACACCGCCCGTCGCTCCTACCGATTGGGTGTGCTGGTGAAGTGTTTGGATCGGTATCAGTGGGGGGCAACCTCCGTTGGTACTGAGAAGAACATTAAACCCTCCCACCTAGAGGAAGGAGAAGTCGTAACAAGGTTTCCGTAGGTGAACCTGCGGAAGGATCATTGAATCTATTAACAACCACACCGTGAACCTCTTTGTCTGGCCCATCATCCTCTCCGGAGTCTGATGCTTCTTGGGCAGCATTCATTTGCTGTCTGGGTTGGGCTCGGCTGCCCAAACTTTGTTTGGGTAGCCGGGTTGGTCTTAACTAACCAACAACACCAATCCAAAACTAAAGCCAAAGATATGTGGTCGGCCTAGCCGTCACATCCTAACTGAGACAACTCTCAACAACGGATATCTTGGCTCTCGCAACGATGAAGAACGCAGCGAAATGCGATACGTAGTGTGAATTGCAGAATTCCGTGAATCATCAAATCTTTGAACGCACATTGCGCCCGAAGCTTCGGCTTAGGGCATGTTTGCCTCAGCGTCGGGTTTATCTCACTACCCCTCTCCCATTGTGGAGCACAAGGAGTGGTGGACCTGGCTGTTCCAGAGCTTGAGCGCTTCATTGCACTCAACCACGGCTCTGGATCAGCTGAAGTTCAGAGGCTAGCTCAAGGACCCGTCAAGGGCCGCAACTGGGTAGGCAGCTCACGCTTGCTATTTCTAGTTGTTGGCTTGGGACCATGGGCTTGGCCCTCAAACAGGAACCTACCTTTTTTCTCGACCTGAGCTCAAGCAAGAACACCCGCTGAACTTAAGCATATCAATAAGCGGAGGAAAAGAAACTAACAAGGATTCCCTTAGTAATGGCGAATGAAACGGGAATAGCCCAACTTGAAAATCTCCCTTTGGAGAATTGTAGTCTAGAGAAGCGTCCTCTGCGGCGGCCGGAGCCTAAGTCCGTTGGAAAACGGCGTCAGAGAGGGTGAGAACCCCGTCGGCTCTAGGTTTAGTTGCTCCACGAGGCGCTTTCCACGAGTCGGGTTGTTTGGGAATGCAGCCCAAAATGGGAGGTAAATCCCTTCTAAGGCTAAATACTGGCGAGAGACCGATAGCGAACAAGTACCGTGAGGG  &gt;BEA_0837_ITS_696
CGTAACAAGGTTTCCGTAGGTGAACCTGCGGAAGGATCATTGAATCTATTAACAACCACACCGTGAACCTCTTTGTCTGGCCCATCATCCTCTCCGGAGTCTGATGCTTCTTGGGCAGCATTCATTTGCTGTCTGGGTTGGGCTCGGCTGCCCAAACTTTGTTTGGGTAGCCGGGTTGGTCTTAACTAACCAACAACACCAATCCAAAACTAAAGCCAAAGATATGTGGTCGGCCTAGCCGTCACATCCTAACTGAGACAACTCTCAACAACGGATATCTTGGCTCTCGCAACGATGAAGAACGCAGCGAAATGCGATACGTAGTGTGAATTGCAGAATTCCGTGAATCATCAAATCTTTGAACGCACATTGCGCCCGAAGCTTCGGCTTAGGGCATGTTTGCCTCAGCGTCGGGTTTATCTCACTACCCCTCTCCCATTGTGGAGCACAAGGAGTGGTGGACCTGGCTGTTCCAGAGCTTGAGCGCTTCATTGCACTCAACCACGGCTCTGGATCAGCTGAAGTTCAGAGGCTAGCTCAAGGACCCGTCAAGGGCCGCAACTGGGTAGGCAGCTCACGCTTGCTATTTCTAGTTGTTGGCTTGGGACCATGGGCTTGGCCCTCAAACAGGAACCTACCTTTTTTCTCGACCTGAGCTCAAGCAAGAACACCCGCTGAACTTAAGCATATCAATAA</t>
  </si>
  <si>
    <t>Con its</t>
  </si>
  <si>
    <t>&gt;BEA_0998_18S_1716
CATGTCTAAGTATAAACTCTTTTATACTGTGAAACTGCGAATGGCTCATTAAATCAGTTATAGTTTATTTGATGGTACCTTACTACTCGGATAACCGTAGTAATTCTAGAGCTAATACGTGCACCAAATCCCGACTTCTGGAAGGGACGTATTTATTAGATAAAAGGCCAATGCGGGCTTGCCCGGTATTGCGGTGAATCATGATAACTCGTCGAATCGCACGGCCTTTGCGCTGGCGATGTTTCATTCAAATTTCTGCCCTATCAACTTTCGATGGTAGGATAGAGGCCTACCATGGTGGTAACGGGTGACGGAGAATTAGGGTTCGATTCCGGAGAGGGAGCCTGAGAAACGGCTACCACATCCAAGGAAGGCAGCAGGCGCGCAAATTACCCAATCCTGATACAGGGAGGTAGTGACAATAAATAACAATGCTGGGCTTTTCAAAGTCTGGCAATTGGAATGAGTGCAATCTAAATCCCTCAACGAGGATCCATTGGAGGGCAAGTCTGGTGCCAGCAGCCGCGGTAATTCCAGCTCCAATAGCGTATATTTAAGTTGTTGCAGTTAAAAAGCTCGTAGTTGGATTTTGGGTTGGGGCAGCCGGTCCGCCTCACGGTGTGCACCGGCTGACCCATCCTTCTTGCCGGGGACGCGCTCCTGGCCTTAACTGGTCGGGACGTGGAGTCGGCGATGTTACTTTGAAAAAATTAGAGTGTTCAAAGCAGGCCTACGCTCTGAATACATTAGCATGGAATAACGTGATAGGACTCTGGTCCTATTGTGTTGGTCTTCGGGACCGGAGTAATGATTAATAGGGACAGTTGGGGATATTCGTATTTCATTGTCAGAGGTGAAATTCTTGGATTTATGAAAGACGAACTTCTGCGAAAGCATTTATCAAGGATGTTTTCATTAATCAAGAACGAAAGTTGGGGGCTCGAAGACGATCAGATACCGTCCTAGTCTCAACCATAAACGATGCCGACTAGGGATTGGCGGATGTTAATTTGATGACTCCGCCAGCACCTTATGAGAAATCAAAGTTTTTGGGTTCCGGGGGGAGTATGGTCGCAAGGCTGAAACTTAAAGGAATTGACGGAAGGGCACCACCAGGAGTGGAGCCTGCGGCTTAATTTGACTCAACACGGGGAAACTTACCAGGTCCAGACATAGTAAGGATTGACAGATTGAGAGCTCTTTCTTGATTCTATGGGTGGTGGTGCATGGCCGTTCTTAGTTGGTGGAGTGATTTGTCTGGTTAATTCCGATAACGAACGAGACCTCAGCCTGCTAACTAGTTACACGAAGATTCTTCTCCGTGGCCAACTTCTTAGAGGGACTATTTGGCGTCTACAGCCAATGGAAGTTTGAGGCAATAACAGGTCTGTGATGCCCTTAGATGTTCTGGGCCGCACGCGCGCTACACTGATGAATTCAACGAGTTTATAACCTGGGCCGAAAGGTCTGGGTAATCTTGTGAAATTTCATCGTGATGGGGATAGATTATTGCAATTATTAATCTTCAACGAGGAATTCCTAGTAAGCGCGAGTCATCAGCTCGCGTTGATTACGTCCCTGCCCTTTGTACACACCGCCCGTCGCTCCTACCGATTGAATGATCCGGTGAAGTTTTCGGATTGCGGCTACTCCGGCGGTCCGCCGCCGAAGAAGCTGTGAGAAGTTCATTAAACCTTATCATTTAGAGGAAGGAAA</t>
  </si>
  <si>
    <t>&gt;BEA_1195_18S_1697
TGCATGTCTAAGTATAAACTGCTTATACGGTGAAACTGCGAATGGCTCATTAAATCAGTTATAGTTTATTTGATGGTACCTCCTACTTGGATAACCGTAGGAAATCTAGAGCTAATACATGCGTAAATCCCGACTTCTGGAAGGGACGTATTTATTAGATAAAAGGCCAGCCGGGCTTGCCCGACCTTAGGCGAATCATGATAACTCAAACGAATCGCATGGCCTTGTGCCGGCGATGTTTCATTCAAATTTCTGCCCTATCAACTTTCGATGGTAGGATAGAGGCCTACCATGGTGGTAACGGGTGACGGAGGATTAGGGTTCGATTCCGGAGAGGGAGCCTGAGAAACGGCTACCACATCCAAGGAAGGCAGCAGGCGCGCAAATTACCCAATCCCGACACGGGGAGGTAGTGACAATAAATAACAATACTGGGCATTTATGTCTGGTAATTGGAATGAGTACAATGTAAATATCTTAACGAGTATCCATTGGAGGGCAAGTCTGGTGCCAGCAGCCGCGGTAATTCCAGCTCCAATAGCGTATATTTAAGTTGTTGCAGTTAAAAAGCTCGTAGTTGGATTTCGGGTGGGTCGACGCGGTCTGCCTCTGGTATGTACTGCGCTCGGTTCACCTTTCTGCTGGGGACGGGCTCCTGGGCTTAACTGCTTGGGACCTGGAATCAGCGAAGTGACCTTGAGCAAACAAGAGTGTTCAAAGCAAGCCGACGCTCTGAATTTTTTAGCATGGAATCACACGATAGGACTCTGGCCTATCTTGTTGGTCTGTAGGACCGGAGTAATGATTAAGAGGGACAGTCGGGGGCATTCGTATTTCATTGTCAGAGGTGAAATTCTTGGATTTATGAAAGACGAACTTCTGCGAAAGCATTTGCCAAGGATGTTTTCATTGATCAAGAACGAAAGTTGGGGGCTCGAAGACGATTAGATACCGTCGTAGTCTCAACCATAAACGATGCCGACTAGGGATTGGCAGGTGCTCCATTGATGACCCTGCCAGCACCTTATGAGAAATCAAAGTTTTTGGGTTCCGGGGGGAGTATGGTCGCAAGGCTGAAACTTAAAGGAATTGACGGAAGGGCACCACCAGGCGTGGAGCCTGCGGCTTAATTTGACTCAACACGGGGAAACTTACCAGGTCCAGACACGGGGAGGATTGACAGATTGAGAGCTCTTTCTTGATTCTGTGGGTGGTGGTGCATGGCCGTTCTTAGTTGGTGGGTTGCCTTGTCAGGTTGATTCCGGTAACGAACGAGACCTCAGCCTGCTAAATAGTCACGCGTACCTTGGTACGCGCTTGACTTCTTAGAGGGACTATTGGCGTTTAGTCAATGGAAGTGTGAGGCAATAACAGGTCTGTGATGCCCTTAGATGTTCTGGGCCGCACGCGCGCTACACTGATGCATTCAACGAGCCTATCCTTGGCCGAGAGGTCCGGGTAATCTTTGAAACTGCATCGTGATGGGGATAGATTATTGCAATTATTAGTCTTCAACGAGGAATGCCTAGTAAGCGCAAGTCATCAGCTTGCGTTGATTACGTCCCTGCCCTTTGTACACACCGCCCGTCGCTCCTACCGATTGGGTGTGCTGGTGAAGTGTTCGGATTGGCTCCATCTGGGGGCAACCTCTGGTGTTGCTGAGAAGAACATTAAACCCTCCCACCTAGAGGAAGGAG</t>
  </si>
  <si>
    <t>&gt;BEA_1378_rbc_725
ACAGGTGAAGTTAAAGGTTCATACTTGAATGTTACAGCTGCAACTATGGAAGAAGTTTACGAACGTGCTGAATATGCTAAAGCAGTTGGTTCGGTAATCATCATGATTGATTTAGTTATGGGTTACACAGCAATCCAAAGTATTGCTTACTGGGCTCGTGCAAATGATATGATTTTACATTTACATCGTGCAGGTAACTCTACATACGCTCGTCAAAAGAATCATGGTATTAACTTCCGTGTTATCTGTAAATGGATGCGTATGGCTGGGGTTGATCATATCCACGCAGGTACAGTTGTTGGTAAATTAGAAGGTGATCCTTTAATGATTAAAGGTTTCTACGATGTTTTACGTTTAATGACGTTAAAAGTTAACTTACCTTACGGTATTTTCTTCGAGATGGACTGGGCTAGTTTACGTAGATGTTTACCTGTTGCTTCTGGTGGTATCCACTGTGGTCAAATGCACCAATTAGTTCATTACTTAGGTGATGATGTAATTTTACAATTCGGTGGTGGTACAATTGGTCATCCAGATGGTATTCAAGCAGGTGCTACAGCAAATCGAGTTGCTTTAGAAGCAATGGTTTTAGCTCGTAATGAAGGTGCTGACTACTTCAACCAAGAAGTTGGGCCAAGAATTTTACGTGAAGCTGCAAAAACATGTGGTCCTTTACAAACAGCTTTAGATCTATGGAAAGATATTAGTTTCAACTATACATCTAC</t>
  </si>
  <si>
    <t>sacar its</t>
  </si>
  <si>
    <t>&gt;BEA_1878_EUK_939
GGGGACCTGCTTCTGGGCTTTCATTGTTCCGGGACAGGGAATTCGGCATGGTTACTTTGAGTAAATTAGAGTGTTCAAAAGCAGGCTTACGCCGTGAATTACTTTAGCATGGAATAACATGATAGGACTCTGCCCTATTCTGTTGGCCTGTAGGAGTGGAGTAATGATTAAGAGGAACAGTCGGGGGCATTCGTATTTCATTGTCAGAGGTGAAATTCTTGGATTTTATGAAAGACGAACTACTGCGAAAGCATTTGCCAAGGATGTTTTTCATTAATCAAGAACGAAAGTTGGGGGCTCGAAGACGATTAGATACCGTCGTAGTCTCAACCATAAACGATGCCGACTAGGGATTGGCGGACGTTTTTGCATGACTCCGTCAGCACCTTGAGAGAAATCAAAGTTTTTGGGTTCCGGGGGGAGTATGGTCGCAAGGCTGAAACTTAAAGGAATTGACGGAAGGGCACCACCAGGCGTGGAGCCTGCGGCTTAATTTGACTCAACACGGGAAAACTTACCAGGTCCAGACATAGGAAGGATTGACAGATTGAGAGCTCTTTCTTGATTCTATGGGTGGTGGTGCATGGCCGTTCTTAGTTGGTGGGTTGTCTTGTCAGGTTGATTCCGGTAACGAACGAGACCTCAGCCTTTAAATAGTCACGGTCGCTTTTTGCGGCTGGCTTTGACTTCTTAGAGGGACAGTTGGCGTTTAGTCAACGGAAGTATGAGGCAATAACAGGTCTGTGATGCCCTTAGATGTTCTGGGCCGCACGCGCGCTACACTGATGCATTCAACAAGCCTATCCCTAGCCGAAAGGCTCGGGTAATCTTTGAAACTGCATCGTGATGGGGGATAGATTATTGCAATTATTAGTCTTCAACGAGGAAATGCCTAGTAAGCGCAATTCATCAGATTGCGTTGATTACGTCCCTGCCCTT</t>
  </si>
  <si>
    <t>&gt;BEA_1880_EUK_1071
GGTCCGCCTATGGTGAGTACTGCTATGGCCTTCCTTTCTGACGGGGACGGATTTCTGGACTTAACTGTCCGGGATCTGGGTCCGTCGAAGATACTTTGAGTAAATTAGAGTGTTCAAAGCAAGCCTGCGCTCTGAATACTTTAGCATGGAATATCACGATAGGACTCTGGCCTATCTTGTTGGTCTGTAGGACCAGAGTAATGATTAAGAGGGACAGTCGGGGGCATTCGTATTTCATTGTCAGAGGTGAAATTCTTGGATTTATGAAAGACGAACTACTGCGAAAGCATTTGCCAAGGATGTTTTCATTAATCAAGAACGAAAGTTGGGGGCTCGAAGACGATTAGATACCGTCGTAGTCTCAACCATAAACGATGCCGACTAGGGATTAGCGAGCGTTTCATTGATGACCTCGCTAGCACCTTATGAGAAATCAAAGTTTTTGGGTTCCGGGGGGAGTATGGTCGCAAGGCTGAAACTTAAAGGAATTGACGGAAGGGCACCACCAGGCGTGGAGCCTGCGGCTTAATTTGACTCAACACGGGAAAACTTACCAGGTCCAGACATAGTGAGGATTGACAGATTGAGAGCTCTTTCTTGATTCTATGGGTGGTGGTGCATGGCCGTTCTTAGTTGGTGGGTTGCCTTGTCAGGTTGATTCCGGTAACGAACGAGACCTCAGCCTGCTAAATAGTGACTTTCGCCTTTTGGCGGATGCGCACTTCTTAGAGGGACTATTAACGTTTAGTTAATGGAAGTATGAGGCAATAACAGGTCTGTGATGCCCTTAGATGTTCTGGGCCGCACGCGCGCTACACTGATGCGTTCAACAAGCCTATCCTTGACCGAGAGGTCCGGGTAATCTTTGAAACCGCATCGTGATGGGGATAGATTATTGCAATTATTAGTCTTCAACGAGGAATGCCTAGTAAGCGCAAGTCATCAGCTTGCGTTGATTACGTCCCTGCCCTTTGTACACACCGCCCGTCGCTCCTACCGATTGGGTGTGCTGGTGAAGTGTTCGGATTGGCAAAGCTGGTGGTCTCCATCTGCTATGCCAAGAAGTTCATT                                                                    &gt;BEA_1880_ITS_613
TAAAAGTCGTAACAAGGTTTTCCGTAGGTGAACCTGCGGAAGGATCATTGAATATGCAAACCACAACACGCACTCTCTACTTGTGTACCGACGTTAAGTTACACACGCAAGTGTGTGCTTACTAACTTACACACCATTGTCCAACCAATGATTAAACCAAACTCTGAAGTTTTGGCTGCTGTTAACCGGCAGTTTTAACCAAGAACAACTCTCAACAACGGATATCTTGGCTCTCGCAACGATGAAGAACGCAGCGAAATGCGATACGTAGTGTGAATTGCAGAATTCCGTGAACCATCGAATCTTTGAACGCATATTGCGCTCGACTCCTCGGAGAAGAGCATGTCCGCCTCAGCGTCGGTTTTCACCCTCACCCCTCTTACTTTTTCAAGTAAGCCTGCCGTGTTTGCTCAAACCGGCAATAGGGGTGGATCTGGCTCTCCCAACTGGTTTCTAATCGGTTGGGTTGGCTGAAGCACAGAGGCTTAAACTGGGACCCGTATCGGGCTCAACTGGATAGGTAGCAACACCCTCGGGTGCCTACACGAAGTTGTGTCTGAGGACCTGGTTAGGAGCCAAGCAGGAAACACGCTTAACCGCGTGTATCATGGGT</t>
  </si>
  <si>
    <t>&gt;BEA_1906_EUK_954
CGACGTGGTTACTTTGAGTAAATTAGAGTGTTCAAAGCAGGCTTACGCCAGAATACTTTAGCATGGAATAACACGATAGGACTCTGGCCTATCTTGTTGGTCTGTAGGACCGGAGTAATGATTAAGAGGGACAGTCGGGGGCATTCGTATTTCATTGTCAGAGGTGAAATTCTTGGATTTATGAAAGACGAACTACTGCGAAAGCATTTGCCAAGGATGTTTTCATTAATCAAGAACGAAAGTTGGGGGCTCGAAGACGATTAGATACCGTCGTAGTCTCAACCATAAACGATGCCGACTAGGGATTGGCGAATGTTTTTTTAATGACTTCGCCAGCACCTTATGAGAAATCAAAGTTTTTGGGTTCCGGGGGGAGTATGGTCGCAAGGCTGAAACTTAAAGGAATTGACGGAAGGGCACCACCAGGCGTGGAGCCTGCGGCTTAATTTGACTCAACACGGGAAAACTTACCAGGTCCAGACATAGTGAGGATTGACAGATTGAGAGCTCTTTCTTGATTCTATGGGTGGTGGTGCATGGCCGTTCTTAGTTGGTGGGTTGCCTTGTCAGGTTGATTCCGGTAACGAACGAGACCTCAGCCTGCTAAATAGTCTCAGTTGCTTTTTGCAGCTGGCTGACTTCTTAGAGGGACTATTGGCGTTTAGTCAATGGAAGTATGAGGCAATAACAGGTCTGTGATGCCCTTAGATGTTCTGGGCCGCACGCGCGCTACACTGATGCATTCAACAAGCCTATCCTTGACCGAAGGGTCTGGGTAATCTTTGAAACTGCATCGTGATGGGGATAGATTATTGCAATTATTAGTCTTCAACGAGGAATGCCTAGTAAGCGCAAGTCATCAGCTTGCGTTGATTACGTCCCTGCCCTTTGTACACACCGCCCGTCGCTCCTACCGATTGGTGTGCTGTGAAGTGTTCGGATTGGCAGCTTAGG</t>
  </si>
  <si>
    <t>&gt;BEA_1912_18S_981
TGGGTTTCAGCGGTCCGCCTATGGTGAGCACTGCTGTGGCCTTCCTTACTGTCGGGGACCTGCTTCTGGGCTTCATTGTCCGGGACAGGGATTCGGCATGGTTACTTTGAGTAAATTAGAGTGTTCAAAGCAGGCTTACGCCGTGAATACTTTAGCATGGAATAACATGATAGGACTCTGCCCTATTCTGTTGGCCTGTAGGAGTGGAGTAATGATTAARAGGAACAGTCGGGGGCATTCGTATTTCATTGTCAGAGGTGAAATTCTTGGATTTATGAAAGACGAACTACTGCGAAAGCATTTGCCAAGGATGTTTTCATTAATCAAGAACGAAAGTTGGGGGCTCGAAGACGATTAGATACCGTCGTAGTCTCAACCATAAACGATGCCGACTAGGGATTGGCGGACGTTTTTGCATGACTCCGTCAGCACCTTGAGAGAAATCAAAGTTTTTGGGTTCCGGGGGGAGTATGGTCGCAAGGCTGAAACTTAAAGGAATTGACGGAAGGGCACCACCAGGCGTGGAGCCTGCGGCTTAATTTGACTCAACACGGGAAAACTTACCAGGTCCAGACATAGGAAGGATTGACAGATTGAGAGCTCTTTCTTGATTCTATGGGTGGTGGTGCATGGCCGTTCTTAGTTGGTGGGTTGTCTTGTCAGGTTGATTCCGGTAACGAACGAGACCTCAGCCTTTAAATAGTTACAGTCGCTTTTTGCGGCTGGTTTGACTTCTTAGAGGGACAGTTGGCGTTTAGTCAACGGAAGTATGAGGCAATAACAGGTCTGTGATGCCCTTAGATGTTCTGGGCCGCACGCGCGCTACACTGATGCATTCAACAAGCCTATCCCTAGCCGAAAGGCTCGGGTAATCTTTGAAGCTGCATCGTGATGGGGATAGATTATTGCAATTATTAGTCTTCAACGAGGAATGCCTAGTAAGCGCAATTCATCAGATTGCGTTGATTACGTCCCTGCCCT</t>
  </si>
  <si>
    <t>&gt;BEA_1948_ITS_691
GTCGTAACAAGGTTTCCGTAGGTGAACCTGCGGAAGGATCATTGAATCTATCAATAACCACACCGTGCACTTGTCTGTCTGGCCCATCATTCTCTCTTGAGTTTGGTGCTTCCCGGGTAGCATTAAGTTGCTGCTTGGGTTGGGTCCGGCTATCCATCAACTTGGGTAGTCGGGCTGGTCCTTACTAACCAACAACACCAAATAAAACTCAAAGCCAAAGATATGTGTTCGGCCTAGCCGTCACATCCTAACTGAGACAACTCTCAACAACGGATATCTTGGCTCTCGCAACGATGAAGAACGCAGCGAAATGCGATACGTAGTGTGAATTGCAGAATTCCGTGAATCATCAAATCTTTGAACGCAAATTGCGCCCAAGGCTTCGGCTGAGGGCATGTTTGCCTCAGCGTCGGGTTAATCTCACTTTCCCCTTCCCAAAGCGGAGTGTTGGGCAAGTGGACCTGGCTGTTCCAAAGCTTGAGTGCTTCATGGCGCTCGTGAAGGGCTTTGGATCAGCTGAAGAGCAGAGGCTAGCTCAAGGACCCGTCAAGGGCCGCAACTGGGTAGGCAGCTTATCGCTCGCTATTTCTAGTTGTTGGCTTGGGACCATGGGCTCGGCCCTCAAACAGGAACTCTCCTTTTTTTCTCGACCTGAGCTCAAGCAAGACCACCCGCTGAACTTAAGCATATC</t>
  </si>
  <si>
    <t>&gt;BEA_1986_ITS_968
TACTCCTTTGTACACAGAGCTCGCAACACCATCAAATTGCCGGGACATCCTGTTCATATGCTGCTGGTACCTCCAGGCAAGGGAAACCTTGCACTGGAACCATGGTGAAAGCCGTGGGTATGGTAAAAATCTGGCAGCTAGGGACGATCGGCAGCCAAGCGCTAAGGGAGTCTCATTATTACTGTAATGAGGCTCTGAAGCGTGCAGTTCACAGACTAAATGGTGGTGGGTTCCCTATACCTTGGGGAGCTTAAGATATAGTCGGTCCCCACCGCAAGGTGGGCTCATGGGAGGAAAGCCTTCATAAGAAGGCTGGAGAGCCCATGAGCAGCTTGAGTTGGTCACTCACACTCAAGCTGGGGTAAACGAGGTGAACCTGCGGAAGGATCATTGCATCTATCAATAACCACACCGTGAACCTCTTTTGTCCGGCCCACCAATTCTCTTCGGAGTTTTGGTGCTTCCTGGGCAGCATTAATTTGCTGTCTGGGTTGGGCTCGGCTGCCCAAATCCAATTTGGGTAGTCGGGTTGGTCCTATTACTAACCAACAACACCAAACAAAACCTAAAGCCAAAGATATGTGATCGGCCTAGCCGTCACATCCTAACTGAGACAACTCTCAACAACGGATATCTTGGCTCTCGCAACGATGAAGAACGCAGCGAAATGCGATACGTAGTGTGAATTGCAGAATTCCGTGAATCATCAAATCTTTGAACGCAAATTGCGTCCGCGGCTTCGGCCAAGGGCATGTTTGCCTCAGCGTCGGGTTAATCTCACTAACCACTCCCCCATGTGAGGAGTAATGTTAGTGGACCTGGCTGTTCCAGAGCTTGGGTGCTTCATTGCCCCAGCAAAGGCTCTGGATCAGCTGAAGAGCAGAGGCTAGCTCAAGGACCCGTCAAGGGCCGCAACTGGGTAGGCAGCAATCGCTCGCTATTTCTAGTTGTTGGCTTGGGACCATGGG</t>
  </si>
  <si>
    <t>&gt;BEA_1996_ITS_1074
GTATACACACACGAGCTCGCAACACCATCAAATTGCCGGGACATCCTGTTCATGCTGCTGGTACCTCCAAGCAGAGGGAAACCTTGCCTTGGAACCGTGGTGAAAGCCGTGGGTATGGTAAAAATCTAGCAGCTAGGGACGATCGGCAGCCAAGCGCTCAGGGAGTCTCCACTGTTGGGACTCTGAAGCGTGCAGTTCACAGACTAAATGGTGGTGGGTTCCCTCCTCCTTACATGAGGAGATGGAGCTTAAGATATAGTCGGTCCCCACCGCAAGGTGGGCTCATGGGAGGAAAGCTTTGTAATTGAAGCTGGAGAGCCCATGAGCAGCTTGAGTACTAGTAGCACTAACTCAAGCTGGGGAAAACGAGGTGAACCTGCGGAAGGATCATTGCATCTATCAATAACCACACCGTGAACCTCTATTGTCTGGCCCGCCAATTCTCTTCGGAGTTTTGGTGCTTCCTGGGCAGCATTAATTTGCTGTCTGGGTTGGGCTCGGCTGCCCAAATCCAATTTGGGTAGTCGGGTTGGTCCTCTTACTAACCAACAACACCAAACAAAACCTAAAGCCAAAGATATGTGATCGGCCTAGCCGTCACATCCTAACTGAGACAACTCTCAACAACGGATATCTTGGCTCTCGCAACGATGAAGAACGCAGCGAAATGCGATACGTAGTGTGAATTGCAGAATTCCGTGAATCATCAAATCTTTGAACGCAAATTGCGTCCGCGGCTTCGGCCAAGGGCATGTTTGCCTCAGCGTCGGGTTAATCTCACTAACCACTCCCCCATGCGAGGAGTACTGTTAGTGGACCTGGCTGTTCCAGAGCTTGGGTGCTTCATTGCCCCAGCAAAGGCTCTGGATCAGCTGAAGAGCAGAGGCTAGCTCAAGGACCCGTCAAGGGCCGCAACTGGGTAGGCAGCAATCGCTCGCTATTTCTAGTTGTTGGCTTGGGACCATGGGCTTGGCCCTCAAACAGGAACCCTCTTTTTTTTCTCGACCTGAGCTCAAGCAAGACCACCCGCTGAACTTAAGCATATCAATAAGCGGAGGAAAAGAAACTAACAAG</t>
  </si>
  <si>
    <t>&gt;BEA_1997_ITS_913
TCAAATTGCCGGGACATCCTGCTAAGCTGTCAGTACCGCTCTCATATGTATGCTGAAAGGCTGTGAGGGCACCGCGGTGAGAGCCGCGGGTATGGTAAGAACCTGACAGATAGGGACAATCGGCAGCCAAGTGCTAAGGTACTTCTCAGTCTTGAGAGTGCTATGCATGCAGTTCACAGACTAAATGGTGGTGGGTTCCCTTCTCTATTGCTAGAGGGAGAGGAGCTTAAGATATAGTCGAGCCCTGCTGAAAGGCAGTCTACCAGAGGAATGTTTTTGCTTAGAAACACGAGAGCTGGTAGAGGAAGTACAATATACTTCTGGACAACACTGAGGTGAACCTGCGGAAGGATCATTGAATCTATCAATAACCACACCGTGAACCTTTTTTGTCTGGCCCATCAACTCCCATCTTATGATGGGTTTGGTGCTTCCCAGGCAGCATTCATTTGCTGCCTGGGTTGGGCTCGACTGCCCAAACACTCTTTGGGCAGTTCGGGTTGGTCCTTATTAACCAACAACACCAAACAAAAACTAAAGCCATAGATATGTGGTCGGCCTAGCCGTCACATCCTAACTGAGACAATTCTCAACAACGGATATCTTGGCTCTCGCAACGATGAAGAACGCAGCGAAATGCGATACGTAGTGTGAATTGCAGAATTCCGTGAATCATCAAATCTTTGAACGCAAATTGCGCCCAAGGCTTCGGCTTAGGGCATGTTTGCCTCAGCGTCGGGTTAATCTCACAACCCCTCTCCCCATTGCATGGAGTAGAGGGCTAGTGGACCTGGCTGTTCCAGAACTTGGAAGTACATTCATTTGTCTCCATTTAAAAGGTCTGGATCAGCTGAAGCACAGAGGCTAGCTCACGACCCGTCAAGGGCCGCAACTGGGTAGGCAGCTCTCGCTC</t>
  </si>
  <si>
    <t>&gt;BEA_1997_ITS_640
TCAAATTGCCGGGACATCCTGCTAAGCTGTCAGTACCGCTCTCATATGTATGCTGAAAGGCTGTGAGGGCACCGCGGTGAGAGCCGCGGGTATGGTAAGAACCTGACAGATAGGGACAATCGGCAGCCAAGTGCTAAGGTACTTCTCAGTCTTGAGAGTGCTATGCATGCAGTTCACAGACTAAATGGTGGTGGGTTCCCTTCTCTATTGCTAGAGGGAGAGGAGCTTAAGATATAGTCGAGCCCTGCTGAAAGGCAGTCTACCAGAGGAATGTTTTTGCTTAGAAACACGAGAGCTGGTAGAGGAAGTACAATATACTTCTGGACAACACTGAGGTGAACCTGCGGAAGGATCATTGAATCTATCAATAACCACACCGTGAACCTTTTTTGTCTGGCCCATCAACTCCCATCTTATGATGGGTTTGGTGCTTCCCAGGCAGCATTCATTTGCTGCCTGGGTTGGGCTCGACTGCCCAAACACTCTTTGGGCAGTTCGGGTTGGTCCTTATTAACCAACAACACCAAACAAAAACTAAAGCCATAGATATGTGGTCGGCCTAGCCGTCACATCCTAACTGAGACAATTCTCAACAACGGATATCTTGGCTCTCGCAACGATGAAGAACGCAGCGAAATGC &gt;BEA_1997_ITS_913
TCAAATTGCCGGGACATCCTGCTAAGCTGTCAGTACCGCTCTCATATGTATGCTGAAAGGCTGTGAGGGCACCGCGGTGAGAGCCGCGGGTATGGTAAGAACCTGACAGATAGGGACAATCGGCAGCCAAGTGCTAAGGTACTTCTCAGTCTTGAGAGTGCTATGCATGCAGTTCACAGACTAAATGGTGGTGGGTTCCCTTCTCTATTGCTAGAGGGAGAGGAGCTTAAGATATAGTCGAGCCCTGCTGAAAGGCAGTCTACCAGAGGAATGTTTTTGCTTAGAAACACGAGAGCTGGTAGAGGAAGTACAATATACTTCTGGACAACACTGAGGTGAACCTGCGGAAGGATCATTGAATCTATCAATAACCACACCGTGAACCTTTTTTGTCTGGCCCATCAACTCCCATCTTATGATGGGTTTGGTGCTTCCCAGGCAGCATTCATTTGCTGCCTGGGTTGGGCTCGACTGCCCAAACACTCTTTGGGCAGTTCGGGTTGGTCCTTATTAACCAACAACACCAAACAAAAACTAAAGCCATAGATATGTGGTCGGCCTAGCCGTCACATCCTAACTGAGACAATTCTCAACAACGGATATCTTGGCTCTCGCAACGATGAAGAACGCAGCGAAATGCGATACGTAGTGTGAATTGCAGAATTCCGTGAATCATCAAATCTTTGAACGCAAATTGCGCCCAAGGCTTCGGCTTAGGGCATGTTTGCCTCAGCGTCGGGTTAATCTCACAACCCCTCTCCCCATTGCATGGAGTAGAGGGCTAGTGGACCTGGCTGTTCCAGAACTTGGAAGTACATTCATTTGTCTCCATTTAAAAGGTCTGGATCAGCTGAAGCACAGAGGCTAGCTCACGACCCGTCAAGGGCCGCAACTGGGTAGGCAGCTCTCGCTC</t>
  </si>
  <si>
    <t>&gt;BEA_1999_ITS_1061
CTTTTGTACACACAGAGCTCGCAACACCATCAAATTGCCGGGACATCCTGTTCATGCTGCTGGTACCTCCAGGCAGAGGGAAACCTTGCTCTGGAACCATGGTGAAAGCCGTGGGTATGGTAAAAATCTAGCAGCTAGGGACGATCGGCAGCCAAGCGCTAATGGAGCCTCATTCTTGAGGCTCTGAGGCGTGCAGTTCACAGACTAAATGGTGGTGGGTTCCCTTCACACTGGGAGCTTAAGATATAGTCGGTCCCCACCGCAAGGTGGGCTCATGGGAGGATAGCCTGGTAAAGGCTGGAGAGCCCATGAGCAGCTTGGTGTGTGTCCACTCAACCAAGCTGGGGTAAACGAGGTGAACCTGCGGAAGGATCATTGCATCTATCAATAACCACACCGTGAACCTTTTTTGTCTGGCCCACCAATTCTCTTTGGAGTTTTGGTGCTTCCTGGGCAGCATTAACTTGCTGTCTAGGTTGGGCTCGGCTGCCCAAATCCAATTTGGGTAGTCGGGTTGGTCCTCTTACTAACCAACAACACCAAACAAAAACTAAAGCCAAAGATTTGTGATCGGCCTAGCCGTCACATCCTAACTGAGACAACTCTCAACAACGGATATCTTGGCTCTCGCAACGATGAAGAACGCAGCGAAATGCGATACGTAGTGTGAATTGCAGAATTCCGTGAATCATCAAATCTTTGAACGCAAATTGCGTCCGCGGCTTCGGCCAAGGGCATGTTTGCCTCAGCGTCGGGTTAATCTCACTAACCACTCCCCCATGCGAGGAGTATAGTTAGTGGACCTGGCTGTTCCAGAGCTTGGGTGCTTCACTGCCCCCAGTAAAGGCTCTGGATCAGCTGAAGAGCAGAGGCTAGCTCAAGGACCCGTCAAGGGCCGCAACTGGGTAGGCAGCAATCGCTCGCTATTTCTAGTTGTTGGCTTGGGACCATGGGCTTGGCCCTCAAACAGGAACCCTTCTTTTTTCTCGACCTGAGCTCAAGCAAGACCACCCGCTGAACTTAAGCATATCAATAAGCGGAGGAAAAGAAACTAACAAGGA</t>
  </si>
  <si>
    <t>&gt;BEA_2036_ITS_854
AAGTAAAAGTCGTAACAAGGTTTCCGTAGGTGAACCTGCGGAAGGATCATTGAATCGATCAAACACACACCGCGAACTTTGCTTTCTGTATTTATACACTCTATACATACAGATGGGCACTCTTTGCACCGATTGTTGTACAAGACGACGTTGCATGGAGTCTCAACACACCATGTGGTCGATCGGGACTTCCCGGTCGTCCAGATGCTCACGCCACACGTATATTTTCAGTGTGTATGTACATCGTCATGTGCTCTTATGATGATGTATATACACATGAGATGATGATGATGCTAAAGCTCAATATGTATGTGTATCTAATATACATAGATATACCATATAAACCAAGAACAACTCTCAACAACGGATATCTTGGCTCCCGTATCGATGAAGAACGCAGCGAAATGCGATACGTCGTGTGAATTGCAGAATTCCGTGAACCATCGAAGTTTTGAACGCACCTTGCGCCCGAGGCTTCGGCCGAGGGCATGTCTGCCTCAGCGTCGGCGCACCCCCTCGACTTTGCTCTATCGTATACTGTTGCTCCTCGGAGTGGCATGCCGATGGCGAGGATCGGACCTGGCCGTCTCACGCTCTCTGTGTTCTTTCTTTGCGGAAAACATGGAGGGAGTGGGTCGGTTGAAGCGCAGAGGCTCGAGCGGCGACCCCGTCTGAGGGCGACGACTTGGTAGGTAGGCTTGTTGTCCTGCAACCTGTGTCGGCACCCGAGGCGTCCCGCTGGAAGCCCCCCTAGGTATGTATATATGTTGTATGTACCCGAGTTACACACTTTGGATTCGACCTGAGCTCAGGCAAGAGCACCCGCTGAACTTAAGCATATCAATAAGCGGAGG</t>
  </si>
  <si>
    <t>PLACA 5</t>
  </si>
  <si>
    <t>eukb</t>
  </si>
  <si>
    <t>&gt;RP9_2_2_EUKB_Premix_Ulva sp
TCGGGATTTCACGTCTTGGGGGTTCAGGATTGGGGGATGTTACTTTGAGTAAATTAGAGTGTTCAAAGCAAGCTTACGCTTTGAAAATAATAGCATGGGATAACACGACAGGATTTTGGCCCATTCGTGTTGGTCTATAGGACCAGAGTAATGATTAAGAGGGACAGTTCGGGGGCATTCGTATTCCGTTGTCAGAGGTGAAATTCTTGGATTTACGGAAGACGAACATTTGCGAAAGCATTTGCCAAGGATGTTTTCATTGATCAAGAACGAAAGTTGGGGGCTCGAAGACGATTAGATACCGTCGTAGTCTCAACCATAAACGATGCCGACTAGGGATTGGCGGGTGTTTTTTTGATGACTCCGCCAGCACCTCATGAGAAATCAAAGTTTTTGGGTTCCGGGGGGAGTATGGTCGCAAGGCTGAAACTTAAAGGAATTGACGGAAGGGCACCACCAGGCGTGGAGCCTGCGGCTTAATTTGACTCAACACGGGAAAACTTACCAGGTCCAGACATAGGAAGGATTGACAGATTGAGAGCTCTTTCTTGATTCTATGGGTGGTGGTGCATGGCCGTTCTTAGTTGGTGGGTTGCCTTGTCAGGTTGATTCCGGTAACGAACGAGACCTCAGCCTGCTAAATAGTGACGTCTGCTTCGGCAGTCGCGCGCTTCTTAGAGGGACTGTTGGCGTCTAGCCAATGGAAGTATGAGGCAATAACAGGTCTGTGATGCCCTTAGATGTTCTGGGCCGCACGCGCGCTACACTGATACGTTCAACGAGCTCCTTGACCGAGAGGTCCGGGTAATCTTTGAAACCGTATCGTGATGGGGATAGAACATTGCAATTATTGTTCTTCAACGAGGAATGCCTAGTAAGCGCGAGTCATCATCTCGCGTTGATTACGTCCCTGCCCTTTGTACACACCGCCCGTCGCTCCTACCGATTGAACGTGCTGGTGAAGCGTTAGGACTGGAACTCTGGCCCGGTCTCGGGGCC</t>
  </si>
  <si>
    <t>SEPARADO</t>
  </si>
  <si>
    <t>&gt;RP9_3_1_EUKA_LOW_QUALITY
AGTTTATTTGATGGTACCACACTACTCGGATAACCGTAGTAAAGCTACAGCTAATACGTGCGTAACTCCCGACTTACGAAGGGACGTATTTATTAGATTCAAGGCCGACCGTGCTTGCACGTCTTTGGTGAATCATGGTAACTTCACGAATCGCAGGGTTTATCCCGGCGATGTTTCATTCAACTTTCTGCCCTATCAACTTTCGACGGTAGTATAGAGGACTACCGTGGTGGTAACGGGTGACGGAGGATTAGGGTTCGATTCCGGAGAGGGAGCCTGATAAACGGCTACCACATCCAAGGAAGGCAGCAGGCGCGCAAATTACCCAGTCCTGACACAGGGAGGTAGTGACAATAAATATGCATTCTGGGCCACATGGTCCGGTAATTGGAAGGAGTACAATGGAAACGCCTTAACGAGGATCCATTGGAGGGGGAGTCTGGGGCCATGCACCGCTATAATTCCTCGTCCAATAGAATAAATTTAAGTTGTGTGCAGTTGATGCCCCCCCTCCTTTGATTCTGCTGCAAAGCATGATGCATTCATTTGTGTTTTTTCTAATAAAAAAGTGCGTGTCGCACTCATTTTTTCCTTGTCACGGACTGAAGTCGAGTGCTATAAAAAAGAAGTTACTTGAAGGTTGAATGATTACTTTACAGCACAGAACTGAACTGAAATGAAAATTCCGTTCCAGCAGCACGATGGGTGTGGAGTCAATTGATTATGTCATTGGGAAATGATGGTTGTAGATTTGCGGCGCTTCCGGGAGTCGAGGAAGTTCGCCAGGTGGCAAAGGATATTTGTATTTGGCCCGAAGGGCCCGCCTCAATCCGTGAGCCGGCGGCTCGATGAAAGGCGCAAGCGATAAGAAGGCTCACAAATACTCGGGACCGGTTTTTCACCCCGTCAAAATAATCTTGAATAACACGCGGCTATGTCTTCTTGTCATATCACAACAACACTCAGAATCACCCGACACGAAGGGATATACGCGCGCGGCGCCATGATTGTGTGCCCCCAGCCATGCACAGGGGAAAGACTCTCGTGACAGGGGGCACCCCCGAGAGGGGTAAGAAGGAGATGCGGCGGGCGGATGAAATACAAAGAGCCGAGAATGAGAGGATAGGACCACCCGTGCTCCTGCTCGCACCCCTCCCCGTCAAGAAACGATGCACCTACACATCGCAACGATACGCGTTGTATTGGATGTGATGCGCGCGAACACAGCACATGATATTACATACGTATATATCTCAACCTCTAATGATGGAGGAGAATCATCTAAGATATAAACATCCTCCCGCGCGGTGCGCGCGCCCGCTGGTGCTGGGACGCATAAACAGCCCCACAGGAGAGATATGCCATGATTCCCCCCCCCGGCAACACACGCACGATGTGAGTCAGCGAACGCGTCCCCCCT
&gt;RP9_3_1_EUKB_Premix_LOW_QUALITY
TCTAGAGTTCCAAACAGGTTATATTCACGTCGTGCAGACTCACATGTTGACATGTCGGTACTCGCGCTGGCACGCATGCGTCTCCGCACTCGACGCTCGTATTGCTGCAGCCTCCTTCTGCCCGCGGCCGTCCATCCGAATTCCACCGTCCGGGGGTCAAGAATCGGCGATGTACTTTGAGTAAATTAGAGTGTTCAAAGCAAGCCACCGTCCTGAATATAATAGCATGGGATAACACGACAGGATCTGGCCCATCGTGTTGGTCTATACGACCAGAGTAATGAATAAGAGGGACAGTCGGGGGCATCGTACTCCGTCGCTCAGAGGTGAACATGCTCGGATTCTCCGGAAGACGATACATCTGCGAAAGCATTCTGCCCACGCGATGTTCTCATCTGATCAAGAACGATAGTTGGGGGCTCGCACGACGATTAGACACCGTCGTAGTCTCAACCATAAACGATGCCCGACTAGGGATTGGCGGGTGTTTTTTTGATGACTCCGCCAGCACATCATGAGAAATCAAAGTTTTTGGATTCCCGGGGGGAGTATGGTCGCAAGGCTGAAACTTAAAGGAATTGACGGAAGGGCACCACCAGGCGTGGAGCCTGCGGCTTAATTTGACTCAACACGGGAAAACTTACCAGGTCCAGACATAGGAAGGATTGACAGATTGAGAGCTCTTTCTTGATTCTATGGGTGGTGGTGCATGGCCGTTCTTAGTTGGTGGGTTGCCTTGTCAGGTTGATTCCGGTAACGAACGAGACCTCAGCCTGCTAAATAGTGACGTCTGCTTCGGCAGTCGCGCGCTTCTTAGAGGGACTGTTGGCGTCTAGCCAATGGAAGTATGAGGCAATAACAGGTCTGTGATGCCCTTAGATGTTCTGGGCCGCACGCGCGCTACACTGATACGTTCAACGAGCTCCTTGACCGAGAGGTCCGGGTAATCTTTGAAACCGTATCGTGATGGGGATAGAACATTGCAATTATTGTTCTTCAACGAGGAATGCCTAGTAAGCGCGAGTCATCATCTCGCGTTGATTACGTCCCTGCCCTTTGTACACACCGCCCGTCGCTCCTACCGATTGAACGTGCTGGTGAAGCGTTAGGACAGGAACTTTGGGCCGGTCTCCTGCACCCAGACTTAACCAACTGGTCCCCCTATGGTACTTACATGTCATCTTCACCTAAGATGTGGGATGCAA</t>
  </si>
  <si>
    <t>&gt;RP9_3_3_EUKA_Premix_602
ATACACGTGAAACTGCGAATGGCTCATTAAATCAGTTAGAGTTTATTTGATGGTACCACACTACTCGGATAACCGTAGTAAAGCTACAGCTAATACGTGCGTAACTCCCGACTTACGAAGGGACGTATTTATTAGATTCAAGGCCGACCGTGCTTGCACGTCTTTGGTGAATCATGGTAACTTCACGAATCGCAGGGTTTATCCCGGCGATGTTTCATTCAACTTTCTGCCCTATCAACTTTCGACGGTAGTATAGAGGACTACCGTGGTGGTAACGGGTGACGGAGGATTAGGGTTCGATTCCGGAGAGGGAGCCTGAGAAACGGCTACCACATCCAAGGAAGGCAGCAGGCGCGCAAATTACCCAATCCTGACACAGGGAGGTAGTGACAATAAATATCAATTCTGGGCCACATGGTCCGGTAATTGGAATGAGTACAATGTAAACGCCTTAACGAGGATCCATTGGAGGGCAAGTCTGGTGCCAGCAGCGCGCGGTAATTCCCGCTCCATAGCGTATATTTAAGTTGTTGCAGTTAAAAAGCTCGTAGTTGGATTTCGGGTGGGACGCAACGGTCTCGCATTGCGTTTGTAGTGCTGCA
&gt;RP9_3_3_EUKB_LOW_996
CTTTGGAGTAAATTAGAGTTCTCAAAACCAAGCCTTACGCTCCGGAATTTAATAGCATGGGATAACCACGACAGGGATTTCGGCCCATTCGTGTTGGTCTATAGGACAGGGTTAATGATTTAAGAGGGACCATTGGGGGCCTTTGTTTTCCGTTGTTAGAGGTGAAATTTCTGGGAATTACGGAAGGACGGAACTTTTGGGAAAGCCTTTTCCCCACGGACGTTTTCATTCATCCAAGAACGAAAGTTGGGGGCTGGAAGGACGGATTAGAAACCGTTGTTAGTTTCAACCATAAACGATGCCGACTAGGGATGGGCGGGTGTTTTTTTGATGATTCCGCCAGCACCTCCTGAGAAATCAAAGTTTTTGGGTTCCGGGGGGAGTATGGTCGCAAGGCTGAAACTTAAAGGAATTGACGGAAGGGCACCACCAGGCGTGGAGCGTGCGGCTTAATTTGACTCAACACGGGAAAACTTACCAGGTCCAGACATAGGAAGGATTGACAGATTGAGAGCTCTTTCTTGATTCTATGGGTGGTGGTGCATGGCCGTTCTTAGTTGGTGGGTTGCCTTGTCAGGTTGATTCCGGTAACGAACGAGACCTCAGCCTGCTAAATAGTGACGTCTGCTTCGGCAGTCGCGCGCTTCTTAGAGGGACTGTTGGCGTCTAGCCAATGGAAGTATGAGGCAATAACAGGTCTGTGATGCCCTTAGATGTTCTGGGCCGCACGCGCGCTACACTGATACGTTCAACGAGCTCCTTGACCGAGAGGTCCGGGTAATCTTTGAAACCGTATCGTGATGGGGATAGAACATTGCAATTATTGTTCTTCAACGAGGAATGCCTAGTAAGCGCGAGTCATCATCTCGCGTTGATTACGTCCCTGCCCTTTGTACACACCGCCCGTCGCTCCTACCGATTGAACGTGCTGGTGAAGCGTTAGGACTGGAACTTTGGGCCGGTCTCCTGCCCATTGTTTAAGGAACTTCGTCAACC</t>
  </si>
  <si>
    <t>&gt;RP9_3_5_EUKB_Ulva_sp
GTCAGGATTGGGGGATTTTACTTTGGAGTAAATTAGAGTGTTCAAAGCAAGCTTTACCCTTTGAATATAATAGCCATGGGATAACAGGACAGGGATTCGGCCCATTCGTGTTGGTCTATAGGACCAGGAGTAATGATTAAGAGGGACAGTCGGGGGGCCATTCGTATTCCGTTGTTCAGAGGTGAAATTTCTTGGGATTTACGGAAGAGGAACATTTGCGAAAGCCTTTCCCACGGATGTTTTCATTGATCAAGAACGAAAGTTGGGGGCTCGAAGACGATTAGAAACCGTTGTAGTTTCAACCATAAACGATGCCGACTAGGGATGGCGGGTGTTTTTTTGATGACTCCGCCAGCACCTCCTGAGAAATCAAAGTTTTTGGGTTCCGGGGGGAGTATGGTCGCAAGGCTGAAACTTAAAGGAATTGACGGAAGGGCACCACCAGGCGTGGAGCCTGCGGCTTAATTTGACTCAACACGGGAAAACTTACCAGGTCCAGACATAGGAAGGATTGACAGATTGAGAGCTCTTTCTTGATTCTATGGGTGGTGGTGCATGGCCGTTCTTAGTTGGTGGGTTGCCTTGTCAGGTTGATTCCGGTAACGAACGAGACCTCAGCCTGCTAAATAGTGACGTCTGCTTCGGCAGTCGCGCGCTTCTTAGAGGGACTGTTGGCGTCTAGCCAATGGAAGTATGAGGCAATAACAGGTCTGTGATGCCCTTAGATGTTCTGGGCCGCACGCGCGCTACACTGATACGTTCAACGAGCTCCTTGACCGAGAGGTCCGGGTAATCTTTGAAACCGTATCGTGATGGGGATAGAACATTGCAATTATTGTTCTTCAACGAGGAATGCCTAGTAAGCGCGAGTCATCATCTCGCGTTGATTACGTCCCTGCCCTTTGTACACACCGCCCGTCGCTCCTACCGATTGAACGTGCTGGTGAAGCGTTAGGACTGGAACTTTGGGCCGGTCTCCTGCCCCAAATTAAGGATCTGCTCCTCCTATCGTACT
&gt;RP9_3_5_EUKA_Ulva_sp
AAACGAGCAACTGCGCATGGCTCAGTAAATCAGTTAGAGTTTATTTGATGGTACCACACTACTCGGATAACCGTAGTAAAGCTACAGCTAATACGTGCGTAACTCCCGACTTACGAAGGGACGTATTTATTAGATTCAAGGCCGACCGTGCTTGCACGTCTTTGGTGAATCATGGTAACTTCACGAATCGCAGGGTTTATCCCGGCGATGTTTCATTCAACTTTCTGCCCTATCAACTTTCGACGGTAGTATAGAGGACTACCGTGGTGGTAACGGGTGACGGAGGATTAGGGTTCGATTCCGGAGAGGGAGCCTGAGAAACGGCTACCACATCCAAGGAAGGCAGCAGGCGCGCAAATTACCCAATCCTGACACAGGGAGGTAGTGACAATAAATATCAATTCTGGGCCACATGGTCCGGTAATTGGAATGAGTACAATGTAAACGCCTTAACGAGGATCCATTGGAGGGCAAGTCTGGTGCCAGCAGCCGCGGTAATTCCAGCTCCATAGCGTATATTTAAGTTGTTGCAGTTAAAAAGCTCGTAGTTGGATTTCGGGTGGGACGCAGCGGTCTCGCATTGCGTTTGTACTGCTGCAGCCCTCCTTCTTGCCGGGGGCGGCCCATCGGACTTCACTGTCTGGGGGTCAGAATCGGCGATGTTACTTTGAGTAAATTAAAGTGTTCAAAGCAAGCTTACGCTCTGAATATAAAGCATGGGAAAACACGACCGGACTCTGGCCTATCGTGTTGGTCTATATGACCAGAGTAATGATTAAAAAGGGACAGTCGGGGGCATTCGTATTCCGTTGTCCAAAGGTGAAATTCTTGGATTTCCGGAAAGACAAGCATCTGCGAAAGCATTTGCCAAGGAAGTTTTCATTGATCAAAGCAAGAGTTGGGGGGCTCC</t>
  </si>
  <si>
    <t>EUKA</t>
  </si>
  <si>
    <t>&gt;RP9_3_6_EUKA_LOW_QUALITY
AACAATGATGGTACCACACTACTCGGATAACCGTAGTAAAGCTACAGCTAATACGTGCGTAACTCCCGACTTACGAAGGGACGTATTTATTAGATTCAAGGCCGACCGTGCTTGCACGTCTTTGGTGAATCATGGTAACTTCACGAATCGCAGGGTCTATCCCGGCGATGTTTCATTCAACTTTCTGCCCTATCAACTTTCGACGGTAGTATAGAGGACTACCGTGGTGGTAACGGGTGACGGAGGATTAGGGTTCGATTCCGGAGAGGGAGCCTGAGAAACGGCTACCACATCCAAGGAAGGCAGCAGGCGCGCAAATTACCCAATCCTGACACAGGGAGGTAGTGACAATAAATATCAATTCTGGGCCACATGGTCCGGTAATTGGAATGAGTACAATGTAAACGCCTTAACGAGGATCCATTGGAGGGCAAGTCTGGTGCCAGCAGCCGCGGTAATTCCAGCTCCAATAGCGTATATTTAAGTTGTTGCAGTTAAAAAGCTCGTAGTTGGATTTCGGGTGGGACGCAGCGGTCTCGCATTGCGTTTGTACTGCTGCAGCCCTCCTTCTTGCCGGGGGCGGCCCTTCGGACTTCACTGTCTGGGGGTCAGAATCGGCGATGTTA</t>
  </si>
  <si>
    <t>Tufa4/r</t>
  </si>
  <si>
    <t>&gt;1_3_MARZO_TUFR_LOW_QUALITY_Ulva_sp
AAGAGGATCAAGTAGACGATCTTGAATTATTAGAATTAGTTCAATTAGAAGTTCAAGAAACACTTGATGCTTATGAATTTGCAAGTGAAGAAGTACCTATTGTAACAGGATCTGCTTTATCAGCATTAGAAGCTTTAATTGAAAATCCTGAAGCATGTGATAATGAATGGGTTAATAAAATTTATAATTTAATGGAAGAAGTTGATAGTTATATTCCAACTCCTGAACGTGAAACAGATAAAACATTCTTAATGGCAGTAGAAGATGTATTCTCTATTACTGGTCGTGGAACTGTTGCAACTGGACGTGTTGAACGTGGTGTTTTAAAAACAAATGAAACAGTAGATCTTGTTGGATTAGGAGATACAAAAAATGTAACGGTTACTGGATTAGAAATGTTCCAAAAAACTTTAGATGAAACAGTTGCAGGAGATAATGTAGGTGTATTACTTCGTGGTGTTCAAAAAGATGAAATCCAACGAGGTATGGTAATTGCCGCTCCAAATTCAATTGAACCTCATACAAAATTTGAAGCACAAGTTTATGTTTTAACAAAAGAAGAAGGTGGTCGTCATACTCCATTTTTCCCAGGATACCGTCCTCAATTTTACGTTAGAACAACTGATGTTACAGGTAAAATTGAAAATTTTACAGCAGATGATGGGTCTGAAACAAAAATGGTAA
&gt;1_3_MARZO_TUFA4_Ulva_sp
CAAGAACATTTATTATTAGCTAAACAAGTAGGTGTTCCTAATATTGTTGTTTTTTTAAATAAAGAGGATCAAGTCGAAGATCCTGAATTATTAGAATTAGTTCAATTAGAAGTTCAAGAAACACTTGATGCTTATGAATTTCCAGGTGAAGAAGTACCTATTGTAACTGGATCCGCTTTATTAGCATTAGAAGCTTTAATTGAAAATCCTGAAGATTCTGATAACGAATGGGTTAATAAAATTTATAATTTAATGGAAGAAGTTGATAGTTATATTCCAACTCCTGAACGTGAAACAGATAAAACATTCTTAATGGCAGTTGAAGATGTATTCTCTATTACTGGTCGTGGAACTGTTGCAACTGGACGTGTTGAACGTGGTGTTTTAAAAACAAATGAAACAGTAGACCTTGTTGGATTAGGAGATACAAAAAATGTAACGGTTACTGGATTTAGAAATGTTCCAAAAAACTTTAGATGAAACAGTTGCTG-AGATAATGTAAGTGTATTACTTTCTTGGTGTTCAAAAAGAAGAAAATACAACGAGGTATGGTAATCTGCTGCTCCAAATTCAATTGAACCCTCATACAAAATTTGAAGCACCAAGTTTATAGTTTTAACAAACAGACGAAAGTGGACGTCATACTGCCATTTTTTCCCTTGTATATCGACCATCAGTCTATCGTTAGAACGAGCTGATGTTACAGGAAAAATTGGAAAATTTACAGCACACGATGGATCTGAAATCAAGAATGGTAATTCCAGAAGATCGAGTAAAATGGATTGTC</t>
  </si>
  <si>
    <t>&gt;Roqueprieto_nov__TUFA4_Premix_Ulva_australis
CCACAACAAAAGAACACTTATTATTAGCTAAACAAGTAGGTGTTCCTCATATTGTTGTTTTTTTAAATAAAGAAGATCAAGTAGACGATGCTGAATTATTAGAGTTAGTTGAATTCGAAGTTGAAGAAACACTTGATACTTATGATTTTTCGAGTAAATCAGTACCCATTGTAAAAGGTTCCGCTTTACTAGCACTAGAAGCGCTAATTCAAAACACTGATGTTTCTGATAATGAGTGGGTTAATAAAATTTATAAGTTAATGGAAGAAGTTGATAATTGTATTCCAACTCCTCAACGTGAAACAGACAAAACATTCTTAATGGCAGTAGAAGATGTATTCTCTATTACTGGTCGTGGGACTGTTGCAACTGGACGTGTTGAACGTGGTGTTTTAAAAACAGGTGAAACAGTAGATCTTGTTGGTTTAGGAGATACAAAAAATGTAACAGTTACTGGATTAGAAATGTTTCAGAAAACTTTAGATGAAACAGTTGCAGGAGATAATGTAGGTGTATTACTTCGAGGTATTCAAAAAGATGAAATTCAACGAGGTATGGTAATAGCTGCCCCAAATTCAATTGAACCACATACAAAATTTGAAGCGCAAGTTTATGTTTTAACAAAAGATGAAGGTGGTCGTCACACTCCATTTTTCCCAGGTTATCGACCTCAATTCTATGTTAGAACAACTGATGTTACAGGTAAAATTGAAAATTTTACAGCAGATGATGGATCTGAAACAAAAATGGTAATCCCAGGAGATCGAGTAAAAATGGTTGTTGAATTAATTCACCTATT</t>
  </si>
  <si>
    <t>&gt;RP2MAYO__TUFR_Ulva_lactuca GTATCTGGTGCTGACGGTCCTATGCCACAAACAAAAGAACATTTATTATTAGCTAAGCAAGTAGGTGTTCCTAGTATTGTTGTTTTTTTAAATAAAGAGGATCAAGTAGATGATCCTGAATTATTAGAATTAGTTCAATTAGAAGTTCAAGAAACACTTGAAGCTTATGAATTTCCAAGTGACGAAGTACCTATTGTAACAGGTTCAGCTTTATTAGCATTAGAAGCTTTAATTGAAAATACTGAAGTTTCTGATAACAAATGGGTTAATAAAATCTATGAGTTAATGAAAGAGGTTGATAGCTATATTCCAACTCCTGAACGTGAAACAGATAAAACATTCTTAATGGCAGTAGAAGATGTATTCTCTATTACTGGTCGTGGAACTGTTGCAACTGGACGTGTTGAACGTGGTGTTTTAAAAACAAATGAAACAGTAGACCTTGTTGGATTAGGAGACACAAAAAATGTAACAGTTACTGGATTAGAAATGTTTCAAAAAACTTTAGATGAAACAGTTGCCGGAGATAATGTAGGTGTACTACTTCGTGGTGTTCAAAAAGATGAAATACAACGAGGTATGGTAATTGCTGCCCCAAATTCAATTGAACCTCATACAAAATTTGAAGCACAAGTTTATGTTTTAACAAAAGAAGAAGGTGGCCGTCATACTCCATTTTTTCCAGGTTACCGACCTCAATTCTATGTTAGAACAACCGATGTTACAGGTAAAATTGAAAACTTTACAGCAGACGACGGATCTGAAACAAAAATGGTAATTCCGGGAGATCGAGTAAAAATGGTTGTAGAATTAATTCAACCTATTGCTATCGAA</t>
  </si>
  <si>
    <t>&gt;RP3MAYO_TUF4_R_Premix_Ulva_lactuca
TAGTTGTATTCTGGTGCTGACGGTCCTATGCCACAAACAAAAGAACATTTATTATTAGCTAAGCAAGTAGGTGTTCCTAGTATTGTTGTTTTTTTAAATAAAGAGGATCAAGTAGATGATCCTGAATTATTAGAATTAGTTCAATTAGAAGTTCAAGAAACACTTGAAGCTTATGAATTTCCAAGTGACGAAGTACCTATTGTAACAGGTTCAGCTTTATTAGCATTAGAAGCTTTAATTGAAAATACTGAAGTTTCTGATAACAAATGGGTTAATAAAATCTATGAGTTAATGAAAGAGGTTGATAGCTATATTCCAACTCCTGAACGTGAAACAGATAAAACATTCTTAATGGCAGTAGAAGATGTATTCTCTATTACTGGTCGTGGAACTGTTGCAACTGGACGTGTTGAACGTGGTGTTTTAAAAACAAATGAAACAGTAGACCTTGTTGGATTAGGAGACACAAAAAATGTAACAGTTACTGGATTAGAAATGTTTCAAAAAACTTTAGATGAAACAGTTGCCGGAGATAATGTAGGTGTACTACTTCGTGGTGTTCAAAAAGATGAAATACAACGAGGTATGGTAATTGCTGCCCCAAATTCAATTGAACCTCATACAAAATTTGAAGCACAAGTTTATGTTTTAACAAAAGAAGAAGGTGGCCGTCATACTCCATTTTTTCCAGGTTACCGACCTCAATTCTATGTTAGAACAACCGATGTTACAGGTAAAATTGAAAACTTTACAGCAGACGACGGATCTGAAACAAAAATGGTAATTCCGGGAGATCGAGTAAAAATGGTTGTAGAATTAATTCACCTAATGGTATAC</t>
  </si>
  <si>
    <t>&gt;RP7_3_2_TUFR_Ulva_lactuca
TATGCCACAAACAAAAGAACATTTATTATAGCTAAGCAAGTAGGTGTTCCTAGTATTGTTGTTTTTTTAAATAAAGAGGATCAAGTAGATGATCCTGAATTATTAGAATTAGTTCAATTAGAAGTTCAAGAAACACTTGAAGCTTATGAATTTCCAAGTGACGAAGTACCTATTGTAACAGGTTCAGCTTTATTAGCATTAGAAGCTTTAATTGAAAATACTGAAGTTTCTGATAACAAATGGGTTAATAAAATCTATGAGTTAATGAAAGAGGTTGATAGCTATATTCCAACTCCTGAACGTGAAACAGATAAAACATTCTTAATGGCAGTAGAAGATGTATTCTCTATTACTGGTCGTGGAACTGTTGCAACTGGACGTGTTGAACGTGGTGTTTTAAAAACAAATGAAACAGTAGACCTTGTTGGATTAGGAGACACAAAAAATGTAACAGTTACTGGATTAGAAATGTTTCAAAAAACTTTAGATGAAACAGTTGCCGGAGATAATGTAGGTGTACTACTTCGTGGTGTTCAAAAAGATGAAATACAACGAGGTATGGTAATTGCTGCCCCAAATTCAATTGAACCTCATACAAAATTTGAAGCACAAGTTTATGTTTTAACAAAAGAAGAAGGTGGCCGTCATACTCCATTTTTTCCAGGTTACCGACCTCAATTCTATGTTAGAACAACCGATGTTACAGGTAAAATTGAAAACTTTACAGCAGACGACGGATCTGAAACAAAAATGGTAATTCCGGGAGATCGAGTAAAAATGGTGTAGAATTAATTCACCTATGCTATCGAAGATAAT</t>
  </si>
  <si>
    <t>&gt;RP9_2_2_TufA4_Premix_Ulva_lactuca
TTCTTAGTTTGTTGTGGGGGGGGCGCGTCGCTATGCCACAAACAAAAGAACATTTATTATTAGCTAAGCAAGTAGGTGTTCCTAGTATTGTTGTTTTTTTAAATAAAGAGGATCAAGTAGATGATCCTGAATTATTAGAATTAGTTCAATTAGAAGTTCAAGAAACACTTGAAGCTTATGAATTTCCAAGTGACGAAGTACCTATTGTAACAGGTTCAGCTTTATTAGCATTAGAAGCTTTAATTGAAAATACTGAAGTTTCTGATAACAAATGGGTTAATAAAATCTATGAGTTAATGAAAGAGGTTGATAGCTATATTCCAACTCCTGAACGTGAAACAGATAAAACATTCTTAATGGCAGTAGAAGATGTATTCTCTATTACTGGTCGTGGAACTGTTGCAACTGGACGTGTTGAACGTGGTGTTTTAAAAACAAATGAAACAGTAGACCTTGTTGGATTAGGAGACACAAAAAATGTAACAGTTAC-TGGATTAGAAATGTTTCAAAAAACTTTAGATGAAACAGTTGCCGGAGATAATGTAGGTGTACTACTTCGTGGTGTTCAAAAAGATGAAATACAACGAGGTATGGTAATTGCTGCCCCAAATTCAATTGAACCTCATACAAAATTTGAAGCACAAGTTTATGTTTTAACAAAAGAAGAAGGTGGCCGTCATACTCCATTTTTTCCAGGTTACCGACCTCAATTCTATGTTAGAACAACCGATGTTACAGGTAAAATTGAAAACTTTACAGCAGACGACGGATCTGAAACAAAAATGGTAATTCCGGGAGATCGAGTAAAAATGGTTGTAGAATTAATTCACTAATTGGCTATC</t>
  </si>
  <si>
    <t>&gt;RP9_2_3__TUFR_Premix_Ulva_australis
GGTGCTATTCTTGTTGTATCAGGTGCTGATGGCCCTATGCCACAAACAAAAGAACACTTATTATTAGCTAAACAAGTAGGTGTTCCTCATATTGTTGTTTTTTTAAATAAAGAAGATCAAGTAGACGATGCTGAATTATTAGAGTTAGTTGAATTCGAAGTTGAAGAAACACTTGATACTTATGATTTTTCGAGTAAATCAGTACCCATTGTAAAAGGTTCCGCTTTACTAGCACTAGAAGCGCTAATTCAAAACACTGATGTTTCTGATAATGAGTGGGTTAATAAAATTTATAAGTTAATGGAAGAAGTTGATAATTGTATTCCAACTCCTCAACGTGAAACAGACAAAACATTCTTAATGGCAGTAGAAGATGTATTCTCTATTACTGGTCGTGGGACTGTTGCAACTGGACGTGTTGAACGTGGTGTTTTAAAAACAGGTGAAACAGTAGATCTTGTTGGTTTAGGAGATACAAAAAATGTAACAGTTACTGGATTAGAAATGTTTCAGAAAACTTTAGATGAAACAGTTGCAGGAGATAATGTAGGTGTATTACTTCGAGGTATTCAAAAAGATGAAATTCAACGAGGTATGGTAATAGCTGCCCCAAATTCAATTGAACCACATACAAAATTTGAAGCGCAAGTTTATGTTTTAACAAAAGATGAAGGTGGTCGTCACACTCCATTTTTCCCAGGTTATCGACCTCAATTCTATGTTAGAACAACTGATGTTACAGGTAAAATTGAAAATTTTACAGCAGATGATGGATCTGAAACAAAAATGGTAATCCCAGGAGATCGAGTAAAAATGGTTGTTGAATTAATTCAACCTATTGCTATTGAAGACAATAT</t>
  </si>
  <si>
    <t>&gt;RP9_2_4__TUFR_lOW_QUALITY
TGTGTGTTTCCGAGTGGACGGTCCTTTTTCACTAAGCAAAGCGAACGATTGATTCTAGCCAAGCACGTAGGAGTACTACGTTTTGTCGTGTCATGTTATGAAGTACGTATCAAGTAGATGTTCATGAACTAATAGAATCAGTTCGATGAGAAGTCGATGATTCACTTGATGCTATGAATTTTCAATGAGACGGATAGTATCTGTTCGAACAGGATCAGCATTAATGAGTCATTCGAATGCATGATTTGATATGACAGAGTTGAGATGACACCTGAGTTTCATAAAGATCTATGAGTTAGTGAATGGAAGTTGATAGATATAGATCTAACTCGATGCACGTGAATCAGATGACACATTCTTAATGACAGTAGAAGATGTATTCTTTATCACTCGCTCGTCGAACTGTCTGCAGCTGGACGTGTTGAACGTGCGTGTGAGTAAAACAAACGAAACAGTCAGACTGTGATGGATAGGAGACAGCAGAAATGTAACAGCCACTGGATTAGAAATGTTTCAAAAAGAATAGATGAAACAGATTCCGGAGATAGAGTAGGTGTACTACTTCGTGGTGATCAAAAAGATGAAATACAACGAGATATGGTAATTGCTGCCCCAAATTCAATTGAACCTCATTCAAAATATCCTCCCCAACATTACGAATTCACAAAAGAAGAATGGTTGCCATCATGATGCATTTCTTCCCGGTCCCTTACTTCACTTTTATGTCGTCCATTCGACGTCACAGGTAAAGATGAAAACTTTGCAGCCGAACGTACGATATGAAACAGAAATGGTAATTCCTGGTGATCGAGTATAAAT</t>
  </si>
  <si>
    <t>&gt;RP9_3_1_TufA4_R_864_ulva_lactuca
GTATTATATCCCACCAGGACCGACTGGTGCTGACGGTCCTATGCCACAAACAAAAGAACATTTATTATTAGCTAAGCAAGTAGGTGTTCCTAGTATTGTTGTTTTTTTAAATAAAGAGGATCAAGTAGATGATCCTGAATTATTAGAATTAGTTCAATTAGAAGTTCAAGAAACACTTGAAGCTTATGAATTTCCAAGTGACGAAGTACCTATTGTAACAGGTTCAGCTTTATTAGCATTAGAAGCTTTAATTGAAAATACTGAAGTTTCTGATAACAAATGGGTTAATAAAATCTATGAGTTAATGAAAGAGGTTGATAGCTATATTCCAACTCCTGAACGTGAAACAGATAAAACATTCTTAATGGCAGTAGAAGATGTATTCTCTATTACTGGTCGTGGAACTGTTGCAACTGGACGTGTTGAACGTGGTGTTTTAAAAACAAATGAAACAGTAGACCTTGTTGGATTAGGAGACACAAAAAATGTAACAGTTACTGGATTAGAAATGTTTCAAAAAACTTTAGATGAAACAGTTGCCGGAGATAATGTAGGTGTACTACTTCGTGGTGTTCAAAAAGATGAAATACAACGAGGTATGGTAATTGCTGCCCCAAATTCAATTGAACCTCATACAAAATTTGAAGCACAAGTTTATGTTTTAACAAAAGAAGAAGGTGGCCGTCATACTCCATTTTTTCCAGGTTACCGACCTCAATTCTATGTTAGAACAACCGATGTTACAGGTAAAATTGAAAACTTTACAGCAGACGACGGATCTGAAACAAAAATGGTAATTCCGGGAGATCGAGTAAAAATGGGTTGTAGAATTAATTCAACCTATTGCTATCGAAGATAATA</t>
  </si>
  <si>
    <t>&gt;RP9_3_3__TUFA4_R_856
TGTGCTATTCTAGTTGTATCTGGTGCTGACGGTCCTATGCCACAAACAAAAGAACATTTATTATTAGCTAAGCAAGTAGGTGTTCCTAGTATTGTTGTTTTTTTAAATAAAGAGGATCAAGTAGATGATCCTGAATTATTAGAATTAGTTCAATTAGAAGTTCAAGAAACACTTGAAGCTTATGAATTTCCAAGTGACGAAGTACCTATTGTAACAGGTTCAGCTTTATTAGCATTAGAAGCTTTAATTGAAAATACTGAAGTTTCTGATAACAAATGGGTTAATAAAATCTATGAGTTAATGAAAGAGGTTGATAGCTATATTCCAACTCCTGAACGTGAAACAGATAAAACATTCTTAATGGCAGTAGAAGATGTATTCTCTATTACTGGTCGTGGAACTGTTGCAACTGGACGTGTTGAACGTGGTGTTTTAAAAACAAATGAAACAGTAGACCTTGTTGGATTAGGAGACACAAAAAATGTAACAGTTACTGGATTAGAAATGTTTCAAAAAACTTTAGATGAAACAGTTGCCGGAGATAATGTAGGTGTACTACTTCGTGGTGTTCAAAAAGATGAAATACAACGAGGTATGGTAATTGCTGCCCCAAATTCAATTGAACCTCATACAAAATTTGAAGCACAAGTTTATGTTTTAACAAAAGAAGAAGGTGGCCGTCATACTCCATTTTTTCCAGGTTACCGACCTCAATTCTATGTTAGAACAACCGATGTTACAGGTAAAATTGAAAACTTTACAGCAGACGACGGATCTGAAACAAAAATGGTAATTCCGGGAGATCGAGTAAAAATGGTTGTAGAATTAATTCACCTATTGCTATCGAAAATATATG</t>
  </si>
  <si>
    <t>&gt;RP9_3_6_TUFA4_R_Premix
CGGCCCATGACGGTGCTATTCTAGTTGTATCTGGTGCTGACGGTCCTATGCCACAAACAAAAGAACATTTATTATTAGCTAAGCAAGTAGGTGTTCCTAGTATTGTTGTTTTTTTAAATAAAGAGGATCAAGTAGATGATCCTGAATTATTAGAATTAGTTCAATTAGAAGTTCAAGAAACACTTGAAGCTTATGAATTTCCAAGTGACGAAGTACCTATTGTAACAGGTTCAGCTTTATTAGCATTAGAAGCTTTAATTGAAAATACTGAAGTTTCTGATAACAAATGGGTTAATAAAATCTATGAGTTAATGAAAGAGGTTGATAGCTATATTCCAACTCCTGAACGTGAAACAGATAAAACATTCTTAATGGCAGTAGAAGATGTATTCTCTATTACTGGTCGTGGAACTGTTGCAACTGGACGTGTTGAACGTGGTGTTTTAAAAACAAATGAAACAGTAGACCTTGTTGGATTAGGAGACACAAAAAATGTAACAGTTACTGGATTAGAAATGTTTCAAAAAACTTTAGATGAAACAGTTGCCGGAGATAATGTAGGTGTACTACTTCGTGGTGTTCAAAAAGATGAAATACAACGAGGTATGGTAATTGCTGCCCCAAATTCAATTGAACCTCATACAAAATTTGAAGCACAAGTTTATGTTTTAACAAAAGAAGAAGGTGGCCGTCATACTCCATTTTTTCCAGGTTACCGACCTCAATTCTATGTTAGAACAACCGATGTTACAGGTAAAATTGAAAACTTTACAGCAGACGACGGATCTGAAACAAAAATGGTAATTCCGGGAGATCGAGTAAAAATGGGTTGTAGAATTAATTCAACCTATTGCTATCGAAGATAATATGCGATT</t>
  </si>
  <si>
    <t>25-27</t>
  </si>
  <si>
    <t>SSU/ITS4T</t>
  </si>
  <si>
    <t>&gt;1_3MARZO_SSU_low_quality
GGCGCGCAGATCCTGACCCCTTCTGTCCTCTGCCCTGAGAGCGATTACACGTGCAGGACTCCCCAGCGACACAGCTGAAACAACTCTCAACAACGGATATCTTGGCTCTCGCAACGATGAAGAACGCAGCGAAATGCGATACGTAGTGTGAATTGCAGAATTCCGTGAGTCATCGAATCTTTGAACGCACATTGCCGGTCGAGTCTTCGGACGAGACCACATCTGCCTCAGCGTCGGAATAAACCCTCACGGGCGGCCCCCGCGGTCCGTGGATCTGGCCCCCCCGGCTCCCCCGAGGAGCCGGGCCGGCTGAAATACAGAGGCTCGTGCGCGGCCCATTTGCGGCCCCGACTATGTAGGTAGCTCGCTACTGCTAGGCGGCGGCCCGGTGTCGCGTGCTGTGGGCCACGAAGGATACTCCTATTCTCTCAACCTGAGATCAGGTGAGGCTACCCGCGTGATCTTAAGCATATCAATATGCGGAGGAAAACAAACTAAACAGGATTCCCTTAGTAGCGGCGAGC
&gt;1_3MARZO_ITS4T_low_quality
CTTCCTATATGTAACTATGTGGAGAGAGTGTGCATACAGAAGCGGGTGTTACGGCGGGTGTGTATGTTTCTACAACGATGAAGAGCAAGCGAGGGTTGGACAGCACTCCTCAAGCTGTGATCCACCAAGCAGCATGTATTCTAGGGCATCACCAGAGAGACAACAGAGAGATCTCATCAACAACTGATATCCTGGCTCTCGCAACGATGAAGAACGCAGAGAAATGCGATACGTAGTGTGAAGTGCAGAATTCCGTGAGTCATCGAATATTCGAACGCTCATTGCCGGTAGAGTCTTCGGACGAGACCACATCTGCCTCAGCGTCGGAATAAACCCTCACGGGCGGCCCCCGCGGTCCGTGGATCTGGCCCCCCCGGCTCCCCCGAGGAGCCGGGCCGGCTGAAATACAGAGGCTCGTGCGCGGCCCATTTGCGGCCCCGACATAGGTAGGTAGCTCGCTACTGATAGGCGGCGTCCGCGGTGTCGCTTTCTGTGGGGCACCAGCGGATAATATCATTCATTCGACCTGAGTCAGGGGAGGCTACCCGGGAACTAAGCA</t>
  </si>
  <si>
    <t>NO ALINEA BLAST</t>
  </si>
  <si>
    <t xml:space="preserve">CONJUNTO </t>
  </si>
  <si>
    <t>hongo &gt;BEA2187_SSU_918
CATTATATGAGTGCCTTAGAGGGGAAAGTTTTTTCCCCTTTGCGGGTAACTGGCTGTAATAATTTGTGTCTTGACTGGCACTATACCGCTCTGTACCATTTACTTGGTGCACCTGTATAGTTAAGGCATCTCTGTAAGCCTTTGCTGATCCCAAAGCATGCTGATGTGAGTCTCACTGTGGCTCAGGTTGGTTAATTCGAACCTGAGTCAGGTTCCTGTTTCTTAGCTCTCATGTTAGGTGTGAAAGGGGTGTATTCTGAGATCACATAGTGCCATCTAAACAATGGTAGTATGTGGCGAGGATGCATGTCCGGTAGCTCCTTTTATGTTGATCGGACGTTGGATAATTTAGTTATCTGACGAAAGGGATCGGGCTTTTATCTTGTCTAACCCCAAACTATATATCTAAAGTCCTTCCTTAGTGGGTCTCTGACTTGCTAAAGAAAAAATACAACTCATAACAACGGATGTCTTGGCTCTCGTAACGATGAAGAACGCAGCGAAATGCGATACGTAATGTGAATTGCAGAATCCCGTGAATCATCAAATCTTTGAACGCATATTGCGCTCGAGGCCTTGGCCGAGAGCATGTCTGCCTCAGCGTCGGGTTATCCTCATGCTATAAATCCCCTGTGTGTAATTGCCCTCAACTGCTTACATAGGGACGCATGGAACTGGCAGTCTCGGTACGTACGTCCCTTAATTGGTTGATGTGCCTTAGCGTTACCGTGTCTGCTTAAATACAGAGTGAAGCGTTAAGCAAGGGCCGTTATGACGGACCGCAACTGGGTATGTAGTAATTACCTAAAACGTTGTTGGTCCTAGGTTCTTGTGTTGTTTGCTTGCGGTTCTCGTTTGCAAACTGGAAGAACGTGGACAACAAAGCAGAGGCATCCCATGTTTTACTGGGGATGTTA</t>
  </si>
  <si>
    <t>RP7_2_ 2SSU</t>
  </si>
  <si>
    <t xml:space="preserve">&gt;RP9_2_4_SSU_ITS4T
ATTTACTCCACGGCAAGCGAACACGACGTGTCGTCTAGAATGCATTAGTGACAGCCTTATACGTGCATCTCTTATCCACTCTGCGTGCAACTGGCTGTCATAATTTGTGTCTTGACTGGCACTATACCGCTCTGTACCATTTACTTGGTGCACCTGTATAGTTAAGGCATCTCTGTAAGCCTTTGCTGATCCCAAAGCATGCTGATGTGAGTCTCACTGTGGCTCAGGTTGGTTAATTCGAACCTGAGTCAGGTTCCTGTTTCTTAGCTCTCATGTTAGGTGTGAAAGGGGTGTATTCTGAGATCACATAGTGCCATCTAAACAATGGTAGTATGTGGCGAGGATGCATGTCCGGTAGCTCCTTTTATGTTGATCGGACGTTGGATAATTTAGTTATCTGACGAAAGGGATCGGGCTTTTATCTTGTCTAACCCCAAACTATATATCTAAAGTCCTTCCTTAGTGGGTCTCTGACTTGCTAAAGAAAAAATACAACTCATAACAACGGATGTCTTGGCTCTCGTAACGATGAAGAACGCAGCGAAATGCGATACGTAATGTGAATTGCAGAATCCCGTGAATCATCAAATCTTTGAACGCATATTGCGCTCGAGGCCTTGGCCGAGAGCATGTCTGCCTCAGCGTCGGGTTATCCTCATGCTATAAATCCCCTGTGTGTAATTGCCCTCAACTGCTTACATAGGGACGCATGGAACTGGCAGTCTCGGTACGTACGTCCCTTAATTGGTTGATGTGCCTTAGCGTTACCGTGTCTGCTTAAATACAGAGTGAAGCGTTAAGCAAGGGCCGTTATGACGGACCGCAACTGGGTATGTAGTAATTACCTAAAACGTTGTTGGTCCTAGGTTCTTGTGTTGTTTGCTTGCGGTTCTCGTTTGCAGACTGGAAGACGCGGACAACAAAGCAGAGGCATCCCATGTTTACTCGGGATGTTAACCTATTATCTCTGACCTGAGCTCACGCAAAACCCCCCGCTGAATCTTAAACATATCCAATAAATCGGATGAAAAAACATAA
</t>
  </si>
  <si>
    <t>&gt;RP7_3_2_SSU_ITS4T_Ulvella_CF
GATCATTGATTCCGATCAATCCACAACCAGCGAACCCGAAAAGGCGGTACGTTCCGGTCGCCGCTCCCCCCCGGGGGGGCCGGCCGGCTCGCCCCGCCATTTTCACCCACGCCATAACACATTTGACCAGTATCGAATGCTTGCAGGCCCTGCCTCGAGCTTTAACTGAGACAACTCTCAACAACGGATATCTTGGCTCTCGCAACGATGAAGAACGCAGCGAAATGCGATACGTAGTGTGAATTGCAGAATTCCGTGAATCATCGAATCTTTGAACGCATATTGCGGTCGAGGCTTCGGCCGAGACCACGTCTGCCTCAGCGTCGGAATACACCCTCAGCCCAACGGCTGGAGCTGGCCCCCCCGGAGACGCTTCGCTCTCCGGGTCGGCTGAAAGGCAGAGGCTCCCGCACGGACCCATCGAGGCCGCGGTTAGGTAGGTAGCTCGCTACTGCTAGCCGGAGGCCGGGCACGCGCGGCGGAGCCCGCAGGTTATTCTAACACATCGACCTGAGTTCAGGCGAGGCTACCCGCTGAACTTAAGC    &gt;RP7_3_2_SSU_Premix
GTCGCCGCTCCCCCCCGGGGGAGCCGGCCGGCTCGCCCCGCCATTTTCACCCAAGCCATAACACATTTGACCAGTATCGAATGCTTGCAGGCCCTGCCTCGAGCTTTAACTGAGACAACTCTCAACAACGGATATCTTGGCTCTCGCAACGATGAAGAACGCAGCGAAATGCGATACGTAGTGTGAATTGCAGAATTCCGTGAATCATCGAATCTTTGAACGCATATTGCGGTCGAGGCTTCGGCCGAGACCACGTCTGCCTCAGCGTCGGAATACACCCTCAGCCCAACGGCTGGAGCTGGCCCCCCCGGAGACGCTTCGCTCTCCGGGTCGGCTGAAAGGCAGAGGCTCCCGCACGGACCCATCGAGGCCGCGGTTAGGTAGGTAGCTCGCTACTGCTAGCCGGAGGCCGGGCACGCGCGGCGGAGCCCGCAGGTTATTCTAACACATCGACCTGAGTTCAGGCGAGGCTACCCGCTGAACTTAAGCATATCAATAAGCGGAGGAAAAGAAACTAACCAGGATTCCCCTAGTA</t>
  </si>
  <si>
    <t>&gt;RP7_3_6_ITS4T_Ulva_lactuca
CCCCTCCCCCCCGCCGAGCGGCGCCGACAACCCATGAAACCCTCCGCCCTGAAGCAGCTTCGTACGGGGACACCCCTGCGATCTAACAGAGACAACTCTCAACAACGGATATCTTGGCTCTCGCAACGATGAAGAACGCAGCGAAATGCGATACGTAGTGTGAATTGCAGAATTCCGTGAGTCATCGAATCTTTGAACGCACATTGCCGGTCGAGTCTTCGGATGAGACCACATCTGCCTCAGCGTCGGAATAACCCCTCACGCGCTTGCGCGTGGACCTGGCCCCCCCGGTCACTGGCCCCCGTGCCAGCCGGGCCGGCTGAAATACAGAGGCTCGCGCGCGGCCCATTCGCGGCCCCGACTAGGTAGGTAGCTCGCTACTCCTACGGAGGAGGCTAGGCGTCGCGTGCTGTGAGCCACGAAGGATACCCACTATTCATTCGACCTGAGTTCAGGTGAGGCTACCCGCTGAACTTAAGCATATCAAT</t>
  </si>
  <si>
    <t xml:space="preserve">&gt;RP9_2_3_ITS4T_low_quality_ulva_australis
TCCCCGAATCAAGGATCCTTCACCAGAGTGGGTGGGCACTCCTTTTTTCTCTCTTTGAACGCTCTCCCTCCCCGGGACTCTTCCCCACCCGGCAAAACCCGAACATTATCCAAATGATACGGTTGGCGCTTCCTTCCGGGGGGGCCCCTTTCCCCCCCCGCGAGCGGCGCCGACAACCCATGAAACCCTCCGCCCTGAAGCAGCTTCGTACGGGGACACCCCTGCGATCTAACAGAGACAACTCTCAACAACGGATATCTTGGCTCTCGCAACGATGAAGAACGCAGCGAAATGCGATACGTAGTGTGAATTGCAGAATTCCGTGAGTCATCGAATCTTTGAACGCACATTGCCGGTCGAGTCTTCGGATGAGACCACATCTGCCTCAGCGTCGGAATAACCCCTCACGCGCTTGCGCGTGGACCTGGCCCCCCCGGTCACTGGCCCCCGTGCCAGCCGGGCCGGCTGAAATACAGAGGCTCGCGCGCGGCCCATTCGCGGCCCCGACTAGGTAGGTAGCTCGCTACTCCTACGGCGGAGGCTAGGCGTCGCGTGCTGTGAGCCACGAAGGATACCCACTATTCATTCGACCTGAGTTCAGGTGGAGGCTACCCGCTGAACTTAAGCATATCAATAAGCGTGAGTCACTATAACCCGTA &gt;RP9_2_3_SSU_Premix
CGTCGCAAACTTTAGTTTACACTCCAGCGAGGCTTCGGCCCGCCGTATGCGGAACCGCCCGGTGGGGGCGGGGCGGATCAAAACCCCTTTTTCACCCTCTCCATAACACCTTTGACCTGTATCTAATGCTTGCAGACCCCTGCCTCCAGCTTTAACTGAGATAACTTTTCCAACGGAATCTTGGCTCTCCTGACGATTATCAACACGCCCAACTGCGATACGTAATGTGAATTGCTCAAATCCGTGAATCTCCTTGATCTCTTGAACGCATATAGCAGTCAACGCTTCGGCCGAGACCACGTCTGCCTCATCGTCCGACTACACCCTCAACCCAACGGCTGGAGCTGGCCCCCCCGGCATACGCTTCGCTCTCCGGGTGCCTCTGACCGCGCAGAAGCTCCCGCACCCACTCCTCGTGGCCGCGGTTAGGTACCTCTCTCGATACTGTTCTCCGGAGGCTGGGCACGCGCGGGCACCCCGCTGGTTTCTCTCACACATCCACCTGAGTTCTGGCTCGGCTACCCGCTTCAACTTAAGCGTATCAATCAGCGGAAGACAAGAAATTAACCGAGATTACCTTAGTAAATTCAAAGCGAAAAATCGAATATCATCTCAAATCGAAAAGTAGCTACAGGCGAACTCAGTTTGAACGATAATCCGATTAAATAAGACTTGCTAAAAAAAAAATTGATACCCCACTCTTTCACCTGATGGTGAGATTTGTGAATCATTGTGACCAAGTGACTAAGGGGTATGGGGGATGTCTTGGCGTCAGGAAAGCGATGAAGGGCGTGAAAGGCTGGGATATAACTGGGGAAGTTGTCCAAAAGCGTTGTCCCGGGATTACTGAATTACTGGATGTTGAAATAAATAGGCATGGGGGGGGAGGTGGAGAAGTGAAAAGATCTAAGTACCCGCCGG </t>
  </si>
  <si>
    <t xml:space="preserve">
&gt;RP9_3_1_SSU_ITS4T
CGACGTGTGGTCTACAGTGCATTATATGACAGCCTTATAGGTGAATCTCTTATCCACTCTGCGAGTAACTGGCTGTAATAATTTGTGTCTTGACTGGCACTATACCGCTCTGTACCATTTACTTGGTGCACCTGTATAGTTAAGGCATCTCTGTAAGCCTTTGCTGATCCCAAAGCATGCTGATGTGAGTCTCACTGTGGCTCAGGTTGGTTAATTCGAACCTGAGTCAGGTTCCTGTTTCTTAGCTCTCATGTTAGGTGTGAAAGGGGTGTATTCTGAGATCACATAGTGCCATCTAAACAATGGTAGTATGTGGCGAGGATGCATGTCCGGTAGCTCCTTTTATGTTGATCGGACGTTGGATAATTTAGTTATCTGACGAAAGGGATCGGGCTTTTATCTTGTCTAACCCCAAACTATATATCTAAAGTCCTTCCTTAGTGGGTCTCTGACTTGCTAAAGAAAAAATACAACTCATAACAACGGATGTCTTGGCTCTCGTAACGATGAAGAACGCAGCGAAATGCGATACGTAATGTGAATTGCAGAATCCCGTGAATCATCAAATCTTTGAACGCATATTGCGCTCGAGGCCTTGGCCGAGAGCATGTCTGCCTCAGCGTCGGGTTATCCTCATGCTATAAATCCCCTGTGTGTAATTGCCCTCAACTGCTTACATAGGGACGCATGGAACTGGCAGTCTCGGTACGTACGTCCCTTAATTGGTTGATGTGCCTTAGCGTTACCGTGTCTGCTTAAATACAGAGTGAAGCGTTAAGCAAGGGCCGTTATGACGGACCGCAACTGGGTATGTAGTAATTACCTAAAACGTTGTTGGTCCTAGGTTCTTGTGTTGTTTGCTTGCGGTTCTCGTTTGCAGACTGGAAGACGTGGACAACAAAGCAGAAGGCATCCCATGTTTACTGGGATGTTAACCTATTATCTCGACCTGAGCTCAGGCAAGAAACACCCCGCTGAAACTTTAAGCATATCAATAAGCGGAAGG</t>
  </si>
  <si>
    <t>&gt;RP9_3_2_SSU_ITS4T_564_Ulva
CTGAATCTTGGATCCGCCGGTCACCTGGCCGCCCGCGGGGGCGGGCGGCCGGCTGGAGCCTCAACCCAGCCAACCCTCTGCCCTGAAGCAGCTTCGCATGGGGACACCCCTGCGACGTTAACCAGAGACAACTCTCAACAACGGATATCTTGGCTCTCGCAACGATAAAGAACGCAGCGAAATGCGATACGTAGTGTGAATTGCAGAATTCCGTGAGTCATCGAATCTTTGAACGCACATTGCCGGTCGACTCTTCGGAGGAGACCACATCTGCCTCAGCGTCGGAATACCCCCTCGCGCGGCCCCCCCGCCGCGCGGACCTGGCCCCCCCGGACGCACTGCCGCCCGGGCCGGCTGAAATGCAGAGGCTCGCGCGCGGCCCACTCGTGGCCCCGACTAGGTAGGTAGCTCGCTACTGCTAGGCGGCGGCTCGGCGCCTGCGCGCTGTGGGCCCCAGAGGATAACCCCCATTCATTCGACCTGAGTTCAGGTGAGGCTACCCGCTGAACTTAAGCATATCAATAAGCGGAGGAAAAGAAACTAACCAGGATTCCCTTAGTAGCG</t>
  </si>
  <si>
    <t>&gt;RP9_3_3_SSU_ITS4T_1010
TCAACTCTCGGCTAGCGAACACTATAGTGGGTCTACAGTGCATTATATGACAGCCTTATACGTGAAACTCTTATCCACTCTGCGTGTGACTGGCTGTCATAATTTGTGTCTTGACTGGCACTATACCGCTCTGTACCATTTACTTGGTGCACCTGTATAGTTAAGGCATCTCTGTAAGCCTTTGCTGATCCCAAAGCATGCTGATGTGAGTCTCACTGTGGCTCAGGTTGGTTAATTCGAACCTGAGTCAGGTTCCTGTTTCTTAGCTCTCATGTTAGGTGTGAAAGGGGTGTATTCTGAGATCACATAGTGCCATCTAAACAATGGTAGTATGTGGCGAGGATGCATGTCCGGTAGCTCCTTTTATGTTGATCGGACGTTGGATAATTTAGTTATCTGACGAAAGGGATCGGGCTTTTATCTTGTCTAACCCCAAACTATATATCTAAAGTCCTTCCTTAGTGGGTCTCTGACTTGCTAAAGAAAAAATACAACTCATAACAACGGATGTCTTGGCTCTCGTAACGATGAAGAACGCAGCGAAATGCGATACGTAATGTGAATTGCAGAATCCCGTGAATCATCAAATCTTTGAACGCATATTGCGCTCGAGGCCTTGGCCGAGAGCATGTCTGCCTCAGCGTCGGGTTATCCTCATGCTATAAATCCCCTGTGTGTAATTGCCCTCAACTGCTTACATAGGGACGCATGGAACTGGCAGTCTCGGTACGTACGTCCCTTAATTGGTTGATGTGCCTTAGCGTTACCGTGTCTGCTTAAATACAGAGTGAAGCGTTAAGCAAGGGCCGTTATGACGGACCGCAACTGGGTATGTAGTAATTACCTAAAACGTTGTTGGTCCTAGGTTCTTGTGTTGTTTGCTTGCGGTTCTCGTTTGCAGACTGGAAGACGTGGACAACAAAGCAGAAGGCATCCCATGTTTACTGGGATGTTAACCTATTATCTCGACCTGAGCTCAGGCAAGAAACACCCGCTGAACTTAAGCATAT</t>
  </si>
  <si>
    <t>&gt;RP9_3_5_SSU_ITS4T
TCATTTACTAGCGGCGAGCGAACACGATCCATGCGGTCTACACTGCATTATATGACTGGCTTATACGTGCATCTCTTATCCACTCTGCGTGTGACTGAGCTGTCATAATTTGTGTCTTGACTGGCACTATACCGCTCTGTACCATTTACTTGGTGCACCTGTATAGTTAAGGCATCTCTGTAAGCCTTTGCTGATCCCAAAGCATGCTGATGTGAGTCTCACTGTGGCTCAGGTTGGTTAATTCGAACCTGAGTCAGGTTCCTGTTTCTTAGCTCTCATGTTAGGTGTGAAAGGGGTGTATTCTGAGATCACATAGTGCCATCTAAACAATGGTAGTATGTGGCGAGGATGCATGTCCGGTAGCTCCTTTTATGTTGATCGGACGTTGGATAATTTAGTTATCTGACGAAAGGGATCGGGCTTTTATCTTGTCTAACCCCAAACTATATATCTAAAGTCCTTCCTTAGTGGGTCTCTGACTTGCTAAAGAAAAAATACAACTCATAACAACGGATGTCTTGGCTCTCGTAACGATGAAGAACGCAGCGAAATGCGATACGTAATGTGAATTGCAGAATCCCGTGAATCATCAAATCTTTGAACGCATATTGCGCTCGAGGCCTTGGCCGAGAGCATGTCTGCCTCAGCGTCGGGTTATCCTCATGCTATAAATCCCCTGTGTGTAATTGCCCTCAACTGCTTACATAGGGACGCATGGAACTGGCAGTCTCGGTACGTACGTCCCTTAATTGGTTGATGTGCCTTAGCGTTACCGTGTCTGCTTAAATACAGAGTGAAGCGTTAAGCAAGGGCCGTTATGACGGACCGCAACTGGGTATGTAGTAATTACCTAAAACGTTGTTGGTCCTAGGTTCTTGGGTTGTTTGCTTGCGGTTCTCGTTTGCAGACTGGAAGACGCGGACAACAAAGCAGAGGCATCCCATGATTACTGGGATGTTACCATATTATCTTGACCTGAGTCATCTGCGGACGGATCATT</t>
  </si>
  <si>
    <t>23S03R</t>
  </si>
  <si>
    <t>FINALIZADO</t>
  </si>
  <si>
    <t>&gt;AL5_A11_18S001F_Premix
GTATAAACTGCTTATACTGTGAAACTGCGAATGGCTCATTAAATCAGTTATAGTTTATTTGATGGTACCTTTACTCGGATAACCGTAGTAATTCTAGAGCTAATACGTGCGTAAATCCCGACTTCTGGAAGGGACGTATTTATTAGATAAAAGGCCAGCCGGGCTTGCCCGACTCTTGGCGAATCATGATAACTTCACGAATCGCACGGCTTTATGCCGGCGATGTTTCATTCAAATTTCTGCCCTATCAACTTTCGATGGTAGGATAGAGGCCTACCATGGTGGTAACGGGTGACGGAGGATTAGGGTTCGATTCCGGAGAGGGAGCCTGAGAAACGGCTACCACATCCAAGGAAGGCAGCAGGCGCGCAAATTACCCAATCCCAACACGGGGAGGTAGTGACAATAAATAACAATACCGGGCATTTTTGTCTGGTAATTGGAATGAGTACAATCTAAATCCCTTAACGAGTATCCTTTGGAGGGCAAGTCTGGTGCCAGCAGCCGCGGTAATTCCCGCTCCATAGCGTATATTTAAGTTGTTGCAGTTAAAAAGCTCGTAGTTGGATTTCGGGTGGGTTGTAGCGGTCAGCCCTTTGGTTAGTACTGCTACGGCCTACCTTTCTGCCGGGGACGAGCTCCTGGGCTTAACTGTCCGGGACTCGAAATCGGCAAGTTACTTTGAGTAAATTAAAGTGTTCAAAGCAGCCCACCC
&gt;AL5_A11_18S13R_Premix
CATTTATCAAGAACGAAAGTGGGGGCTCGAAGACGATTAGAAACCGTTGTAGTCTCAACCATAAACGATGCCGACTAGGGATTGGCAGGTGTTTCGTTGATGACCCTGCCAGCACCTTATGAGAAATCAAAGTTTTTGGGTTCCGGGGGGAGTATGGTCGCAAGGCTGAAACTTAAAGGAATTGACGGAAGGGCACCACCAGGCGTGGAGCCTGCGGCTTAATTTGACTCAACACGGGAAAACTTACCAGGTCCAGACACGGGGAGGATTGACAGATTGAGAGCTCTTTCTTGATTCTGTGGGTGGTGGTGCATGGCCGTTCTTAGTTGGTGGGTTGCCTTGTCAGGTTGATTCCGGTAACGAACGAGACCTCAGCCTGCTAAATAGTCACGTCTACCTCGGTAGGCGCCTGACTTCTTAGAGGGACTATTGGCGTTTAGCCAATGGAAGTGTGAGGCAATAACAGGTCTGTGATGCCCTTAGATGTTCTGGGCCGCACGCGCGCTACACTGATGCATTCAACGAGCCTATCCTTGGCCGAGAGGTCCGGGTAATCTTTGAAACTGCATCGTGATGGGGATAGATTATTGCAATTATTAGTCTTCAACGAGGAATGCCTAGTAAGCGCGAGTCATCAGCTCGCGTTGATTACGTCCCTGCCCTTTGTACACACCGCCCGTCGCTCCTACCGATTGGGTGTGCTGGTGAAGTGTTTGGATCGGTATCAATGGGGGGCAACCTC
&gt;AL5_A11_RBCLAR_Premix
GACTAAGCAGGTGCTGGGTTTAAAGCGGGTGTAAAAGATTACCGTTTAACATACTACACTCCAGACTACGTAGTTAGCGAAACTGATATTTTAGCAGCTTTCCGTATGACACCTCAACCAGGTGTTCCTCCAGAAGAATGTGGTGCAGCGGTTGCTGCTGAATCATCAACTGGTACATGGACTACTGTATGGACTGATGGTCTTACAAGTTTAGACAAATACAAAGGTCGTTGTTACGACCTTGAACCAGTGCCGGGGGAAGAAAATCAATATATCGCATACGTAGCGTACCCGATCGATTTATTTGAGGAAGGTTCAGTAACAAACTTATTCACTTCAATTGTAGGTAACGTATTTGGTTTCAAAGCGTTACGTGCATTACGTCTTGAAGATCTTCGTATTTCACCAGCTTATGTTAAAACATTCGTTGGACCACCTCATGGTATTCAAGTTGAGCGTGACAAATTAAACAAATATGGTCGTGGTTTATTAGGTTGTACAATTAAACCAAAATTAGGTTTATCAGCTAAAAACTACGGACGTGCTGTTTACGAATGTTTAC</t>
  </si>
  <si>
    <t>&gt;BEA0008_359F_1494R_Limnospira_platensis
GCTCTTGGGTTGTAAACCCCTTTTCTCAAGGAAGAACACAATGACGGTACTTGAGGAATAAGCCTCGGCTAACTCCGTGCCAGCAGCCGCGGTAATACGGAGGAGGCAAGCGTTATCCGGAATGATTGGGCGTAAAGCGTCCGTAGGTGGCAGTTCAAGTCTGCTGTCAAAGACAGTAGCTCAACTACTGAAAGGCAGTGGAAACTGAACAGCTAGAGTACGGTAGGGGCAGAGGGAATTCCCGGTGTAGCGGTGAAATGCGTAGATATCGGGAAGAACACCGGTGGCGAAAGCGCTCTGCTGGGCCGTAACTGACACTGAGGGACGAAAGCTAGGGGAGCGAATGGGATTAGATACCCCAGTAGTCCTAGCCGTAAACGATGGAAACTAGGTGTAGCCTGTATCGACCCGGGCTGTGCCGAAGCTAACGCGTTAAGTTTCCCGCCTGGGGAGTACGCACGCAAGTGTGAAACTCAAAGGAATTGACGGGGGCCCGCACAAGCGGTGGAGTATGTGGTTTAATTCGATGCAACGCGAAGAACCTTACCAGGGCTTGACATGTCCGGAATCTTGGTGAAAGCCGAGAGTGCCTTCGGGAGCCGGAACACAGGTGGTGCATGGCTGTCGTCAGCTCGTGTCGTGAGATGTTGGGTTAAGTCCCGCAACGAGCGCAACCCTCGTCCTTAGTTGCCATCATTCAGTTGGGCACTTTAGGGAGACTGCCGGTGACAAACCGGAGGAAGGTGGGGATGACGTCAAGTCATCATGCCCCTTACGTCCTGGGCTACACACGTACTACAATGGGGGGGACAAAGGGTAGCCAAGACGCGAGTCTGAGCCAATCCCGTAAACCTCTCCTCAGTTCAGATTGCAGGCTGCAACTCGCCTGCATGAAGGAGGAATCGCTAGTAATCGCAGGTCAGCATACTGCGGTGAATCCGTTCCCGGGCCTTGTACACACCGCCCGTCACACCATGGAAGTTAGCCACGCCCGAAGTCGTTACTCTAACCGTTCGCGGAGGAG</t>
  </si>
  <si>
    <t>BUENA</t>
  </si>
  <si>
    <t>&gt;BEA0089_359F_1007
GGGCTGTCAACCACTTTTCTCAGGGAAGAAGTCCTGACGGTACCTGAGGAATCAGCCTCGGCTAACTCCGTGCCAACACCCGCGGTAATACTGAGGAGGCAAGCGTTATCCGGAATTATTGGGCGTAAAGCGTCCGCAGGGGGCACATCAAGTCTGCTGTCAGAGGTCGGAGCTTAACTCCGGTTCGGCCGTGGAAACTGGGGTGCTAGAGGGCGACAGGGGTATAGGGAATTCCCTGTGTAGCGGTAAAATGCGTATAGATTGAGAAGAACACCGGTGGCAAATGCGCTCTACTGGGTCGCACCTGACCCTCACGGACGAAAGCTAAGGTAGCGAAAGGGATTAGATACCCCTGTAGTCTTAGCCGTAAACGATGGATACTAGGCGTGGTTTGTATCGACCCAAGCCGTGCCGAAGCTAACGCGTTAAGTATCCCGCCTGGGGAGTACGCACGCACGTGTGAAACTCATAGGAATTGACGGGGGCCCGCACAAGCGGTGGAGGATGTGGTTTAATTCGATGCAACGCGAAGAATCTTACCAGGGCTTGACATCCAGCGAATTTTGGGAAACTTAAAAGTGCCTTCGGGAGCGCGGAGACGGGTGGTGCATGGCTGTTGTCAGCTCGTGTCGTGAGATGTTGGGTTAAGTCCCGCAACGAGCGCAACCCTCGTCCTTAGTTGCCAGCATTAAGTTGGGCACTCTAGGGAGACTGCCGGTGACAAACCGGAAGAAGGTGAGGATGACGTCAAGTCAGCATGCCCCTTATGCTCTGGGCAACACACGTCCTACAATGGTCGGGACAAAGGGGAGCAAGCTCGCGAGAGTAAGCGAATCCCATCAAACTCGGCCTCAGTTCAGATTGCAGGCTGCAACTCGCCTGCGTGAAGGAGGAATCGCTTGTAATCGCCGGTCAGCATACGGCGGTGAATTCGTTCCCGGGCCTGGTACACACCGCCCGTCACACCATGGAAGCGGGCCAAGCCGGAGGTCGTTACCCTAACCTTT</t>
  </si>
  <si>
    <t>&gt;BEA0854_359F_Nodularia_sp
TTGGGTTGTAAACCTCTTTTCTCAGGGAAGAAAAAAATGACGGTACCTGAGGAATAAGCATCGGCTAACTCCGTGCCAGCAGCCGCGGTAATACGGAGGATGCAAGCGTTATCCGGAATGATTGGGCGTAAAGGGTCCGCAGGTGGCTATGTAAGTCTGCTGTTAAAGAACCTAGCTTAACTAGGTAAAAGCAGTGGAAACTACAAGGCTAGAGTGCGTTCGGGGTAGAGGGAATTCCTGGTGTAGCGGTGAAATGCGTAGATATCAGGAAGAACACCAGTGGCGAAGGCGCTCTACTAGGCCGCAACTGACACTGAGGGACGAAAGCTAGGGGAGCGAATGGGATTAGATACCCCAGTAGTCCTAGCCGTAAACGATGGATACTAGGCGTGGCTTGTATCGACCCAAGCCGTGCCGTAGCTAACGCGTTAAGTATCCCGCCTGGGGAGTACGCACGCAAGTGTGAAACTCAGAGGAATTGACGGGGGCCCGCACAAGCGGTGGAGTATGTGGTTTAATTCGATGCAACGCGAAGAACCTTACCAAGACTTGACATGTCGCGAATCTTTTTGAAAGGGAAGAGTGCCTTCGGGAGCGCGAACACAGGTGGTGCATGGCTGTCGTCAGCTCGTGTCGTGAGATGTTGGGTTAAGTCCCGCAACGAGCGCAACCCTCGTTTTTAGTTGCCAGCATTAAGTTGGGCACTCTAGAGAGACTGCCGGTGACAAACCGGAAGAAGGGGGGGGAATGACCTTCAAGTCCGCAGGCCCCTTACGTCTTGGGGCTACACACGTACAACAATGCTACGGAAAAAGGGTAGCTACACAGCATGTGATGCCATCTCAGAAACCGTAGCCTTAATTCAAATCGCAGGCTGCAACTCGCCCGGCGTGAAGTCGAATCGCTAGTAATTGCAGGTCAGCAAACTGCAATGAATTCTTTCCCGGGCCTTGTACACACCGCCCGTCACACCAGGGAAGCTGGTCC</t>
  </si>
  <si>
    <t>buena 359f 1494R BAJA CALIDAD</t>
  </si>
  <si>
    <t>&gt;BEA0918_359F_1494_Leptolynbya_sp
CAGCAGCCGCGGTAATACGGGGGATGCAAGCGTTATCCGGAATTATTGGGCGTAAAGCGTCCGCGGGTGGCTAATCAAGTCTGTTGTCAAAGCGCGGAGCTTAACTCCGTACAGGCGATGGAAACTGGTTGGCTAGAGTTAGGTAGGGGTAAGAGGAATTCCCAGTGTAGCGGTGAAATGCGTAGATATTGGGAAGAACACCGGCGGCGAAAGCGTCTTACTGGGCCTAAACTGACATTGAGGGACGAAAGCTAGGGGAGCGAAAGGGATTAGATAACCCCTGTAGTCCTAGCCGTAAACGATGACAACTAGGTGTTGCCCGTATCGACCCGGGCAGTGCCGTAGCTTAAGGCGTTAAGTTGTCCGCCTGGGGAGTACGCACGCAAGTGTGAAACTCAAAGGAATTGACGGGGGCCCGCACAAGCGGTGGAGTATGTGTTTTAATTCGATGCAACGCGAAGAACCTTACCAGGGCTTGACATGTGCAGAATCCTCTTGAAAGGGAGGAGTGCCTTCGGGAGCTGCAACACAGGTGGTGCATGGCTGTCGTCAGCTCGTGTCGTGAGATGTTGGGTTAAGTCCCCGCAACGAGCGCAACCCACGTTTCTAGTTGCCATCATTAAGTTGGGCACTTTAGAGAGACTGCCGGTGACAAACCGGAGGAAGGTGTGGATGACGTCAAGTCAGCATGCCCCTTACGCCCTGGGCTACACACGTACTACAATGCTACGGACAAAGGGACGCTAGCCAGCGATGGTATGCAAATCTCATAAACCGTAGCCCAGTTCAGATTGCAGGCTGCAACTCGCCTGCATGAAGGCGGAATCGCTAGTAATCGCAGGTCAGCATACTGCGGTGAATACGTTCCCGGGCCTTGTACACATCGCCC</t>
  </si>
  <si>
    <t>mala calidad</t>
  </si>
  <si>
    <t xml:space="preserve">Secuenciada la bacteria </t>
  </si>
  <si>
    <t>&gt;BEA1017_359F_1494_1006_Mastidocladus_sp
TTGGGTTGTAAACCATCTTTTCTCAAGGAATAAGACTGAAGGTACTTGAGGAATCAGCATCGGCTAACTCCGTGCCAGCAGCCGCGGTAATACGGAGGATGCAAGCGTTATCCGGAATGATTGGGCGTAAAGCGTCCGTAGGTGGCTGTGTAAGTCTATTGTCAAAGCGTCATGCTTAACATGATAAGGGCGGTAGAAACTACACAGCTAGAGTGCATTCGGGGCAGAGGGAATTCCTGGTGTAGCGGTGAAATGCGTAGAGATCAGGAAGAACACCGGTGGCGAAAGCGCTCTGCTAGGCTGCAACTGACACTGAGGGACGAAAGCTAGGGGAGCGAATGGGATTAGATACCCCAGTAGTCCTAGCTGTAAACGATGGATACTAGGCGTTGCTTGTATCGACCCAAGCAGTGCCGTAGCTAACGCGTTAAGTATCCCGCCTGGGGAGTACGCACGCAAGTGTGAAACTCATAGGAATTGACGGGGGCCCGCACAAGCGGTGGAGTATGTGGTTTAATTCGATGCAACGCGAAGAACCTTACCAGGGCTTGACATGTCCGGAATCTTCCTGAAAGGGAAGAGTGCCTTCGGGAGCCGGAACACAGGTCGTGCATGGCTGTCGTCAGCTCGTGTCGTGAGATGTTGGGTTAAGTCCCGCAACGAGCGCAACCCTCGTTCTTAGTTGCCAGCATTTGGGATGGGCACTCTTGGAAGACTGGCCGGTGACAAACCGGAGGAAGGCGGGGATGACGTCAAGTCAGCATGCCCCATACGTCCTGGGCTACACACGTACTACAATGCTCGAGACAAAGGGCAGCGAGCAGGCAACTGCAAGCAAATCTCATAAACTCGGGCTCAGTTCAGATCGCAGGCTGCAACTCGCCTGCGTGAAGGCGGAATCGCTAGTAATTGCAGGTCAGCATACTGCAGTGAATTCGTTCCCGGGCCTTGTACACACCGCCCGTCACACCATGGAAGCTGGTCACGCCCGAAGTCGTGACCCTAA</t>
  </si>
  <si>
    <t>&gt;BEA1059_1494R_Leptothoe_sp
AGCAGGAGGATCAGCATTCGGCAAACTCCGTGCCAGCAGCCGCGGTAAGACGGGGGATGCAAGCGTTTCGGAATTATTGGGCGTAAAGCGTCCGTGGGCGGTTAATTAAGTCAGTTGTTAAAGATGCAGCTCAACTGTGGGAGAGCAACTGAAACTGGTGACTAGAGTATGGTAGGGGTAGAGGGAATTCCTAGTGCAGCGGTGAAATGCGTAGATATTAGGAAGAACACCAGTGGCGAGGCGCTCTGCTGGTCCTAGACTGACGCTGATGGACGAAAGCTAGGGGAGCGAAAGGGATTAGATACCCTGTAGTCCCAGCTGTAAACGAGCGATACTAGGTGTTGTGCGTATCGACCCGTGCAGTACCGCAGCAAACGCGTTAAGTATCCCGCCTGGGGAGTACGCACGCAAGTGTGAAACTCAAAGGAATTGACGGGGGCCCGCACCAGCGGTGGAGTATGTGGTTTAATTCGATGCAACGCGAAGAACCTCACCAGGACTTGACATCCCGCGAATTTGTCAGAAATGACTTAGTGCCTTCGGGAGCGCGGAGACAGGTGGTGCATGGCCGTCGTCAGCTCGTGTCGTGAGATGTTGGGTTAAGTCCCGCAACGAGCGCAACCCACGTTTTCAGTTGCCATCATTAAGTTGGGCACTCTGGAGAGACTGCCGGGGACAACTCGGAGGAAGGTGTGGACGACGTCAAGTCATCATGCCCCTTACGTTCTGGGCTACACACGTACTACAATGCAACGGACAAAGGGCAGCCAGCTCAGTGATGGTGAGCTAATCCCATAAACCGTTGCTCAGTTCAGATTGCAGGCTGCAACTTGCCTGCCTGAAGGAGGAATCGCTAGTAATCGCAGGTCAGCATAATGCGGTGAATACGTTCCCGGGCCTTGTACACACCGCCCGTCACACCATGGAA</t>
  </si>
  <si>
    <t>&gt;BEA1067_359F_1494R_Nodosilinea_sp
AGGGTTGTAAACCTCTTTTCTCTGGGAAGAAGAACTGACGGTACCAGAGGAATAAGCCTCGGCTAACTCCGTGCCAGCAGCCGCGGTAAGACGGAGGAGGCAGCGTTATCCGGAATTATTGGGCGTAAAGCGTCCGCAGGCGGCTTTTTAAGTCTGTTGTCAAAGCCCACAGCTCAACTGTGGATCGGCAATGGAAACTGGGAAGCTAGAGTGTGGTAGGGGTAGAGGGAATTCCCGGTGTAGCGGTGAAATGCGTAGATATCGGGAAGAACACCAGTGGCGAAGGCGCTCTACTGGGCCACAACTGACGCTGAGGGACGAAAGCTAGGGGAGCGAAAGGGATTAGATACCCCTGTAGTCCTAGCTGTAAACGATGGATACTAGGTGTTGGACGTATCGACCCGTGCAGTACCGTAGCTAACGCGTTAAGTATCCCGCCTGGGGAGTACGCACGCAAGTGTGAAACTCAAAGGAATTGACGGGGGCCCGCACAAGCGGTGGAGGATGTGGTTTAATTCGATGCAACGCGAAGAACCTTACCAAGGCTTGACATCCTGCGAATCTGTCAGAGATGAGAGAGTGCCTTCGGGAGCGCAGAGACAGGTGGTGCATGGCTGTCGTCAGCTCGTGTCGTGAGATGTTGGGTTAAGTCCCGCAACGAGCGCAACCCTCGTCCTTAGTTGCCATCATTAAGTTGGGCACTCTGGGGAGACTGCCGTGGACAACACGGAAGAAGGTGGGGACGACGTCAAGTCATCATGCCCCTTACGTCTTGGGCTACACACGTCCTACAATGCTACAGACAGAGGGCAGCAAGCGCGCGAGTGCAAGCAAATCCCATAAACTGTGGCTCAGTTCAGATTGCAGGCTGCAACTCGCCTGCATGAAGGCGGAATCGCTAGTAATCGCCGGTCAGCATACGGCGGTGAATACGTTCCCGGGCCTTGTACACACCGCCCGTCACACCATGGGAGTTGGCCACGCCCGAAGTCGTTACTCTAACCGTTCGC</t>
  </si>
  <si>
    <t>&gt;BEA1189_359F_1494R_Nostoc_sp
GGGTCGTAAACCTCTTTTCTCAGGGAAGAACACAATGACGGTACCTGAGGAATAGCATCGGCTAACTCCGTGCCAGCAGCCGCGGTAATACGGAGGATGCAAGCGTTATCCGGAATGATTGGGCGTAAAGCGTCCGCAGGTGGCTGTGTAAGTCTGCTGTTAAAGAGTGAGGCTCAACCTCATAAGAGCAGTGGAAACTACACGGCTAGAGTACGTTCGGGGCAGAGGGAATTCCTGGTGTAGCGGTGAAATGCGTAGAGATCAGGAAGAACACCGGTGGCGAAGGCGCTCTGCTAGGCCGTAACTGACACTGAGGGACGAAAGCTAGGGGAGCGAATGGGATTAGATACCCCAGTAGTCCTAGCCGTAAACGATGGATACTAGGCGTGGCTTGTATCGACCCGAGCCGTGCCGTAGCTAACGCGTTAAGTATCCCGCCTGGGGAGTACGCCGGCGACGGTGAAACTCAAAGGAATTGACGGGGGCCCGCACAAGCGGTGGAGTATGTGGTTTAATTCGATGCAACGCGAAGAACCTTACCAAGGCTTGACATGTCGCGAATCTCGGTGAAAGCTGAGAGTGCCTTCGGGAGCGCGAACACAGTGTGGTGCATGGCGGTTGTCAGCTCGTGTCTTGAGATGTTGGGTTAACGTCCCGCAACGAGCGCAACCCTTGTTATTAGTTGCCAGCATTAAGTTGGGCACTAAAGAGAGACAGCCGGTGACAAACCGGAAGAAGGTGGGGATGATGTCAAGTCAGCATGCCCCTTACGCCTTGGGCTACACACGTAATACAATGCTCTGGACAGAGGGCAGCAAGCATGCGAAATGCAAGCAAATCCCATAAACCGGAGATCAGTTCAGATCGCAGGCTGCAACTAGCCTGCGTGATGGAGGAATCGCTAGTAATTGCAGGTCAGCATACTGCAGTGAATTCGTTCTCCGGGCCTTGTACACACCGCCCGTCACACCATGGAAGCTGGTAGTGCCCG</t>
  </si>
  <si>
    <t>&gt;BEA1217_359F_1494R_1030_Halospirulina_sp
GGATCGTAAACCTCTTTTCTCAGGGAAGAAGTTCTGACGGTACCTGAGGAATAAGCCTCGGCTAACTCCGTGCCAGCAGCCGCGGTAATACGGAGGAGGCAAGCGTTATCCGGAATTATTGGGCGTAAAGCGTTCGCAGGTGGCTATTCAAGTCTGCTGTCAAAGACCAGAGCTCAACTCTGGGTAGGCGGTGGAAACTGAATAGCTAGAGTGCGGTAGGGGTAGAGGGAATTCCCAGTGTAGCGGTGAAATGCGTAGAGATTGGGAAGAACATCGGTGGCGAAAGCGCTCTACTGGACCGCAACTGACACTCAGGGACGAAAGCTAGGGGAGCGAAAGGGATTAGATACCCCTGTAGTCCTAGCCGTAAACGATGGGTACTAGGCGTAGATTGTATCAACTCAAGCTGTGCCGAAGCTAACGCGTTAAGTACCCCGCCTGGGGAGTACGCACGCAAGTGTGAAACTCATAGGAATTGACGGGGGCCCGCACAAGCGGTGGAGTATGTGGTTTAATTCGATGCAACGCGAAGAACCTTACCAGGGCTTGACATCCGGCGAATTTTCTGGAGACAGAGAAGTGCCTTAGGGAGCGCCGTGACAGGTGGTGCATGGCTGTCGTCAGCTCGTGTCGTGAGATGTTGGGTTAAGTCCCGCAACGAGCGCAACCCTCGTCCTTAGTTGCCATCATTAAGTTGGGCACTCTAGGGAGACTGCCGGTGACAAACCGGAGGAAGGTGGGGATGACGTCAAGTCAGCATGCCCCTTACGTCCTGGGCTACACACGTACTACAATGGTTGAGACAAAGGGCAGCGAATCCGCGAGGACCAGCGAATCCCATCAAACTCAGCCTCAGTTCAGATCGCAGGCTGCAACTCGCCTGCGTGAAGGAGGAATCGCTAGTAATCGCAGGTCAGAATACTGCGGTGAATCCGTTCCCGGGCCTTGTACACACCGCCCGTCACACCATGGAAGCTGGCAACATCCGAAGTCGTTACTCTAACC</t>
  </si>
  <si>
    <t>&gt;BEA1256_359F_1494_997
ACCGCTTTTCTCAGGGAAGAAGATCTGACGGTACCTGAGGAATCAGCATCGGCTAACTCCGTGCCAGCAGCCGCGGTAATACGGAGGATGCAAGCGTTATCCGGAATTATTGGGCGTAAAGCGTCCGCAGGCGGTTCATCAAGTCTGCTGTTAAAGGCCGAGGCTCAACCTCGGTTAAGCGGTGGAAACTGATGGACTAGAGTGCGATAGGGGCAGAGGGAATTCCCAGTGTAGCGGTGAAATGCGTAGATATTGGGAAGAACACCAGTGGCGAAGGCGCTCTGCTGGGTCGCAACTGACGCTGAGGGACGAAAGCTAGGGGAGCGAAAGGGATTAGATACCCCTGTAGTCCTAGCCGTAAACGATGGAAACTAGGTGTTGGCCGTATCGACCCGGTCAGTACCGTAGCTAACGCGTTAAGTTTCCCGCCTGGGGAGTACGCACGCAGGTGTGAAACTCAGAGGAATTGACGGGGGCCCGCACAAGCGGTGGAGTATGTGGTTTAATTCGATGCAACGCGAAGAACCTTACCAGGGCTTGACATGCCGCGAATCCTCCAGAGATGGGGGAGTGCCTTCGGGAGCGCGGACACAGGTGGTGCATGGCTGTCGTCAGCTCGTGTCGTGAGATGTTGGGTTAAGTCCCGCAACGAGCGCAACCCTCGTTCTTAGTTGCCATCATTAAGTTGGGCACTCTAGAGAGACTGCCGGGGACAACTCGGAGGAAGGTGGGGATGACGTCAAGTCATCATGCCCCTTACGTCCTGGGCTACACACGTACTACAATGCTCCGGATAAAGGGCAGCTAGCTCGCGAGAGTCTGCTAATCCCATAAACCGGGGCTCAGTTCAGATTGCAGGCTGCAACTCGCCTGCATGAAGGAGGAATCGCTAGTAATCGCAGGTCAGCAAACTGCGGTGAATACGTTCCCGGGCCTTGTACACACCGCCCGTCACACCATGGGAGTTGGCCACGCCCGAAGTCGTTACTCCAACCC</t>
  </si>
  <si>
    <t>&gt;BEA1267_359F_1494R_1007
GGTTGTAAACCCCTTTTCTCAGGGAAGACCCCCGACGGTACCTGAGGAAGAAGCCTCGGCTAACTCCGTGCCAGCAGCCGCGGTAATACGGAGGAGGCAAGCGTTATCCGGAATTATTGGGCGTAAAGCGTTCGTAGGCGGCGTATCAAGTCTGCGGTCAAAATCCGAGGCTCAACCTCGGGCCGGCCGTGGAAACTGAAACGCTAGAGTACGGTAGGGGTAGAGGGAATTCCCGGTGTAGCGGTGAAATGCGTAGATATCGGGAAGAACACCGGTGGCGAAAGCGCTCTACTGGGCCGAAACTGACGCTGAGGAACGAAAGCTAGGGGAGCGAATGGGATTAGATACCCCAGTAGTCCTAGCCGTAAACGATGGAGACTAGGTGTAGTCCGTATCGACCCGGACTGTGCCGAAGCCAACGCGTTAAGTCTCCCGCCTGGGGAGTACGCGCGCAAGCGTGAAACTCAAAGGAATTGACGGGGGCCCGCACAAGCGGTGGAGTATGTGGTTTAATTCGATGCAACGCGAAGAACCTTACCAGGGCTTGACATGTCCGGAATCCGCCTGAAAGGGAGGAGTGCCTACGGGAGCCGGAACACAGGTGGTGCATGGCTGTCGTCAGCTCGTGTCGTGAGATGTTGGGTTAAGTCCCGCAACGAGCGCAACCCTCGTCTTTAGTTGCCAGCACTTCGGGATGGGCACTCTAGAGAGACTGCCGGTGATAAACCGGAGGAAGGTGGGGATGACGTCAAGTCAGCATGCCCCTTATGCCCTGGGCGACACACGTACTACAATGGTCGGGACAACGGGCAGCCAACTTGCAAGAGCGAGCTAATCCCTTAAACCCGGCCCCAGTTCGGATAGCAGGCTGCAACTCGCCTGCTTGAAGGAGGAATCGCTAGTAATCGCGGGTCAGCATACCGCGGTGAATCCGTTCCCGGGCCTTGTACACACCGCCCGTCACACCATGGAAGCCGGCCACGCCCGAAGTCGTTACCCCAACCTT</t>
  </si>
  <si>
    <t>&gt;BEA1442_359F_718_medium_quality
AACTCCTCTTTCTCTCAGGGAAGATAATGACGGTACTTGAAGAATCAGCATCGGCTAACTCCGTGCCAGCAGCCGCGGTAATACGGAGGATGCAAGCGTTATCCGGAATAATTGGGCGTAAAGCGTTCGTAGGTGGTGATGTAAGTCTGCTGTTAAAGCGTGTAGCTCAACTACATATCTGCCGTGGATACTACGTGACTAGAGTGCGTTCGGGGCATGTGGAATTCCTGGTGTAGCGGTGAAATGCGTAGATATCAGGAAGAACACCGGTGGCGAAGGCGCTCTGCTAGGCCGCACTGACACTGAGGGACGAAAGCTAGGGGAGCGAATGGGATTAGATACCCCGGTAGTCCTAGCTGTAAACGATGGATGCTAGGCGTTGTCTGTATCGACCCGGAGTGTGCCATATCTAACGCGTTAAGTATCCCGCGGGGGGAGTACGCACGCAAGTGTGAAACTCAGGGGATTTGACGGGGGCCCGCACAAGCTGTGGAGTATGTGGTTTATTCGATGCAGCGCGAAGACTCTTACCCATGCGTGACGTGTCCAGAGTTTCTTGGACACTAGTATGTGCCTTCGGGAGCGGAACACGTGTTGTGCGTGGCTGTCGTCATCTCGTGTCGTGAGATGTTGGGTTAAGTCCCGCAACGAGCGCACCCCTCGTTTTTATGTGCCAGCACTTCTGGTGGGCACTCTGGAGATACTGCCGGTGACAACA</t>
  </si>
  <si>
    <t>Contaminada pero hay secuencia geneius</t>
  </si>
  <si>
    <t>Secuenciada alfaproteobacteria</t>
  </si>
  <si>
    <t xml:space="preserve">más de una secuencia más de un organismo?¿ </t>
  </si>
  <si>
    <t>&gt;BEA1533_359F_Premix_low_quality
TGGGTTGTAACCCCTTTTCTCGGGAAGAATACTTGACTGTTCTGAAGAATCATCCTCCTATATCTCGTGTCCTCCGCCCCGGTTATACGAAGAAGCATATTTTATCCGAATATGATGGTTCATAATCCTTCGTAAGTGGCTGTTTAAGTCCTTTGTTAAAAGTTGTGACTCACCTTCTTAAAGAGCTGTTGAAACTGGATGGCTTGAGAGTGATAGGGGCTAAAGGGAATTCCCAGAGTAACGGTGAAATGCGTAGATATTGGGAAGAACATCCGTTTATGAAGCGCTTTGCTGGGCTCGTTCTGACACTGTGGGACTATGCTTAGGGAGCGAAATGGATTATATACCCCTGTAGTCCTAGCTGTAAACGATGGATACTATGTGTGGTCGGGATCGACCCGGGCCGTGCCGAAGCCTAACGCGATTAAGTTCCCGCCTGGGGAGTACGTCTCGCATGAGTGAAACTCAGAGGAATTGACGGGGACCCGCACAAGCGGTGGAGTATGTGGTTTAATTCGATGCACGCGAAGAATCTTACCAGGGTTTGACATGTCCGGAACCTTCTTGAAACGGAGGGGTGCCTTCGGGAACTGGAACACAGGTGGTGCATGGCTGTCGTCAGCTCGTGTCGTGAGATGTTGGGTTCAGTCCGCAACGAGCGCAACTCTCGTCCTTAGTTGCCAGCATTGAGTTGGGCACTCTGGGTAGACTGCCGGTGACATACTGGAAGAAAGGGGGGATGGAGTTCAGTCCTCATGCCCCTTACGCTCCTGGGCTACACACGTACTACAATGGTTCGGAAAAAGGGGTGTCCACTCGCGAGGCTGCGCTCATCCCCTAAACCGAGGCTCAGTTCAAATTGCAGGCGGCACTCCGCTGCTTGAAGGAGGAATCCCTAGTTATCGCAGGTCACAT</t>
  </si>
  <si>
    <t>&gt;BEA1534_359F_1494_1014_Pegethrix_sp
TGGTTGTAAACCTCTTTTGATAGGGAAGAACACAATGACGGTACCTATCGAATCAGCATCGGCTAACTCCGTGCCAGCAGCCGCGGTAATACGGAGGATGCAAGCGTTATCCGGATTTATTGGGCGTAAAGCGTCCGTAGGTGGTTGGCCAAGTCAGTTGTTAAAGCGTGGAGCTTAACTCCATAAAGGCAAATGAAACTGGTCGGCTAGAGTGCGACAGGGGCAAGGGGAATTCCCAGTGTAGCGGTGAAATGCGTAGATATTGGGAAGAACATCGGTGGCGAAAGCGCCTTGCTGGGTCTGCACTGACACTGAGGGACGAAAGCTAGGGGAGCGAAAGGGATTAGATACCCCTGTAGTCCTAGCCGTAAACGATGGATACTAGGCGTTGTCCGTATCGACCCGGGCAGTGCCGTAGCTAACGCGTTAAGTATCCCGCCTGGGGAGTACGCTCGCAAGAGTGAAACTCAAAGGAATTGACGGGGGCCCGCACAAGCGGTGGAGTATGTGGTTTAATTCGATGCAACGCGAAGAACCTTACCAAGGCTTGACATGTCCAGAACCCTTGTGAAAGCAGGGGGTGCCTTCGGGAGCTGGAACACAGGTGGTGCATGGCTGTCGTCAGCTCGTGTCGTGAGATGTTGGGTTAAGTCCCGCAACGAGCGCAACCCTCGTTTTTAGTTGCCATCATTAAGTTGGGCACTCTGAAGAGACTGCCGGTGACAAACCGGAAGAGGGGGGGGATGACGTCAAGTCAGCATGCCCCTTACGTCTTGGGCTACACACGTACTACAATGCTACGGACAAAGGGCAGCAAGCTAGCGATAGCAAGCTAATCCCATAAACCGTGGCTCAGTTCAGATTGCAGGCTGCAACTCGCCTGCATGAAGGAGGAATCGCTAGTAATCGCAGGTCAGCATACTGCGGTGAATACGTTCCCGGGCCTTGTACACACCGCCCGTCACACCATGGGAGTTGGCCACGCCCGAAGTCGTTACTCCAACCGTTCGCGG</t>
  </si>
  <si>
    <t>&gt;BEA1535_1494R_Dulcicalothrix_sp_low_quality
GGACTTGGTTTTTTGGGGGAGGGGGAGTCCCCCGGGAGCGGTGAATAGGTTAGGGATTGGGAAGAAAAACCGGCGGGGAAAGCGCTTTGCCTAGGGCCAAACTGACACTGAGGGACGAAAGCAAGGGGAGGCAATGGGATTAGATACCCCCCGTAGTTCTACCCGTAAACGACGGATTACTTGGCGTTGCCCGGCATCGACCCCGGGCATGTTGTAGCTAACGCGTTAAGTATCCTCGCCCTGGGGAGTACGCACTGCAAGTGTGAAACTCAAAGGAATTGACGGGGGGCCCGCACCAGCGGTGGAGTATGTGGTTTAATTCGGTGCAACGCGAAGAACCTTACCAAGACTTGACATGTCGCGAACCCTAGTGAAAGGGGAGGGTGCCTTTGGGAGCGCGAACACAGGTGGTGCATGGCCGTTGTCAGCTCGTGTTCCTGAGATGTTGGGTTAAGTCCCGCAACGAGCGCAACCCTCGTTTTTAGTTGCCATCATTAAGTTGGGCACTTCAGAGAGACCGCCGGTGACAAACCGGAGGAAGGTGGGGATGAAGTCAAGTCAGCATGCCCCCTACCTCCTGGGCTACACACGTACTACAATGCTACGAACAAAGGGCAGCTAGTTAGCAATAACATGCAAATCTCAGAAATCGTAGCTCAGTTCAGATTGAAGGCTGCAACTCGCCTTCATGAAGTCGGAATCGCTAGTAATTGCAGGTCAGCATACTGCAGTGAATTCGTTCCCGGGCCTTGTACACACCGCCCGTCACACCATGGAAGCTGGTCACGCCCGAAGTAGTTATCCTAACC
&gt;BEA1535_359F_Premix_Low_quality
GTCGAATAGACATACGCGTGAGGGACGAGGCTCTTGGGTCGTAACCTCTTTTCTCAGGGAAGATTCAGACGGTACCTGGAGAATAAGCCTCGGCTAACTTCGTGCCAGCAGCCGCGGTAATACCAAAGAAGCTAGCGTTATTCGGAATTATTGGGCGTAAAGGGTCCGCAGGTGGTTTGATTAGTCTGATGTTAAAGCCTTTGGCTCAACCTTATAACGGCCTTGGAAACTATCAAAATAGAGTTTGTTAGGGGTATAAGGAATTCCCAGTGTAGAGGTGAAATTCGTAAAGATTGGGAAGAACACCGGTGGCGAAAGCGCCTTGCTGGGACAATACTGACCCTGAGGGACGAAAGCTTGGGGAGCGAAAGGGATTAAATACCCCGGTAGTCCTAGCCCTAAACCATGGAGAGCTAGCTGTTGGCCGGAATGAACCGGGGATTGGCCTAACTTACGCGTTTAATTCCCCCCCCGGGAGAATACGTCCAGCCAGTATGAAACTCAAGGAGAATTGAGGGGGGCCCGCAAGAGGCGTGGAATGTGGTGTTTTTTTTCAATGGCACGCCAGAAAACCTTTACCCTGATGTGATGTGTCGACAACCCCACAGAAGCGGCGGGGTGTCCTCGGGAAGGGACACACGGGCTGTGGGGGGGGTCGTCTCCTCTGTGGCGAGAAAATGTTGGGTTAAATCCCCCCACGAGCCCCACCCCTCTGTTTTATTTGCCACATTAATTTGGGCACTCCTTAAGAAAGCGGCCAG</t>
  </si>
  <si>
    <t>&gt;BEA1537_359F_1494R_1021
TTGGGTTGTAAACCTCTTTTCTCTGGGAAGAAAAAAATGACGGTACCAGAGGAATCAGCATCGGCTAACTCCGTGCCAGCAGCCGCGGTAAGACGGAGGATGCAAGCGTTATCCGGAATGATTGGGCGTAAAGCGTCCGCAGGTGGCAAATCAAGTCTGCTGTTAAAGCGCAGGGCTTAACTCTGTAAAGGCAGTGGAAACTGATTAGCTAGAGTATGGTAGGGGGTAGAGGGAATTCCCAGTGTAGCGGTGAAATGCGTAGAGATTGGGAAGAACATCGGTGGCGAAGGCGCTCTGCTGGACCATAACTGACACTCACAGGACGAAAGCTAGGGGAGCGAATGGGATTAGATACCCCAGTAGTCCTAGCCCTAAACGATGGAAACTAGGTGTTGTCTGTATCGACCCGGAAAGTGCCTTACCTAAGCGTTAAGTATCCCGCCCGGGGGAGTACCCCAGGCCAGTGGTGAAACTCAAAGGAATTGACGGGGGCCCGCCAAAACCGGGGAATATGTGGTTTAATTTCATGCCACCCCGAAAAAACCTTACCCGGGGTTTGGTATTGGTGCGAAACCCAGCGAAAGTTGGGAGTGCCTTCGGGAGCGCGAACACAGGTGGTGCATGGCTGTCGTCAGCTCGTGTCGTGAGATGTTGGGTTAAGTCCCGCAACGAGCGCAACCCTCGTTTTTAGTTGCCAGCATTAAGTTGGGCACTCTAAAGAGACTGCCGGTGACAAACCGGAGGAAGGTGGGGATGACGTCAAGTCAGCATGCCCCTTACGTCCTGGGCTACACACGTACTACAATGGTAGGGACAGAGGGCAGCCAACTCGCGAGAGTGAGCTAATCCCGTAAACCCTGCCTCAGTTCAGATCGCAGGCTGCAACTCGCCTGCGTGAAGGCGGAATCGCTAGTAATCGCCGGTCAGCATACGGCGGTGAATCCGTTCCCGGGCCTTGTACACACCGCCCGTCACACCATGGAAGTTGGCCATGCCCGAAGTCGGATACTCTAACCGTAA
&gt;BEA1537_359F_Premix
CTTGGGTTGTAAACCTCTTTTCTCTGGGAAGAAAAAAATGACGGTACCAGAGGAATCAGCATCGGCTAACTCCGTGCCAGCAGCCGCGGTAAGACGGAGGATGCAAGCGTTATCCGGAATGATTGGGCGTAAAGCGTCCGCAGGTGGCAAATCAAGTCTGCTGTTAAAGCGCAGGGCTTAACTCTGTAAAGGCAGTGGAAACTGATTAGCTAGAGTATGGTAGGGGGTAGAGGGAATTCCCAGTGTAGCGGTGAAATGCGTAGAGATTGGGAAGAACATCGGTGGCGAAGGCGCTCTGCTGGACCATAACTGACACTCACAGGACGAAAGCTAGGGGAGCGAATGGGATTAGATACCCCAGTAGTCCTAGCCCTAAACGATGGAAACTAGGTGTTGTCTGTATCGACCCGGAAAGTGCCTTACCTAAGCGTTAAGTATCCCGCCCGGGGGAGTACCCCAGGCCAGTGGTGAAACTCAAAGGAATTGACGGGGGCCCGCCAAAACCGGGGAATATGTGGTTT
&gt;BEA1537_1494R_Premix
CGCGGTAAGACGGGGGAGCAAGCGTTTCGGAATGATTGGGCGTAAAGCGTCCGCAGGTGCAAATCAAGTTTGCTGTTAAAGCGCAGGGCTTAACTCGTAAAGGCAGTGGAAACTGATTAGCTAGAGTTTGGTAGGGGTAGAGGGAATTCCCAGGGAGCGGTGAAATGCGTAGAGATTGGGAAGAACATCGGTGGCGAAGGCGCTCTGCTGGACCATAACTGACACTCACAGGACGAAAGCTAGGGGAGCGAATGGGATTAGATACCCCCGGTAGTCCTAGCCGTAAACGAGGGATACTAGGTGTCGTCTGTATCGACCCGGACAGTGCCGTAGCTAACGCGTTAAGTATCCCGCCTGGGGAGTACGCACGCAAGTGTGAAACTCAAAGGAATTGACGGGGGCCCGCACAAGCGGTGGAGTATGTGGTTTAATTCGATGCAACGCGAAGAACCTTACCAGGGCTTGACATGTCGCGAATCCTAGCGAAAGTTGGGAGTGCCTTCGGGAGCGCGAACACAGGTGGTGCATGGCTGTCGTCAGCTCGTGTCGTGAGATGTTGGGTTAAGTCCCGCAACGAGCGCAACCCTCGTTTTTAGTTGCCAGCATTAAGTTGGGCACTCTAAAGAGACTGCCGGTGACAAACCGGAGGAAGGTGGGGATGACGTCAAGTCAGCATGCCCCTTACGTCCTGGGCTACACACGTACTACAATGGTAGGGACAGAGGGCAGCCAACTCGCGAGAGTGAGCTAATCCCGTAAACCCTGCCTCAGTTCAGATCGCAGGCTGCAACTCGCCTGCGTGAAGGCGGAATCGCTAGTAATCGCCGGTCAGCATACGGCGGTGAATCCGTTCCCGGGCCTTGTACACACCGCCCGTCACACCATGGAAGTTGGCCATGCCCGAAGTCGGATACTCTAACCGTAAG</t>
  </si>
  <si>
    <t>&gt;BEA1542_359F_Premix
ATTGGGGAAGAAGTTCTGACGGTACCCAATGAATCAGCATCGGCTAACTCCGTGCCAGCAGCCGCGGTAATACGGAGGATGCAAGCGTTATCCGGAATTATTGGGCGTAAAGCGTCCGCAGGTGGCTGTTCAAGTCTGCTGTTAAAGCGTGCAGCTTAACTGCATATCGGCAGTGGAAACTGAAGAGCTAGAGTTCGGTAGGGGTAGCGGGAATTCCCAGTGTAGCGGTGAAATGCGTAGATATTGGGAAGAACACCAGCGGCGAAAGCGCGCTACTGGGCCGAGACTGACACTGAGGGACGAAAGCTAGGGGAGCGAAAGGGATTAGATACCCCTGTAGTCCTAGCTGTAAACGATGGGTACTAGGTGTTGCGCGTATCGACCCGTGCAGTGCCGTAGCTAACGCGTTAAGTACCCCGCCTGGGGAGTACGCACGCAAGTGTGAAACTCAAAGGAATTGACGGGGGCCCGCACAAGCGGTGGAGTATGTGGTTTAATTCGATGCAACGCGAAGAACCTTACCAGGGCTTGACATGTGCAGAATCTCCTTGAAAGGGGAGAGTGCCTTCGGGAACTGCAACACAGGTGGTGCATGGCTGTCGTCAGCTCGTGTCGTGAGATGTTGGGTTAAGTCCCGCAACGAGCGCAACCCACGTCCTTAGTTGCCAGCATTAAGTTGGGCACTCTGGGGAGACTGCCGGTGACAAACCGGAGGAAGGTGTGGATGACGTCAAGTCATCATGCCCCTTACGTCCTGGGCTACACACGTACTACAATGCTTTGGACAGAGAGTTGCGAGCCTGCGAAGGTCAGCTAATCTCATAAACCATGGCTCAGTTCAAATTGCAGGCTGCAACTCGCCTGCATGAAGGCGGAATCGCTAGTAATCGCAGGTCAGCATACTGCGGTGAATACGTTCCCGGGCCTTGTACACACCGCCCGTCACACCATGGGAGTTGGCCACGCCCGAAGTCTGTTACTCCAACCGTAAGGAGGGGACGCCGAATGGCATGGACGAGATCAAAGA</t>
  </si>
  <si>
    <t>&gt;BEA1557_359F_1494r_1092_Nostoc_sp
CTCTTGGGTCGTAAACCTCTTTTCTCAGGGAAGAACACAATGACGGTACCTGAGGAATAAGCATCGGCTAACTCCGTGCCAGCAGCCGCGGTAATACGGAGGATGCAAGCGTTATCCGGAATGATTGGGCGTAAAGCGTCCGCAGGTGGCTGTGTAAGTCTGCTGTTAAAGAGTCTAGCTCAACTAGATAAGAGCAGTGGAAACTACACGGCTAGAGTACGTTCGGGGCAGAGGGAATTCCTGGTGTAGCGGTGAAATGCGTAGAGATCAGGAAGAACACCAGTGGCGAAGGCGCTCTGCTAGGCCGTAACTGACACTGAGGGACGAAAGCTAGGGGAGCGAATGGGATTAGATACCCCAGTAGTCCTAGCCGTAAACGATGGATACTAGGCGTGGCTTGTATCGACCCGAGCCGTGCCGTAGCTAACGCGTTAAGTATCCCGCCTGGGGAGTACGCCGGCTACGGTGAAACTCAAAGGAATTGACGGGGGCCCGCACAAGCGGTGGAGTATGTGGTTTAATTCGATGCAACGCGAAGAACCTTACCAAGGCTTGACATGTCGCGAATCCTGGTGAAAGCCGGGAGTGCCTTCGGGAGCGCGAACACAGGTGGTGCATGGCGTCGTCAGCTCGTGTCGTGAGATGTTGGGTTAAGTCCCGCAACGAGCGCAACCCTCGTTTTTAGTTGCCAGCATTAAGTTGGGCACTCTAGAGAGACTGCCGGTGACAAACCGGAGGAAGGTGGGGATGACGTCAAGTCAGCATGCCCCTTACGCCTTGGGCTACACACGTACTACAATGCTCCGGACAGAGGGCAGCAAGCATGCGAATGCAAGCAAATCCCGTAAACCGGAGCTCAGTTCAGATCGCAGGCTGCAACTCGCCTGCGTGAAGGAGAATCGCTAGTAATTGCAGGTCAGCATACTGCAGTGAATTCGTTCCCGGGCCTTGTACACACCGCCCGTCACACCATGGAAGCTGGTAGTGCCCGAAGTCATTACTCCAACCTTTCGGGGAGGA</t>
  </si>
  <si>
    <t>&gt;BEA1560_359F_Premix_Cyanocohniella_sp
TTGTAAACCTCTTTTCTCAGGGAATAAAAAAATGAAGGTACCTGAGGAATAAGCATCGGCTAACTCCGTGCCAGCAGCCGCGGTAATACGGAGGATGCAAGCGTTATCCGGAATGATTGGGCGTAAAGGGTCCGCAGGTGGCAATGTAAGTCTGCTGTTAAAGAATGAGGCTCAACCTCATACCAGCAGTGGAAACTACATAGCTAGAGTGCGTTCGGGGTAGAGGGAATTCCTGGTGTAGCGGTGAAATGCGTAGATATCAGGAAGAACACCGGTGGCGAAAGCGCTCTACTAGGCCGCAACTGACACTGAGGGACGAAAGCTAGGGGAGCGAATGGGATTAGATACCCCAGTAGTCCTAGCCGTAAACGATGGATACTAGGCGTGGCTTGTATCGACCCGAGCCGTGCCGGAGCTAACGCGTTAAGTATCCCGCCTGGGGAGTACGCACGCAAGTGTGAAACTCAAAGGAATTGACGGGGGCCCGCACAAGCGGTGGAGTATGTGGTTTAATTCGATGCAACGCGAAGAACCTTACCAAGACTTGACATGTCGCGGACCTTCTTGAAAGAGAAGGGTGCCTTAGGGAGCGCGAACACAGGTGGTGCATGGCTGTCGTCAGCTCGTGTCGTGAGATGTTGGGTTAAGTCCCGCAACGAGCGCAACCCTCGTTTTTAGTTGCCAGCATTAAGTTGGGCACTCTAGAGAGACTGCCGGTGACAAACCGGAGGAAGGTGGGGATGACGTCAAGTCATCAGGCCCCTTACGTCTTGGGCTACACACGTACTACAATGCTACGGACAAAGGGCAGCTACACAGCAATGTGATGCAAATCTCAAAAACCGTAGCTCAGTTCAGATCGCAGGCTGCAACTCGCCTGCGTGAAGGAGGAATCGCTAGTAATTGCAGGTCAGCATACTGCAGTGAATTCGTTCCCGGGCCTTGTACACACCGCCCGTCACACCATGGAAGCTGGTAGTGCCCGAAGTCATTACTCCAACTTTC</t>
  </si>
  <si>
    <t>secuenciado alfa proteobacteria</t>
  </si>
  <si>
    <t>&gt;BEA1567_359F_1494R_1011
TGGGCTGTAAACCTCTTTTCTCAAGGAAGAAGACATGACGGTACTTGAGGAATAAGCCACGGCTAATTCCGTGCCAGCAGCCGCGGTAATACGGGAGTGGCAAGCGTTATCCGGAATTATTGGGCGTAAAGCGTCCGCAGGCGGCCTTGTAAGTCTGTCGTTAAAGCGTGGAGCTTAACTCCATTTCAGCGATGGAAACTACAAGGCTTGAGTGTGGTAGGGGCAGAGGGAATTCCCGGTGTAGCGGTGAAATGCGTAGATATCGGGAAGAACACCAGTGGCGAAGGCGCTCTGCTGGGCCATAACTGACGCTCATGGACGAAAGCCAGGGGAGCGAAAGGGATTAGATACCCCTGTAGTCCTGGCCGTAAACGATGAACACTAGGTGTCGGGGGAATCGACCCCCTCGGTGTCGTAGCTAACGCGTTAAGTGTTCCGCCTGGGGAGTACGCACGCAAGTGTGAAACTCAAAGGAATTGACGGGGGCCCGCACAAGCGGTGGAGTATGTGGTTTAATTCGATGCAACGCGAAGAACCTTACCAGGGTTTGACATCCTGCGAATCCCTTGGAAACGAGGGAGTGCCTTCGGGAGCGCAGAGACAGGTGGTGCATGGCTGTCGTCAGCTCGTGTCGTGAGATGTTGGGTTAAGTCCCGCAACGAGCGCAACCCACGTCTTTAGTTGCCAGCATTCAGTTGGGCACTCTAGAGAGACCGCCGGTGATAAACCGGAGGAAGGTGTGGATGACGTCTAGTCATCATGCCCCTTACATCCTGGGCTACACACGTACTACAATGCTACTGAAAAAGGGTTGCAAGCTCGCGAGAGTTAGCTAATCCCATAAACCGTGGCTCAGTTCAGATCGTAGGCTGCAACTCGCCTACGTGAAGGAGGAATCGCTAGTAATCGCAGGTCAGCATACTGCGGTGAATACGTTCCCGGGCCTTGTACACACCGCCCGTCACACCATTGAAGTTGGCCATGCCCGAAGTCGTTACTCCAACCCTTGTG</t>
  </si>
  <si>
    <t>&gt;BEA1570_359F_1494R_974
GTTGTAAACCTCTTTTGATAGGGAAGAAGACAATGACGGTACCTATCGAATCAGCCTCGGCTAACTCCGTGCCAGCAGCCGCGGTAATACGGAGGAGGCAAGCGTTATCCGGAATTATTGGGCGTAAAGCGTCCGTAGGTGGATTGTCAAGTCAGTTGTTAAAGCGTGGAGCTTAACTCCATAAGGGCAATTGAAACTGATAGTCTAGAGTGCGATAGGGGCAAGGGGAATTCCCAGTGTAGCGGTGAAATGCGTAGATATTGGGAAGAACATCGGTGGCGAAAGCGCCTTGCTGGGTCTGCACTGACACTGAGGGACGAAAGCTAGGGGAGCGAAAGGGATTAGATACCCCTGTAGTCCTAGCCGTAAACGATGGGTACTAGGCGTTGACCGTATCGACCCGGTCAGTGCCGTAGCTAACGCGTTAAGTACCCCGCCTGGGGAGTACGCTCGCAAGAGTGAAACTCAAAGGAATTGACGGGGGCCCGCACAAGCGGTGGAGTATGTGGTTTAATTCGATGCAACGCGAAGAACCTTACCAGGGCTTGACATGTGCAGAACCCTCTTGAAAGGGAGGGGTGCCTACGGGAGCTGCAACACAGGTGGTGCATGGCTGTCGTCAGCTCGTGTCGTGAGATGTTGGGTTAAGTCCCGCAACGAGCGCAACCCACGTTTTTAGTTGCCATCATTCAGTTGGGCACTCTAGAGAGACTGCCGGTGACAAACCGGAGGAAGGTGTGGATGACGTCAAGTCAGCATGCCCCTTACGTTCTGGGCTACACACGTACTACAATGCTTCGGACAAAGGGCAGCAAGTTCGCGAGGACAAGCTAATCCCATAAACCGAGGCTCAGTTCAGATTGCAGGCTGCAACTCGCCTGCATGAAGGCGGAATCGCTAGTAATCGCAGGTCAGCATACTGCGGTGAATACGTTCCCGGGCCTTGTACACACCGCCCGTCACACCATGGGAG</t>
  </si>
  <si>
    <t>&gt;BEA1571_1494R_611
TATCGACCCAGCAGTGCGGAGCTAACGCGTTAAGTATCCCCCCTGGGGAGTACGCACGCAAGTGTGAAACTCAAAGGAATGACGGGGGCCCGCACAGCGGTGGAGTATGTGGTTTATTTCGATGCAACGCGAAGAACCTTACCAGGGCGTGACATGCCTAGAATCCTGGGGAAACTCTGGAGTGCCTACGGGAACTGGGACACAGGTGGTGCATGGCCGTCGTCAGCTCGTGTCGTGAGATGTTGGGTTAAGTCCCGCAACGAGCGCAACCCTCGTTTTTAGTTGCCAGCATTAAGTTGGGCACTTTAGAAAGACCGCCGGTGACAAACCGGAGGAAGGTGGGGATGAAGTCAAGTCAGCATGCCCCTTACGCTCTGGGCTACACACGTACTACAATGCTATGGACAAAGGGCAGCAAGAATGCGAATTCAAGCAAATCCCATAAACCATGGCTCAGTTCAGATCGCAGGCTGCAACTCGCCTGCGTGAAGGCGGAATCGCTAGTAATCGCCGGTCAGCCATACGGCGGTGAATACGTTCCCGGGCCTTGTACACACCGCCCGTCACACCATGGAAGCTGGCCACGCCCGAAGTCGTTACCCTAACCGCT
&gt;BEA1571_1494R_359F_ 1003_LOQ
GGGTTGTAACTCCTTTTCTCAGGGAAGAACACGATGACAGTACCTGAGGAATCAGCAGCGGCTACTCCGTGCCAGCAGCCGCGGTAATACGGAGGATGCAAGCGTTATCCGGAATCATTGGGCGTAGAGCGTCCGCAGGTGGCATTTCTCGTCTGCTGTCACAGGTGGGGGCTTAACTCCAAACAGGCTGTGGAAACTGAATAGCTAGAGTGCGGTAGGGGCAGAGGGAATTCCTGGTGTAGCGGTGAAATGCGTATAGATCAGGAAGAACACCGGTGGCGAAAGCGCTCTGCTAGGCCGCATCTGACACTCAAGGACGAAAGCTAGGGGAGCGAATGGGATTAGATACCCCAGTAGTCCTAGCTGTAAACGATGGATACTAGGCGTTGCTTGTATCGACCCAGCAGTGCGGAGCTAACGCGTTAAGTATCCCCCCTGGGGAGTACGCACGCAAGTGTGAAACTCAAAGGAATGACGGGGGCCCGCACAGCGGTGGAGTATGTGGTTTATTTCGATGCAACGCGAAGAACCTTACCAGGGCGTGACATGCCTAGAATCCTGGGGAAACTCTGGAGTGCCTACGGGAACTGGGACACAGGTGGTGCATGGCCGTCGTCAGCTCGTGTCGTGAGATGTTGGGTTAAGTCCCGCAACGAGCGCAACCCTCGTTTTTAGTTGCCAGCATTAAGTTGGGCACTTTAGAAAGACCGCCGGTGACAAACCGGAGGAAGGTGGGGATGAAGTCAAGTCAGCATGCCCCTTACGCTCTGGGCTACACACGTACTACAATGCTATGGACAAAGGGCAGCAAGAATGCGAATTCAAGCAAATCCCATAAACCATGGCTCAGTTCAGATCGCAGGCTGCAACTCGCCTGCGTGAAGGCGGAATCGCTAGTAATCGCCGGTCAGCCATACGGCGGTGAATACGTTCCCGGGCCTTGTACACACCGCCCGTCACACCATGGAAGCTGGCCACGCCCGAAGTCGTTACCCTAACCGCT</t>
  </si>
  <si>
    <t xml:space="preserve">SECUENCIADA BACTERIA </t>
  </si>
  <si>
    <t xml:space="preserve">&gt;BEA1579_1494R_Premix_742
GGAATCCCAGGGACCGTGATTGGGGAATTGGGAGAAATCGGGCGAAAGCTGCTATGGCTGAACGCAATAGGGACGAAAGCGGGGTAGGAAAGGGTTAGAACCCCGTTTTTCTGCGTAACGAGGGTTCTGGCGTGGCTGATCGACCCGAGCCGTGCGAAGCTAACGCGTTAAGTATCCGCCTGGGGAGTACGCACGCAAGTGTGAAACTCAAGGAATGACGGGGCCCGCACAGCGGTGGAGTATGTGGTTTATTCGATGCAACGCGAAGAACCTTACCAGGCTGACATCCCGGATCCTGGGGAAACGTGGGAGTGCCTTAGGGAGCCAGGAGACAGGTGGTGCATGGCGTCGTCAGCTCGTGTCGTGAGATGTTGGGTTAAGTCCCGCAACGAGCGCAACCCTCGTTTTTAGTTGCCATCATTAAGTTGGGCACTCTAGAGAGACTGCCGGTGACAAACCGGAGGAAGGTGGGGATGACGTCAAGTCATCATGCCCCTTACGCCTTGGGCTACACACGTACTACAATGGTCGGGACAACGGGCAGCGAGCTCGCGAGAGTAAGCGAATCCCATCAAACCCGGCCTCAGTTCAGATTGCAGGCTGCAACTCGCCTGCATGAAGGAGGAATCGCTAGTAATCGCAGGTCAGAATACTGCGGTGAATTCGTTCCCGGGCCTTGTACACACCGCCCGTCACACCATGGGAGCTGGTCACGCCCGAAGTCGTTACTCTAACCGTAAG
&gt;BEA1579_359F_Premix_674
GTCCTTGGATTGTAAACCTCTTTTATCAGGGAAGAAGTTCTGACGGTACCTGATGAATAAGCATCGGCTAACTCCGTGCCAGCAGCCGCGGTAATACGGAGGATGCAAGCGTTATCCGGAATTATTGGGCGTAAAGCGTCCGTAGGTGGTTATGCAAGTCTGCCGTTAAAGAATGGAGCTTAACTCCATAGGAGCGGTGGAAACTGCAAGACTAGAGTACAGTAGGGGTAGCAGGAATTCCCAGTGTAGCGGTGAAATGCGTAGATATTGGGAAGAACATCGGTGGCGAAAGCGTGCTACTGGGCTGAAACTGACACTGAGGGACGAAAGCTAGGGTAGCGAAAGGGATTAGATACCCCTGTAGTCCTAGCCGTAAACGATGGATACTAGGCGTGGCTTGTATCGACCCGAGCCGTGCCGAAGCTAACGCGTTAAGTATCCCGCCGGGGGAGTACGCACGCAGTGTGAAACTCAAAGGAATTGACGGGGGCCCGCACAAGCGGTGGAGTATGTGGTTTAATTCGATGCACGCGAAGAACCTTACCAAGGCTTGACATCCCTGGAATCCTGCGGAAACGTGGGAGTGCCTTAGGGAGCCCGGAAACAGGGTGGTGCAGGGCTGTCGTCCGCTCGTGTCGTGGAAATGTTTGGGTTAAGTCCCGCACCGAGGGCA
</t>
  </si>
  <si>
    <t>&gt;BEA1580_359F_1494R_998_Microchaete_sp
TAAACCTCTTTTCTCAAGGAATAAGAATGAAGGTACTTGAGGAATAAGCATCGGCTAACTCCGTGCCAGCAGCCGCGGTAATACGGAGGATGCAAGCGTTATCCGGAATGATTGGGCGTAAAGCGTCCGTAGGTGGTTTTGTGTGTCTGCTGTTAAAGCGTGCGGCTTAACCGCATAAGGGCGGTGGAAACTACAAGACTAGAGTACGTTCGGGGCAGGGGGAATTCCCAGTGTAGCGGTGAAATGCGTAGAGATTGGGAAGAACACCGGTGGCGAAAGCGCCCTGCTAGGCCGTAACTGACACTGAGGGACGAAAGCTAGGGGAGCGAATGGGATTAGATACCCCAGTAGTCCTAGCCGTAAACGATGGATACTAGGCGTTGGTAGTATCGACCCTACCAGTGCCGTAGCTAACGCGTTAAGTATCCCGCCTGGGGAGTACGCAGGCAACTGTGAAACTCAAAGGAATTGACGGGGGCCCGCACAAGCGGTGGAGTATGTGGTTTAATTCGATGCAACGCGAAGAACCTTACCAGGGTTTGACATGTCGCGAATCTGGTGGAAACACTGGAGTGCCTTCGGGAGCGCGAACACAGGTGGTGCATGGCTGTCGTCAGCTCGTGTCGTGAGATGTTGGGTTAAGTCCCGCAACGAGCGCAACCCTCGTCCTTAGTTGCCAGCCTTAAGTGGGGAACTCTAGGGAGACTGCCGGTGACAAACCGGAGGAAGGTGGGGATGACGTCAAGTCATCATGCCCCTTACATCCTGGGCTACACACGTACTACAATGCTGCGAACAATGGGCAGCAAGCAGGCGACTGCAAGCAAATCTCAGAAATCGTGGCTCAGTTCAGATTGTAGGCTGCAACTCGCCTACATGAAGGAGGAATCGCTAGTAATCACAGGTCAGCATACTGTGGTGAATTCGTTCCCGGGCCTTGTACACACCGCCCGTCACACCATGGAAGCTGGTCACGCCCGAAGTAGTTATCCTAACCA</t>
  </si>
  <si>
    <t xml:space="preserve">&gt;BEA1581_1494R_Premix_502
GTATGTGGTTTAATTCGATGCAACGCGAAGAACCTTACCAAGACTGACATGTCGCGAACCTTCCTGAAAGGGAAGGGTGCCTTCGGGAGCGCGAACACAGGTGGTGCATGGCGTCGTCAGCTCGTGTCGTGAGATGTTGGGTTAAGTCCCGCAACGAGCGCAACCCTCGTTTTTTAGTTGCCAGCATTGAGTTGGGCACTCTAAAGAGACTGCCGGTGACAAACCGGAGGAAGGTGGGGATGACGTCAAGTCAGCATGCCCCTTACGTCTTGGGCTACACACGTACTACAATGCTACGGACAAAGGGCAGCTACACAGCGATGTGATGCAAATCCAAAAAACCGTAGCTCAGTTCAGATCGCAGGCTGCAACTCGCCTGCGTGAAGGAGGAATCGCTAGTAATTGCAGGTCAGCATACTGCAGTGAATTCGTTCCCGGGCCTTGTACACACCGCCCGTCACACCATGGAAGCTGGTCACGCCCGAAGTCATGACTCCAACTC
&gt;BEA1581_359F_623
CTCTTGGGTTGTAAACCTCTTTTCTCAAGGAAGAAAAAAATGACGGTACTTGAGGAATAAGCATCGGCTAACTCCGTGCCAGCAGCCGCGGTAATACGGAGGATGCAAGCGTTATCCGGAATGATTGGGCGTAAAGCGTCCGCAGGTGGCTGTGAAAGTCTGCTGTTAAAGAATGAGGCTCAACCTCATCAGAGCAGTGGAAACTACACGGCTAGAGTGCGTTCGGGGTAGAGGGAATTCCTGGTGTAGCGGTGAAATGCGTAGATATCAGGAAGAACACCGGTGGCGAAGGCGCTCTACTAGGCCGCAACTGACACTGAGGGACGAAAGCTAGGGGAGCGAATGGGATTAGATACCCCAGTAGTCCTAGCCGTAAACGATGGATACTAGGCGTGGCTTGTATCGACCCGAGCCGTGCCGTAGCTAACGCGTTAAGTATCCCGCCTGGGGAGTACGCACGCAAGTGTGAAACTCAAAGGAATTGACGGGGGCCCGCACAAGCGGTGGAGTATGTGGTTTAATTCGATGCAACGCGAATAACCTTACCAAGACTTGACATGTCGCGAACCTTCCTGAAAGGGAAAGGTGCCTTCTAGGAGCGCGAACACAGGTGGTGCATGGCT
</t>
  </si>
  <si>
    <t>&gt;BEA1603_359F_1494R_977_ALFA_PROTEO
ATTGTAAAATCCTTTCACCGGTGAAGATAATGACTGTAGCCGGAGAAGAAGCCCCGGCTAACTTCGTGCCAGCAGCCGCGGTAATACGAAGGGGGCTAGCGTTGCTCGGAATTACTGGGCGTAAAGGGCGCGTAGGCGGACATTTAAGTCAGGGGTGAAATCCCAGAGCTCAACTCTGGAACTGCCTTTGATACTGGGTGTCTTGAGTGTGAGAGAGGTATGTGGAACTCCGAGTGTAGAGGTGAAATTCGTAGATATTCGGAAGAACACCAGTGGCGAAGGCGACATACTGGCTCATTACTGACGCTGAGGCGCGAAAGCGTGGGGAGCAAACAGGATTAGATACCCTGGTAGTCCACGCCGTAGACGATGATTGCTAGTTGTCGGGCTGCATGCAGTTCGGTGACGCAGCTAACGCATTAAGCAATCCGCCTGGGGAGTACGGTCGCAAGATTAAAACTCAAAGGAATTGACGGGGGCCCGCACAAGCGGTGGAGCATGTGGTTTAATTCGAAGCAACGCGCAGAACCTTACCACCTTTTGACATGCCCGGACCGCACCGGAAACGGTGCTTTCCCTTCGGGACTGGGACACAGGTGCTGCAGGGCTGTCGTCAGCTCGTGTCGTGAGATGTTGGGTTAAGTCCCGCAACGAGCGCAACCCTCGCCATTAGTTGCCATCATTCAGTTGGGAACTCTAATGGGACTGCCGGTGCTAAGCCGGAGGAAGGTGGGGATGACGTCAAGTCCTCATGGCCCTTACAGGGTGGGCTACACACGTGCTACAATGGCGACTACAGAGGGATAATCCCTAAAAGTCGTCTCAGTTCGGATTGTCCTCTGCAACTCGAGGGCATGAAGTGGGAATCGCTAGTAATCGCGGATCAGCATGCCGCGGTGAATACGTTCCCGGGCCTTGTACACACCGCCCGTCACACCATGGGAGTTGGTTCTACCCGAAGGCGCTGCGCTGACCG</t>
  </si>
  <si>
    <t>&gt;BEA1639_359F_Premix
GCTCTGGAGGTTGCAACCCCTTTTCTCAGGGAAGAAAAATGACGGTGCCTGAGGAATCAGCCTCGGCTAACTCCGTGCCAGCCCCGCGGTAATACGGAGGATGCAAGCGTTATCCGGAATCATTGGGCGTAAAGCGTCCGCAGGTGGCATTTCAAGTCTGCTGTCAAAGGTCGGGGCTTAACTCCGAACAGGCAGTGTAAACTGAAGCGCTCGAGTGCGGTAGGGGCAGAGGGAATTCCTGGTGTAGCGGTGAAATGCGTAGAGATCAGGAAGAACACCGGTGGCGAAAGCGCTCTGCTAGGCCCGCAACTGACACTCAGGGACGAAAGCTAGGGGAGCGAATGGGATTAGATACCCCAGTAGTCCTAGCTGTAAACGATGGATACTAGGCGTTGCTTGTATCGACCCAAGCAGTGCCGTAGCTAACGCGTTAAGTATCCCGCCTGGGGAGTACGCACGCAAGTGTGAAACTCAAAGGAATTGACGGGGGCCCGCACAAGCGGTGGAGAATGTGGTTTAAATTCGATGCAACGCGAAGAACCTTACCAGGGTTTGACATGTCCGGAACCCCACTGAAAGGTGGGGGTGCCTTCGGGAACCGGAACACAGGGTGGTGCATGGCTGTCGTCAGCTCGTGTCGTGAGATGTTGGGGTTAAGTCCCCGCAACGAGCGCAACCCTCGTTTTTAGTTGCCAGCATTAAGTGGGCACTCTAGAAAGGACTGCCGGTGACAAACCGGAGGAAGGTGGGGATGACGTCAAGTCAGCATGCCCCTTACGCTCTGGGCTACACACGTACTACAATGCTATGGACAAAGGGCAGCAAGTTAGCGATGACAAGCAAATCCCATAAACCATGGCCTCAGGTCAGATCGCAGCTGCAACTCGCCTGCGTGAAGGCGGAATCGCTAGTAATCGCCGGTCAGCCATACGGCCGTGAATACGTTCCGGGCCTGACCCACCGCCGTCCAACATTAGCTGG
&gt;BEA1639_1494R_Premix
CCGCACAAGCGGTGGAGTATGTGGTTTAATTCGATGCAACGCGAAGAACCTTACCAGGGTTTGACATGTCCGGAACCCCACTGAAAGGTGGGGGTGCCTTCGGGAACCGGAACACAGGTGGTGCATGGCTGTCGTCAGCTCGTGTCGTGAGATGTTGGGTTAAGTCCCGCAACGAGCGCAACCCTCGTTTTTAGTTGCCAGCATTAAGTTGGGCACTCTAGAAAGACTGCCGGTGACAAACCGGAGGAAGGTGGGGATGACGTCAAGTCAGCATGCCCCTTACGCTCTGGGCTACACACGTACTACAATGCTATGGACAAAGGGCAGCAAGTTAGCGATGACAAGCAAATCCCATAAACCATGGCTCAGTTCAGATCGCAGGCTGCAACTCGCCTGCGTGAAGGCGGAATCGCTAGTAATCGCCGGTCAGCCATACGGCGGTGAATACGTTCCCGGGCCTTGTACACACCGCCCGTCACACCATGGAAGCTGGCCACGCCCGAAGTCGTGAC</t>
  </si>
  <si>
    <t>SECUENCIADO B-PROTEOBACTERIA</t>
  </si>
  <si>
    <t>&gt;BEA1647_359F_1494R_1000_Phormidium_sp
GTGGATTGTAAACCCCTTTTCTCAGGGAAGAAGTTCTGACGGTACCTGAGGAATCAGCATCGGCTAACTCCGTGCCAGCAGCCGCGGTAAGACGGAGGATGCAAGCGTTATCCGGAATTATTGGGCGTAAAGCGTCCGTAGGCGGTTTATCAAGTCTGTCGTTAAAGACTGCAGCTTAACTGTGGGCGAGCGGTGGAAACTGATTAACTAGAGTGTGGTAGGGGTAGAGGGAATTCCCAGTGTAGCGGTGAAATGCGTAGATATTGGGAAGAACACCAGTGGCGAAGGCGCTCTACTGGGCCACAACTGACGCTGAGGGACGAAAGCTAGGGGAGCGAAAGGGATTAGATACCCCTGTAGTCCTAGCTGTAAACGATGGATACTAGGTGTTGCGCGTATCGACCCGTGCAGTACCGCAGCCAACGCGATAAGTATCCCGCCTGGGGAGTACGCACGCAAGTGTGAAACTCAAAGGAATTGACGGGGGCCCGCACAAGCGGTGGAGTATGTGGTTTAATTCGATGCAACGCGAAGAACCTTACCAGGGCTTGACATCCCTCGAATCCTCTTGAAAGAGAGGAGTGCCTTCGGGAGCGAGGAGACAGGTGGTGCATGGCTGTCGTCAGCTCGTGTCGTGAGATGTTGGGTTAAGTCCCGCAACGAGCGCAACCCACGTCCTTAGTTGCCATCATTCAGTTGGGCACTCTGGGGAGACTGCCGGGGACAACTCGGAGGAAGGTGTGGATGACGTCAAGTCATCATGCCCCTTACGTTCTGGGCTACACACGTACTACAATGCTTCGGACAAAGGGCAGCGAGCGCGCGAGCGCAAGCAAATCTCATAAACCGAGGCACAGTTCAAATTGCAGGCTGCAACTCGCCTGCATGAAGGAGGAATCGCTAGTAATCGCAGGTCAGCATACTGCGGTGAATACGTTCCCGGGCCTTGTACACACCGCCCGTCACACCATGGGAGTTGGCCACGCCCGAAGCCGTTACC</t>
  </si>
  <si>
    <t>&gt;BEA1659_359F_Premix
AACCTCTTTTGATAGGGAAGAACACAATGACGGTACCTATCGAATCACCCTCGGCTAACTCCGTGCCAGCCGCCGCGGTAATACGGAGGAGGCAAGCGTTATCCGTGAATTATTGGGCGTAGAGCGTCCGTAGGTGGATATTCTAGTAAGTTGTTAAAGCGGGGAGCTTAACTCCATAACGGCTATTGAAACTGAATGTCTAGAGTGCGATAGGGGCGAGGGGAATTCCCAGTGTAGCGGTGAAATGCGTATATCTTGGGAAGAACATCGGTGGCGAAAGCGCCTTGCTGGGTCTGCACTGACACTGAGGGACGAAAGCTAGGGGAGCGAAAGGGATTAGATACCCCTGTAGTCCTAGCCATAAACGATGGATACTAGGCGTTGTCCGTATCGACCCGGGCAGTGCCGTACCTAAGGCGTTAAGTATCCCGCCGGGGGAGTACGCTCGCAAGAGTGAAACTCAAAGGAATTGACGGGGGCCCGCACAAGCGGTGGAGTATGTGGTTTAATTCGATGCACGCGAAAAACCTTACCAGGGCTTGACATGTCGCGAACCCTTGTGAAAGCAGGGGGTGCCTTCGGGAGCGCGAACACAGGTAGTGCATGGCGGTCAGTCAGCTCGTGTCGTGAGATGTTGGGTTAAGTCCCGCAACGAGCGCAACCCTCGCTTCTAGTTGCCAGCATTTGGTTGGGCACTCAGGAGAGACCGCCGGTGACAAACCGGAGGAAGGTGGGGATGACGTCAAGTCAGCATGCCCCTTACGTCCTGGGCTACACACGTACTACAATGCTGCGGACAAAGGGCAGCGAGCTAGCGATAGCAAGCTAATCCCATAAACCGTGGCTCAGTTCAGATTGCTGGCTGCAACTAGCTTGCGTGAAGGGGGAATCGCTTGTAATCGCAGGTCAGCATACTGCGGTGAATACGTTCCCGGGCCTGTACACACCGCCCGTCACACCATGGGAGTGGCCACGCCCGAGTCGTTACTCCAACCCCCCCCTTTCTTCTTTTCCTCACT</t>
  </si>
  <si>
    <t>mala secuencia</t>
  </si>
  <si>
    <t>&gt;BEA1830_359F_1494_1008_loq
TGCCGGTCCTGCACGAATCTGCATCGGATTACTAAGTGCCAGCAGCCGCGGTAATACGGAGGATGCAAGCGTTATCCGGAATTATTGGGCGTAAAGCGTCCGTAGGTGGCTAAGCAAGTCTGCTGTTAAAGAGCGGAGCTAAACTCCGTAAAGGCGGTGGAAACTGCATAGCTAGAGTGTGGTAGGGGTAGAGGGAATTCCCAGTGTAGCGGTGAAATGCGTATATTTTGGGAAGAACACCGGTGGCGAAGGCGCTCTACTGGGCCACAACTGACACTGATGGACGAAAGCTAGGGGAGCGAAAGGGATTAGATACCCCTGTAGTCCTAGCCGTAAACGATGAACACTAGGTGTTGCCCGTATCGACCCGGGCAGTGCCGTAGCCAACGCGTTAAGTGTTCCGCCTGGGGAGTACGCTCGCAAGAGTGAAACTCAAAGGAATTGACGGGGGCCCGCACAAGCGGTGGAGTATGTGGTTTAATTCGATGCAACGCGAAGAACCTTACCAAGGCTTGACATGCCGCGAATCCCTTAGAGATGAGGGAGTGCCTACGGGAGCGCGGACCCAGGTGGGGGCATGGCTGTCGTCCGCCCGCTGGGGTGGGAAGATGTGGGATAAGTCCCGCAACGAGCGCACCTTTCGTTCTTAGTTGCCATCATTAAGTTGGGCCCTCTAGGGAGACTGCCGGTGACAAACCGGAGGAAGGGGAGGATGACGTCAAGTCATCATGCCCCTTACGTCTTGGGCTACCCACGTACTAAAATGGTTCGGAAAAAGGGGAGCCAACCAGCGATGGTGAGCAAATCCCATAAACCGAGGCTCAGTTCAGATTGCAGGCTGCAACTCGCCTGCATGAAGGAGGAATCGCTAGTAATCCCAGGTCAGCATACTGGGGTGAATACGTTCCCGGGCCTTGTACACACCGCCCGTCACACCATGGGAGTGGCCACGCCCGAAGCCGTGGGGAATTCCGCAATGGGCGCTACCACGGATGTCATAAGTGAAGA</t>
  </si>
  <si>
    <t>&gt;BEA1842_1494R_Premix_1023
GCCTGTGGGTTGTAAACCGCTTTGACAGGGAAGGAATATGTGACGGTACCCGTCGATTCAGCCTTCGGCAAACTCCGTGCCAGCAGCCGCGGTAATACGGGGGAGGCCAAGCGTTTTCCGGAATTATTGGGCGTAAAGCGTCCGCAGGTGGTTTATCAAGTCAGCTGTTAAAGCGTGGGGCTTAACTCCATAAAGGCAGTTGAAAATTGATTGGGCTAGAGTGCGATAGGGGCAAGGGGAATTCCCAGTGTAGCGGTGAAATGCGTAGATATTGGGAAGAACACCGGTGGCGAAAGCGCCTTGCTGGGTCTGCACTGACACTGAGGGACGAAAGCTAGGGGAGCGAAAGGGATTAGATACCCCAGTAGTCCTAGCTGTAAACGATGGGTACTAGGCGTTGTCCGTATCGACCCGGACAGTGCCGTAGCTAACGCGTTAAGTACCCCGCCTGGGGAGTACGCTCGCAAGAGTGAAACTCAAAGGAATTGACGGGGGCCCGCACAAGCGGTGGAGTATGTGGTTTAATTCGATGCAACGCGAAGAACCTTACCAGGGTTTGACATGTCCGGAACCCTCTTGAAAGGGAGGGGTGCCTTCGGGAACCGGAACACAGGTGGTGCATGGCGGTCGTCAGCTCGTGTCGTGAGATGTTGGGTTAAGTCCCGCAACGAGCGCAACCCTCGTCCTTAGTTGCCAGCATTGAGTTGGGCACTCTGGGGAGACTGCCGGTGACAAACCGGAGGAAGGTGGGGATGACGTCAAGTCAGCATGCCCCTTACGCTCTGGGCTACACACGTACTACAATGCTTCGGACAAAGGGTTGCCAACTCGCGAGAGTGCGCTAATCCCATAAACCGAGGCTCAGTTCAGATTGCAGGCTGCAACTCGCCTGCATGAAGGCGGAATCGCTAGTAATCGCAGGTCAGCATACTGCGGTGAATACGTTCCCGGGCCTTGTACACACCGCCCGTCACACCATGGGAGTTGGCCACGCCCGAAGTCGTTACTCCAACCTTTCGGAG</t>
  </si>
  <si>
    <t>&gt;BEA1843_359F_Premix
TGGATTGTAAACCTCTTTTATCAGGGAAGAAAAAAATGACGGTACCTGATGAATAAGCATCGGCTAACTCCGTGCCAGCAGCCGCGGTAATACGGAGGATGCAAGCGTTATCCGGAATTATTGGGCGTAAAGCGTCCGTAGGTGGTTTTGCAAGTCTGCTGTTAAAGAATGGAGCTTAACTCCATAAGAGCGGTGGAAACTGCAAGACTAGAGTACAGTAGGGGTAGCAGGAATTCCCAGTGTAGCGGTGAAATGCGTAGATATTGGGAAGAACATCGGTGGCGAAAGCGTGCTACTGGGCTGAAACTGACACTGAGGGACGAAAGCTAGGGTAGCGAAAGGGATTAGATACCCCTGTAGTCCTAGCCGTAAACGATGGATACTAGGCGTGGCTTGTATCGACCCGAGCCGTGCCGAAGCTAACGCGTTAAGTATCCCGCCTGGGGAGTACGCACGCAAGTGTGAAACTCAAAGGAATTGACGGGGGCCCGCACAAGCGGTGGAGTATGTGGTTTAATTCGATGCAACGCGAAGAACCTTACCAAGGCTTGACATCCCTGGAATCCTGCGGAAACGTGGGAGTGCCTTAGGGAGCCAGGAGACAGGTGGTGCATGGCTGTCGTCCGCTCGTGTCGTGAGATGTTGGGTTAAGTCCCGCAACGAGCGCAACCCTCGTTTTTAGTTGCCATCATTAAGTTGGGCACTCTAGAGAGACTGCCGGTGACAAACCGGAGGAAGGTGGGGATGACGTCAAGTCATCATGCCCCTTACGCCTTGGGCTACACACGTACTACAATGGTCGGGACAACGGGCAGCGAGCTCGCGAGAGTAAGCGAATCCCATCAAACCCGGCCTCAGTTCAGATTGCAGGCTGCAACTCGCCTGCATGAAGGAGGAATCGCTAGTAATCGCAGGTCAGAATACTGCGGTGAATTCGTTCCCGGGCCTTGTACACACCGCCCGTCACACCATGGGAGCTGGTCACGCCCGAAGTCGTTACTCTAACCTTAGC</t>
  </si>
  <si>
    <t>&gt;BEA1849_359F_1494R_1007
GATTGTAAACCTCTTTTATCAGGGAAGAAAAAAATGACGGTACCTGATGAATAAGCATCGGCTAACTCCGTGCCAGCAGCCGCGGTAATACGGAGGATGCAAGCGTTATCCGGAATTATTGGGCGTAAAGCGTCCGTAGGTGGTTTTGCAAGTCTGCTGTTAAAGAATGGAGCTTAACTCCATAAGAGCGGTGGAAACTGCAAGACTAGAGTACAGTAGGGGTAGCAGGAATTCCCAGTGTAGCGGTGAAATGCGTAGATATTGGGAAGAACATCGGTGGCGAAAGCGTGCTACTGGGCTGAAACTGACACTGAGGGACGAAAGCTAGGGTAGCGAAAGGGATTAGATACCCCTGTAGTCCTAGCCGTAAACGATGGATACTAGGCGTGGCTTGTATCGACCCGAGCCGTGCCGAAGCTAACGCGTTAAGTATCCCGCCTGGGGAGTACGCACGCAAGTGTGAAACTCACAGGAATTGACGGGGGCCCGCACAAGCGGTGGAGTATGTGGTTTAATTCGATGCAACGCGAAGAACCTTACCAAGGCTTGACATCCCTGGAATCCTGCGGAAACGTGGGAGTGCCTTAGGGAGCCAGGAGACAGGTGGTGCATGGCTGTCGTCAGCTCGTGTCGTGAGATGTTGGGTTAAGTCCCGCAACGAGCGCAACCCTCGTTTTTAGTTGCCATCATTAAGTTGGGCACTCTAGAGAGACTGCCGGTGACAAACCGGAGGAAGGTGGGGATGACGTCAAGTCATCATGCCCCTTACGCCTTGGGCTACACACGTACAACAATGGTCGGGACAACGGGCAGCGAGCTCGCGAGAGTAAGCGAATCCCATCACACCCGGCCTCAGTTCAGATTGCAGGCTGCAACTCGCCTGCATGAAGGAGGAATCGCTAGTAATCGCAGGTCAGAATACTGCGGTGAATTCGTTCCCGGGCCTTGTACACACCGCCCGTCACACC-ATGGGAGCTGGTCACGCCCGAAGTCGTTACTCTAACCT</t>
  </si>
  <si>
    <t>&gt;BEA2175__359F_1494R_920
TACCAGAGGAATCAGCATCGGCTAACTCCGTGCCAGCAGCCGCGGTAAGACGGAGGATGCAAGCGTTATCCGGAATTATTGGGCGTAAAGCGTCCGTAGGCGGTTAATTAAGTCAGTTGTTAAAGACTGCAGCTCAACTGTGGGAGAGCAACTGAAACTGATTGACTAGAGTATGGTAGGGGTAGAGGGAATTCCTAGTGTAGCGGTGAAATGCGTAGATATTAGGAAGAACACCAGTGGCGAAGGCGCTCTGCTGGGCCAAGACTGACGCTGATGGACGAAAGCTAGGGGAGCGAAAGGGATTAGATACCCCTGTAGTCCTAGCTGTAAACGATGGATACTAGGTGTTGTGCGTATCGACCCGTGCAGTACCGCAGCAAACGCGTTAAGTATCCCGCCTGGGGAGTACGCACGCAAGTGTGAAACTCAAAGGAATTGACGGGGGCCCGCACAAGCGGTGGAGTATGTGGTTTAATTCGATGCAACGCGAAGAACCTTACCAGGACTTGACATCCCTCGAACTTCTGAGAAATCGGAAGGTGCCTTCGGGAGCGAGGAGACAGGTGGTGCATGGCTGTCGTCAGCTCGTGTCGTGAGATGTTGGGTTAAGTCCCGCAACGAGCGCAACCCACGTTTTCCGTTGCCATCATTAACTTGGGCACTCTGGAGAGACTGCCGGGGACAACTCGGAGGAAGGTGTGGACGACGTCAAGTCATCATGCCCCTTACGTTCTGGGCTACACACGTACTACAATGCAACGGACAAAGGGCAGCCAACTAGCGATAGTGAGCTAATCCCATAAACCGTTGCACAGTTCAGATTGCAGGCTGCAACTCGCCTGCATGAAGGAGGAATCGCTAGTAATCGCAGGTCAGCATACTGCGGTGAATACGTTCCCGGGCCTTGTACACACCGCCCG</t>
  </si>
  <si>
    <t>&gt;AL5_A11_18S001F_Premix
GTATAAACTGCTTATACTGTGAAACTGCGAATGGCTCATTAAATCAGTTATAGTTTATTTGATGGTACCTTTACTCGGATAACCGTAGTAATTCTAGAGCTAATACGTGCGTAAATCCCGACTTCTGGAAGGGACGTATTTATTAGATAAAAGGCCAGCCGGGCTTGCCCGACTCTTGGCGAATCATGATAACTTCACGAATCGCACGGCTTTATGCCGGCGATGTTTCATTCAAATTTCTGCCCTATCAACTTTCGATGGTAGGATAGAGGCCTACCATGGTGGTAACGGGTGACGGAGGATTAGGGTTCGATTCCGGAGAGGGAGCCTGAGAAACGGCTACCACATCCAAGGAAGGCAGCAGGCGCGCAAATTACCCAATCCCAACACGGGGAGGTAGTGACAATAAATAACAATACCGGGCATTTTTGTCTGGTAATTGGAATGAGTACAATCTAAATCCCTTAACGAGTATCCTTTGGAGGGCAAGTCTGGTGCCAGCAGCCGCGGTAATTCCCGCTCCATAGCGTATATTTAAGTTGTTGCAGTTAAAAAGCTCGTAGTTGGATTTCGGGTGGGTTGTAGCGGTCAGCCCTTTGGTTAGTACTGCTACGGCCTACCTTTCTGCCGGGGACGAGCTCCTGGGCTTAACTGTCCGGGACTCGAAATCGGCAAGTTACTTTGAGTAAATTAAAGTGTTCAAAGCAGCCCACCC
&gt;AL5_A11_18S13R_Premix
CATTTATCAAGAACGAAAGTGGGGGCTCGAAGACGATTAGAAACCGTTGTAGTCTCAACCATAAACGATGCCGACTAGGGATTGGCAGGTGTTTCGTTGATGACCCTGCCAGCACCTTATGAGAAATCAAAGTTTTTGGGTTCCGGGGGGAGTATGGTCGCAAGGCTGAAACTTAAAGGAATTGACGGAAGGGCACCACCAGGCGTGGAGCCTGCGGCTTAATTTGACTCAACACGGGAAAACTTACCAGGTCCAGACACGGGGAGGATTGACAGATTGAGAGCTCTTTCTTGATTCTGTGGGTGGTGGTGCATGGCCGTTCTTAGTTGGTGGGTTGCCTTGTCAGGTTGATTCCGGTAACGAACGAGACCTCAGCCTGCTAAATAGTCACGTCTACCTCGGTAGGCGCCTGACTTCTTAGAGGGACTATTGGCGTTTAGCCAATGGAAGTGTGAGGCAATAACAGGTCTGTGATGCCCTTAGATGTTCTGGGCCGCACGCGCGCTACACTGATGCATTCAACGAGCCTATCCTTGGCCGAGAGGTCCGGGTAATCTTTGAAACTGCATCGTGATGGGGATAGATTATTGCAATTATTAGTCTTCAACGAGGAATGCCTAGTAAGCGCGAGTCATCAGCTCGCGTTGATTACGTCCCTGCCCTTTGTACACACCGCCCGTCGCTCCTACCGATTGGGTGTGCTGGTGAAGTGTTTGGATCGGTATCAATGGGGGGCAACCTC</t>
  </si>
  <si>
    <t>&gt;AL5_A11_RBCLAR_Premix
GACTAAGCAGGTGCTGGGTTTAAAGCGGGTGTAAAAGATTACCGTTTAACATACTACACTCCAGACTACGTAGTTAGCGAAACTGATATTTTAGCAGCTTTCCGTATGACACCTCAACCAGGTGTTCCTCCAGAAGAATGTGGTGCAGCGGTTGCTGCTGAATCATCAACTGGTACATGGACTACTGTATGGACTGATGGTCTTACAAGTTTAGACAAATACAAAGGTCGTTGTTACGACCTTGAACCAGTGCCGGGGGAAGAAAATCAATATATCGCATACGTAGCGTACCCGATCGATTTATTTGAGGAAGGTTCAGTAACAAACTTATTCACTTCAATTGTAGGTAACGTATTTGGTTTCAAAGCGTTACGTGCATTACGTCTTGAAGATCTTCGTATTTCACCAGCTTATGTTAAAACATTCGTTGGACCACCTCATGGTATTCAAGTTGAGCGTGACAAATTAAACAAATATGGTCGTGGTTTATTAGGTTGTACAATTAAACCAAAATTAGGTTTATCAGCTAAAAACTACGGACGTGCTGTTTACGAATGTTTAC</t>
  </si>
  <si>
    <t>mala calidad 23s</t>
  </si>
  <si>
    <t>secuenciada bacteria</t>
  </si>
  <si>
    <t>&gt;BEA1668_EUKB_Premix
TAGAGCTGAGGTCAATGGTCGATAGGGATAGTCGGGGGCCTTTGTATTTAACTGTCAGAGGTGAAATTCTGGGATCTTTAAAGACGGACTACTGCGAAAGCATCTGCCAAGGGATGTATTCATTGATCAAGAACGATAGTTAGGGGATCGAAGACGATCAGATACCGTTCCTAGTTTTAACCATAAACTATGCCAACTAGAGATGGGAGGTCGTTAACCTATACGACTCCTTCAGCACCTTTTGAGAAATCAAAGTCTATGGGTTCCGGGGGGAGTATGGTCGCAAGGCTGAAACTTAAAGGAATTGACGGAAGGGCACCACCCGGAGTGGAGCCTGCGGCTTAATTTGACTCAACACGGGGAAACTTACCAGGTCCAGACATCGTAAGGATTGACAGATTGATAGCTCTTTCTTGATTCTATGGGTGGTGGTGCATGGCCGTTCTTAGTTGGTGGAGTGATTTGTCTGGTTAATTCCGTTAACGAACGAGACCTTAACCTGCTAAATAGTTACATGTAACCACGGTTACATGGGCAACTTCTTAGAGGGACTTTGTGTGTCTAACGCAAGGAAGTTTGAGGCAATAACAGGTCTGTGATGCCCTTAGATGTCCTGGGCTGCACGCGCGCTACACTGATGCGCTCAACGAGTTTACAATCTTGCCTGAAATGGCCGGGTAATCTTTTTAAAATGCATCGTGATGGGGATAGATCATTGCAATTATTGATCTTCAACGAGGAATTCCTAGTAAGCGCGAGTCATCAGCTCGTGCTGATTACGTCCCTGCCCTTTGTACACACCGCCCGTCGCTCCTACCGATTGAGTGATCCGGTGAATTATTCGGACTGACGCAGTGCTCAGCTTCTGGACGTTGCGTAGGAAAGTTTCA
&gt;BEA1668_EUKA_Premix
ACTGCGAATGGCTCATTAAAGCAGTTATAATTTATTTGATGGTCACTGCTACATGGATAACTGTGGTAATTCTAGAGCTAATACATGCACCAAAACCCAACTTTGCAGAAGGGTTGTATTTATTAGATACAGAACCAACGCAGGCTCCGCCTGGTTGTGGTGATTCATGATAACTCGATGAATCGTGTGGCTTGGCCGACGATGCATCTTTCAAGTTTCTGACCTATCAGCTTCCGACGGTAGGGTATGGGCCTACCGTGGCAATGACGGGTAACGGAGAATTAGGGTTTGATTCCGGAGAGGGAGCCTGAGAAACGGCTACCACATCTAAGGAAGGCAGCAGGCGCGCAAATTACCCAATCCTGACACAGGGAGGTAGTGACAAGAAATAACAATACAGGGCATCCATGTCTTGTAATTGGAATGAGTAGAATTTAAACCCCTTTATGAGTATCAATTGGAGGGCAAGTCTGGTGCCAGCAGCCGCGGTAATTCCAGCTCCAATAGCGTATATTAAAGTTGTTGCGGTTAAAAAGCTCGTAGTTGGATTTCTGTTGAGGATGACCGGTCCGCCTTCCGGGTGTGCATCTGGCTCAGCCTTGACATCTTCCTAAAGAACGTATCTGCACTTCATTGTGTGGTGCGGTATTTAGGACATTTACCTTGAGGAAATTAGAGTGTTTCAAGCAAGCGATTGCCTTGAATACATTAGCATGGAATAATAAAATAGGACCTCACTT</t>
  </si>
  <si>
    <t>&gt;BEA1750_18S13R_loq
TCAGGTTGATTCCGGTAACGAACGAGACCTCAGCCTGCTAAATAGTAACTTGCGCCTTTTGGCGGATGCGGACTTTTTAGAGGGACTATTAACGTTTAGTTAATGGAAGTATGAGGCAATAACAGGTCTGTGATGCCCTTAGATGTTCTGGGCCGCACGCGCGCTACACTGATGCGTTCAACAAGCCTATCCTTGACCGAGAGGTCCGGGTAATCTTTGAAACCGCATCGTGATGGGGATAGATTATTGCAATTATTAGTCTTCAACGAGGAATGCCTAGTAAGCGCAAGTCATCAGCTTGTAATCAATATAGGCTGAGATAGTGGTTGCAACACATCCGCTAGTCATTGGCGATTTATGTCAATGGCAACACCGTCAAATTGCTGGGACGTCCTGTTAAGCAATTGGTACCGCCGGCATTGGGAAACCACTGTTGGCACCCGGTCGAAAGGCTTGGGGTATGGTGACAATCCAATTGATAGGGACAATCAGCAGCCAAGTCCTAAGGGTTTTTAACCTATGGATGCAGTTCACAGACTAAATGGCGGTGGGCACTAACAATGGTGCTTAAGATATAGTCGGTCCCTACTGAGAAGTAGCCGTTGGGAGGAACCTCTTTTGAGGGGAGAGCCCATTGGGGAACTAGTACCAAGTACTATGTGGTGCAAGCTACATAGGGCTACACAAAGGCCTACTGGTTCTGGAGGAAACGTGCGTCGATTACGTCCCCGCCCTTCGTACTCACCTCCCGCTCCTCGTTACGACGTCACCTTCCTCTCCATGTTACGACGTCACCTTCCTCTAACCGCTGACGACGTCACCTTAGA</t>
  </si>
  <si>
    <t>&gt;BEA1913_18S001F_Premix_LOQ
GTTCTACTCAATATTATTAGATCTCCTTTATGATTATATGCATATATCTTACTATGTATAATACTCGTTATACAAATATAGCCTATTTCATTACATACCATGTTTAATACTCGGTACTTATTGTCCAAATAAAACGTTCTATATAATTTTTCCCCCCCGTTTTTATGCTCTATATCTATTCTATGCTCTTTGCCTGGTGTAGGCTCTGTTCTATTCAAATTTCTGCCCTATCAACTTTCGATGGTTGATAGAGGCCTTTATGTTGGTTCGGGTGACTCAGGATTAGGGTTCGATTCCGGAGAGGGAGCCTGAGAAACGGCTACCACATCCAAGGAAGGCAGCAGGCGCGCAAATTACCCAATCCTGATACGGGGAGGTAGTGACAATAAATAACAATACCGGGCATTTCATGTCTGGTAATTGGAATGAGTACAATCTAAATCCCTTAACGAGGATCCATTGGAGGGCAAGTCTGGTGAACCTGAGGTATCACTCACATTGCTGCTGACGCCACAGATAGTAGGACGAATGCTTTCCAGCATTTGTTACGCCTGCTAGTCGAGCAACCATCAGTTTTGAATGGGTCGGTTGCCGGCAAGATGACCTGGAACGGGGAAGGCCTTCACAACACCTGGCTAATCCCGTGGCGAGCTCGCAAAAGGCGACTTTTGTAGAGCCGTCGTAACGCACG</t>
  </si>
  <si>
    <t>&gt;BEA1944_EUKB_Premix_Grasiella
TACTTTAGCACGGAATAACACGATAGGATTTTGGCCTTCCTTGTTGGTCCGTAGGACGGGGGTAATGATTTAGAGGGACCGTCGGGGGCCTTTCGTATTTCATTGTTAAGAGGTGAAATTCTCGGATTTATGAAAGACGAACTACTGCGAAAGCATTTGCCAAGGATGTTTTCTTTAATCAAGAACGAAAGTGGGGGCTCGAAGACGATCAGATACCGTTGTAGTCTCAACCATAAACGATGCCGACTAGGGATTGGCGAATGTTTTTTTAATGACTTCGCCAGCACCTTATGAGAAATCAAAGTTTTTGGGTTCCGGGGGGAGTATGGTCGCAAGGCTGAAACTTAAAGGAATTGACGGAAGGGCACCACCAGGCGTGGAGCCTGCGGCTTAATTTGACTCAACACGGGAAAACTTACCAGGTCCAGACATAGTGAGGATTGACAGATTGAGAGCTCTTTCTTGATTCTATGGGTGGTGGTGCATGGCCGTTCTTAGTTGGTGGGTTGCCTTGTCAGGTTGATTCCGGTAACGAACGAGACCTCAGCCTGCTAAATAGTCCTAGTTGCTTTTTGCAGCTAGCTGACTTCTTAGAGGGACTATTGGCGTTTAGTCAATGGAAGTATGAGGCAATAACAGGTCTGTGATGCCCTTAGATGTTCTGGGCCGCACGCGCGCTACACTGATGCATTCAACAAGCCTATCCTTGACCGAAAGGTCCGGGTAATCTTTGAAACTGCATCGTGATGGGGATAGATTATTGCAATTATTAGTCTTCAACGAGGAATGCCTAGTAAGCGCAAGTCATCAGCCTGCGTTGATTACGTCCCTGCCCTTTGTACACACCGCCCGTCGCTCCTACCGATTGGGTGTGCTGGTGAAGTGTTAGGATTGGCAGCTTAGGGTGGCAACACCTCAGGTAAAC
&gt;BEA1944_EUKA_Premix
TATACACATCTCGCTTATACATAGATGAAACTGCGAATGGCTCATTAAATCAGTTATAGTTTATTTGGTGGTACCTTACTACTCGGATAACCGTAGTAATTCTAGAGCTAATACGTGCGTAAATCCCGACTTCTGGAAGGGACGTATATATTAGATAAAAGGCCGACCGGGCTTTGCCCGACCCGCGGTGAATCATAATATCTTCACGAAGCGCATGGCCTTGCGCCGGCGCTATTCCATTCAAATTTCTGCCCTATCAACTTTCGATGGTAGGATAGAGGCCTACCATGGTGGTAACGGGTGACGGAGGATTAGGGTTCGATTCCGGAGAGGGAGCCTGAGAAACGGCTACCACATCCAAGGAAGGCAGCAGGCGCGCAAATTACCCAATCCTGATACGGGGAGGTAGTGACAATAAATAACAATACCGGGCATTTCATGTCTGGTAATTGGAATGAGTACAATCTAAATCCCTTAACGAGGATCCATTGGAGGGCAAGTCTGGTGCCAGCAGCCGCGGTAATTCCAGCTCCAATAGCGTATATTTAAGTTGTTGCAGTTAAAAAGCTCGTAGTTGGATTTCGGGTGGGTTCTAGCGGTCCGCCTATGGTGAGTACTGCTATGGCCTTCCTTTCTGTCGGGGACGGGCTTCTGGGCTTAACTGTCCGGGACTCGGAGTCAACGTGTTACTTTACTAAATTAGAGTGTTCGAAGCAGGCTTACACCCTGAATACTTTACCAGGGAATAACCCATCGGACTCTTGTCCTATATTGGTTGGTCTGTACCA</t>
  </si>
  <si>
    <t>&gt;BEA1945_EUKB_Premix_718_Parachlorella_sp
CTGAAGACGATAAGAAACCGTCCTTGTTTCAACCATAAACGATGCCGACTAGGGATCGGGGGGTGTTTTTTTGATGATCCGCTCGGCACCTTATGAGAAATCAAAGTTTATGGGTTCCGGGGGGCGTATGGTCGCAAGGCTGAAACTTAAGGGAATTGACGGAAGGGCACCACCAGGCGTGGAGCATGCGGCTTAATTTGACTCAACACGGGAAAACTTACCAGGTCCAGACATAGTGAGGATTGACAGATTGAGAGCTCTTTCTTGATTCTATGGGTGGTGGTGCATGGCCGTTCTTAGTTGGTGGGTTGCCTTGTCAGGTTGATTCCGGTAACGAACGAGACCTCAGCCTGCTAAATAGTCACGGCCTCCTCGGGGGCCGGCAGACTTCTTAGAGGGACTATTGGCGACTAGCCAATGGAAGCATGAGGCAATAACAGGTCTGTGATGCCCTTAGATGTTCTGGGCCGCACGCGCGCTACACTGATGCATTCAACGAGCCTAGCCTTGACCGAGAGGTCCGGGTAATCTTTGAAACTGCATCGTGATGGGGATAGATTATTGCAATTATTAATCTTCAACGAGGAATGCCTAGTAAGCGCAAGTCATCAGCTTGCGTTGATTACGTCCCTGCCCTTTGTACACACCGCCCGTCGCTCCTACCGATTGGGTGTGCTGGTGAAGTGTTCGGATTGGCAACCCGGGGCGGTTTCCGCTAT
&gt;BEA1945_EUKA_Premix_715
AACTGCGAATGGCTCATTAAATCAGTTATAGTTTATTTGATGGTACCTTACTACCGGATAACCGTAGTAATTCTAGAGCTAATACGTGCGTAAATCCCGACTTCTGGAAGGGACGTATTTATTAGATTTAAGGCCGACCCGGCTCTGCCGGTCTCGCGGTGAATCATGATAACTTCACGAATCGCATGGCCTTGCGCCGGCGATGTTTCATTCAAATTTCTGCCCTATCAACTTTCGATGGTAGGATAGAGGCCTACCATGGTGGTAACGGGTGACGGAGGATTAGGGTTCGATTCCGGAGAGGGAGCCTGAGAAACGGCTACCACATCCAAGGAAGGCAGCAGGCGCGCAAATTACCCAATCCTGACACAGGGAGGTAGTGACAATAAATAACAATACCGGGCCTTTTCAGGTCTGGTAATTGGAATGAGTACAATCTAAACCCCTTAACGAGGATCAATTGGAGGGCAAGTCTGGTGCCAGCAGCCGCGGTAATTCCAGCTCCAATAGCGTATATTTAAGTTGCTGCAGTTAAAAAGCTCGTAGTTGGATTTCGGGCGGGGCCTGCCGGTCCGCCTTTTCGGTGTGCACTGGCAGGGCCCGCCTTGTTGCCGGGGACGGGCTCCTGGGCTTCACTGTCCGGAACTCAAAATCAGCCCTCTTACTTTCAGTAAATTATCAGTGTTGAAGCAAGCCGACGCTCTTTATACATTAT</t>
  </si>
  <si>
    <t>secuenciado hongo</t>
  </si>
  <si>
    <t>&gt;BEA1998_18S001F_Premix_Dunaliella_sp
TAAACTGCTTATACTGTGAAACTGCGAATGGCTCATTAAATCAGTTATAGTTTATTTGATGGTACCTTTACTCGGATAACCGTAGTAATTCTAGAGCTAATACGTGCGTAAATCCCGACTTCTGGAAGGGACGTATTTATTAGATAAAAGGCCAGCCGGGCTTGCCCGACTCTTGGCGAATCATGATAACTTCACGAATCGCACAGCTTTATGCTGGCGATGTTTCATTCAAATTTCTGCCCTATCAACTTTCGATGGTAGGATAGAGGCCTACCATGGTGGTAACGGGTGACGGAGGATTAGGGTTCGATTCCGGAGAGGGAGCCTGAGAAACGGCTACCACATCCAAGGAAGGCAGCAGGCGCGCAAATTACCCAATCCCAACACGGGGAGGTAGTGACAATAAATAACAATACCGGGCATTTTTGTCTGGTAATTGGAATGAGTACAATCTAAATCCCTTAACGAGTATCCATTGGAGGGCAAGTCTGGTGCCAGCAGCCGCGGTAATTCCAGCTCCCATAGCGTATATTTAAGTTGTTGCAGTTAAAAAGCTCGTAGTTGGATTTCGGGTGGGTTGTAGCGGTCAGCCCTTTGGTTAGTACAGCGCTATGGCCTACCTTTCTGCCGGGGACGAGCTCCTGGGCTTAACTGTCCCGGGACTCGGAATCGGCAAGGTTACTTTGAGTAAATTAGAGTGTTCAAAGCAAGCCTACGCTCTGAGTACATTAGCAGGGAAAAACACGATGGGACTCTGGCTTATCTTGGTTGGTCTGTAAGACGGAGTAATGATAAGAGGGACAGTCGGGGGCATTCGTATTTCATTGTCAGGAGGTGAAATTCTTGGGATTATGAAAGACGAATTTCTGCGAAAGCATTTGCCAGGGAGTTTTCATTAA
&gt;BEA1998_18S13R_Premix_Dunaliella_sp
GTATGGTCGCAAGGCTGAAACTAAAGGAATGAGGAAGGGCACCACCGGGCGTAACAGCTGTAAGCTAGCGCCTAAAGTCGGTGGGAAACCATGGGCTAGTCAACACCAGATGTGGCGACACTAACCAAATGCGGGAAAGTCCTAAAGCTTTACTACCCAAGCGGGGTGTGAAAGCACCTAGTGGCCAGGGTAACGACCTGGGGTATGGTAAGATCAGTAAAGATGTTACAATGGACATCCGCAGCCAAGCTCCTGAGGGTACCTTACCTATGGAGAAGGTTCAGAGACTAAATGGTAGTGGGCCTGTACGCAAGTGCTGGCTTAAGATATAGTCCGTCCCTGCCGAAAGGTAGTCTGCTAGAGGATTGTCATTGACATGAGAGTTAGCAGAAGATAGGCAACTATCTGGAGTAAACGGGAGCCTGCGGCTTAATTTGACTCAACACGGGAAAACTTACCAGGTCCAGACACGGGGAGGATTGACAGATTGAGAGCTCTTTCTTGATTCTGTGGGTGGTGGTGCATGGCCGTTCTTAGTTGGTGGGTTGCCTTGTCAGGTTGATTCCGGTAACGAACGAGACCTCAGCCTGCTAAATAGTCACGTCTACCTCGGTAGGCGCTTGACTTCTTAGAGGGACTATTGGCGTTTAGCCAATGGAAGTGTGAGGCAATAACAGGTCTGTGATGCCCTTAGATGTTCTGGGCCGCACGCGCGCTACACTGATGCATTCAACGAGCCTATCCTTGGCCGAGAGGTCTGGGTAATCTTTGAAACTGCATCGTGATGGGGATAGATTATTGCAATTATTAGTCTTCAACGAGGAATGCCTAGTAAGCGCGAGTCATCAGCTCGCGTTGATTACGTCCCTGCCCTTTGTACACACCGCCCGTCGCTCCTACCGATTGGGTGTGCTGGTGAAGTGTTTGGACTGATATCAATGGGGG</t>
  </si>
  <si>
    <t>&gt;BEA2002_18S13R_Premix_Dunaliella_sp
TCCTAAAGCTTTACTCACCAAGCTGGGTGTGAAAGCACCTAGTGGCCAGGGTAACGACCTGGGTATGGTAAGATCAGTAAAGATGTTACAATGGACAATCCGCAGCCAAGCTCCTGAGGGTACCTTACCTATGGAGAAGGTTCAGAGACTAAATGGTAGTGGGCCCTGTACGCAAGTGCTGGCTTAAGATATAGTCCGTCCCTGCCGAAAGGTAGTTTGCTAGAGGATTGTCATTGACATGAGAGTTAGCAGAAGATAGGCAACTATCTGGAGTAAACGGGAGCCTGCGGCTTAATTTGACTCAACACGGGAAAACTTACCAGGTCCAGACACGGGGAGGATTGACAGATTGAGAGCTCTTTCTTGATTCTGTGGGTGGTGGTGCATGGCCGTTCTTAGTTGGTGGGTTGCCTTGTCAGGTTGATTCCGGTAACGAACGAGACCTCAGCCTGCTAAATAGTCACGTCTACCTCGGTAGGCGCTTGACTTCTTAGAGGGACTATTGGCGTTTAGCCAATGGAAGTGTGAGGCAATAACAGGTCTGTGATGCCCTTAGATGTTCTGGGCCGCACGCGCGCTACACTGATGCATTCAACGAGCCTATCCTTGGCCGAGAGGTCTGGGTAATCTTTGAAACTGCATCGTGATGGGGATAGATTATTGCAATTATTAGTCTTCAACGAGGAATGCCTAGTAAGCGCGAGTCATCAGCTCGCGTTGATTACGTCCCTGCCCTTTGTACACACCGCCCGTCGCTCCTACCGATTGGGTGTGCTGGTGAAGTGTTTGGACTGATATCAATGGGGGGCAACCT
&gt;BEA2002_18S001F_Premix_Dunaliella_sp
TCTAGTATAAACTGCTTATACTGTGAAACTGCGAATGGCTCATTAAATCAGTTATAGTTTATTTGATGGTACCTTTACTCGGATAACCGTAGTAATTCTAGAGCTAATACGTGCGTAAATCCCGACTTCTGGAAGGGACGTATTTATTAGATAAAAGGCCAGCCGGGCTTGCCCGACTCTTGGCGAATCATGATAACTTCACGAATCGCACAGCTTTATGCTGGCGATGTTTCATTCAAATTTCTGCCCTATCAACTTTCGATGGTAGGATAGAGGCCTACCATGGTGGTAACGGGTGACGGAGGATTAGGGTTCGATTCCGGAGAGGGAGCCTGAGAAACGGCTACCACATCCAAGGAAGGCAGCAGGCGCGCAAATTACCCAATCCCAACACGGGGAGGTAGTGACAATAAATAACAATACCGGGCATTTTTGTCTGGTAATTGGAATGAGTACAATCTAAATCCCTTAACGAGTATCCTTGGAGGGCAAGTCTGGTGCCAGCAGCCGCGGTAATTCCCGCTCCCATAGCGTATATTTAAGTTGTTGCAGTTAAAAGCTCGTAGTTGGATTTCGGGTGGGTTGTAGCGGTCAGCCCTTTGGTTAGTACTGCTATGGCCTACCTTTCTGCCGGGACGAGCTCCTGGGCTTAACTGTCCGGGACTCGAATCGGCAAGTTACTTTGAGTAA</t>
  </si>
  <si>
    <t>&gt;BEA2021_18S001F_Premix_Dunaliella_sp
AGTATAAACTGCTTATACTGTGAAACTGCGAATGGCTCATTAAATCAGTTATAGTTTATTTGATGGTACCTTTACTCGGATAACCGTAGTAATTCTAGAGCTAATACGTGCGTAAATCCCGACTTCTGGAAGGGACGTATTTATTAGATAAAAGGCCAGCCGGGCTTGCCCGACTCTTGGCGAATCATGATAACTTCACGAATCGCACGGCTTTATGCCGGCGATGTTTCATTCAAATTTCTGCCCTATCAACTTTCGATGGTAGGATAGAGGCCTACCATGGTGGTAACGGGTGACGGAGGATTAGGGTTCGATTCCGGAGAGGGAGCCTGAGAAACGGCTACCACATCCAAGGAAGGCAGCAGGCGCGCAAATTACCCAATCCCAACACGGGGAGGTAGTGACAATAAATAACAATACCGGGCATTTTTGTCTGGTAATTGGAATGAGTACAATCTAAATCCCTTAACGAGTATCCATTGGAGGGCAAGTCTGGTGCCAGCAGCCGCGGTAATTCCAGCTCCAATAGCGTATATTTAAGTTGTTGCAGTTAAAAAGCTCGTAGTTGGATTTCGGGTGGGTTGTAGCGGTCAGCCTTTGGTTAGTACTGCTACGGCCTACCTTTCTGCCGGGGACGAGCTCCTGGGCTTAACTGTCCGGGACTCGGAATCGGCGAGGTTACTTTGAGTAAATTAGAGTGTTCAAAGCAAGCCTACGCTCTGAATACATTAGCATGGAATAACACGATAGGACTCTGGCTTATCTTGTTGGTCTGTAAGACCGGAGTAATGATTAAGAGGGACAGTCGGGGGCATTCGTATTTCATTGTCAGAGGTGAAATTCTTGGATTTATGAAAGACGAACTTCTGCGAAAGCATTTGCCAAGGATGTTTTCATTAATCAAGAACGAAAGTTGGGGGGCTCGAAAAACGATAAGATACCGTCGTAGTCTCAACCATAAACGATGCCGACTAGGGATTGGCAGGTGTTTCGTTGATGACCCTGC
&gt;BEA2021_18S13R_Premix_Dunaliella_sp
TAGAAACCCGTCGGTAGTTTCACCCATAAACGATGCCGACTAGGGATGGCAGGTGTTTCGTTGATGACCCTGCCAGCCCCTTATGAGAAATCAAAGTTTTTGGGTTCCGGGGGGAGTATGGTCGCAAGGCTGAAACTTAAAGGAATGACGGAAGGGCACCACCAGGCGTTAACTTAGCTGCAAGCTCAGCGCCTCAAAGTCATAGGGAAACCCTTGGGCTAGTACTTGGGTGTTACATTTTGATGTCATCCAAGTGCAACACTGTTCAAATTGCGGGAAAGCCCTAAAGCTTTGCTAACCAAGCTGTTCTAGAAATAGAATAGTGGCCGGGTCAAAGACCTTGGGTACGGTAAAATCAGCAAAGATGCAACAATGGGCAATCCGCAGCCAAGCTCCTAAGGGTTCACCGAGCCTAAGGAGAAGGTTCAGAGACTAAATGGCAGTGGGCTAGCAAGACAATGCTGGCTTAAGATATAGTCCGTCCCAGCTGAGAGGCTGCCTATTAGAGGAATGCCGCAAGGCAGGAGAGCTAATAGGAAGTAAGTGTTCATGACCTTACTTGGATGCAACGGGAGCCTGCGGCTTAATTTGACTCAACACGGGAAAACTTACCAGGTCCAGACACGGGGAGGATTGACAGATTGAGAGCTCTTTCTTGATTCTGTGGGTGGTGGTGCATGGCCGTTCTTAGTTGGTGGGTTGCCTTGTCAGGTTGATTCCGGTAACGAACGAGACCTCAGCCTGCTAAATAGTCACGTCTACCTCGGTAGGCGCCTGACTTCTTAGAGGGACTATTGGCGTTTAGCCAATGGAAGTGTGAGGCAATAACAGGTCTGTGATGCCCTTAGATGTTCTGGGCCGCACGCGCGCTACACTGATGCATTCAACGAGCCTATCCTTGGCCGAGAGGTCCGGGTAATCTTTGAAACTGCATCGTGATGGGGATAGATTATTGCAATTATTAGTCTTCAACGAGGAATGCCTAGTAAGCGCGAGTCATCAGCTCGCGTTGATTACGTCCCTGCCCTTTGTACACACCGCCCGTCGCTCCTACCGATTGGGTGTGCTGGTGAAGTGTTTGGATCGGTATCAATGGGGGGCAACCTCTGTT</t>
  </si>
  <si>
    <t>&gt;BEA2022_18S001F_Premix_Dunaliella_sp
CTAGTATAAACTGCTTATACTGTGTAACTGCGAATGGCTCATTAAATCAGTTATAGTTTATTTGATGGTACCTTTACTCGGATAACCGTAGTAATTCTAGAGCTAATACGTGCGTAAATCCCGACTTCTGGAAGGGACGTATTTATTAGATAAAAGGCCAGCCGGGCTTGCCCGACTCTTGGCGAATCATGATAACTTCACGAATCGCACGGCTTTATGCCGGCGATGTTTCATTCAAATTTCTGCCCTATCAACTTTCGATGGTAGGATAGAGGCCTACCATGGTGGTAACGGGTGACGGAGGATTAGGGTTCGATTCCGGAGAGGGAGCCTGAGAAACGGCTACCACATCCAAGGAAGGCAGCAGGCGCGCAAATTACCCAATCCCAACACGGGGAGGTAGTGACAATAAATAACAATACCGGGCATTTTTGTCTGGTAATTGGAATGAGTACAATCTAAATCCCTTAACGAGTATCCATTGGAGGGCAAGTCTGGTGCCAGCAGCCGCGGTAATTCCCGCTCCATAGCGTATATTTAAGTTGTTGCAGTTAAAAAGCTCGTAGTTGGATTTCGGGTGGGTTGTAGCGGTCAGCCCTTTGGTTAGTACTGCTACGGCCTACCTTTCTGCCGGGGACGAGCTCCTGGGCTTAACTGTCCGGGACTCGAATCGGCAA
&gt;BEA2022_18S13R_Premix_Dunaliella_sp
GTTAACTAGCTGCAAGCTCAGCGCCTCAAAGTCATAGGGAAACCCTGGCTAGTACTTGGGTGTTACATTTTGATGTCATCCAAGTGCAACACTGTTCAAAATGCGGGAAAGCCCTAAAGCTTTGCTAACCAAGCTGTTCTAGAAATAGAATAGTGGCCGGGTCAAAGACCTTGGGTACGGTAAAATCAGCAAAGATGCAACAATGGGCAATCCGCAGCCAAGCTCCTAAGGGTTCACCGAGCCTAAGGAGAAGGTTCAGAGACTAAATGGCAGTGGGCTAGCAAGACAATGCTGGCTTAAGATATAGTCCGTCCCAGCTGAGAGGCTGCCTATTAGAGGAATGCCGCAAGGCAGGAGAGCTAATAGGAAGTAAGTGTTCATGACCTTACTTGGATGCAACGGGAGCCTGCGGCTTAATTTGACTCAACACGGGAAAACTTACCAGGTCCAGACACGGGGAGGATTGACAGATTGAGAGCTCTTTCTTGATTCTGTGGGTGGTGGTGCATGGCCGTTCTTAGTTGGTGGGTTGCCTTGTCAGGTTGATTCCGGTAACGAACGAGACCTCAGCCTGCTAAATAGTCACGTCTACCTCGGTAGGCGCCTGACTTCTTAGAGGGACTATTGGCGTTTAGCCAATGGAAGTGTGAGGCAATAACAGGTCTGTGATGCCCTTAGATGTTCTGGGCCGCACGCGCGCTACACTGATGCATTCAACGAGCCTATCCTTGGCCGAGAGGTCCGGGTAATCTTTGAAACTGCATCGTGATGGGGATAGATTATTGCAATTATTAGTCTTCAACGAGGAATGCCTAGTAAGCGCGAGTCATCAGCTCGCGTTGATTACGTCCCTGCCCTTTGTACACACCGCCCGTCGCTCCTACCGATTGGGTGTGCTGGTGAAGTGTTTGGATCGGTATCAATGGGGGGCAACCT</t>
  </si>
  <si>
    <t>&gt;BEA2031_18S001F_loquality
ATCCACTTTACAAATCTTTCAACACCCTGGCCTTATTATTAGTTATCCTAAAGCAACACTTGCTTTCCCATCCTCCTCGGCGAATTTCGTGGGTTGGGACAAATGGTTTCCCTTGGGAAAATGATTACGAAGTCCTTGTTATGATTTGCGCCATTGGGCTTTAATCCGATCATGTTGACTTGTTTTGTGCATGCTAGATTTACTTCAAGGATGTTGTTCACAAACTTTATGGCGAAGGGTGCCGGAGTTCTATTTTTCTTTTCGTAACAAACCTACTTTATAGACGGGTCCCTATAGATGTGCCGGACATCACGAGCCTGCCCACCGGCAAGCGTGCGGGGGAGAGCTCGTCCGGAGCCGCGGCCCTGCTCCGCAGGGCCCGTTGCGTGCATTGCGCTCTAAGATCAAGCCTTGCTTGTCTAAGTATAAACTGCTTATACTGTGAAACCGCGAATGGCTCATTAAATCAGTTATAGTTTATTTGGTGGTACCTTCTTACTCGGATACCCGTAAGAAATTTAGAGCTAATACGTGCGTACATCCCGACTTCTGGAAGGGACGTATATATTAGATAAAAGGCCGACCGAGCTTTGCTCGACCCGCGGTGACTCATGATATCTTCACGAAGCGCAGGGCCTCGCGCCGGCGCTGTTCCATTTCAAATTTCTGCCCTATCAACTTTCGATGGTAGGATAGAGGCCTACCATGGTGTTCACGGGTGACGGAGGATTAGGGTTCGATTCCGGAGAGGGAGCCTGAGAAACGGCTACTCACATCCCAAGGAAGGCAGCTGGCGCGCAAATTACCCAATCTTGATACT</t>
  </si>
  <si>
    <t>&gt;BEA2057_18S13R_Premix_Diatomea
TTATGCCGTTGAATATATTAGCATGGAATAATAAGAAAAGGACCTCGGTACTTTTTTGTTGGTTTGAGAACCACGGTATTGATGAATAGGGACAGTGGGGGTATTCGTATTCAGTTGTCAGAGGTGAAATTCTCAGATTTACGGAAGACGAACTACTGCGAAAGCATTTACCAAGGATGTTTTCATTAATCAAGAACGAAAGTATGGGGATCGAAGATGATTAGATACCATCGTAGTCTATACCATAAACTATGCCGACTCAGGATTGTCAGGTGTCTTTTGACCTTGGCAGCACTGTGTGAGAAATCAAAGTCTTTGGGTTCCGGGGGGAGTATGGTCGCAAGGCTGAAACTTAAAGAAATTGACGGAAGGGCACCACCAGGAGTGGAACCTGCGGCTTAATTTGACTCAACACGGGAAAACTTATCAGGTCCAGACATAGTGAGGATTGACAGATTGAGAGCTCTTTCTCGATTCTATGGGTGGTGGTGCATGGCCGTTCTTAGTTGGTGGAGTGATTTGTCTGGTTAATTCCGTTAACGAACGAGACCCCAGCCTGCTAAATACTTGCACGAATGACTTTTCATTGGTGACAGGTTCTTAGAGGGACATGTAGTATAAAACTACAGGAAGATTGGGGCAATAACAGGTCTGTGATGCCCTTAGATGTTCTGAACCGCACGCGTGTTACACTGATGCATTCAACGAGCTTTACCTTGGCCGAGAGGCCTGGGAAATCTTTTTAGCATGCATCGTGATAGGAGATTGATTATCGCAATTATTAATCATGAGCGAGGAACTCTCTTGTAAACGCATTTCATCAAAACGCAGTGATTACGTCCCTGCCCTTTGTACACACCGCCCGTCGCACCTACCGATTGAGTGGTCCGGTGAAGTCTCGAGATTGAATCAATCTCCTTCATCGGAGCAGACTCGAGCGCTCGCTCTGTAGTAGCA</t>
  </si>
  <si>
    <t>revisar con virg</t>
  </si>
  <si>
    <t>&gt;BEA2077_EUKB_Premix_Ulva_sp
AAGTAAATTAGAGTGTTCAAAGCAAGCTTACGCTTTGAATTTAATAGCATGGGATAACCCGGCTAGGATTTGGCCTATCGTGTTGGTCTATAGGACCAGAGTAATGATTAAGAGGGACAGTCGGGGGCATTCGTATTCCGTTGTCAGAGGTGAAATTCTTGGATTTACGGAAGACGAACATCTGCGAAAGCATTTGCCAAGGATGTTTTCATTGATCAAGAACGAAAGTTGGGGGCTCGAAGACGATTAGATACCGTCGTAGTCTCAACCATAAACGATGCCGACTAGGGATTGGCGGGTGTTTTTTTGATGACTCCGCCAGCACCTCATGAGAAATCAAAGTTTTTGGGTTCCGGGGGGAGTATGGTCGCAAGGCTGAAACTTAAAGGAATTGACGGAAGGGCACCACCAGGCGTGGAGCCTGCGGCTTAATTTGACTCAACACGGGAAAACTTACCAGGTCCAGACATAGGAAGGATTGACAGATTGAGAGCTCTTTCTTGATTCTATGGGTGGTGGTGCATGGCCGTTCTTAGTTGGTGGGTTGCCTTGTCAGGTTGATTCCGGTAACGAACGAGACCTCAGCCTGCTAAATAGTGACGTCTGCTGCGGCAGTCGCGCGCTTCTTAGAGGGACTGTTGGCGTCTAGCCAATGGAAGTATGAGGCAATAACAGGTCTGTGATGCCCTTAGATGTTCTGGGCCGCACGCGCGCTACACTGATACGTTCAACGAGCTCCTTGACCGAGAGGCCCGGGTAATCTTTGAAACCGTATCGTGATGGGGATAGAACATTGCAATTATTGTTCTTCAACGAGGAATGCCTAGTAAGCGCGAGTCATCATCTCGCGTTGATTACGTCCCTGCCCTTTGTACACACCGCCCGTCGCTCCTACCGATTGAACGTGCTGGTGAAGCGTTAGGACTGGAACTTTGGGCCGGTTTCCCTGCCCATCGATTAAGGAATTTCGTCAACCCCCCGTAGGGTAAGCAACAGCATCTATCGTAAGTATGCCTGG
&gt;BEA2077_EUKA_Premix_Ulva_lq_sp
AATACGTGCGCAACTCCCGACTCACGAAGGGACGTATTTATTAGATTCAAGGCCGACCGTGCTTGCACGTCTTTGGTGAATCATGGTAACTTCACGAATCGCAGGGTTTATCCCGGCGATGTTTCATTCAACTTTCTGCCCTATCAACTTTCGACGGTAGTATAGAGGACTACCGTGGTGGTAACGGGTGACGGAGGATTAGGGTTCGATTCCGGAGAGGGAGCCTGAGAAACGGCTACCACATCCAAGGAAAGGGGCCAAGGCCCAAGGGGCCGGCCGGCCAAAAAATTTTAACCCCCCAAAATTCCCCTGGAACCACCAAGGGGGGAAAGGGGTTAAGGTTGGAACCAAAAATTAAAAAAATTAATTTCCAAAATTTTTCCTGG</t>
  </si>
  <si>
    <t>&gt;BEA2097_EUKB_Premix_Deuterostichococcus
GGCACCGAACGCGACCTCCCCCCGCCACAACGTCACCTCCCGGTCCCTCCGTCGGCCGACTTCCCAGAGGGACCACCGGCGACTAGCCAACGGAAGTCTGAGGCAATAACAGGTCTGTGATGCCCTCAGATGTTCTGGGCCGCACGCGCGCTACACTGATGCATTCAACGAGCCTATCCTGACCGACAGGTCCGGGTAATCTGCGAAACTGCATCGTGATGGGGATAGATTATTGCAATTATTAATCTTCAACGAGGAATGCCTAGTAAGCGCGAGTCATCAGCTCGCGTTGATTACGTCCCTGCCCTTTGTACACACCGCCCGTCGCTCCTACCGATTGGATGTGCTGGTGAAGCGTTTGGATTGGCGACCTGCGGCGGTAACGCTGTTTGTCGCCGAGAAGTTCGTTAAACCCTCCCATCTAGAGGAAGGAGAAGTCGTAACAAGGTTTCCTTTCGCATGCCAGGTTCTCACCTGCCGAAGCCTTAGCCGCCCGAAAGGGTGCTCGCCGCGACTTTATACGACACACGTACTAAAATAAAGAGCGAGCTCAAAGTGCTAGTCGACTCGGAAGAGTCGGCGACACCGTCAAATTGCGGGAATGCCCACAACAACTCTCGAACACCAAGCGGCTCGCCGAAAGGCGCCCGTGGCCGGGGTAATGACCCAGGGTATGGTAACAGCGTCGAGGGGAGAAGCTCTTTCGTTTCCAAGCAAGCGGCAGAGTGGAAGTGGGTGATCCGCAGCCAAGTCCTACGGCATTGTCAACAATGCCAAAGGATGCTGTTCACAGACTACACGGCGGTGGGTTTTTCGGTCGCACGAA
&gt;BEA2097_EUKA_Premix_Deuterostichococcus
TCAGTTATAGTTTATTTGATGGTACCTTACTACTCGGATAACCGTAGTAATTCTAGAGCTAATACGTGCGCAAATCCCGACTTCCGGAAGGGACGTATTTATTAGATAAAAGGCCGACCGGGCTTGCCCGACTCGCGGTGAATCATGATAACTTCACGAATCGCATGGCCTCTGCGCCGGCGATGTTTCATTCAAATTTCTGCCCTATCAACTTTCGATGGTAGGATAGAGGCCTACCATGGTGGTAACGGGTGACGGGGGATTAGGGTTCGATTCCGGAGAGGGAGCCTGAGAAACGGCTACCACATCCAAGGAAGGCAGCAGGCGCGCAAATTACCCAATCCTGACACAGGGAGGTAGTGACAATAAATAACAATACCGGGCTTTTCAAGTCTGGTAATTGGAATGAGTACAATCTAAATCCCTTAACGAGGATCAATTGGAGGGCAAGTCTGGTGCCAGCAGCCGCGGTAATTCCAGCTCCAATAGCGTATATTTAAGTTGCTGCACTTAAAAAGCTCGTAGTTGGATTTCGGATGGGTTCCGCCGGTCCGCCATTTCGGTGTGCACTGACTGCCCCCATCTTGCTGTCGGGGACGGGCTCCTAGGTCTTAACTGTCCGGCACTCCCTAGTCTACGATTTTACTTTTAATATATTGCATTGTTCAA</t>
  </si>
  <si>
    <t xml:space="preserve">no enviada </t>
  </si>
  <si>
    <t>MALA CLAIDAD</t>
  </si>
  <si>
    <t>&gt;BEA2179_EUKB_Premix_Massisteria_marina_protista
AGGAATCTGGGATCGTAGACTATATCGAAGATCCACAAGAGTCTCTTTATCAAGAACGAAGTGGATCGAAGGATCCAGATACCTGTAGTTCACATAAACGATACCGACTAGGGATCGCCGACGCTGTTTTTTACTGGCTCCGTCGCCACCTGTGAGAAATCAAAGTCTTTGGGTTCCGGGGGGAATTAGTGGCAAGGGTAAATTAAAAAGTTATGGAGGGGCGCCCCCCGCCAGGAGCGCGCCTGGGATTATTTGACTCAACACGGGAAAACTTACCAGGTCCAGACATAGTGAGGATTGACAGATTGAAGATCTTTCTTGATTCTATGGGTGGTGGTGCATGGCCGTTCTTAGTTGGTGGAGTGATTTGTCTGGTTTATTCCGTTAACGAACGAGACCTCGACCTGCTAAATAGTACCGCTCGCCGTTCGCGGCGGGCTGGAGACTTCTTAGAGGGACTATCGGTGGTTAGCCGGTGGAAGTTCGAGGCAATAACAGGTCTGTGATGCCCTTAGATGTTCTGGGCCGCACGCGCGCTACACTGACGCATTCATCAAGCCTTCAACCTTGGCCGAGAGGCCTGGGTAATCTTTTGAAAGTGCGTCGTGATGGGGATAGATTATTGCAATTCTTAATCTTCAACGAGGAATTCCTAGTAAACGCATGTCATCAGCATGCATTGATTACGTCCCTGCCCTTTGTACACACCGCCCGTCGCTACTACCGATTGAATGTGTTAGTAAATAACCTTGATCGTCCCGCCCGGGGGTAGCTGAACCAAAACAACCT
&gt;BEA2179_EUKA_Premix_loq_Massiteria_marina_protista
AAAGCATCAGGCGTTAGTTAACCCTTCAAAAGAATAAATAAAGCTTACTTACTGCGTGGACCACCGTAATAATTCTGGAGCTAAGAGGTGCACACCCCCCCGACTCTGGCGGGAAGGGGTGTATTTATTAGATAAAAAACCAACGGGCGTTCTGCGCTCTCTTGCGGTGACTCTTAATAACTTTTCGAATCGCATGGCCTCGTGCCTGCCATGGACCATTCAAATTTCTGCCCTATCAGCTTTTGACGGTGTGTAGTGGACTACCGTGGCGTTAACGGGTGACGGATAATTATGGTTCGATTCCGGAGAGGGAGCCTGAGAAACGGCTACCACATCTAAGGAAGGCAGCAGGCGCGCAAATTACCCAATCCTGACACAGGGAGGTAGTGACAAAATATAACAATGCCGGGCCTTTTCAGGTCTGGCAATTGGAATGAGTACAATTTAAATCCCTTAACGAGGATCCACTGGAGGGCAAGTCTGGTGCCAGCATCCGCGGGTAATTCCAGCTCCAGTAGCGTATATTAAAGTTGTTGCAGTTAAAAAGCTCGGTATTGGATTTCTGGCGTGGTGCGCCCGGCCCGACACCGCTAGGTGTCGAGTGCCGGCGCGCGCCTGCCATCCTTCCGGAGAGCGTGCCTACCCTTCACTGGGGCCGGGTACGCGATCTGGATCGTTTACTTTGAAAAAATTAGAGTGTTTAAAGCAGGGTTACGCTTCTGAATACATTAGCATGGGAAT</t>
  </si>
  <si>
    <t>&gt;BEA2184_EUKB_Navicula_sp
GAGGTAATGATTAATAGGGACAGTTGGGGGTTTTTGTATTCCACTGTTCAGAGGTGAAATTTTTGGATTTTTGGAAGACGAAATTACTGCGAAAGCATTTACCAAGGATGTTTTCATTAATCAAGAACGAAAGTTAGGGGATCGAAGATGATTAGATACCATCGTAGTCTTAACCATAAACTATGCCGACAAGGGATTGGTGGAGTCTCGTTATGTCTCCATCAGCACCTTATGAGAAATCACAAGTCTTTGGGTTCCGGGGGGAGTATGGTCGCAAGGCTGAAACTTAAAGAAATTGACGGAAGGGCACCACCAGGAGTGGAGCCTGCGGCTTAATTTGACTCAACACGGGAAAACTTACCAGGTCCAGACATAGTGAGGATTGACAGATTGAGAGCTCTTTCTTGATTCTATGGGTGGTGGTGCATGGCCGTTCTTAGTTGGTGGAGTGATTTGTCTGGTTAATTCCGTTAACGAACGAGACCACTGCCTGCTAAATAGCCCAGTGAGTGAATCTTCACTGACTGCTGGCTTTAACGAGGGACATCCATTCTGTCAGTCTTCCGGTGGTTTGAAAGTATAACAGGTGCATGATGCCAGTATATGTCTCTGGACTCGCAAACGCGGAACAGGTTCTGCATTCTCACGAGTTATACATTGGATAGTACGCTAGGACAATGTTTTCAACATGTAATTCTAATAGTGATACATGAGTCCAATTCTTTATGGTGAACGAGGAATTCGTTGGAAACCCAAATCTTCAGTGGTGCAGTGATGAATTCCAATCCGCTTGTACACACCGCCCGTCGCACCTACCGATTGAATGGTCCGGTGAAGCCTCGGGATTGTGGCCAGTTCACTTTATGG
&gt;BEA2184_EUKA_Premix_Navicula_sp
CGAACGGCTCATTATATCACTTATAATTTATTTGATAGTCCCTTACTACTTGGATAACCGTAGTAATTCT
AGAGCTAATACATGCGTCAATGCCCTTCTGGGGTAGTATTTATTAGATGGAAACCAACCCCTTCGGGGTG
ATGTGGTGAATCATAATAAGCTTGCACATCCGCGGCTCCCACCTACCGATTGAATGGTCCGTTTATGCCC
CATGATCGTGGGATGGTCAGTTTATGGCCAATTGGGGGTGATAAACTTGACTGAACCTTATCATTTTGAT
TCCGGTGAGGGAGTAACGAGGTTTCCGTACGGTGAACCTGGAAAAGCGATCAGCGCGTAAATTACCCAAT
CCTGACACAGGGAGGTAGTGACAATAAATAACAATGCCGGGCCATCATTGGTCTGGCAATTGGAATGAGA
ACAATTTAAATCCCTTATCGAGGATCAATTGGAGGGCAAGTCTGGTGCCAGCAGCCGCGGTAATTCCAGC
TCCAATAGCGTATATTAAAGTTGTTGCAGTTAAAAAGCTCGTAGTTGGATTTGTGGCGTACGGTGTGTTC
CGGGCACTTGTTGTCTGAGTGACCTGCTGTTGCCATCCTTGGGTGGAACCTGTGTGGCATTAGGTTGTCG
TGCAGGGGATGCCCATCATTTACTGTGAAAAAATTAGAGTGTTCAAAGCAGGCTTATGCCGTTGAATATA
TTAGCATGGAATAATGAGATAGGACTTTTTTGCTATTTTGTTGGTTTGCGCAAAAAGGTAATGATTAAAA
GGGACAGTTGGGGGTATTCGTATTCCATTGCCAGAGGTGAAATTCTTGGATTTTTGGCAAACAAACTACT
GCGAAAGCATTTACCAAGGAT</t>
  </si>
  <si>
    <t>&gt;BEA2185_EUKA_loquality_Melosira_sp
AGAACACAACAAAGGATCGGTGGGTAGGTCACCTATCAAAAAAACAAACAACCTTTACTATTTGGATAACCGTAGTAATTCTAGAGCTAATACATGCACGAGAATCCGACTTCGGAAGGATTGTATTTATTAGGTACCAAGCCAACCTCCCTCGGGAGCTCATTGGTGAATCATGATATTGGAACAGATCGCACGGCGTGAGCCGGCGACGGGTCATATAAGTTTCTGCCCTATCAGCTTTGGATGGTAGGGTATTTGCCTACCATGGCATTCACGGGTAACGGGAGATTAGGGTTTGACTCCGGAGAGGGAGCCTGAGAGACGGCTACCACATCCAGGACGCAGCAGGCGCGCAAATTACC
&gt;BEA2185_EUKB_Melosira_sp_loq
AGTGAGGATTGACAGATTGAGAGCTCTTTCTTGATTCTATGGGTGGTGGTGCATGGCCGTTCTTAGTTGGTGGAGTGATTTGTCTGGTTAATTCCGTTAACGAACGAGACCCCCGCCTGCTAAATAATTCCGCCAATGGTATTTCATTGGTGTCGAGTTTCTTAGAGGGACGTTCAGTGACTAACTGAAGGAAGATGGGGGCAATAACAGGTCTGTGATGCCCTTAGATGTTCTGGGCCGCACGCGCGCTACACTGATGCATTCAGCGAGTCCCACCTTGGCCGAGAGGCCTAGGCAAGCTTTTTAACGTGCATCGTGATAGGGATTGAACCTTGCAATTATTGTTCATGAACGAGGAATTCCTGTAGACGTCTGTCATCAACGGACATCGATTACGTCCCTGCCCTTTGTACACACCGCCCGTCGCACCTACCGATTGAATGGTCCGGTGAAGCAACCTAGGGTGGCCCGTCCCATTGTAGGTGAACCAAAATAACCTCTTGTTCCTCGTATGTACGGACTTGACAGTTTCTTGTAAGTGTAGCCGACGA</t>
  </si>
  <si>
    <t>MALA  CALIDAD</t>
  </si>
  <si>
    <t>&gt;BEA2186_EUKA_Navicula_sp
GAAACTGCGAACGGCTCATTATATCAGTTATAATTTATTTGATAGTCCCTTACTACTTGGATAACCGTAG
TAATTCTAGAGCTAATACATGCGTCAATACCCTCATGGGGTAGTATTTATTAGATGGAAACCAACCCCTT
CGGGGTGATGTGGTGAATCATAATAAGCTTGCGGATCGCATGGCTTCGGCTGGCGATGGATCATTCAAGT
TTCTGCCCTATCAGCTTTGGATGGTAGGGTATTGGCCTACCATGGCTTTAACGGGTAACGGGAAATTAGG
GTTTGATTCCGGAGAGGGAGCCTGAGAGACGGCTACCACATCCAAGGAAGGCAGCAGGCGCGTAAATTAC
CCAATCCTGACACAGGGAGGTAGTGACAATAAATAACAATGCCGGGCCATCATTGGTCTGGCAATTGGAA
TGAGAACAATTTAAATCCCTTATCGAGGATCAATTGGAGGGCAAGTCTGGTGCCAGCAGCCGCGGTAATT
CCAGCTCCAATAGCGTATATTAAAGTTGTTGCAGTTAAAAAGCTCGTAGTTGGATTTGTGGCGTATGGTG
TGTTCCGGGCACTTGTTGTCTGAGTAACCCGCTGTTGCCATCCTTGGGTGGAACCTGTGTGGCATTAGGT
TGTCGTGCAAGGGATGCCCATCATTTACTGTGAAAAAATTAAAGTGTTCAAAGCAGGCTTATGCCGTTGA
ATATATAAGCATGGAATA
&gt;BEA2186_EUKB_Premix
GCGCAAAGAGGTAATGATTATAGGGACAGTTGGGGGTATTGTATTCCATTGTCAGAGGTGAAATTCTTGG
ATTTTTGGAAGACGAACTACTGCGAAAGCATTTACCAAGGATGTTTTCATTAATCAAGAACGAAAGTTAG
GGGATCGAAGATGATTAGATACCATTGTAGTCTTAACCATAAACTATGCCGACAAGGGATTGGTGGAGTC
TCGTTATGTCTCCATCAGCACCTTATGAGAAATCACAAGTCTTTGGGTTCCGGGGGGAGTATGGTCGCAA
GGCTGAAACTTAAAGAAATTGACGGAAGGGCACCACCAGGAGTGGAGCCTGCGGCTTAATTTGACTCAAC
ACGGGAAAACTTACCAGGTCCAGACATAGTGAGGATTGACAGATTGAGAGCTCTTTCTTGATTCTATGGG
TGGTGGTGCATGGCCGTTCTTAGTTGGTGGAGTGATTTGTCTGGTTAATTCCGTTAACGAACGAGACCAC
TGCCTGCTAAATAGCCCAGTGAGTGAATCTTCACTGACTGCTGGCTTCTTAGAGGGACGTGCATTCTATC
AGATGCAGGAGGATAGTGGCTATAACAGGTCTGTGATGCCCTTAGATGTCCTGGGCCGCACGCGCGCTAC
ACTGATGCATTCAACGAGTTTTACCTTGGCCGAGAGGCCTGGGCAATCTTTTAAACCTGCATCGTGATAG
GGATAGATTATTGCAATTATTAATCTTGAACGAGGAATTCCTAGTAAACGCAAATCATCAATTTGCATTG
ATTACGTCCCTGCCCTTTGTACACACCGCCCGTCGCACCTACCGATTGAATGGTCCGGTGAAGCCTCGGG
ATTGTGGCCAGTTCACTTTATTGGGAGTTGACTAAGAGAACTGTTTAAACCTAT</t>
  </si>
  <si>
    <t>&gt;BEA2186_EUKA_779_Navicula_sp
GAAACTGCGAACGGCTCATTATATCAGTTATAATTTATTTGATAGTCCCTTACTACTTGGATAACCGTAGTAATTCTAGAGCTAATACATGCGTCAATACCCTCATGGGGTAGTATTTATTAGATGGAAACCAACCCCTTCGGGGTGATGTGGTGAATCATAATAAGCTTGCGGATCGCATGGCTTCGGCTGGCGATGGATCATTCAAGTTTCTGCCCTATCAGCTTTGGATGGTAGGGTATTGGCCTACCATGGCTTTAACGGGTAACGGGAAATTAGGGTTTGATTCCGGAGAGGGAGCCTGAGAGACGGCTACCACATCCAAGGAAGGCAGCAGGCGCGTAAATTACCCAATCCTGACACAGGGAGGTAGTGACAATAAATAACAATGCCGGGCCATCATTGGTCTGGCAATTGGAATGAGAACAATTTAAATCCCTTATCGAGGATCAATTGGAGGGCAAGTCTGGTGCCAGCAGCCGCGGTAATTCCAGCTCCAATAGCGTATATTAAAGTTGTTGCAGTTAAAAAGCTCGTAGTTGGATTTGTGGCGTATGGTGTGTTCCGGGCACTTGTTGTCTGAGTAACCCGCTGTTGCCATCCTTGGGTGGAACCTGTGTGGCATTAGGTTGTCGTGCAAGGGATGCCCATCATTTACTGTGAAAAAATTAAAGTGTTCAAAGCAGGCTTATGCCGTTGAATATATAAGCATGGAATAAGTGAAATAGG</t>
  </si>
  <si>
    <t>&gt;PL4_D10_EUKB_973_Navicula_sp
GTTTAGACAGTTCTCTTCAACCACTCCCAATAAAGTGAACTGGTCACAATCCCGAGGCTTCACCGGACCATTCAATCGGTAGGTGCGACGGGCGGTGTGTACAAAGGGCAGGGACGTAATCAATGCAAATTGATGATTTGCGTTTACTAGGAATTCCTCGTTCAAGATTAATAATTGCAATAATCTATCCCTATCACGATGCACGTTCAAAAGATTGCCCAGGCCTCTCGGCCAAGGTAAGACTCGTTGAATGCATCAGTGTAGCGCGCGTGCGGCCCAGGACATCTAAGGGCATCACAGACCTGTTATTGCCACTATCCTCCTGCATCTGATAGAATGCACGTCCCTCTAAGAAGCCAGCAGTCAGTGAAGATTCACTCACTGGGCTATTTAGCAGGCAGTGGTCTCGTTCGTTAACGGAATTAACCAGACAAATCACTCCACCAACTAAGAACGGCCATGCACCACCACCCATAGAATCAAGAAAGAGCTCTCAATCTGTCAATCCTCACTATGTCTGGACCTGGTAAGTTTTCCCGTGTTGAGTCAAATTAAGCCGCAGGCTCCACTCCTGGTGGTGCCCTTCCGTCAATTTCTTTAAGTTTCAGCCTTGCGACCATACTCCCCCCGGAACCCAAAGACTTGTGATTTCTCATAAGGTGCTGATGGAAACGTAACGAGACTCCACCAATCCCTTGTCGGCATAGTTTATGGTTAAAACTACAATGGTTTCTGATCATCTTCGATCCCCTAACTTTCGTTCTTGATAAAGGAAAACATCCCTGGTAAATGCTTTCGCAGTAATTTCGTCTTCCAAAATCCTAGAATTTCACCTCTAACAATGGAAAACAAAAACCCCCCACTGTCCCTTTAATCATTACCTTCTCGCGCAAACCAACAAAGAAGCGAAAAAGTCCTATTTAAGTATTCCTGCTAAAATTTCCACGGCTAAGCCTGCTTTGAAACTCTAT</t>
  </si>
  <si>
    <t>&gt;PL4_E6_EUKA_Premix
GTATAAATCTTTTACTTTAGAAACTGCGAACGGCTCATTATATCAGTTATAGTTTATTTGATAGTCCCTTACTATTTGGATAACCGTAGTAATTCTAGAGCTAATACATGCGTCAATACCCTTCTGGGGTAGTATTTATTAGATAGAAACCAACCCCTTCGGGGTGATGTGGTGAATCATAATAAGCTTGCGGATCGCATGGCCTCGGCCGGCGACGGATCATTCAAGTTTCTGCCCTATCAGCTTTGGATGGTAGGGTATTGGCCTACCATGGCTTTAACGGGTAACGGGAAATTAGGGTTTGATTCCGGAGAGGGGGCCTGAGAGATGGCCACCACATCCAAGGAAGGCAGCAGGCGCGTAAATTACCCAATCCTGACACAGGGAGGTAGTGACAATAAATAACAATGCCGGGCCTTTATAGGTCTGGCAATTGGAATGAGAACAATTTAAATCCCTTATCGAGGATCAATTGGAGGGCAAGTCTGGTGCCAGCAGCCGCGGTAATTCCAGCTCCAATAGCGTATATTAAAGTTGTTGCAGTTAAAAAGCTCGTAGTTGGATTTGTGGTTTACGGTGTGTTCCAGGCACTTGTTGTCTGAGTTTCATACCGTTGCCATCCTTGGGTGGAACCTGTGTGGCATTAGGTTGTCGTGCAGGGGATGCCCATCGTTTACTGTGAAAAAATTAGAGTGTTCAAAGCAGGCTTATGCCGTTGAATATATTAGCATGGAATAATAAGATA
&gt;PL4_E6_EUKB_Premix
AGGGCACCCCCCGGAGGGGGGCCTGCGGCTTAATTTGACTCAACACGGGAAAACTTACCAGGTCCAGACATAGTGGGGATGACAGATTGAGAGCTCTTTCTTGATTCTTTGGGTGGTGGTGCATGGCCGTTTTTAGTTGGGGGAGTGATTTGTCTGGTTAATTCCGTTAACGAACGAGACCACTGCCTGCTAAATAGCCCAGTGAGTGAATCTTCACTGACTGCTGGCTTCTCAGAGGGACGTGCATTCTATCAGATGCAGGAGGATAGTGGCAATAACAGGTCTGTGATGCCCTTAGATGTCCTGGGCCGCACGCGCGCTACACTGATGCATTCAACGAGTTTTACCTTGGCCGAGAGGCCTGGGCAATCTTTTGAACGTGCATCGTGATAGGGATAGATTATTGCAATTATTAATCTTGAACGAGGAATTCCTAGTAAACGCAAATCATCAATTTGCATTGATTACGTCCCTGCCCTTTGTACACACCGCCCGTCGCACCTACCGATTGAATGGTCCGGTGAAGCCTCGGGATTGTGATCTGTTTCCTTTATGGAGATGGGTTGAAGAGAACTTGTCTAAACCTTATCATAAGAG</t>
  </si>
  <si>
    <t>no la encuentro</t>
  </si>
  <si>
    <t>hongo</t>
  </si>
  <si>
    <t>&gt;PL6_H10_18S001F_Amphora_sp
GTATAAATCTTTTACTTTGAAACTGCGAATGGCTCATTATATCAGTTATAGTTTATTTGATAGTCCCTCACTACTTGGATAACCGTAGTAATTCTAGAGCTAATACATGCGTCAATACCCCTCTGGGGTAGCATTTATTAGATGGAAACCAACCCCTTCGGGGTGATGTGGTGAATCATAATAAGCTTGTGGATCGCCGGTGGCGATGGATCATTCAAGTTTCTGCCCTATCAGCTTTGGACGGTAAGGTATTGGCTTACCGTGGCTTTCACGGGTAACGGGAAATTAGGGTTTGACTCCCGAAAGGGGGCATGAAAGATGGCCACCACATCCCAGGAAGGCAGCAGGCGCGTAAATTACCCAATCTTGACACAAGGAGGTAGTGACAATAAATAACAATGCCGGGCCTTCTAGGTCTGGCAATTGGAATGAGAACAATTTAAACCCCTTATCGAGGATCAATTGGAGGGCAAGTCTGGTGCCAGCAGCCGCGGTAATTCCAGCTCCAATAGCGTATATCAAAGTTGTTGCAGTTAAAAAGCTCGTATTTGGATTTGTGGTGTTCCCTGTGGTCCGATTTCGGTACTTTCGGGGACTGCCATCCTTGGGTGGATCCTGTGTGGCATTAGGTTGTCGTGCAGGGGATGCCCATCGTTTACTGTGAAAAAATTACAGTGTTCAAAGCAGCCTTACGGCGTTGAATATATTAGCATGGAATAATGAGATAGGACCTTGTTGTACTATTTTGTTGGTTTGCGTACCGAGGTAATGATTAATAGGGACAGTTGTGGGTATTCGTATTCCATTGTCAGAGGTGAAATTCTTGGATTTCTGGAATACG
&gt;PL6_H10_18S13R_Amphora_sp
TACCAGGTAAGTGCATGGGGTTGGGGGAGTTGCCAAGAATTGCCCTGGATTGGCGTCCCAGGCACTCGCAATTTATGGGTTTTTTGCCTCCCTACCAGAAACTATGCCGACAAGGGCATGGCAGGGGTTTCGTTACGTTTCCGTCAGCCCCTTTTGGGAAATCTCAAAAGTTTGTGGGATTCCCGGGGGGTAGTATGGTCGCAAGGCTGAAACTTAAAGAAATTGACGGAAGGGCACCACCAGGAGTGGAGCTGCGCCTTAATTTGACTCAACACGGGAAAACTTACCAGGTCCAGACAAAGTGAGGATTGACAGAGTGAGAGCTCTCTCTTGATTCTTTGGGTGGTGGTGCATGGCCGTTCTTAGTTGGTGGAGTGATTTGTCTGGTTAATTCCGTTAACGAACGAGACCCGTGCTTGCTAAATAGTCCTATGAGTGATTTTCACTGATTTGGGCTTCTCAGAGGGACGTGCATTCTGTTAGATGCAGGAAGATAGGGGCAATAACAGGTCTGTGATGCCCTTAGATGTTCTGGGCCGCACGCGCGCTACACTGATGCATTCAACGAGTTTCCTTGGCCGAGAGGCCTGGGCAATCTTTTGAATGTGCATCGTGATAGGGATAGATTATTGCAATTATTAATCTTGAACGAGGAATTCCTAGTAAACGCAGATCATCAATCTGCATTGATTACGTCCCTGCCCTTTGTACACACCGCCCGTCGCACCTACCGATTGG</t>
  </si>
  <si>
    <t>no lo encuentro</t>
  </si>
  <si>
    <t>CAGTCGCGGGGTATAAACTTACATAAAGAATAAACAAACCCTTTCTACTCGGATAACTGTAGAAATTCTACAGCTAATACGTGCGTCAAGACTCTTCTGGAGTCGTATTTATTAGATTGAAACCAACCCCTTAGGGGTGATGTGGTGATTCATGATAACATTGCGGACCGCATGCTTCTGCGGCGGTGGATCATTCAAGTTTCTGCCCTATCAGCTTTGGATGATAAGGTATTGGCTTATCATGGCTTTAACGGGTAACGGGAAATTAGGGTTTGATTCCGGAGAGGGAGCCTGAGAGACGGCTACCACATCCAAGGAAGGCAGCAGGCGCGTAAATTACCCAATACTGACACAGTGAGGTAGCGACAAAAAATAAGAATGCTTGGCCATTATTGGTCGAGCAATTCGAATGAGAACAATTTAAACCCCTTATCGAGTATCAATTGGAGGGCAAGTCTGGTGCCAGCAGCCGCGGTAATTCCAGCTCCAATAGCGTATATTAATGTTGTTGCAGTTAAAAAGCTCGTAGTTGGATTTGTGGTGTGTCCTGTCGGTCCGTGGGCTCAGCCTGCGTGTCTGTACGGGTCTGCCTTTTATGGGATTGTTGGCTTTGTGGCATTAGGTTGTCGCATTGTTGATGCCCATCTTTTACTGTGAAAAAATTAGAGTGTTCAAAGCAGGCTTATGCCGTTGAATATATTAGCATGGAATAATAACATAGGGCCTTTTTCGGTACTATTTTGTTGGTTTGCGTACTGAGGTAATGATTAATAGGGACAGTTGGGGGTATTCGTATTCCATTGTCAAGGGTGAAATTCTTGGATTTTTGGAAGACGAACTACTGCGAAAGCATTTACCAAGGATGTTTTCATTAATCAAGAAACGAAAGTTACGGGATCGAAAATGATTAAATACCATCGTAAATCTTAACCCATGCTAAGTGTACGGGGGGGGGAGGGTTGATACCCAGGAGCCCCCCCTGGGCATCACGGCAACCACAGGGGGATTTGTGTTTTTTTCAAATTTTGGGGTTGTTTTTTTTTACATTTTTTTTTTTATTTTTTATATAAATTTTTGCCCTAAATAGGGGTTTTGGGGGGAGGTTTTTTGTTTTTTTTACTACTCCTCGCACCCCCTTAAGAAAAAACACGATAATTGTTTCTTTTGGTGGTCCGGGGGCGGAGAGAGAAAAGGGAGAGAGGAACAAAAGAGAAAGAGAGAGTTTGTGGGAGCGGGTGCGCCCCGCAAAACAGTGGGGTCGTACCCGACGCATGCGTTGAGGATAAGATATGTGAGAAGGGCGATGAAGCTATGAGTGGGATAGCACTAGAAGCATGGACGCGCGCT</t>
  </si>
  <si>
    <t>&gt;Ulva_sara_EUKB_Premix
ATTGGGGGATGTTACTTTGAGTAATATAGAGTGTTCAAAGCAAGCTTACGTTTTGAAAATAATAGCATGGGATAACACGACAGGACTTTGGCCTATCGTGTTGGTCTATAGGACCAGAGTAATGATTAAGAGGGACAGTCGGGGGCATTCGTATTCCGTTGTCAGAGGTGAAATTCTTGGATTTACGGAAGACGAACATCTGCGAAAGCATTTGCCAAGGATGTTTTCATTGATCAAGAACGAAAGTTGGGGGCTCGAAGACGATTAGATACCGTCGTAGTCTCAACCATAAACGATGCCGACTAGGGATTGGCGGGTGTTTTTTTGATGACTCCGCCAGCACCTCATGAGAAATCAAAGTTTTTGGGTTCCGGGGGGAGTATGGTCGCAAGGCTGAAACTTAAAGGAATTGACGGAAGGGCACCACCAGGCGTGGAGCCTGCGGCTTAATTTGACTCAACACGGGAAAACTTACCAGGTCCAGACATAGGAAGGATTGACAGATTGAGAGCTCTTTCTTGATTCTATGGGTGGTGGTGCATGGCCGTTCTTAGTTGGTGGGTTGCCTTGTCAGGTTGATTCCGGTAACGAACGAGACCTCAGCCTGCTAAATAGTGACGTCTGCTGCGGCAGTCGCGCGCTTCTTAGAGGGACTGTTGGCGTCTAGCCAATGGAAGTATGAGGCAATAACAGGTCTGTGATGCCCTTAGATGTTCTGGGCCGCACGCGCGCTACACTGATACGTTCAACGAGCTCCTTGACCGAGAGGCCCGGGTAATCTTTGAAACCGTATCGTGATGGGGATAGAACATTGCAATTATTGTTCTTCAACGAGGAATGCCTAGTAAGCGCGAGTCATCATCTCGCGTTGATTACGTCCCTGCCCTTTGTACACACCGCCCGTCGCTCCTACCGATTGAACGTGCTGGTGAAGCGTTAGGACTGGAACTTTGGGCCGGTTTTCGGCCA
&gt;Ulva_sara_EUKA_Premix
GAATGGCTCAGTAAATCAGTTAGAGTTTATTTGATGGTACCACACTACTCGGATAACCGTAGTAAAGCTACAGCTAATACGTGCGCAACTCCCGACTCACGAAGGGACGTATTTATTAGATTCAAGACCGACCGTGCTTGCACGTCTTTGGTGAATCATGGTAACTTCACGAATCGCAGGGTTTATCCCGGCGATGTTTCATTCAACTTTCTGCCCTATCAACTTTCGACGGTAGTATAGAGGACTACCGTGGTGGTAACGGGTGACGGAGGATTAGGGTTCGATTCCGGAGAGGGAGCCTGAGAAACGGCTACCACATCCAAGGAAGGCAGCAGGCGCGCAAATTACCCAATCCTGACACAGGGAGGTAGTGACAATAAATATCAATTCTGGGCCACATGGTCCGGTAATTGGAATGAGTACAATGTAAACGCCTTAACGAGGATCCATTGGAGGGCAAGTCTGGTGCCAGCAGCCGCGGTAATTCCAGCTCCAATAGCGTATATTTAAGTTGTTGCAGTTAAAAAGCTCGTAGTTGGATTTCGGGTGGGACGCAGCGGTCTCGCATTGCGTTTGTACTGCTGCAGCCCTCCTTCTTGCCGGGGGCGGCCCATCGGACTTCACTGTCTGGGGGTCAGAATCGGCGATGTTACTTTGAGTAAATTAGAGTGTTCAAAGCAAGCTTACGCTCTGAATATAATAGCATGGGATAACACGACAGGACTCTGGCCTATCGTGTTGGTCTATAGGACCAGAGTAATGATTAAGAGGGACAGTCGGGGGCATTCGTATTCCGTTGTCAGAGGTGAAATTCTTGGATTTACGGAAGACGAACATCTGCGAAAGCATTTGCCAAGGATGTTTTCATTGATCAAGAACGAAAGTTGGGGGC
&gt;Ulva_sara_EUKB_Premix
ATTGGGGGATGTTACTTTGAGTAATATAGAGTGTTCAAAGCAAGCTTACGTTTTGAAAATAATAGCATGGGATAACACGACAGGACTTTGGCCTATCGTGTTGGTCTATAGGACCAGAGTAATGATTAAGAGGGACAGTCGGGGGCATTCGTATTCCGTTGTCAGAGGTGAAATTCTTGGATTTACGGAAGACGAACATCTGCGAAAGCATTTGCCAAGGATGTTTTCATTGATCAAGAACGAAAGTTGGGGGCTCGAAGACGATTAGATACCGTCGTAGTCTCAACCATAAACGATGCCGACTAGGGATTGGCGGGTGTTTTTTTGATGACTCCGCCAGCACCTCATGAGAAATCAAAGTTTTTGGGTTCCGGGGGGAGTATGGTCGCAAGGCTGAAACTTAAAGGAATTGACGGAAGGGCACCACCAGGCGTGGAGCCTGCGGCTTAATTTGACTCAACACGGGAAAACTTACCAGGTCCAGACATAGGAAGGATTGACAGATTGAGAGCTCTTTCTTGATTCTATGGGTGGTGGTGCATGGCCGTTCTTAGTTGGTGGGTTGCCTTGTCAGGTTGATTCCGGTAACGAACGAGACCTCAGCCTGCTAAATAGTGACGTCTGCTGCGGCAGTCGCGCGCTTCTTAGAGGGACTGTTGGCGTCTAGCCAATGGAAGTATGAGGCAATAACAGGTCTGTGATGCCCTTAGATGTTCTGGGCCGCACGCGCGCTACACTGATACGTTCAACGAGCTCCTTGACCGAGAGGCCCGGGTAATCTTTGAAACCGTATCGTGATGGGGATAGAACATTGCAATTATTGTTCTTCAACGAGGAATGCCTAGTAAGCGCGAGTCATCATCTCGCGTTGATTACGTCCCTGCCCTTTGTACACACCGCCCGTCGCTCCTACCGATTGAACGTGCTGGTGAAGCGTTAGGACTGGAACTTTGGGCCGGTTTTCGGCCA</t>
  </si>
  <si>
    <t>BEA1250</t>
  </si>
  <si>
    <t>BEA1227</t>
  </si>
  <si>
    <t>BEA1454</t>
  </si>
  <si>
    <t>BEA1480</t>
  </si>
  <si>
    <t>BEA1433</t>
  </si>
  <si>
    <t>BEA1537</t>
  </si>
  <si>
    <t>BEA1896</t>
  </si>
  <si>
    <t>BEA0868</t>
  </si>
  <si>
    <t>BEA1808</t>
  </si>
  <si>
    <t>PL2_G5</t>
  </si>
  <si>
    <t>BEA2183</t>
  </si>
  <si>
    <t>BEA1529</t>
  </si>
  <si>
    <t>BEA1265</t>
  </si>
  <si>
    <t>BEA1859</t>
  </si>
  <si>
    <t>BEA1340</t>
  </si>
  <si>
    <t>BEA2141</t>
  </si>
  <si>
    <t>BEA1323</t>
  </si>
  <si>
    <t>BEA2043</t>
  </si>
  <si>
    <t>BEA1495</t>
  </si>
  <si>
    <t>BEA1289</t>
  </si>
  <si>
    <t>BEA1909</t>
  </si>
  <si>
    <t>BEA1740</t>
  </si>
  <si>
    <t>BEA1393</t>
  </si>
  <si>
    <t>BEa1325</t>
  </si>
  <si>
    <t>bea1341</t>
  </si>
  <si>
    <t>bea1650</t>
  </si>
  <si>
    <t>BEA1396</t>
  </si>
  <si>
    <t>BEA1319</t>
  </si>
  <si>
    <t>BEA1528</t>
  </si>
  <si>
    <t>BEA1266</t>
  </si>
  <si>
    <t>BEA1942</t>
  </si>
  <si>
    <t>BEA1264</t>
  </si>
  <si>
    <t>BEA1263</t>
  </si>
  <si>
    <t>BEA1651</t>
  </si>
  <si>
    <t>BEA1532</t>
  </si>
  <si>
    <t>BEA1649</t>
  </si>
  <si>
    <t>BEA1327</t>
  </si>
  <si>
    <t>BEA1927</t>
  </si>
  <si>
    <t>BEA1941</t>
  </si>
  <si>
    <t>BEA1946</t>
  </si>
  <si>
    <t>BEA1853</t>
  </si>
  <si>
    <t>BEA1823</t>
  </si>
  <si>
    <t>BEA1966</t>
  </si>
  <si>
    <t>BEA1967</t>
  </si>
  <si>
    <t>BEA1969</t>
  </si>
  <si>
    <t>BEA2142</t>
  </si>
  <si>
    <t>BEA2081</t>
  </si>
  <si>
    <t>BEA1970</t>
  </si>
  <si>
    <t>BEA1972</t>
  </si>
  <si>
    <t>BEA1975</t>
  </si>
  <si>
    <t>BEA1976</t>
  </si>
  <si>
    <t>BEA1977</t>
  </si>
  <si>
    <t>BEA1979</t>
  </si>
  <si>
    <t>BEA1980</t>
  </si>
  <si>
    <t>BEA1981</t>
  </si>
  <si>
    <t>BEA1982</t>
  </si>
  <si>
    <t>BEA1983</t>
  </si>
  <si>
    <t>BEA1984</t>
  </si>
  <si>
    <t>BEA1988</t>
  </si>
  <si>
    <t>BEA1991</t>
  </si>
  <si>
    <t>BEA1995</t>
  </si>
  <si>
    <t>BEA2001</t>
  </si>
  <si>
    <t>BEA2144</t>
  </si>
  <si>
    <t>BEA2145</t>
  </si>
  <si>
    <t>BEA2146</t>
  </si>
  <si>
    <t>BEA0759</t>
  </si>
  <si>
    <t>BEA0994</t>
  </si>
  <si>
    <t>BEA1350</t>
  </si>
  <si>
    <t>BEA1514</t>
  </si>
  <si>
    <t>BEA1951</t>
  </si>
  <si>
    <t>BEA1956</t>
  </si>
  <si>
    <t>BEA1960</t>
  </si>
  <si>
    <t>BEA1961</t>
  </si>
  <si>
    <t>BEA1116</t>
  </si>
  <si>
    <t>BEA1342</t>
  </si>
  <si>
    <t>CAJA 2 PELLET MIXO EXTRACCIÓN 18122025</t>
  </si>
  <si>
    <t>CAJA 1 PELLET MIXTO extracción 07102025 Virgi</t>
  </si>
  <si>
    <t>CAJA 2 PELLET MIXO EXTRACCIÓN 18122026</t>
  </si>
  <si>
    <t>CAJA 2 PELLET MIXO EXTRACCIÓN 18122027</t>
  </si>
  <si>
    <t>CAJA 2 PELLET MIXO EXTRACCIÓN 18122028</t>
  </si>
  <si>
    <t>CAJA 2 PELLET MIXO EXTRACCIÓN 18122029</t>
  </si>
  <si>
    <t>CAJA 2 PELLET MIXO EXTRACCIÓN 18122030</t>
  </si>
  <si>
    <t>CAJA 2 PELLET MIXO EXTRACCIÓN 18122031</t>
  </si>
  <si>
    <t>CAJA 2 PELLET MIXO EXTRACCIÓN 18122032</t>
  </si>
  <si>
    <t>CAJA 2 PELLET MIXO EXTRACCIÓN 18122033</t>
  </si>
  <si>
    <t>CAJA 2 PELLET MIXO EXTRACCIÓN 18122034</t>
  </si>
  <si>
    <t>CAJA 2 PELLET MIXO EXTRACCIÓN 18122035</t>
  </si>
  <si>
    <t>CAJA 2 PELLET MIXO EXTRACCIÓN 18122036</t>
  </si>
  <si>
    <t>CAJA 2 PELLET MIXO EXTRACCIÓN 18122037</t>
  </si>
  <si>
    <t>CAJA 2 PELLET MIXO EXTRACCIÓN 18122038</t>
  </si>
  <si>
    <t>CAJA 2 PELLET MIXO EXTRACCIÓN 18122039</t>
  </si>
  <si>
    <t>CAJA 2 PELLET MIXO EXTRACCIÓN 18122040</t>
  </si>
  <si>
    <t>CAJA 2 PELLET MIXO EXTRACCIÓN 18122041</t>
  </si>
  <si>
    <t>CAJA 2 PELLET MIXO EXTRACCIÓN 18122042</t>
  </si>
  <si>
    <t>CAJA 2 PELLET MIXO EXTRACCIÓN 18122043</t>
  </si>
  <si>
    <t>CAJA 2 PELLET MIXO EXTRACCIÓN 18122044</t>
  </si>
  <si>
    <t>CAJA 2 PELLET MIXO EXTRACCIÓN 18122045</t>
  </si>
  <si>
    <t>CAJA 2 PELLET MIXO EXTRACCIÓN 18122046</t>
  </si>
  <si>
    <t>CAJA 2 PELLET MIXO EXTRACCIÓN 18122047</t>
  </si>
  <si>
    <t>CAJA 2 PELLET MIXO EXTRACCIÓN 18122048</t>
  </si>
  <si>
    <t>CAJA 2 PELLET MIXO EXTRACCIÓN 18122049</t>
  </si>
  <si>
    <t>CAJA 2 PELLET MIXO EXTRACCIÓN 18122050</t>
  </si>
  <si>
    <t>CAJA 2 PELLET MIXO EXTRACCIÓN 18122051</t>
  </si>
  <si>
    <t>CAJA 2 PELLET MIXO EXTRACCIÓN 18122052</t>
  </si>
  <si>
    <t>CAJA 2 PELLET MIXO EXTRACCIÓN 18122053</t>
  </si>
  <si>
    <t>CAJA 2 PELLET MIXO EXTRACCIÓN 18122054</t>
  </si>
  <si>
    <t>CAJA 2 PELLET MIXO EXTRACCIÓN 18122055</t>
  </si>
  <si>
    <t>CAJA 2 PELLET MIXO EXTRACCIÓN 18122056</t>
  </si>
  <si>
    <t>CAJA 2 PELLET MIXO EXTRACCIÓN 18122057</t>
  </si>
  <si>
    <t>CAJA 2 PELLET MIXO EXTRACCIÓN 18122058</t>
  </si>
  <si>
    <t>CAJA 2 PELLET MIXO EXTRACCIÓN 18122059</t>
  </si>
  <si>
    <t>CAJA 2 PELLET MIXO EXTRACCIÓN 18122060</t>
  </si>
  <si>
    <t>CAJA 2 PELLET MIXO EXTRACCIÓN 18122061</t>
  </si>
  <si>
    <t>CAJA 2 PELLET MIXO EXTRACCIÓN 18122062</t>
  </si>
  <si>
    <t>CAJA 2 PELLET MIXO EXTRACCIÓN 18122063</t>
  </si>
  <si>
    <t>CAJA 2 PELLET MIXO EXTRACCIÓN 18122064</t>
  </si>
  <si>
    <t>CAJA 2 PELLET MIXO EXTRACCIÓN 18122065</t>
  </si>
  <si>
    <t>CAJA 2 PELLET MIXO EXTRACCIÓN 18122066</t>
  </si>
  <si>
    <t>CAJA 2 PELLET MIXO EXTRACCIÓN 18122067</t>
  </si>
  <si>
    <t>CAJA 2 PELLET MIXO EXTRACCIÓN 18122068</t>
  </si>
  <si>
    <t>CAJA 2 PELLET MIXO EXTRACCIÓN 18122069</t>
  </si>
  <si>
    <t>CAJA 2 PELLET MIXO EXTRACCIÓN 18122070</t>
  </si>
  <si>
    <t>CAJA 2 PELLET MIXO EXTRACCIÓN 18122071</t>
  </si>
  <si>
    <t>CAJA 2 PELLET MIXO EXTRACCIÓN 18122072</t>
  </si>
  <si>
    <t>CAJA 2 PELLET MIXO EXTRACCIÓN 18122073</t>
  </si>
  <si>
    <t>CAJA 2 PELLET MIXO EXTRACCIÓN 18122074</t>
  </si>
  <si>
    <t>CAJA 2 PELLET MIXO EXTRACCIÓN 18122075</t>
  </si>
  <si>
    <t>CAJA 2 PELLET MIXO EXTRACCIÓN 18122076</t>
  </si>
  <si>
    <t>CAJA 2 PELLET MIXO EXTRACCIÓN 18122077</t>
  </si>
  <si>
    <t>CAJA 2 PELLET MIXO EXTRACCIÓN 18122078</t>
  </si>
  <si>
    <t>CAJA 2 PELLET MIXO EXTRACCIÓN 18122079</t>
  </si>
  <si>
    <t>CAJA 2 PELLET MIXO EXTRACCIÓN 18122080</t>
  </si>
  <si>
    <t>CAJA 2 PELLET MIXO EXTRACCIÓN 18122081</t>
  </si>
  <si>
    <t>CAJA 2 PELLET MIXO EXTRACCIÓN 18122082</t>
  </si>
  <si>
    <t>CAJA 2 PELLET MIXO EXTRACCIÓN 18122083</t>
  </si>
  <si>
    <t>CAJA 2 PELLET MIXO EXTRACCIÓN 18122084</t>
  </si>
  <si>
    <t>CAJA 2 PELLET MIXO EXTRACCIÓN 18122085</t>
  </si>
  <si>
    <t>CAJA 2 PELLET MIXO EXTRACCIÓN 18122086</t>
  </si>
  <si>
    <t>CAJA 3 PELLET MIXO EXTRACCIÓN 18122087</t>
  </si>
  <si>
    <t>BEA0044</t>
  </si>
  <si>
    <t>BEA0061</t>
  </si>
  <si>
    <t>CAJA 3 PELLET MIXO EXTRACCIÓN 18122088</t>
  </si>
  <si>
    <t>CAJA 3 PELLET MIXO EXTRACCIÓN 18122089</t>
  </si>
  <si>
    <t>CAJA 3 PELLET MIXO EXTRACCIÓN 18122090</t>
  </si>
  <si>
    <t>CAJA 3 PELLET MIXO EXTRACCIÓN 18122091</t>
  </si>
  <si>
    <t>CAJA 3 PELLET MIXO EXTRACCIÓN 18122092</t>
  </si>
  <si>
    <t>CAJA 3 PELLET MIXO EXTRACCIÓN 18122093</t>
  </si>
  <si>
    <t>CAJA 3 PELLET MIXO EXTRACCIÓN 18122094</t>
  </si>
  <si>
    <t>CAJA 3 PELLET MIXO EXTRACCIÓN 18122095</t>
  </si>
  <si>
    <t>CAJA 3 PELLET MIXO EXTRACCIÓN 18122096</t>
  </si>
  <si>
    <t>CAJA 3 PELLET MIXO EXTRACCIÓN 18122097</t>
  </si>
  <si>
    <t>CAJA 3 PELLET MIXO EXTRACCIÓN 18122098</t>
  </si>
  <si>
    <t>CAJA 3 PELLET MIXO EXTRACCIÓN 18122099</t>
  </si>
  <si>
    <t>CAJA 3 PELLET MIXO EXTRACCIÓN 18122100</t>
  </si>
  <si>
    <t>CAJA 3 PELLET MIXO EXTRACCIÓN 18122101</t>
  </si>
  <si>
    <t>CAJA 3 PELLET MIXO EXTRACCIÓN 18122102</t>
  </si>
  <si>
    <t>CAJA 3 PELLET MIXO EXTRACCIÓN 18122103</t>
  </si>
  <si>
    <t>CAJA 3 PELLET MIXO EXTRACCIÓN 18122104</t>
  </si>
  <si>
    <t>BEA0129</t>
  </si>
  <si>
    <t>BEA0139</t>
  </si>
  <si>
    <t>BEA0143</t>
  </si>
  <si>
    <t>BEA0170</t>
  </si>
  <si>
    <t>BEA0171</t>
  </si>
  <si>
    <t>BEA0172</t>
  </si>
  <si>
    <t>BEA0328</t>
  </si>
  <si>
    <t>BEA0331</t>
  </si>
  <si>
    <t>BEA0334</t>
  </si>
  <si>
    <t>BEA0335</t>
  </si>
  <si>
    <t>BEA0383</t>
  </si>
  <si>
    <t>BEA0384</t>
  </si>
  <si>
    <t>BEA0413</t>
  </si>
  <si>
    <t>BEA0448</t>
  </si>
  <si>
    <t>BEA0556</t>
  </si>
  <si>
    <t>BEA0559</t>
  </si>
  <si>
    <t>BEA0584</t>
  </si>
  <si>
    <t>BEA1435</t>
  </si>
  <si>
    <t>BEA1290</t>
  </si>
  <si>
    <t>BEA0758</t>
  </si>
  <si>
    <t>BEA1655</t>
  </si>
  <si>
    <t>REC0067</t>
  </si>
  <si>
    <t>BEA0826</t>
  </si>
  <si>
    <t>BEA1200</t>
  </si>
  <si>
    <t>BEA1211</t>
  </si>
  <si>
    <t>BEA1334</t>
  </si>
  <si>
    <t>BEA1374</t>
  </si>
  <si>
    <t>BEA1445</t>
  </si>
  <si>
    <t>BEA1657</t>
  </si>
  <si>
    <t>BEA1462</t>
  </si>
  <si>
    <t>BEA1521</t>
  </si>
  <si>
    <t>BEA1635</t>
  </si>
  <si>
    <t>BEA1636</t>
  </si>
  <si>
    <t>BEA1637</t>
  </si>
  <si>
    <t>BEA1638</t>
  </si>
  <si>
    <t>BEA1661</t>
  </si>
  <si>
    <t>BEA1663</t>
  </si>
  <si>
    <t>BEA1665</t>
  </si>
  <si>
    <t>BEA1680</t>
  </si>
  <si>
    <t>BEA2064</t>
  </si>
  <si>
    <t>BEA2138</t>
  </si>
  <si>
    <t>BEA0784</t>
  </si>
  <si>
    <t>BEA1656</t>
  </si>
  <si>
    <t>BEA1017</t>
  </si>
  <si>
    <t>BEA1555</t>
  </si>
  <si>
    <t>BEA1571</t>
  </si>
  <si>
    <t>BEA1269</t>
  </si>
  <si>
    <t>BEA1481</t>
  </si>
  <si>
    <t>BEA1244</t>
  </si>
  <si>
    <t>BEA2080</t>
  </si>
  <si>
    <t>BEA2082</t>
  </si>
  <si>
    <t>BEA2079</t>
  </si>
  <si>
    <t>BEA1338</t>
  </si>
  <si>
    <t>BEA1515</t>
  </si>
  <si>
    <t>BEA2092</t>
  </si>
  <si>
    <t>CAJA 3 PELLET MIXO EXTRACCIÓN 18122105</t>
  </si>
  <si>
    <t>CAJA 3 PELLET MIXO EXTRACCIÓN 18122106</t>
  </si>
  <si>
    <t>CAJA 3 PELLET MIXO EXTRACCIÓN 18122107</t>
  </si>
  <si>
    <t>CAJA 3 PELLET MIXO EXTRACCIÓN 18122108</t>
  </si>
  <si>
    <t>CAJA 3 PELLET MIXO EXTRACCIÓN 18122109</t>
  </si>
  <si>
    <t>CAJA 3 PELLET MIXO EXTRACCIÓN 18122110</t>
  </si>
  <si>
    <t>CAJA 3 PELLET MIXO EXTRACCIÓN 18122111</t>
  </si>
  <si>
    <t>CAJA 3 PELLET MIXO EXTRACCIÓN 18122112</t>
  </si>
  <si>
    <t>CAJA 3 PELLET MIXO EXTRACCIÓN 18122113</t>
  </si>
  <si>
    <t>CAJA 3 PELLET MIXO EXTRACCIÓN 18122114</t>
  </si>
  <si>
    <t>CAJA 3 PELLET MIXO EXTRACCIÓN 18122115</t>
  </si>
  <si>
    <t>CAJA 3 PELLET MIXO EXTRACCIÓN 18122116</t>
  </si>
  <si>
    <t>CAJA 3 PELLET MIXO EXTRACCIÓN 18122117</t>
  </si>
  <si>
    <t>CAJA 3 PELLET MIXO EXTRACCIÓN 18122118</t>
  </si>
  <si>
    <t>CAJA 3 PELLET MIXO EXTRACCIÓN 18122119</t>
  </si>
  <si>
    <t>CAJA 3 PELLET MIXO EXTRACCIÓN 18122120</t>
  </si>
  <si>
    <t>CAJA 3 PELLET MIXO EXTRACCIÓN 18122121</t>
  </si>
  <si>
    <t>CAJA 3 PELLET MIXO EXTRACCIÓN 18122122</t>
  </si>
  <si>
    <t>CAJA 3 PELLET MIXO EXTRACCIÓN 18122123</t>
  </si>
  <si>
    <t>CAJA 3 PELLET MIXO EXTRACCIÓN 18122124</t>
  </si>
  <si>
    <t>CAJA 3 PELLET MIXO EXTRACCIÓN 18122125</t>
  </si>
  <si>
    <t>CAJA 3 PELLET MIXO EXTRACCIÓN 18122126</t>
  </si>
  <si>
    <t>CAJA 3 PELLET MIXO EXTRACCIÓN 18122127</t>
  </si>
  <si>
    <t>CAJA 3 PELLET MIXO EXTRACCIÓN 18122128</t>
  </si>
  <si>
    <t>CAJA 3 PELLET MIXO EXTRACCIÓN 18122129</t>
  </si>
  <si>
    <t>CAJA 3 PELLET MIXO EXTRACCIÓN 18122130</t>
  </si>
  <si>
    <t>CAJA 3 PELLET MIXO EXTRACCIÓN 18122131</t>
  </si>
  <si>
    <t>CAJA 3 PELLET MIXO EXTRACCIÓN 18122132</t>
  </si>
  <si>
    <t>CAJA 3 PELLET MIXO EXTRACCIÓN 18122133</t>
  </si>
  <si>
    <t>CAJA 3 PELLET MIXO EXTRACCIÓN 18122134</t>
  </si>
  <si>
    <t>CAJA 3 PELLET MIXO EXTRACCIÓN 18122135</t>
  </si>
  <si>
    <t>CAJA 3 PELLET MIXO EXTRACCIÓN 18122136</t>
  </si>
  <si>
    <t>CAJA 3 PELLET MIXO EXTRACCIÓN 18122137</t>
  </si>
  <si>
    <t>CAJA 3 PELLET MIXO EXTRACCIÓN 18122138</t>
  </si>
  <si>
    <t>CAJA 3 PELLET MIXO EXTRACCIÓN 18122139</t>
  </si>
  <si>
    <t>CAJA 3 PELLET MIXO EXTRACCIÓN 18122140</t>
  </si>
  <si>
    <t>CAJA 3 PELLET MIXO EXTRACCIÓN 18122141</t>
  </si>
  <si>
    <t>CAJA 3 PELLET MIXO EXTRACCIÓN 18122142</t>
  </si>
  <si>
    <t>CAJA 3 PELLET MIXO EXTRACCIÓN 18122143</t>
  </si>
  <si>
    <t>CAJA 3 PELLET MIXO EXTRACCIÓN 18122144</t>
  </si>
  <si>
    <t>CAJA 3 PELLET MIXO EXTRACCIÓN 18122145</t>
  </si>
  <si>
    <t>CAJA 3 PELLET MIXO EXTRACCIÓN 18122146</t>
  </si>
  <si>
    <t>CAJA 3 PELLET MIXO EXTRACCIÓN 18122147</t>
  </si>
  <si>
    <t>CAJA 3 PELLET MIXO EXTRACCIÓN 18122148</t>
  </si>
  <si>
    <t>CAJA 3 PELLET MIXO EXTRACCIÓN 18122149</t>
  </si>
  <si>
    <t>CAJA 3 PELLET MIXO EXTRACCIÓN 18122150</t>
  </si>
  <si>
    <t>CAJA 3 PELLET MIXO EXTRACCIÓN 18122151</t>
  </si>
  <si>
    <t>CAJA 3 PELLET MIXO EXTRACCIÓN 18122152</t>
  </si>
  <si>
    <t>CAJA 3 PELLET MIXO EXTRACCIÓN 18122153</t>
  </si>
  <si>
    <t>CAJA 3 PELLET MIXO EXTRACCIÓN 18122154</t>
  </si>
  <si>
    <t>CAJA 3 PELLET MIXO EXTRACCIÓN 18122155</t>
  </si>
  <si>
    <t>CAJA 3 PELLET MIXO EXTRACCIÓN 18122156</t>
  </si>
  <si>
    <t>CAJA 3 PELLET MIXO EXTRACCIÓN 18122157</t>
  </si>
  <si>
    <t>CAJA 3 PELLET MIXO EXTRACCIÓN 18122158</t>
  </si>
  <si>
    <t>DIATOMEAS PCR especie</t>
  </si>
  <si>
    <t>BEA1204</t>
  </si>
  <si>
    <t>BEA1856</t>
  </si>
  <si>
    <t>BEA1857</t>
  </si>
  <si>
    <t>BEA1867</t>
  </si>
  <si>
    <t>BEA1868</t>
  </si>
  <si>
    <t>BEA1869</t>
  </si>
  <si>
    <t>BEA1870</t>
  </si>
  <si>
    <t>BEA1871</t>
  </si>
  <si>
    <t>BEA1817</t>
  </si>
  <si>
    <t>BEA1872</t>
  </si>
  <si>
    <t>BEA1873</t>
  </si>
  <si>
    <t>BEA1874</t>
  </si>
  <si>
    <t>BEA1875</t>
  </si>
  <si>
    <t>BEA1893</t>
  </si>
  <si>
    <t>BEA1894</t>
  </si>
  <si>
    <t>BEA1415</t>
  </si>
  <si>
    <t>BEA1861</t>
  </si>
  <si>
    <t>BEA1865</t>
  </si>
  <si>
    <t>BEA1285</t>
  </si>
  <si>
    <t>BEA1326</t>
  </si>
  <si>
    <t>BEA1496</t>
  </si>
  <si>
    <t>BEA1498</t>
  </si>
  <si>
    <t>BEA1499</t>
  </si>
  <si>
    <t>BEA1360</t>
  </si>
  <si>
    <t>BEA1259</t>
  </si>
  <si>
    <t>BEA0574</t>
  </si>
  <si>
    <t>BEA0576</t>
  </si>
  <si>
    <t>BEA1260</t>
  </si>
  <si>
    <t>BEA1386</t>
  </si>
  <si>
    <t>BEA1384</t>
  </si>
  <si>
    <t>BEA1650</t>
  </si>
  <si>
    <t>BE1808</t>
  </si>
  <si>
    <t>BEA1860</t>
  </si>
  <si>
    <t>BEA1382</t>
  </si>
  <si>
    <t>CAJA 2 CHLOROPHYCEAN PCR especie</t>
  </si>
  <si>
    <t>CAJA 3 TETRASELMIS PCR EXTRAÍDAS</t>
  </si>
  <si>
    <t>BEA0076</t>
  </si>
  <si>
    <t>BEA0077</t>
  </si>
  <si>
    <t>BEA0098</t>
  </si>
  <si>
    <t>BEA0158</t>
  </si>
  <si>
    <t>BEA0645</t>
  </si>
  <si>
    <t>BEA0647</t>
  </si>
  <si>
    <t>BEA0648</t>
  </si>
  <si>
    <t>BEA0650</t>
  </si>
  <si>
    <t>BEA0651</t>
  </si>
  <si>
    <t>BEA0653</t>
  </si>
  <si>
    <t>BEA0652</t>
  </si>
  <si>
    <t>BEA1291</t>
  </si>
  <si>
    <t>BEA1321</t>
  </si>
  <si>
    <t>ITS</t>
  </si>
  <si>
    <t>CAJA 4 CALIDAD COMPROBADA</t>
  </si>
  <si>
    <t>BEA1803</t>
  </si>
  <si>
    <t>BEA1881</t>
  </si>
  <si>
    <t>BEA1901</t>
  </si>
  <si>
    <t>BEA0660</t>
  </si>
  <si>
    <t>BEA1182</t>
  </si>
  <si>
    <t>BEA1336</t>
  </si>
  <si>
    <t>BEA1411</t>
  </si>
  <si>
    <t>BEA1536</t>
  </si>
  <si>
    <t>BEA1541</t>
  </si>
  <si>
    <t>BEA1599</t>
  </si>
  <si>
    <t>BEA1654</t>
  </si>
  <si>
    <t>CAJA 5  ADN CHLORELLAS SP.</t>
  </si>
  <si>
    <t>BEA0267</t>
  </si>
  <si>
    <t>BEA0447</t>
  </si>
  <si>
    <t>BEA0581</t>
  </si>
  <si>
    <t>BEA0665</t>
  </si>
  <si>
    <t>BEA1114</t>
  </si>
  <si>
    <t>BEA0022</t>
  </si>
  <si>
    <t>BEA0753</t>
  </si>
  <si>
    <t>BEA0755</t>
  </si>
  <si>
    <t>BEA1005</t>
  </si>
  <si>
    <t>BEA0138</t>
  </si>
  <si>
    <t>BEA0234</t>
  </si>
  <si>
    <t>BEA0231</t>
  </si>
  <si>
    <t>BEA0240</t>
  </si>
  <si>
    <t>BEA0241</t>
  </si>
  <si>
    <t>BEA0302</t>
  </si>
  <si>
    <t>BEA0330</t>
  </si>
  <si>
    <t>BEA0236</t>
  </si>
  <si>
    <t>BEA0337</t>
  </si>
  <si>
    <t>BEA0339</t>
  </si>
  <si>
    <t>BEA04358</t>
  </si>
  <si>
    <t>BEA0371</t>
  </si>
  <si>
    <t>BEA0449</t>
  </si>
  <si>
    <t>BEA0455</t>
  </si>
  <si>
    <t>BEA0470</t>
  </si>
  <si>
    <t>BEA1110</t>
  </si>
  <si>
    <t>BEA1922</t>
  </si>
  <si>
    <t>BEA0901</t>
  </si>
  <si>
    <t>CAJA 6 ADN CIANOBACTERIAS SP ITS</t>
  </si>
  <si>
    <t>BEA1844</t>
  </si>
  <si>
    <t>BEA0890</t>
  </si>
  <si>
    <t>BEA1176</t>
  </si>
  <si>
    <t>BEA0084</t>
  </si>
  <si>
    <t>BEA1022</t>
  </si>
  <si>
    <t>BEA0986</t>
  </si>
  <si>
    <t>BEA1065</t>
  </si>
  <si>
    <t>BEA1429</t>
  </si>
  <si>
    <t>BEA1457</t>
  </si>
  <si>
    <t>BEA2034</t>
  </si>
  <si>
    <t>BEA1272</t>
  </si>
  <si>
    <t>BEA1251</t>
  </si>
  <si>
    <t>BEA1355</t>
  </si>
  <si>
    <t>BEA1427</t>
  </si>
  <si>
    <t>BEA1438</t>
  </si>
  <si>
    <t>BEA0028</t>
  </si>
  <si>
    <t>BEA1292</t>
  </si>
  <si>
    <t>BEA1302</t>
  </si>
  <si>
    <t>BEA0024</t>
  </si>
  <si>
    <t>BEA1525</t>
  </si>
  <si>
    <t>BEA1303</t>
  </si>
  <si>
    <t>BEA0770</t>
  </si>
  <si>
    <t>BEA1662</t>
  </si>
  <si>
    <t>BEA1947</t>
  </si>
  <si>
    <t>CAJA2B MICROALGAS ALMACEN ADN</t>
  </si>
  <si>
    <t>BEA1944</t>
  </si>
  <si>
    <t>BEA2017</t>
  </si>
  <si>
    <t>BEA1945</t>
  </si>
  <si>
    <t>BEA1668</t>
  </si>
  <si>
    <t>BEA2097</t>
  </si>
  <si>
    <t>CAJA 1D CIANOBACTERIAS</t>
  </si>
  <si>
    <t>CAJA 7 ADN Concentración &lt; 20 ng/ul</t>
  </si>
  <si>
    <t>BEA0010</t>
  </si>
  <si>
    <t>BEA0018</t>
  </si>
  <si>
    <t>BEA0074</t>
  </si>
  <si>
    <t>BEA0148</t>
  </si>
  <si>
    <t>BEA0176</t>
  </si>
  <si>
    <t>BEA0778</t>
  </si>
  <si>
    <t>BEA0360</t>
  </si>
  <si>
    <t>BEA1000</t>
  </si>
  <si>
    <t>BEA1001</t>
  </si>
  <si>
    <t>BEA1117</t>
  </si>
  <si>
    <t>BEA1119</t>
  </si>
  <si>
    <t>BEA1131</t>
  </si>
  <si>
    <t>BEA1154</t>
  </si>
  <si>
    <t>BEA1170</t>
  </si>
  <si>
    <t>BEA1235</t>
  </si>
  <si>
    <t>BEA1890</t>
  </si>
  <si>
    <t>BEA1891</t>
  </si>
  <si>
    <t>BEA1892</t>
  </si>
  <si>
    <t>BEA1907</t>
  </si>
  <si>
    <t>BEA1925</t>
  </si>
  <si>
    <t>BEA1952</t>
  </si>
  <si>
    <t>BEA1953</t>
  </si>
  <si>
    <t>BEA1954</t>
  </si>
  <si>
    <t>BEA1955</t>
  </si>
  <si>
    <t>BEA1959</t>
  </si>
  <si>
    <t>BEA1962</t>
  </si>
  <si>
    <t>BEA1964</t>
  </si>
  <si>
    <t>BEA2166</t>
  </si>
  <si>
    <t>BEA2045</t>
  </si>
  <si>
    <t>REC0197</t>
  </si>
  <si>
    <t>BEA0742</t>
  </si>
  <si>
    <t>BEA0991</t>
  </si>
  <si>
    <t>BEA10001</t>
  </si>
  <si>
    <t>BEA1503</t>
  </si>
  <si>
    <t>BEA1153</t>
  </si>
  <si>
    <t>BEA1153X2</t>
  </si>
  <si>
    <t>BEA1702</t>
  </si>
  <si>
    <t>BEA1678</t>
  </si>
  <si>
    <t>BEA1824</t>
  </si>
  <si>
    <t>BEA1911</t>
  </si>
  <si>
    <t>BEA1950</t>
  </si>
  <si>
    <t>BEA1968</t>
  </si>
  <si>
    <t>BEA2046</t>
  </si>
  <si>
    <t>REC0022</t>
  </si>
  <si>
    <t>CAJA 9 ADN PCR Concentración &gt; 50 ng/ul</t>
  </si>
  <si>
    <t>CAJA 8 ADN PCR Concentración 20&lt;x&lt;50 ng/ul</t>
  </si>
  <si>
    <t>REC0196</t>
  </si>
  <si>
    <t>UBEA0343</t>
  </si>
  <si>
    <t>BEA0349</t>
  </si>
  <si>
    <t>BEA0747</t>
  </si>
  <si>
    <t>BEA0767</t>
  </si>
  <si>
    <t>BEA1403</t>
  </si>
  <si>
    <t>BEA1414</t>
  </si>
  <si>
    <t>BEA1694</t>
  </si>
  <si>
    <t>CAJA ENVIO NOVOGENE NATUREX</t>
  </si>
  <si>
    <t>BEA0980</t>
  </si>
  <si>
    <t>ALGASAL PLAYA EMBARCADERO ULVA MALAGA</t>
  </si>
  <si>
    <t>DUNALIELLA SALINA MUESTRA ALMERIA</t>
  </si>
  <si>
    <t>RP2 1505</t>
  </si>
  <si>
    <t>MUESTRA ULVA ALMERIA</t>
  </si>
  <si>
    <t>SALMUERA ITC FILTROS</t>
  </si>
  <si>
    <t>RP3 1505</t>
  </si>
  <si>
    <t>ULVA ALMERIA 15 MLX3</t>
  </si>
  <si>
    <t>ULVA AGUADULCE 10/11/2025</t>
  </si>
  <si>
    <t>MICRO IFAPA 11/11/25</t>
  </si>
  <si>
    <t>BOLSA 1 FALCON</t>
  </si>
  <si>
    <t>CAJON 1</t>
  </si>
  <si>
    <t>PL2_B3X3</t>
  </si>
  <si>
    <t>2 TIFARACAS X3</t>
  </si>
  <si>
    <t>2 TIFARACASX2</t>
  </si>
  <si>
    <t>SALMUERA ITCX2</t>
  </si>
  <si>
    <t>PL3 G1</t>
  </si>
  <si>
    <t>CAJA 1 ALMACEN ADN ALGASAL</t>
  </si>
  <si>
    <t>TIFARACAS 1 X1</t>
  </si>
  <si>
    <t>TIFARACAS 1 X2</t>
  </si>
  <si>
    <t>TIFARACAS 1 X3</t>
  </si>
  <si>
    <t>PL1D8</t>
  </si>
  <si>
    <t>RP17G7X2</t>
  </si>
  <si>
    <t>M1_1_1</t>
  </si>
  <si>
    <t>RP2_1505</t>
  </si>
  <si>
    <t>LARA MUESTRA</t>
  </si>
  <si>
    <t>M2_2_2</t>
  </si>
  <si>
    <t>AL1_ALGASAL</t>
  </si>
  <si>
    <t>M1_1_2</t>
  </si>
  <si>
    <t>AL1_ALGASAL_2</t>
  </si>
  <si>
    <t>JOHN_ULVA_3</t>
  </si>
  <si>
    <t>PL2_B3X4</t>
  </si>
  <si>
    <t>AL_1_DS_AL</t>
  </si>
  <si>
    <t>AL_1_1_DS_2_ALM</t>
  </si>
  <si>
    <t>M2_3_2</t>
  </si>
  <si>
    <t>RP_P3_EXTR</t>
  </si>
  <si>
    <t>RP2_MAYO</t>
  </si>
  <si>
    <t>M1_1_3</t>
  </si>
  <si>
    <t>RP7_2_5</t>
  </si>
  <si>
    <t>M3_3_2</t>
  </si>
  <si>
    <t>M2_2_1</t>
  </si>
  <si>
    <t>RP7_2_4</t>
  </si>
  <si>
    <t>M2_2_3</t>
  </si>
  <si>
    <t>RP_P2_EXTRA</t>
  </si>
  <si>
    <t>PL3_MNB11</t>
  </si>
  <si>
    <t>M3_3_1</t>
  </si>
  <si>
    <t>PL3_D8</t>
  </si>
  <si>
    <t>RP7_2_2</t>
  </si>
  <si>
    <t>2_3_ALGASAL</t>
  </si>
  <si>
    <t>AL5_A11</t>
  </si>
  <si>
    <t>PL6_H10</t>
  </si>
  <si>
    <t>PL7_E9</t>
  </si>
  <si>
    <t>PL4_E6</t>
  </si>
  <si>
    <t>PL8_A7</t>
  </si>
  <si>
    <t>PL4_D10</t>
  </si>
  <si>
    <t>BEA2184</t>
  </si>
  <si>
    <t>ULVAS1a</t>
  </si>
  <si>
    <t>BEA2185</t>
  </si>
  <si>
    <t>BEA2186</t>
  </si>
  <si>
    <t>CAJA 2 ALMACEN ADN ALGASAL</t>
  </si>
  <si>
    <t>RP3_,AYO</t>
  </si>
  <si>
    <t>RP7_2_3</t>
  </si>
  <si>
    <t>RP7_3_1</t>
  </si>
  <si>
    <t>RP7_3_2</t>
  </si>
  <si>
    <t>RP7_3_6</t>
  </si>
  <si>
    <t>PL3_B5</t>
  </si>
  <si>
    <t>RP9_2_2</t>
  </si>
  <si>
    <t>RP9_1_20</t>
  </si>
  <si>
    <t>RP9_2_1</t>
  </si>
  <si>
    <t>RP9_2_4</t>
  </si>
  <si>
    <t>RP9_2_3</t>
  </si>
  <si>
    <t>RP9_3_1</t>
  </si>
  <si>
    <t>RP9_3_2</t>
  </si>
  <si>
    <t>RP9_3_3</t>
  </si>
  <si>
    <t>RP9_3_4</t>
  </si>
  <si>
    <t>RP9_3_5</t>
  </si>
  <si>
    <t>RP9_3_6</t>
  </si>
  <si>
    <t>PL3_G5</t>
  </si>
  <si>
    <t>PL6_D1</t>
  </si>
  <si>
    <t>RP7_1_1</t>
  </si>
  <si>
    <t>ULVA_MARISMA_CADIZ</t>
  </si>
  <si>
    <t>PLAYA_EMB</t>
  </si>
  <si>
    <t>ROQ_PRIETO_NOV</t>
  </si>
  <si>
    <t>RD3_B3</t>
  </si>
  <si>
    <t>RP7_3_10</t>
  </si>
  <si>
    <t>VAL_7_2</t>
  </si>
  <si>
    <t>BEA2176</t>
  </si>
  <si>
    <t>BEA2179</t>
  </si>
  <si>
    <t>PL1_B8</t>
  </si>
  <si>
    <t>ULVA_MARISMA_CADIZX2</t>
  </si>
  <si>
    <t>ULVA_S1</t>
  </si>
  <si>
    <t>VAL_1_20</t>
  </si>
  <si>
    <t>ULVA_AGUA_NOV</t>
  </si>
  <si>
    <t>CAJA 1 ALMACEN PELLET ALGASAL</t>
  </si>
  <si>
    <t>JOHN</t>
  </si>
  <si>
    <t>RP3_1505</t>
  </si>
  <si>
    <t>PL3_G1</t>
  </si>
  <si>
    <t>JOHN_1</t>
  </si>
  <si>
    <t>M_2_1</t>
  </si>
  <si>
    <t>M2_1_2</t>
  </si>
  <si>
    <t>BEA2041</t>
  </si>
  <si>
    <t>RP3_MAYOX2</t>
  </si>
  <si>
    <t>RP2_MAYOX2</t>
  </si>
  <si>
    <t>RP73_6</t>
  </si>
  <si>
    <t>RP9_1_1</t>
  </si>
  <si>
    <t>RP9_1_1X2</t>
  </si>
  <si>
    <t>PLAYA_EMBARCADERO</t>
  </si>
  <si>
    <t>bea2092</t>
  </si>
  <si>
    <t>bea2093</t>
  </si>
  <si>
    <t>BEA2077</t>
  </si>
  <si>
    <t>BEA1581</t>
  </si>
  <si>
    <t>BEA0095</t>
  </si>
  <si>
    <t>BEA0852</t>
  </si>
  <si>
    <t>BEA0906_</t>
  </si>
  <si>
    <t>BEA0965_</t>
  </si>
  <si>
    <t>BEA1049</t>
  </si>
  <si>
    <t>BEA1067</t>
  </si>
  <si>
    <t>BEA1189</t>
  </si>
  <si>
    <t>BEA1201</t>
  </si>
  <si>
    <t>BEA1267</t>
  </si>
  <si>
    <t>BEA1329</t>
  </si>
  <si>
    <t>BEA1335</t>
  </si>
  <si>
    <t>BEA1378</t>
  </si>
  <si>
    <t>BEA1509</t>
  </si>
  <si>
    <t>BEA1605</t>
  </si>
  <si>
    <t>BEA1900</t>
  </si>
  <si>
    <t>BEA2175</t>
  </si>
  <si>
    <t>BEA2177</t>
  </si>
  <si>
    <t>BEA0300X2</t>
  </si>
  <si>
    <t>BEA0300X4</t>
  </si>
  <si>
    <t>BEA0473X2</t>
  </si>
  <si>
    <t>BEA1341</t>
  </si>
  <si>
    <t>BEA2025</t>
  </si>
  <si>
    <t>BEA0854</t>
  </si>
  <si>
    <t>BEA1228</t>
  </si>
  <si>
    <t>BEA1241</t>
  </si>
  <si>
    <t>BEA1437</t>
  </si>
  <si>
    <t>BEA1557</t>
  </si>
  <si>
    <t>BEA1569</t>
  </si>
  <si>
    <t>BEA1572</t>
  </si>
  <si>
    <t>BEA1601</t>
  </si>
  <si>
    <t>BEA1914</t>
  </si>
  <si>
    <t>BEA2102</t>
  </si>
  <si>
    <t>BEA2126</t>
  </si>
  <si>
    <t>BEA2127</t>
  </si>
  <si>
    <t>BEA2131</t>
  </si>
  <si>
    <t>LK2D9</t>
  </si>
  <si>
    <t>PL1D81</t>
  </si>
  <si>
    <t>PL1D8X2</t>
  </si>
  <si>
    <t>RJ2H4_</t>
  </si>
  <si>
    <t>A1.1</t>
  </si>
  <si>
    <t>A1.2</t>
  </si>
  <si>
    <t>A1.3</t>
  </si>
  <si>
    <t>A2.1</t>
  </si>
  <si>
    <t>A2.2</t>
  </si>
  <si>
    <t>A2.3</t>
  </si>
  <si>
    <t>A3.1</t>
  </si>
  <si>
    <t>A3.2</t>
  </si>
  <si>
    <t>AH1A10</t>
  </si>
  <si>
    <t>AH1H12</t>
  </si>
  <si>
    <t>PL3_B10</t>
  </si>
  <si>
    <t>BEA0008</t>
  </si>
  <si>
    <t>BEA1062</t>
  </si>
  <si>
    <t>BEA1217</t>
  </si>
  <si>
    <t>BEA1442</t>
  </si>
  <si>
    <t>BEA1484</t>
  </si>
  <si>
    <t>BEA1533</t>
  </si>
  <si>
    <t>BEA1560</t>
  </si>
  <si>
    <t>BEA1562</t>
  </si>
  <si>
    <t>BEA1579</t>
  </si>
  <si>
    <t>BEA1580</t>
  </si>
  <si>
    <t>BEA1585</t>
  </si>
  <si>
    <t>BEA1596</t>
  </si>
  <si>
    <t>BEA1603</t>
  </si>
  <si>
    <t>BEA1647</t>
  </si>
  <si>
    <t>BEA1830</t>
  </si>
  <si>
    <t>BEA1843</t>
  </si>
  <si>
    <t>bea2175_</t>
  </si>
  <si>
    <t>BEA0998</t>
  </si>
  <si>
    <t>1.1x2</t>
  </si>
  <si>
    <t>BEA1195</t>
  </si>
  <si>
    <t>ENTREPBR</t>
  </si>
  <si>
    <t>J3</t>
  </si>
  <si>
    <t>PLRD3</t>
  </si>
  <si>
    <t>RP2MAYOx2</t>
  </si>
  <si>
    <t>BEA1588</t>
  </si>
  <si>
    <t>D9LK2</t>
  </si>
  <si>
    <t>rd2b3</t>
  </si>
  <si>
    <t>AL1</t>
  </si>
  <si>
    <t>BEA1865/R</t>
  </si>
  <si>
    <t>BEA2073</t>
  </si>
  <si>
    <t>BEA2074</t>
  </si>
  <si>
    <t>BEA1413</t>
  </si>
  <si>
    <t>BEA1505X2</t>
  </si>
  <si>
    <t>BEA1506x2</t>
  </si>
  <si>
    <t>BEA2091</t>
  </si>
  <si>
    <t>BEA1554</t>
  </si>
  <si>
    <t>BEA1558</t>
  </si>
  <si>
    <t>BEA1833</t>
  </si>
  <si>
    <t>AL1D</t>
  </si>
  <si>
    <t>BEA0456B</t>
  </si>
  <si>
    <t>BEA0837</t>
  </si>
  <si>
    <t>BEA2118</t>
  </si>
  <si>
    <t>BEA2176B</t>
  </si>
  <si>
    <t>BEA2179B</t>
  </si>
  <si>
    <t>BEA2184B</t>
  </si>
  <si>
    <t>BEA2185B</t>
  </si>
  <si>
    <t>BEA2186B</t>
  </si>
  <si>
    <t>PL3MNB11</t>
  </si>
  <si>
    <t>PL4_D10B</t>
  </si>
  <si>
    <t>PL4_E6B</t>
  </si>
  <si>
    <t>PL8_A7B</t>
  </si>
  <si>
    <t>PL8_B1B</t>
  </si>
  <si>
    <t>Ulva_saraB</t>
  </si>
  <si>
    <t>BEA1963</t>
  </si>
  <si>
    <t>1.3MARZO</t>
  </si>
  <si>
    <t>MALAGA</t>
  </si>
  <si>
    <t>BEA1538</t>
  </si>
  <si>
    <t>BEA1550</t>
  </si>
  <si>
    <t>BEA1701</t>
  </si>
  <si>
    <t>BEA2168</t>
  </si>
  <si>
    <t>AL11</t>
  </si>
  <si>
    <t>BEA20551</t>
  </si>
  <si>
    <t>BEA20981/2098</t>
  </si>
  <si>
    <t>CADIZ</t>
  </si>
  <si>
    <t>J31</t>
  </si>
  <si>
    <t>RPMAYO</t>
  </si>
  <si>
    <t>RPNOV1</t>
  </si>
  <si>
    <t>1.1MARZOALGASAL</t>
  </si>
  <si>
    <t>1.3MARZOALGASAL</t>
  </si>
  <si>
    <t>2.2MARZOALGASAL</t>
  </si>
  <si>
    <t>2.3MARZOALGASAL</t>
  </si>
  <si>
    <t>3.1MARZOALGASAL</t>
  </si>
  <si>
    <t>AL12</t>
  </si>
  <si>
    <t>AL11Dx2</t>
  </si>
  <si>
    <t>AL5A11</t>
  </si>
  <si>
    <t>AL5A11B</t>
  </si>
  <si>
    <t>BEA02972</t>
  </si>
  <si>
    <t>BEA0906</t>
  </si>
  <si>
    <t>BEA1180</t>
  </si>
  <si>
    <t>EMBARCADEROCADIZ</t>
  </si>
  <si>
    <t>MARISMACADIZ</t>
  </si>
  <si>
    <t>MARISMACADIZX2</t>
  </si>
  <si>
    <t>PL1B8/2</t>
  </si>
  <si>
    <t>PL2B3/2</t>
  </si>
  <si>
    <t>PL2B3/3</t>
  </si>
  <si>
    <t>PL2G5</t>
  </si>
  <si>
    <t>PL2G5B</t>
  </si>
  <si>
    <t>PL4D10B</t>
  </si>
  <si>
    <t>PL4E6B</t>
  </si>
  <si>
    <t>PL6B2</t>
  </si>
  <si>
    <t>PL6B2B</t>
  </si>
  <si>
    <t>PL6D1</t>
  </si>
  <si>
    <t>PL6D1B</t>
  </si>
  <si>
    <t>PL6H10</t>
  </si>
  <si>
    <t>PL6H10B</t>
  </si>
  <si>
    <t>PL7E9</t>
  </si>
  <si>
    <t>PL7E9B</t>
  </si>
  <si>
    <t>PL8A7B</t>
  </si>
  <si>
    <t>PL8A7</t>
  </si>
  <si>
    <t>PL8B1</t>
  </si>
  <si>
    <t>PL8B1B</t>
  </si>
  <si>
    <t>PLAYAMALAGA</t>
  </si>
  <si>
    <t>RP1G7/2</t>
  </si>
  <si>
    <t>RP71.1</t>
  </si>
  <si>
    <t>RP72.2SSU/ITS4</t>
  </si>
  <si>
    <t>RP72.2</t>
  </si>
  <si>
    <t>RP72.2x2</t>
  </si>
  <si>
    <t>RP72.3</t>
  </si>
  <si>
    <t>RP72.3x2</t>
  </si>
  <si>
    <t>RP72.3X2</t>
  </si>
  <si>
    <t>RP72.3X3</t>
  </si>
  <si>
    <t>RP72.4</t>
  </si>
  <si>
    <t>RP72.4x2</t>
  </si>
  <si>
    <t>RP72.4x3</t>
  </si>
  <si>
    <t>RP72.5</t>
  </si>
  <si>
    <t>RP72.5x2</t>
  </si>
  <si>
    <t>RP72.5x3</t>
  </si>
  <si>
    <t>RP73.1</t>
  </si>
  <si>
    <t>RP73.1x2</t>
  </si>
  <si>
    <t>RP73.1X2</t>
  </si>
  <si>
    <t>RP73.2</t>
  </si>
  <si>
    <t>RP73.6</t>
  </si>
  <si>
    <t>RP92.1</t>
  </si>
  <si>
    <t>RP92.2</t>
  </si>
  <si>
    <t>RP92.3</t>
  </si>
  <si>
    <t>RP92.4</t>
  </si>
  <si>
    <t>RP92-4</t>
  </si>
  <si>
    <t>RP93.1</t>
  </si>
  <si>
    <t>RP93.2</t>
  </si>
  <si>
    <t>RP93.3</t>
  </si>
  <si>
    <t>RP93.4</t>
  </si>
  <si>
    <t>RP93.5</t>
  </si>
  <si>
    <t>RP93.6</t>
  </si>
  <si>
    <t>ULVAAGUADULCE</t>
  </si>
  <si>
    <t>ULVAAGUADULCEB</t>
  </si>
  <si>
    <t>ulvacadiz</t>
  </si>
  <si>
    <t>ulvacadizx2</t>
  </si>
  <si>
    <t>Ulvasara</t>
  </si>
  <si>
    <t>UlvasaraB</t>
  </si>
  <si>
    <t>Roqueprietonov</t>
  </si>
  <si>
    <t>CAJÓN</t>
  </si>
  <si>
    <t>CAJÓN 4</t>
  </si>
  <si>
    <t>CAJÓN 5</t>
  </si>
  <si>
    <t>CAJÓN 6</t>
  </si>
  <si>
    <t>CAJÓN 7</t>
  </si>
  <si>
    <t>CAJÓN 8</t>
  </si>
  <si>
    <t>CAJÓN 9</t>
  </si>
  <si>
    <t>CAJÓN 10</t>
  </si>
  <si>
    <t>CAJÓN 11</t>
  </si>
  <si>
    <t>CAJÓN 12</t>
  </si>
  <si>
    <t>CAJÓN 13</t>
  </si>
  <si>
    <t>CAJÓN 14</t>
  </si>
  <si>
    <t>CAJÓN 15</t>
  </si>
  <si>
    <t>CAJÓN 16</t>
  </si>
  <si>
    <t>CAJÓN 17</t>
  </si>
  <si>
    <t>CAJÓN 18</t>
  </si>
  <si>
    <t>CAJÓN 19</t>
  </si>
  <si>
    <t>CAJÓN 20</t>
  </si>
  <si>
    <t>CAJÓN 21</t>
  </si>
  <si>
    <t>CAJÓN 22</t>
  </si>
  <si>
    <t>CAJÓN 23</t>
  </si>
  <si>
    <t>CAJÓN 24</t>
  </si>
  <si>
    <t>CAJÓN 25</t>
  </si>
  <si>
    <t>CAJÓN 26</t>
  </si>
  <si>
    <t>CAJÓN 27</t>
  </si>
  <si>
    <t>CAJÓN 28</t>
  </si>
  <si>
    <t>CAJÓN 29</t>
  </si>
  <si>
    <t>CAJÓN 30</t>
  </si>
  <si>
    <t>CAJÓN 31</t>
  </si>
  <si>
    <t>CAJÓN 32</t>
  </si>
  <si>
    <t>CAJÓN 33</t>
  </si>
  <si>
    <t>CAJÓN 34</t>
  </si>
  <si>
    <t>CAJÓN 35</t>
  </si>
  <si>
    <t>CAJÓN 36</t>
  </si>
  <si>
    <t>CAJÓN 37</t>
  </si>
  <si>
    <t>CAJÓN 38</t>
  </si>
  <si>
    <t>CAJÓN 39</t>
  </si>
  <si>
    <t>CAJÓN 40</t>
  </si>
  <si>
    <t>CAJÓN 41</t>
  </si>
  <si>
    <t>CAJÓN 42</t>
  </si>
  <si>
    <t>CAJÓN 43</t>
  </si>
  <si>
    <t>CAJÓN 44</t>
  </si>
  <si>
    <t>CAJÓN 45</t>
  </si>
  <si>
    <t>CAJÓN 46</t>
  </si>
  <si>
    <t>CAJÓN 47</t>
  </si>
  <si>
    <t>CAJÓN 48</t>
  </si>
  <si>
    <t>CAJÓN 49</t>
  </si>
  <si>
    <t>CAJÓN 50</t>
  </si>
  <si>
    <t>CAJÓN 51</t>
  </si>
  <si>
    <t>CAJÓN 52</t>
  </si>
  <si>
    <t>CAJÓN 53</t>
  </si>
  <si>
    <t>CAJÓN 54</t>
  </si>
  <si>
    <t>CAJÓN 55</t>
  </si>
  <si>
    <t>CAJÓN 56</t>
  </si>
  <si>
    <t>CAJÓN 57</t>
  </si>
  <si>
    <t>CAJÓN 58</t>
  </si>
  <si>
    <t>CAJÓN 59</t>
  </si>
  <si>
    <t>CAJÓN 60</t>
  </si>
  <si>
    <t>CAJÓN 61</t>
  </si>
  <si>
    <t>CAJÓN 62</t>
  </si>
  <si>
    <t>CAJÓN 63</t>
  </si>
  <si>
    <t>CAJÓN 64</t>
  </si>
  <si>
    <t>CAJÓN 65</t>
  </si>
  <si>
    <t>CAJÓN 66</t>
  </si>
  <si>
    <t>CAJÓN 67</t>
  </si>
  <si>
    <t>CAJÓN 68</t>
  </si>
  <si>
    <t>CAJÓN 69</t>
  </si>
  <si>
    <t>CAJÓN 70</t>
  </si>
  <si>
    <t>CAJÓN 71</t>
  </si>
  <si>
    <t>CAJÓN 72</t>
  </si>
  <si>
    <t>CAJÓN 73</t>
  </si>
  <si>
    <t>CAJÓN 74</t>
  </si>
  <si>
    <t>CAJÓN 75</t>
  </si>
  <si>
    <t>CAJÓN 76</t>
  </si>
  <si>
    <t>CAJÓN 77</t>
  </si>
  <si>
    <t>CAJÓN 78</t>
  </si>
  <si>
    <t>CAJÓN 79</t>
  </si>
  <si>
    <t>CAJÓN 80</t>
  </si>
  <si>
    <t>CAJÓN 81</t>
  </si>
  <si>
    <t>CAJÓN 82</t>
  </si>
  <si>
    <t>CAJÓN 83</t>
  </si>
  <si>
    <t>CAJÓN 84</t>
  </si>
  <si>
    <t>CAJÓN 85</t>
  </si>
  <si>
    <t>CAJÓN 86</t>
  </si>
  <si>
    <t>CAJÓN 87</t>
  </si>
  <si>
    <t>CAJÓN 88</t>
  </si>
  <si>
    <t>CAJÓN 89</t>
  </si>
  <si>
    <t>CAJÓN 90</t>
  </si>
  <si>
    <t>CAJÓN 91</t>
  </si>
  <si>
    <t>CAJÓN 92</t>
  </si>
  <si>
    <t>CAJÓN 93</t>
  </si>
  <si>
    <t>CAJÓN 94</t>
  </si>
  <si>
    <t>CAJÓN 95</t>
  </si>
  <si>
    <t>CAJÓN 96</t>
  </si>
  <si>
    <t>CAJÓN 97</t>
  </si>
  <si>
    <t>CAJÓN 98</t>
  </si>
  <si>
    <t>CAJÓN 99</t>
  </si>
  <si>
    <t>CAJÓN 100</t>
  </si>
  <si>
    <t>CAJÓN 101</t>
  </si>
  <si>
    <t>CAJÓN 102</t>
  </si>
  <si>
    <t>CAJÓN 103</t>
  </si>
  <si>
    <t>CAJÓN 104</t>
  </si>
  <si>
    <t>CAJÓN 105</t>
  </si>
  <si>
    <t>CAJÓN 106</t>
  </si>
  <si>
    <t>CAJÓN 107</t>
  </si>
  <si>
    <t>CAJÓN 108</t>
  </si>
  <si>
    <t>CAJÓN 109</t>
  </si>
  <si>
    <t>CAJÓN 110</t>
  </si>
  <si>
    <t>CAJÓN 111</t>
  </si>
  <si>
    <t>CAJÓN 112</t>
  </si>
  <si>
    <t>CAJÓN 113</t>
  </si>
  <si>
    <t>CAJÓN 114</t>
  </si>
  <si>
    <t>CAJÓN 115</t>
  </si>
  <si>
    <t>CAJÓN 116</t>
  </si>
  <si>
    <t>CAJÓN 117</t>
  </si>
  <si>
    <t>CAJÓN 118</t>
  </si>
  <si>
    <t>CAJÓN 119</t>
  </si>
  <si>
    <t>CAJÓN 120</t>
  </si>
  <si>
    <t>CAJÓN 121</t>
  </si>
  <si>
    <t>CAJÓN 122</t>
  </si>
  <si>
    <t>CAJÓN 123</t>
  </si>
  <si>
    <t>CAJÓN 124</t>
  </si>
  <si>
    <t>CAJÓN 125</t>
  </si>
  <si>
    <t>CAJÓN 126</t>
  </si>
  <si>
    <t>CAJÓN 127</t>
  </si>
  <si>
    <t>CAJÓN 128</t>
  </si>
  <si>
    <t>CAJÓN 129</t>
  </si>
  <si>
    <t>CAJÓN 130</t>
  </si>
  <si>
    <t>CAJÓN 131</t>
  </si>
  <si>
    <t>CAJÓN 132</t>
  </si>
  <si>
    <t>CAJÓN 133</t>
  </si>
  <si>
    <t>CAJÓN 134</t>
  </si>
  <si>
    <t>CAJÓN 135</t>
  </si>
  <si>
    <t>CAJÓN 136</t>
  </si>
  <si>
    <t>CAJÓN 137</t>
  </si>
  <si>
    <t>CAJÓN 138</t>
  </si>
  <si>
    <t>CAJÓN 139</t>
  </si>
  <si>
    <t>CAJÓN 140</t>
  </si>
  <si>
    <t>CAJÓN 141</t>
  </si>
  <si>
    <t>CAJÓN 142</t>
  </si>
  <si>
    <t>CAJÓN 143</t>
  </si>
  <si>
    <t>CAJÓN 144</t>
  </si>
  <si>
    <t>CAJÓN 145</t>
  </si>
  <si>
    <t>CAJÓN 146</t>
  </si>
  <si>
    <t>CAJÓN 147</t>
  </si>
  <si>
    <t>CAJÓN 148</t>
  </si>
  <si>
    <t>CAJÓN 149</t>
  </si>
  <si>
    <t>CAJÓN 150</t>
  </si>
  <si>
    <t>CAJÓN 151</t>
  </si>
  <si>
    <t>CAJÓN 152</t>
  </si>
  <si>
    <t>CAJÓN 153</t>
  </si>
  <si>
    <t>CAJÓN 154</t>
  </si>
  <si>
    <t>CAJÓN 155</t>
  </si>
  <si>
    <t>CAJÓN 156</t>
  </si>
  <si>
    <t>CAJÓN 157</t>
  </si>
  <si>
    <t>CAJÓN 158</t>
  </si>
  <si>
    <t>CAJÓN 159</t>
  </si>
  <si>
    <t>CAJÓN 160</t>
  </si>
  <si>
    <t>CAJÓN 161</t>
  </si>
  <si>
    <t>CAJÓN 162</t>
  </si>
  <si>
    <t>CAJÓN 163</t>
  </si>
  <si>
    <t>CAJÓN 164</t>
  </si>
  <si>
    <t>CAJÓN 165</t>
  </si>
  <si>
    <t>CAJÓN 166</t>
  </si>
  <si>
    <t>CAJÓN 167</t>
  </si>
  <si>
    <t>CAJÓN 168</t>
  </si>
  <si>
    <t>CAJÓN 169</t>
  </si>
  <si>
    <t>CAJÓN 170</t>
  </si>
  <si>
    <t>CAJÓN 171</t>
  </si>
  <si>
    <t>CAJÓN 172</t>
  </si>
  <si>
    <t>CAJÓN 173</t>
  </si>
  <si>
    <t>CAJÓN 174</t>
  </si>
  <si>
    <t>CAJÓN 175</t>
  </si>
  <si>
    <t>CAJÓN 176</t>
  </si>
  <si>
    <t>CAJÓN 177</t>
  </si>
  <si>
    <t>CAJÓN 178</t>
  </si>
  <si>
    <t>CAJÓN 179</t>
  </si>
  <si>
    <t>CAJÓN 180</t>
  </si>
  <si>
    <t>CAJÓN 181</t>
  </si>
  <si>
    <t>CAJÓN 182</t>
  </si>
  <si>
    <t>CAJÓN 183</t>
  </si>
  <si>
    <t>CAJÓN 184</t>
  </si>
  <si>
    <t>CAJÓN 185</t>
  </si>
  <si>
    <t>CAJÓN 186</t>
  </si>
  <si>
    <t>CAJÓN 187</t>
  </si>
  <si>
    <t>CAJÓN 188</t>
  </si>
  <si>
    <t>CAJÓN 189</t>
  </si>
  <si>
    <t>CAJÓN 190</t>
  </si>
  <si>
    <t>CAJÓN 191</t>
  </si>
  <si>
    <t>CAJÓN 192</t>
  </si>
  <si>
    <t>CAJÓN 193</t>
  </si>
  <si>
    <t>CAJÓN 194</t>
  </si>
  <si>
    <t>CAJÓN 195</t>
  </si>
  <si>
    <t>CAJÓN 196</t>
  </si>
  <si>
    <t>CAJÓN 197</t>
  </si>
  <si>
    <t>CAJÓN 198</t>
  </si>
  <si>
    <t>CAJÓN 199</t>
  </si>
  <si>
    <t>CAJÓN 200</t>
  </si>
  <si>
    <t>CAJÓN 201</t>
  </si>
  <si>
    <t>CAJÓN 202</t>
  </si>
  <si>
    <t>CAJÓN 203</t>
  </si>
  <si>
    <t>CAJÓN 204</t>
  </si>
  <si>
    <t>CAJÓN 205</t>
  </si>
  <si>
    <t>CAJÓN 206</t>
  </si>
  <si>
    <t>CAJÓN 207</t>
  </si>
  <si>
    <t>CAJÓN 208</t>
  </si>
  <si>
    <t>CAJÓN 209</t>
  </si>
  <si>
    <t>CAJÓN 210</t>
  </si>
  <si>
    <t>CAJÓN 211</t>
  </si>
  <si>
    <t>CAJÓN 212</t>
  </si>
  <si>
    <t>CAJÓN 213</t>
  </si>
  <si>
    <t>CAJÓN 214</t>
  </si>
  <si>
    <t>CAJÓN 215</t>
  </si>
  <si>
    <t>CAJÓN 216</t>
  </si>
  <si>
    <t>CAJÓN 217</t>
  </si>
  <si>
    <t>CAJÓN 218</t>
  </si>
  <si>
    <t>CAJÓN 219</t>
  </si>
  <si>
    <t>CAJÓN 220</t>
  </si>
  <si>
    <t>CAJÓN 221</t>
  </si>
  <si>
    <t>CAJÓN 222</t>
  </si>
  <si>
    <t>CAJÓN 223</t>
  </si>
  <si>
    <t>CAJÓN 224</t>
  </si>
  <si>
    <t>CAJÓN 225</t>
  </si>
  <si>
    <t>CAJÓN 226</t>
  </si>
  <si>
    <t>CAJÓN 227</t>
  </si>
  <si>
    <t>CAJÓN 228</t>
  </si>
  <si>
    <t>CAJÓN 229</t>
  </si>
  <si>
    <t>CAJÓN 230</t>
  </si>
  <si>
    <t>CAJÓN 231</t>
  </si>
  <si>
    <t>CAJÓN 232</t>
  </si>
  <si>
    <t>CAJÓN 233</t>
  </si>
  <si>
    <t>CAJÓN 234</t>
  </si>
  <si>
    <t>CAJÓN 235</t>
  </si>
  <si>
    <t>CAJÓN 236</t>
  </si>
  <si>
    <t>CAJÓN 237</t>
  </si>
  <si>
    <t>CAJÓN 238</t>
  </si>
  <si>
    <t>CAJÓN 239</t>
  </si>
  <si>
    <t>CAJÓN 240</t>
  </si>
  <si>
    <t>CAJÓN 241</t>
  </si>
  <si>
    <t>CAJÓN 242</t>
  </si>
  <si>
    <t>CAJÓN 243</t>
  </si>
  <si>
    <t>CAJÓN 244</t>
  </si>
  <si>
    <t>CAJÓN 245</t>
  </si>
  <si>
    <t>CAJÓN 246</t>
  </si>
  <si>
    <t>CAJÓN 247</t>
  </si>
  <si>
    <t>CAJÓN 248</t>
  </si>
  <si>
    <t>CAJÓN 249</t>
  </si>
  <si>
    <t>CAJÓN 250</t>
  </si>
  <si>
    <t>CAJÓN 251</t>
  </si>
  <si>
    <t>CAJÓN 252</t>
  </si>
  <si>
    <t>CAJÓN 253</t>
  </si>
  <si>
    <t>CAJÓN 254</t>
  </si>
  <si>
    <t>CAJÓN 255</t>
  </si>
  <si>
    <t>CAJÓN 256</t>
  </si>
  <si>
    <t>CAJÓN 257</t>
  </si>
  <si>
    <t>CAJÓN 258</t>
  </si>
  <si>
    <t>CAJÓN 259</t>
  </si>
  <si>
    <t>CAJÓN 260</t>
  </si>
  <si>
    <t>CAJÓN 261</t>
  </si>
  <si>
    <t>CAJÓN 262</t>
  </si>
  <si>
    <t>CAJÓN 263</t>
  </si>
  <si>
    <t>CAJÓN 264</t>
  </si>
  <si>
    <t>CAJÓN 265</t>
  </si>
  <si>
    <t>CAJÓN 266</t>
  </si>
  <si>
    <t>CAJÓN 267</t>
  </si>
  <si>
    <t>CAJÓN 268</t>
  </si>
  <si>
    <t>CAJÓN 269</t>
  </si>
  <si>
    <t>CAJÓN 270</t>
  </si>
  <si>
    <t>CAJÓN 271</t>
  </si>
  <si>
    <t>CAJÓN 272</t>
  </si>
  <si>
    <t>CAJÓN 273</t>
  </si>
  <si>
    <t>CAJÓN 274</t>
  </si>
  <si>
    <t>CAJÓN 275</t>
  </si>
  <si>
    <t>CAJÓN 276</t>
  </si>
  <si>
    <t>CAJÓN 277</t>
  </si>
  <si>
    <t>CAJÓN 278</t>
  </si>
  <si>
    <t>CAJÓN 279</t>
  </si>
  <si>
    <t>CAJÓN 280</t>
  </si>
  <si>
    <t>CAJÓN 281</t>
  </si>
  <si>
    <t>CAJÓN 282</t>
  </si>
  <si>
    <t>CAJÓN 283</t>
  </si>
  <si>
    <t>CAJÓN 284</t>
  </si>
  <si>
    <t>RBCH10</t>
  </si>
  <si>
    <t>RJ2C2</t>
  </si>
  <si>
    <t>RP1_G7_2</t>
  </si>
  <si>
    <t>&gt;BEA1224_23S_
GGGAAGATCGTTCCTGCTAATACCCAATGTGCCGAGAGGTGAAAGCTTTAGTGCCTGAAGATGAGCTCGCGTCTGATTAGCTAGTTGGTGGGGTAATAGCTTACCAAGGCGACGATCAGTAGCTGGTCTGAGAGGATGATCAGCCACACTGGGACTGAGACACGGCCCAGACTCCTACGGGAGGCAGCTTTGGGGAATTTTCCGCAATGGGCGCAAGCCTGACGGAGCAAGACCGCGTGAGGGAGGAAGGCTCTTGGGTTGTAAACCTCTTTTATCAGGGAAGAAGATCTGACGGTACCTGATGAATCAGCATCGGCTAACTCCGTGCCAGCAGCCGCGGTAATACGGAGGATGCAAGCGTTATCCGGATTTATTGGGCGTAAAGCGTCCGCAGGTGGTTTTCCAAGTCTGCTGTTAAAGCGCGAGGCTTAACCTCGTACAGGCAGTGGAAACTGGGAGACTAGAGTATGGTAGGGGTAGCGGGAATTCCCAGTGTAGCGGTGAAATGCGTAGATATTGGGAAGAACACCAGCGGCGAAAGCGCGCTACTGGGCCATAACTGACACTCATGGACGAAAGCTAGGGGAGCGAAAGGGATTAGATACCCCTGTAGTCCTAGCTGTAAACGATGGGTACTAGGTGTTGACCGTATCGACCCGGTCAGTGCCGTAGCTAACGCGTTAAGTACCCCGCCTGGGGAGTATGCACGCAAGTGTGAAACTCAAAGGAATTGACGGGGGCCCGCACAAGCGGTGGAGTATGTGGTTTAATTCGATGCAACGCGAAGAACCTTACCAGGGCTTGACATGTCGCGAATCCCGGTGAAAGTCGGGAGTGCCTTCGGGAGCGCGAACACAGGTGGTGCATGGCTGTCGTCAGCTCGTGTCGTGAGATGTTGGGTTAAGTCCCGCAACGAGCGCAACCCTCGTTTTTAGTTGCCAGCATTCAGTTGGGCACTCTAGAGAGACTGCCGGTGACAAACCGGAGGAAGGTGGGGATGACGTCAAGTCAGCATGCCCCTTACGTCCTGGGCTACACACGTACTACAATGCTTCGGACAAAGGGTTGCGAGCTAGCGATAGCAAGCTAATCCCATAAACCGAGGCTCAGTTCAGATTGCAGGCTGCAACTCGCCTGCATGAAGGAGGAATCGCTAGTAATCCCAGGTCAGCATACTGGGGTGAATACGTTCCCGGGCCTTGTACACACCGCCCGTCACACCATGGGAGTTGGCCACGCCCGAAGTCGTTACTCCAACCGTTCGCGGAGGAGGATGCCGAAGGCAGGGCTGATGACTGGGGTGAAGTCGTAACAAGGTAGCCGTACCGGAAGGTGTGGCTGGATCACCTCCTTTTAGGGAGACCTACCCACATTGAAGCTTGAAAAAGCCAATGTTGGTCATCCCAAGGTCGTTCAAGTGTTAAGTGTTGGCTTTCAAACTAGCTAGGTTTGGTTTATGGGCTATTAGCTCAGGTGGTTAGAGCGCACCCCTGATAAGGGTGAGGTCCCTGGTTCGAGTCCAGGATGGCCCACCTTTGAGAGCGGTCAACCATCAGTGATCAGAGTTCTGTTGAGAGCTTATGAAAACTGAGCGTTGGTAGCTTTTCTGGGGGTTTAGCTCAGTTGGTAGAGCGCCTGCTTTGCAAGCAGGATGTCAGCGGTTCGAGTCCGCTAACCTCCACTGAGTGAATGGTTTCTTGAGCCCATTATTTAGAAGCGTTCAGCAACTCGTCTAGTGCTACTAGAGAGCCTGCTGGACTTGTTTCCAGCCAGAACCTTGAAAACTGCATAGTACTTGTCAGGTAGAAAGAGCAATATTTGCTTTGCGTCTGTCTTCAATTTTAATTGATTGAACGTCAGCGTTTGAGCATGTGTTGTGAA</t>
  </si>
  <si>
    <t>&gt;BEA0854_Premix
ATAGTGGCGCAAGGGTGCAGTAACGCGTGAGAATCTGCCCTTGGGTTCGGAATAACCATTAGAAATGACTGCTAATACCGGATAATGACTTAGGTCCAAAGATTTATCGCCCAAGGATGAGCCCGCGTATGATTAGCTAGTTGGTGGGGTAAAGGCCTACCAAGGCTACGATCCTTAGCTGGTCTGAGAGGATGATCAGCCACACTGGGACTGAGACACGGCCCAAACTCCTACGGGAGGCAGCAGTGGGGAATATTGGACAATGGGCGAAAGCCTGATCCAGCAATGCCGCGTGAGTGATGAAGGCCTTCGGGGTTGTAAAGCTCTTTTACCCGGGAAGATAATGACAGTACCGGGAGAATAAGCCCCGGCTAACTCCGTGCCAGCAGCCGCGGTAATACAGAGGGGGCTAGCGTTGTTCGGAATTACTGGGCGTATAGCGCGCGTACGCGGTCTATCATGTCTGAGGTGAAAGCCCAGGGCTCAACTCTGGAATTGCCTTTGAAACTGGCAGACTTGAAACTGGGATGAGGTGAGTGGAATTCCGAGTGGTAGAGGTGAAATTCGTAGATATTCGGAGGAACACCAGTGGCGAAAGCGGCTCACTGGACCATTGTTGACGCTTAGGTGCGAAAGCGTGGGGAGCAAACAGGATAAGATACCCTGGTATGTCCACGCCGTAAACAATAAAGACAAATTGTTCGGGGCTCTTGGAGCTTCGGTGGGGCACTTAAGCATTAAGTCTTCCGCCCGGGGGAGTACGGTCCCAAGATTAAAACTCAAAGGAATTGACGGGGGCCTGCCCAACCGGGGGAGCAATGTGGTTTTATTTCTAAGCACCGCGCAAAAACTTACCCCGTTTGAATGGGGGGGCGACTTCCTAGAAAGGATTTCT</t>
  </si>
  <si>
    <t>&gt;BEA1228_Premix_LOW_QUALITY
CATTTCAGGGATCTGACGTCGTGCGGACGAGAGAGTAACGAGTGATGATCTGCCTACGGGACTGTGCACAGCTGCTGGGAAGAGGCTACTAGAACCGGATGTGCCAAGAGGTGAAATATTTATAGACCTGTAGATGAGCTCCGCGTCGGACTATCGCCTTGGTGAGGTAAGGGCTCACAATAGGCTACTATGTGTAGCTGGTCTGAGAGGACGATAAGCCACCCTGGGACTGAGACACGGCCAACACCCTACTGGAGGCGACACTGGGGAATTTTCCGCACTGGGCGCAGCCCTGAGGGATCATGACCGCGTGAGGGAGGAATGTCTGTGGATTGTAAACCGCATTTGAAGGGATAGGTTCGGACGTACCTATCGCAGCGACGACGGCTATCTCGTTGCCACCTCCGCGGTGTACTGACGATGCAACATTATCCGGATTATCGTGCTACAGCGTCCGTAGTGGTAATCTGGTCTATTGATCAGACTGGGGCTAATCCTGGAAAGCGGTGGAACTGGTTGACTAGGTGCAGTACGGGCATAAGCATTCAATGTATCGTAATATGCGGATATATTGTGAAAAACCGGTAGCAAACCGTCTGTGGGCAGCGCTGACACTTAGGACGAAACTGGGGAGCAAAGGGATAATACCC
&gt;BEA1228_1494R_low_quality
CGGGAAACCTTACATATCTGCAATCGCGAATCTTCGCAGAGAGATGAGGCCTTTCGGAGAGTGAACGCCGGTTGTGCCTGGGCGTTGTTCAGCTCGTCTTGAGAATTGGGTTTAATTCCCCAACAGAGCCAACCATTTCTTTTTGCCATCATTTACTTGGGCAATCTCGAAGAGACCGCCGACATCACGGAGGAAGAAGTGGGGACGTCACGTCAGCATCCCCCCTATTTTGTGGGGGCTCACGTACTGCTACAATTGGGACAAAAACAGCAAGCGCTCGAGACAGCCCAATGACATAAACAGAGGCTCAGTTCTCGATGACAGAGTGCAACTCGCGAGCATGAAGAAGGAATCGCTAGTAATCGCAGGTCAGCAGAATGCGGTGAATACTTTCCTCGGGCGTCGTACACCCCGCCCGTCACCCCATCGGAGGAGCCACGCCAGAAGACGTTGGTACA</t>
  </si>
  <si>
    <t>&gt;BEA1427_low_quality_Synechocystis
TCGGACTTAGTGGCGGAGGGTGAGTACACGTGAGAACCTACCTTCAGAATGGGGACACAGTTGGAAACGACTGCTAATACCCATGTGCCGAAAGGTGAAAGATTTATCGTCTGAAGATGGGCTCGCGTCTGATTAGCTAGATGGTGGGGTAAGAGCCTACCATGGCAACGATCAGTAGCTGGTCTGAGAGGATGAGCAGCCACACTGGGACTGAGACACGGCCCAGACTCCTACGGGAGGCAGCAGTGGGGAATTTTCCGCAATGGGCGAAAGCCTGACGGAGCAATACCGCGTGAGGGAGGAAGGTCCTTGGATTGTAAACCTCTTTTATCAGGGAAGAAGTTCTGACGGTACCTGATGAATAAGCATCGGCTAACTCCGTGCCAGCAGCCGCGGTAATACAGAGGATGCAAGCGTTATCCGGAATTATTGGGCGTAAAGCGTCCGTACGTGGTTATGCAAGTCTGCCGATAAAGAATGGAGCTTAACTCCATATGAGCGGTGGAATCTGCAAGACTAGAGTACAGTAGGGGTAGCAGGATTCCCAGTGTAGCGGTGAAATGCGTAAATTTGGGAAGAACATCGGTGGCAGAGCGTGCTACTGGGCTGAAACTGACACTGAGGGAAAAAGCTAGGGTAGCGAAGGGATAGATACCCCTGTAGTCCTAGCCGTAAACGATGAAACAAGGCTGGCTTGTATCGCCCGAGCCGTGCGAACTAAGCGTTATATCCCGCCGGGGAGTACCAAGCAATGTGAACTCAAAGGATTGCGGGGCCGCAAAGCGTGGAGTATGTGTTTATTCGATGCACCGGAAAACTTACAGGGTGACTCCTGGATCTGGGAACGTGGATGCTTAGGACCCGGAA
&gt;BEA1427_1494R_Premix
GCCGCCATTCGGCAATGGATTCGAGGACGGGCATCGGGGGAGTCTGAGTATTTTCAGAATTGCGCTTGATAGTGGAATCTCCCACCGGTATCGGGACAGTTCGATAGCTAAGTCGAGGTTCATCCGTAAGATGAGTATCAGGACGTGAATCAGCTGATCTGAGGTACAGATCCAGGACGGAATGGAATTGGAGACTCGTGCGAACGTCTCTGGTGAATGCATGAGGCGAAGTGGTACGAAGGATAGTCCCGTATCTACCTACGAGGTATGCTGCTGATCGACCGAGCGTCGAGTACGCGTTAGTTCCCCTGGGATACCACGCAGTTGAATCAAGGATGACGGGGCCGCACAACGTGGAGTATGTGTTATTCGATGCACGCGAGACCTTACAAGGCTTGACATCCTTGGATCCTGCGGAACGTGGGAGTGCCTTATGGAGCCAGGAGACAGGTGGTGCATGGCGGTCGTCAGCTCGTGTCGTGAGATGTTGGGTTAAGTCCCGCAACGAGCGCAACCCTCGTTTCTAGTTGCCATCATTAAGTTGGGCACTCTAGAGAGACTGCCGGTGACAAACCGGAGGAAGGTGGGGATGACGTCAAGTCATCATGCCCCCTACGCCTTGGGCTACACACGTACTACAATGGTCGGGACAACGGGCAGCGAGCTCGCGAGAGTAAGCGAATCCCATCAAACCCGGCCTCAGTTCAGATTGCAGGCTGCAACTCGCCTGCATGAAGGAGGAATCGCTAGTAATCGCAGGTCAGAATACTGCGGTGAATTCGTTCCCGGGCCTTGTACACACCGCCCGTCACACCATGGGAGCTGGTCACAGCCCGAAGTCAGTACTCTAACCGCTAAGGAGGACATGCGACCGCATCTCTGTCTAGGTCCA</t>
  </si>
  <si>
    <t>&gt;BEA1463_low_low_quality_Leptothoe_sp
TCCAATGCGCAGACTACTGTGTGAGTCGTACCGGTAGTCGTAATGGTCAACTACTGCGGTGAATACGTTCACCAGCTCTTGTACACACCGCCCGTCACACCAGGAGAGTTGGCCTCGCCCGAAGTCGTTACTCCGTACCCTCGGCTAATAGACGCATAATGCGCGCGGAAGATGAGCGCTGATCTGTATGACAAAGTGACCATAAAAGCGAGCTTACCTAGGCTGACCATGAGAGAGCTGGTCTGCCCACAGGATCAGAGACACTGGCCCTGATCCTCCGCGGAGACTCCTAGGGGAGATTTCCGCGATGAGTTTTAACGCTGTGGGAGCAATACCGCCGGGAGGGAGGAAGCGTCTTGGGGTGTGAACCTCTTTTTTCAAGGCGCATTTCTTCAGAGGAAGACTTTGTGAAGGCACCTGAGGTATCTGCGTCGCCTAACTCCGTGTAATCAGGGGGAGGTAATACGGTATCCGGAATGTTTGGCCGGAAAGCGTGCGCGGGGGGCTTTCACAGGCGGGTGATAAAGTCTGGTGCTAAACCTCCGACGCCCACCGCAAACTAAGCGGTGTAAACTGAGTGGAGGGGAGTGGGATATTCGCCGGAGGGAATGCCAAATGCTAGAGATTAAAGGAAAAAATCTGGGGGAGAAAGGCCCTTTGGCGAGGGCGCTCTGCTCGCTGGGGACTGAAAGCTGAGGGAGCAAAACGGAGATTAAAAACCCGGATTACCCCCCCCTGAAACCATAGACACTAAAGGATGGGATTCTAACGGCCC</t>
  </si>
  <si>
    <t>&gt;BEA1569_Premix_chequeo_calidad_Nodularia
TTCGGAGCATAGTGGCGGACGGGTGAGTAACGCGTGAGAATCTAGCTTTAGGTCGGGGACAACCACGGGAAACTGTGGCTAATACCGGATATGCCGAGAGGTGAAAGGCTTGCTGCCTGAAGATGAGCTCGCGTCTGATTAGCTAGTTGGTAGAGTAAGAGCCTACCAAGGCGACGATCAGTAGCTGGTCTGAGAGGATGATCAGCCACACTGGGACTGAGACACGGCCCAGACTCCTACGGGAGGCAGCAGTGGGGAATTTTCCGCAATGGGCGAAAGCCTGACGGAGCAATACCGCGTGAGGGAGGAAGGCTCTTGGGTTGTAAACCTCTTTTCTCAGGGAAGAAAAAAATGACGGTACCTGAGGAATAAGCATCGGCTAACTCCGTGCCAGCAGCCGCGGTAATACGGAGGATGCAAGCGTTATCCGGAATGATTGGGCGTAAAGGGTCCGCAGGTGGCTGTGTAAGTCTGCTGTTAAAGAATCTAGCTCAACTAGATAAAAGCAGTGGAAACTACATAGCTTGAGTGCGTTCGGGGTAGAGGGAATTCCTGGTGTAGCGGTGAAATGCGTAGATTTCAGGAAGAACACCAGTGGCGAAGGCGCTCTACTAGGCCGCAACTGACACTGAGGGACGAAAGCTAGGGGAGCGAATGGGATTAGATACCCCAGTAGTCCTAGCCGTAAACGATGGAAACAAGGCGTGGCTTGTATCGACCCGAGCCGTGGCCGAACTAAGCGTTAAGTATCCCCGCCGGGGGAGTACGCACGCAGGTTTGAAACTCAAAGGATTTGACGGGGGCCCGCAAAAGCGGTGGAGTTATGTGGTTTTATTCGATGCACCCCGGAAGAACTTACCAAGACTTGACTTGTCCGGATCTTCCT</t>
  </si>
  <si>
    <t>&gt;BEA1584_1494R_Nostoc
GGATTTAGTGGCGGACGGGTGAGTAACGCGTGAGAATCTGGCTTTAGGTCTGGGACAACCACTGGAAACGGTGGCTAATACCGGATGTGCCGAGAGGTGAAAGGTTAACTGCCTAGAGATGAGCTCGCGTCTGATTAGCTAGTTGGAAGTGTAAAGGACTCCCAAGGCGACGATCAGTAGCTGGTCTGAGAGGACGATCAGCCACACTGGGACTGAGACACGGCCCAGACTCCTACGGGAGGCAGCAGTGGGGAATTTTCCGCAATGGGCGAAAGCCTGACGGAGCAATACCGCGTGAGGGAGGAAGGCTCTTGGGTCGTAAACCTCTTTTCTCAGGGAAGAACACAATGACAGTACCTGAGGAATAAGCATCGGCTAACTCCGTGCCAGCAGCCGCGGTAATACGGAGGATGCAAGCGTTATCCGGAATGATTGGGCGTAAAGCGTCCGCAGGTGGCTGTGTAAGTCTGCTGTTAAAGAGTCTAGCTCAACTAGATAAGAGCAGTGGAAACTACACGGCTAGAGTACGTTCGGGGCAGAGGGAATTCCTGGTGTAGCGGTGAAATGCGTAGAGATCAGGAAGAACACCGGTGGCGAAAGCGCTCTGCTAGGCCGTAACTGACACTGAGGGACGAAAGCTAGGGGAGCGAATGGGATTATATACCCCCGGTAGTCCTAGCCGTAAACGATAGAGACTAGGCGTGGCTTGTATCGACCCGAGCCGTGCCGTAGCTAACGCGTTAAGTATCCCGCCTGGGGAGTACGCCGGCAACGGTGAAACTCAAAGGAATTGACGGGGGCCCGCACAAGCGGTGGAGTATGTGGTTTAATTCGATGCAACGCGAAGAACCTTACCAAGGCGTGACATGTCGCGAATCTCGGTGAAAGCTGAGAGTGCCTTCGGGAGCGCGAACACAGGTGGTGCATGGCTGTCGTCAGCTCGTGTCGTGAGATGTTGGGTTAAGTCCCGCAACGAGCGCAACCCTCGTTTTTAGTTGCCAGCATTAAGTTGGGCACTCTAGAGAGACTGCCGGTGACAAACCGGAGGAAGGTGGGGATGACGTCAAGTCAGCATGCCCCTTACGCCTTGGGCTACACACGTACTACAATGCTCCGGACAGAGGGCAGCAAGCATGCGAATGCAAGCAAATCCCGGAAACCGGAGCTCAGTTCAGATCGCAGGCTGCAACTCGCCTGCGTGAAGGAGGAATCGCTAGTAATTGCAGGTCAGCATACTGCAGTGAATTCGTTCCCGGGCCTTGTACACACCGCCCGTCACACCATGGAAGCTGGTAGTGCCCGGAAGGACATTACTCCAACCTTTGGGCGGTCGTCAGCTCCTGTCGTGGGATGTTTT</t>
  </si>
  <si>
    <t>&gt;BEA1644_1494R
CTAACTAGTGGCGGACGGTGAGTAACGCGTGAGAATTTGCCTTCAGGATGGGGACAACAGCGGGAAACTGCTGCTAATACCCGATAGGCTGATCAGTGAAAGATTTATCGCCTGAAGAGAAGCTCGCGTCTGATTAGCTTGTTGGTAGTGTAAGAGACTACCAAGGCGACGATCAGTAGCTGGTCTGAGAGGATGAGCAGCCACACTGGGACTGAGACACGGCCCAGACTCCTACGGGAGGCAGCAGTGGGGAATTTTCCGCAATGGGCGAAAGCCTGACGGAGCAACGCCGCGTGAGGGAGGAAGGCCTTTGGGTTGTAAACCTCTTTTCTAGGGGAAGAAGCAAGTGACGGTACCCTAGGAATCAGCATCGGCTAACTCCGTGCCAGCAGCCGCGGTAATACGGAGGATGCAAGCGTTATCCGGAATTATTGGGCGTAAAGCGTCCGCAGGTGGCTATACAAGTCTGCTGTCAAAGACCGTAGCTTAACTACGGAAAGGCGGTGGAAACTGTAAGGCTAGAGGCCGGTAGGGGTAGCGGGAATTTCCAGTGTAGCGGTGAAATGCGTAGAGATTGGAAAGAACATCGGTGGCGAAAGCGCGCTACTGGGCTGTGCCTGACACTGAGGGACGAAAGCTAGGGGAGCGAAAGGGATTAGATACCCCTGTAGTCCTAGCCGTAAACGATGGAGACTAGGCGTAGCTTGTATCGACCCCAGCTGTGCCGAAGCTAAGCGTTAAGTCTCCCGCCTGGGGGAGTACGCCCGCAGTGTGAAACTCGAGACAAAGGGCAGCGAACTCGCGAGAGTAAGCGAATATCATCAAACTCGGCCTCAGTTCAGATTGCAGGCTGCAACTCGCCTGCATGAAGGAGGAATCGCTAGTAATCGCCGGTCAGCATACGGCGGTGAATTCGTTCCCGGGCCTTGTACACACCGCCCGTCACACCATGGGAGCTGGTCACGCCTCGAGAGTCGTTCTTA
&gt;BEA1644_Premix
TAGTGGCGGACGGTGAGTAACGCGTGAGAATTTGCCTTCAGGATGGGGACAACAGCGGGAAACTGCTGCTAATACCCGATAGGCTGATCAGTGAAAGATTTATCGCCTGAAGAGAAGCTCGCGTCTGATTAGCTTGTTGGTAGTGTAAGAGACTACCAAGGCGACGATCAGTAGCTGGTCTGAGAGGATGAGCAGCCACACTGGGACTGAGACACGGCCCAGACTCCTACGGGAGGCAGCAGTGGGGAATTTTCCGCAATGGGCGAAAGCCTGACGGAGCAACGCCGCGTGAGGGAGGAAGGCCTTTGGGTTGTAAACCTCTTTTCTAGGGGAAGAAGCAAGTGACGGTACCCTAGGAATCAGCATCGGCTAACTCCGTGCCAGCAGCCGCGGTAATACGGAGGATGCAAGCGTTATCCGGAATTATTGGGCGTAAAGCGTCCGCAGGTGGCTATACAAGTCTGCTGTCAAAGACCGTAGCTTAACTACGGAAAGGCGGTGGAAACTGTAAGGCTAGAGGCCGGTAGGGGTAGCGGGAATTTCCAGTGTAGCGGTGAAATGCGTAGAGATTGGAAAGAACATCGGTGGCGAAAGCGCGCTACTGGGCTGTGCCTGACACTGAGGGACGAAAGCTAGGGGAGCGAAAGGGATTAGATACCCCTGTAGTCCTAGCCGTAAACGATGGAGACTAGGCGTAGCTTGTATCGACCCCAGCTGTGCCGAAGCTAAGCGTTAAGTCTCCCGCCTGGGGGAGTACGCCCGCAGTGTGAAACTCAAAGGAATTGACGGGGGCCCGCCAAAGCGGGGGAGTATGTGGTTTTAATTTCGATGCCATCGCGAAAAACCTTACCCGGGGCTTTGACATCTGGGGAAACCAAAGGGAAAACCTTTGG
&gt;BEA1644_1494R_Premix
CTGCATGAGGCGAAGCTAGGGGCGAAAGGATAGAACCCCGTATCTGCGTAACGATGAGCTAGCGTAGTGTATGACCCAGCTGTGCGAGCTACGCGTAATCTCCGCCTGGGAGTACGCACGCAAGTGTGAACTCAAAGGAATGACGGGGCCCGCACAGCGGTGGAGTATGTGTTTATTCGATGCAACGCGAAGACCTTACCAGGCTTGACATCTGGCGAATCAGAGGGAACCTTTGAGTGCCTTCGGGAACGCCAAGACAGGTGGTGCATGGCGTCGTCAGCTCGTGTCGTGAGATGTTGGGTTAAGTCCCGCAACGAGCGCAACCCTCGTTCTTAGTTGCCATCATTAAGTTGGGCACTCTAGGGAGACTGCCGGTGACAAACCGGAGGAAGGTGGGGATGACGTCAAGTCAGCATGCCCCCTACGTCCTGGGCAACACACGTACTACAATGGTCGAGACAAAGGGCAGCGAACTCGCGAGAGTAAGCGAATATCATCAAACTCGGCCTCAGTTCAGATTGCAGGCTGCAACTCGCCTGCATGAAGGAGGAATCGCTAGTAATCGCCGGTCAGCATACGGCGGTGAATTCGTTCCCGGGCCTTGTACACACCGCCCGTCACACCATGGGAGCTGGTCACGCCTCGAGAGTCG</t>
  </si>
  <si>
    <t>&gt;BEA2103_Cianobacteria_Tolypothrix_sp.
GCTTCGTGCATTTAGTGGCGGACGGGTGAGTAACGCGTGAGAACATGCCTTTAGATTGGGGACAACAGTTGGAAACGACTGCTAATACCGAATGTGCCGAAAGGTGAAAGATTTATTGTCTAGAGATTGGCTCGCGTCAGATTAGCTAGTTGGTAGGGTAACGGCTTACCAAGGCGACGATCTGTACTTGGTCTGAGAGGATGACCAGGCACACTGGAACTGAGACACGGTCCAGACTCCTACGGGAGGCAGCAGTGGGGAATTTTCCGCAATGGGCGCAAGCCTGACGGAGCAATACCGCGTGAGGGAGGAAGCTTTTTGGAGTGTAAACCTCTTTTATTAGGGAAGAATTGATGACGGTACCTAATGAATCAGCATCGGCTAACTCCGTGCCAGCAGCCGCGGTAATACGGAGGATGCAAGCGTTATCCGGAATTATTGGGCGTAAAGCGTCCGTAGGTGGCTGAACAAGTCTGTTGTCAAATCGTGCAGCTCAACTGCATACGGGCGATGGAAACTGTTTAGCTAGAGTGCGATAGGGGTCACAGGAATTCCCAGTGTAGCGGTGAAATGCGTAGATATTGGGAAGAACACCAGCGGCGAAAGCGTGTGACTGGGTCTGCACTGACACTGAGGGACGAAAGCTAGGGGAGCGAAAGGGATTAGATACCCCTGTAGTCCTAGCCGTAAACGATGACAACTAGGTGTGGTTCGTATCGACCCGAGCCGTGCCGTAGCCAACGCGTTAAGTTGTCCGCCTGGGGAGTACGCACGCAAGTGTGAAACTCAAAGGAATTGACGGGGGCCCGCACAAGCGGTGGAGTATGTGGTTTAATTCGATGCAACGCGAAGAACCTTACCAAGGCTTGACATCCTGCGAATCACTTTGAAAGGAGTGAGTGCCTTCGGGAGCGCAGAGACGGGTGGTGCATGGCTGTCGTCAGCTCGTGTCGTGAGATGTTGGGTTAAGTCCCGCAACGAGCGCAACCCACGTTTTTAGTTGCCATCAGGTGATGCTGGGCACTCTAGAGAGACTGCCGGTGACAAACCGGAGGAAGGTGTGGATGACGTCAAGTCAGCATGCCCCTTACGCCTTGGGCTACACACGTACTACAATGCGTTGGACAAAGGGCAGCCAGTCAGCGATGACGAGCCATTTCCATAAACCAACGCTCAGTTCAGATTGCAGGCTGCAACTCGCCTGCATGAAGGCGGAATCGCTAGTAATCGCAGGTCAGCATACTGCGGTGAATACGTTCCCGGGCCTTGTACACACCGCCCGTCACACCATGGGAGTTGGTCACGCCCGAAGTCGTTA</t>
  </si>
  <si>
    <t>&gt;RJ2H4_Pseudocalidococcus_sp.
GAAGTCTTCGGACTTAGTGGCGGACGGGTGAGTAACACGTAAGAATCTGCCCTCAGGAGGGGGATAACAGCGGGAAACTGCTGCTAATACCGCATATGCCGAAAGGTGAAATGTTTTTTCGCCTGGGGATGAGCTTGCGTCTGATTAGCTTGTTGGTGGGGTAACGGCCTACCAAGGCGACGATCAGTAGCTGGTCTGAGAGGATGATCAGCCACACTGGGACTGAGACACGGCCCATACTCCTACGGGAGGCAGCAGTGGGGAATTTTCCGCAATGGGCGAAAGCCTGACGGATCAAGACCGCGTGAGGGATGAAGGTTTTTGGATTGTAAGCCTCTTTTATCAGGGAAGAACACGATGACAGTACCTGATGAATAAGCGTCGGCTAACTCCGTGCCAGCAGCCGCGGTAAGACGGAGGATGCAAGCGTTATCCAGAATTATTGGGCGTAAAGCGTCCGCAGGTGGCTGTTCAAGTCTGCTGTCAAAGCCCGAGGCTCAACCTCGGATCGGCGGTGGAAACTGAACGGCTAGAGTATGGCAGGGGTTAGGGGAATTCCCGGTGTAACGGTGAAATGCGTAAATTTCGGGAAAAACACCTGGCCAACAAAGTGCCTAACTGGGCCATTACTGACACTCATGGAACAAAAGCTAGGGGAACGAAAGGGATTAAATACCCCTGTACTCCTAGCCCTAAACCAATGGAAACTAAGTGTTGCTGGTATCCCCTCCCCCGACTGTC
&gt;RJ2H4_1494R_Pseudocalidococcus_sp.
AGAACACAATGACGGTACCTGAGGAATAAGCATCGGCAAACTCCGTGCCCGCAGCCGCGGTAAGATCGGAGGAGGCCAGCGTTTTCTGGAATTATTGGGCGTAAAGCGTCCGCAGGGGGCTGTTCAAGTTTGCTGTCAAAGCCCGAGGCTCAACCTCGGATCGGCGGTGGAAACTGAACGGCTAGAGTATGGCAGGGGTGAGGGGAATTCCCGGTGTAGCGGTGAAATGCGTAGATATCGGGAAGAACACCAGCGACGAAAGTGCCTCACTGGGCCATTACTGACACTCATGGACGAAAGCTAGGGGAGCGAAACGGATTAGATACCCCTGTAGTCCTAGCCGTAAACGATGGACACTAGGTGTTGCTGGTATCCACTCCAGCAGTGTCGTAGCCAACGCGTTAAGTGTCCCGCCTGGGGAGTACGCACGCAAGTGTGAAACTCAAAGGAATTGACGGGGGCCCGCACAAGCGGTGGAGCATGTGGTTTATTTCGATGCAACGCGAAGAACCTTACCAGGGTTTGACATGTCGCGAATCTCGGGGAAACTTGAGAGTGCCGTAAGGAGCGCGAACACAGGTGGTGCATGGCCGTCGTCAGCTCGTGTCGTGAGATGTTGGGTTAAGTCCCGCAACGAGCGCAACCCTCGTCCTTAGTTGCCAGCATTTAGTTGGGCACTCTAGAGAGACAGCCCGGTGACAAACCCGAGGAAGGTGGGGATGACGTCAAGTCTTCATGCCCCCTACATCCTCGGGTACACACGTACTACACTGCTACGGACAGAGGGTTGCCAACTCCCGAGAGTGCGATAATCCCCTAAACCGTGGCTCAGTTCAGATTGTAGCGCTGCAACTCGCCTACATGAAGGCGGAATCGCTAGTAATCGCAGGTCAGCATACTGCGGTGAATACGTTCCCGGGCCTTGTACACACCGCCCGTCACACCATGGAAGTTGGCCACGCCCGAGGTCGTTACTCCAACCCGA</t>
  </si>
  <si>
    <t>&gt;BEA1568_Calothrix_rivulareaceae
ACGGTCTCTTCGGAATAGTGGCGGACGGGTGAGTAACGCGTGAGAATCTGGCTTTTGGTCTGGAACAACTTTGGGAAACCGATGCTAATACCAAATGTGCCCATAGGTGAAATGATTTCTGCCTGGATATGAGCTCGCGTCCTAATAACTAGTATGTGGAGTAAAAGGCTACCTAGGGCACACATTTGTAACTGGTCCGAAAAGAGATAATACACCACACTGGGACTGAAAACGGCCCAAACTCCTACGGGAAGCAGCCATGGGGAATTGTCCGCAATGGGCGAAAGCCTGACCGAACCCTACCGCGTGATGGAGGAAGGGTCTTGGGTTGGAAACCTCTTTTCTCAAGGAAAAATAATGTGACGGTACATGAGAAATACCCGTCGGCTAACTCCGTGCCACCACCGCGCGGTAATACGGAGGATGCGTGCGTTATCCGGAATGAGTGGGCATAGGCGTCCGTAGGTGGTTTTGTGTGTCGAGTGATACTCGCGTGCGGTCTCATCCGCATAATCGTCGGTGGAGAGTATGTCACTGAATGTACGATGTGGGTGTGGTAATTCCGTGTGTATCTGTGATATGCATATATATTGGAAAACACACCGTGTGGCGAGCGCGCCCTGCTCGCCTTAACTCACACTGACGGACGAAAGCTAGGGAAACAAAAGGAGATTAAACACCCCATTATCTCCTACCCATAAACAATAGTAGACTATGTGTTGTCTGTATCGATCCCGGACACTGCCGTAACTAATTCATTAATATCCCGCCGGGGGAGTACCCCAAGCAAATGTTCAAACTCAAAATAATTGGCCGCGCGCCCCCCGCAGCGGATGGAAGTTTTTTGTTTTATTCCAATCCCACCACGAACAACCCTACCTTG</t>
  </si>
  <si>
    <t>Secuenciada bacteria &gt;BEA1562_Premix
ACCTCTTCGGAGGTGAGTGGCACACGGGTGAGTAACACGTGGAGAACCTGCCTTTGGGTACGGAATAACTCGGAGAAATTTGTGCTAATACCGTATACTGCCTTCGGGCGAAACATTTATCGCCCCTAGATGAGCCCGCGCTGGATTAGCTAGTTGGTGGGGTAAAATCCTACCAAGGCGACTATCCATAGCTGGTCTGAGAGGATGATCAGCCACACTGGGACTGAGACACGGCCCAGACTCCTACGGGAGGCAGCAGTGGGGAATCTTGGACAATGGGCGAAAGCCTGATCCAGCCATGCCGCGTGAGTGATGAAGGCCCTAGGGTTGTAAAGCTCTTTCACCAGGGAAGATAATGACTGTACCTGGATAATAAGCCCCGGCTAACTCCGTGCCAGCAGCCGCGGTAATACGGAGGGAGCTAGCGTTGTTCGGAATTACTGGGCGTAAAGCGCACGTAAGGCAGCTTTTTAAGTTGGGGGTGAAATCCCTGTGCTTAACCCAAGAACTGCCTTTGAAACTGGAAGGCTTGACTCCTAGAGACGGTGAGTGGTGATTTCCCAGTGGAAAAGTCAAACTTCGTAGAAATTTCTGAAGAAAACCAAGGGCCAAAGCGGAGCTTATGGGGACAAAAATATGATCCTAAG</t>
  </si>
  <si>
    <t>bea1567</t>
  </si>
  <si>
    <t>&gt;BEA1054_1494R_Premix_low_quality
GTGCAGTGGAAACTGTCAAGCTAGAGAGCGGTAGGGGTTGAGGGAATTCCCAGTGTAGCGGTGAAATGCGTAGATATCGGGAAGAACACCAGTGGCGAGGGCGCTCACTCTGGGCCGCAACTGACGCTGATGGACGAAAGCTAGGGGAGCGAAAGGGATTAGATACCCCTGTAGTCCTAGCCGTAAACGATGGACACTAGGTGTTGCGCGTATCGACCCGTGCAGTACCGTAGCCAACGCCTTAAGTGTCCCGCCTGGGGAGTACGCACGCAAGTGTGAAACTCAAAGGAATTGACGGGGGCCCGCACCAGCGGTGGAGGATGTGGTTTAATTCGATGCAACGCGAAGAACCTTACCAGGGTTTGACATGCCGCGAATTCTCGTGAAAGCGAGAAGTGCCTTTGGGAGCGCGGACACAGGTGGTGCATGGCTGTTGTCAGCTCGTGTCGTGAGATGTTGGGTTAAGTCCCGCAACGAGCGCAACCCTCCTTCTTAGTTGCCATCATTAAGTTGGGCACTCTAGGGAGACTGCCGGTGACAAACCGGAGGAAGGTGGGGATGACGTCAAGTCATCATGCCCCTTACACTCTGGGCTACACACGTCCTACAATGCTTCGGACAGAGGGCAGCAAGCCAGCGATGGTTAGCTAATCCCATAAACCGAGGCTCAGTTCAGATTGCAGGCTGCAACTCGCCTGCATGAAGGAGGAATCGCTAGTAATCGCAGGTCAGCATACTGCGGTGAATACGTTCCCGGGCCTTGTACACACCGCCCGTCACACCATGGAAGTTGGCCACGCCCGAAGTCGTTATTCCAACCGTCGCGG
&gt;BEA1054_Premix_low_quality
CGGGCTTATTGGCGGACGGGTGAGTAACGCGTGAGAATCTGCCCTTAGGAGGGGGACTACAGTTGGAAACGGCTGCTAATACCCCATATGCCTAGAGGTGAAACTTATGTGGCCTGAGGATGAGCTCGCGACTGATTACCTAGTTGGTAGTGTAATGGACTACCAAGGCGACTATCAGTAGCTGGTCTGAGAGGATGATCAGCCACACTGGGACTGAGACACGGCCCAGACTCCTACGGGAGGCAGCAGTGGGGAATTTTCCGCAATGGGCGAAAGCCTGACGGAGCAACGCCGCGTGCGGGAGGACGGCCTGTGGGTTGTAAACCGCTTTTCTCAGGGAAGATAATGACGGTACCTGAGGAATCAGCATCGGCTAACTCCGTGCCAGCAGCTCGCGGTAATACAGTGGGATGCAAGCGTTATCCGGAATTATTGGGCGTAAAGCCTCCGTATGCGGCTGGGCGAAGTCTGCTTTAAAAGGTCCGGGGCTTAACCCCAAATGTGCCCTGGAAAATGGCCAGGTACAAAGGGGTACGGGTTTGAGTGAATTCGAGGTGATGAGC</t>
  </si>
  <si>
    <t>&gt;BEA1597_Premix_loq_quality
ACCTCCTTTTCTCAGGGAAAAACAAAATGACGGTACCTGAGGAATCACCATCCGCTAACTCCGTGCCACCACCCGCGGTAATACGGAAGATGCAAGCGTTATCCGGAATCATTGGGCGTAAAGCGTCCGCAGGTGGCACTTCAAGTCTGCTGTCAAAGGTCAGGGCTTAACTCCAAATCGGCAGTGGAAACTGAAACGCTCGAGTGCGGTAGGGGCAGAGGGAATTCCTGGTGTAGCGGTGAAATGCGTAGAGATCAAGAACAACACCGGTGGCGAAAGCGCTCTGCTACGCCGCAACTGACACTCAGGGACGAAAGCTAGGGGAGCGAATGGGATTATATACCCCAGTAGTCCTAGCTGTAAACGATGGATACTAGGCGTTGCTTGTATCGACCCAAGCAGTGCCGTAGCTAACGCGTTAAGTATCCCGCCTGGGGAGTACGCACGCAAGTGTGAAACTCAAAGGAATTGACGGGGGCCCGCACAAGCGGTGAAGTATGTGGTTTAATTCGATGCAACACTAATAACCTTACCAGGGTTTGACATGCCCGGAATCTTGTGAAAACGCAATA</t>
  </si>
  <si>
    <t>&gt;BEA1916_1494R_867_REVISAR_EUK
TGGGCGAAAGGTTTGTGGTGGTTTTTTAGTCTGTTTTAAAGATGGGCTAACCCCAACCGGCAAGGAAATTTTGGCTGATACGGTAGGGGGAGAGGGAATTCCCGGGGAGCGGTGAAATGGGTAGAATTCGGGAAGAACACCAAGGGCGAAAGCATTTTGCTGGGCCGTTACTGACATGAGGAACGAAAGCTAGGGGAGCAAATGGGATTAGATACCCCCGTATTCCTAGCCGTAAACGAGGGATACTAGGTGTTGTACGTATCGACCCGTACAGTACGTAGCTAACGCGTTAAGTATCCCGCCTGGGGAGTACGCTCGCAAGAGTGAAACTCAAAGGAATTGACGGGGGCCCGCACAAGCGGTGGAGCATGTGGTTTAATTCGATGCAACGCGAAGAACCTTACCAGGATTTGACATGTCGCGAATTTTCTTGAGAAAGAAAAGTGCCTTCGGGAGCGCGAACACAGGTGGTGCATGGCTGTCGTCAGCTCGTGTCGTGAGATGTTGGGTTAAGTCCCGCAACGAGCGCAACCCTTGTTTTTAGTTGCCAGCATTCAGTTGGGTACTCTAAAGAAACTGCCGGTGACAAGCCGGAGGAAGGGAGGGATGACGTCAAGTCAGCATGCCCCTTATATCCTGGGCTACACACGTGCTACAATGGCCGGGACAAAAGGTCGCGAACTTGTGAAAGTAAGCCAATCCTATAAACCCGGTCTCAGTTCGGATTGCAGGCTGCAACTCGCCTGCATGAAGGTGGAATCGCTAGTAATCGCCGGTCAGCTATACGGCGGTGAATCCGTTCCCGGGCCTTGTACACACCGCCCGTCACACCATGGGAGTTGGCCACGCCCGAAGTCGTTACCCTAA</t>
  </si>
  <si>
    <t>&gt;BEA2177_Premix
TGGGTCGTAAACCGCTTTTATCAGGGAAGAAGAACTGACGGTACCTGATGAAAAAGCCTCGGCTAACTCCGTGCCAGCAGCCGCGGTAATACGGAGGAGGCAAGCGTTATCCGGAATTATTGGGCGTAAAGCGTCCGCAGGTGGTATTGTAAGTCTGCTGTCAAAGACAGAAGCTCAACTTCTGAAAGGCAGTGGAAACTGCAAAACTAGAGTACAGTAGGGGTAGAGGGAATTCCCAGTGTAGCGGTGAAATGCGTAGAGATTGGGAAGAACACCGGTGGCGAAGGCGCTCTGCTGGGCTGTAACTGACACTGAGGGACGAAAGCTAGGGGAGCGAATGGGATTAGATACCCCAGTAGTCCTAGCCGTAAACGATGGAAACTAGGCGTGGCTTGTATCGACCCGAGCCGTGCCGAAGCTAACGCGTTAAGTTTCCCGCCTGGGGAGTACGCACGCAAGTGTGAAACTCAAAGGAATTGACGGGGGCCCGCACAAGCGGTGGAGTATGTGGTTTAATTCGATGCAACGCGAAGAACCTTACCAAGGCTTGACATCTGGCGAATCTTTCTGAAAGGAGAGAGTGCCTTAGGGAACGCCAGACAGGTGGTGCATGGCTGTCGTCAGCTCGTGTCGTGAGATGTTGGGTTAAGTCCCGCAACGAGCGCAACCCTCGTCCTTAGTTGCTAGCGATTTAATCGCGCACTCTAGGGAGACTGCCGGGGACAACTCGGAGGAAGGTGGGGATGACGTCAAGTCAGCATGCCCCTTACGCCTTGGGCTACACACGTACTACAATGGTCGAGACAAAGGGCAGCAAACCGGCGACGGCAAGCGAATCCCAGCAAACTCGGTCACAGTTCGGATTGCAGGCTGAAACTCGCCTGCATGAAGTAGGAATCGCTAGTAATCGCAGGTCAGCATACTGCGGTGAATCCGTTCCCGGGCCTTGTACACACCGCCCGTCACACCATGGAAGCTGGCAACATCCGAAGTCGGTTACTCCAACCGTTC</t>
  </si>
  <si>
    <t>&gt;BEA1574_Premix_lq
ATGATAGTGGCGGACGGGTGATAACACGTGAGAATCTGCCCTTAGGTCGGGGACAACAGTTGGAAACGACTGCTAATACCGGATGAGCTGAAAAGTAAAAGATTTATCGCCTAGGGAAGAGCTCGCGGCTGATTAGCTAGTTGGTGATGTAAAGGATCACCAAGGCAACGATCAGTAGCTGGTCTGAGAGGATGAGCAGCCACACTGGGACTGAGACACGGCCCAGACTCCTACGGGAGGCAGCAGTGGGGAATTTTCCGCAATGGGCGAAAGCCTGACGGAGCAATACCGCGTGAGGGAGGAAGGCTCTTGGGTTGTAAACCTCAAAACTTAGGGAAGAAGAAAGTGACGGTACCTAATATAAGCATCGGCTAACTCCGTGCCAGCAGCCGCGGTAATACGGAGGATGCAAGCGTTATCCGGAATCATTGGGCGTAAAGCGTCCGTAGGTGGCATTTCAAGTCCGCATTTAAAGACCGAGGCTCAACCTCGGGCAGGGTGTGGAAACTGAAAAGCTAGAGTACAGGAGGGGTAGAGGGAATTCCTAGTGTAGCGGTGAAATGCGTATAGATTAAGAAAAACACCAGTGGCGAAAGCGCTCTACTGGACATGTACTGACACTGATGGGAC
&gt;BEA1574_1494R_776
CGGTGAAATGCGTAGAGATTAGGAAGAACACCAGTGGCGAGGGCGCTCTACTGGACATGTACTGACACTGAGGGACGAAAGCTAGGGTAGCGAAAGAGATGAGATACCCCCGTAGTCTTAGCTGTAAACGATGGATATTAAGTGTAGCGGGTATAAACTCATGCTGTGGTGAAGCAAACGCGTTAAGTATCCCGCCTGGGGAGTACGCACGCAAGTGTGAAACTCAAAGGAATTGACGGGGACCCGCACAAGCGGTGGAGTATGTGGTTTATTTCGATGCAACGCGAAGAACCTCACCAAGACTTGACATCCGATGAATCTTGATGAAAGTTAAGAGTGCCTTAGGGAACATCTTGACAGGTGGTGCATGGCGGTCGTCAGCTCGTGTCGTGAGATGTTGGGTTAAGTCCCGCAACGAGCGCAACCCTCCTCCTCAGTTGCCAGCATTAAGTTGGGGACTATAGGGAGACCGCCGGGGAGAACTCGGCGGAAGGTGGGGATGACGTCAAGTCAGCATGCCCCTTCCGTCTTGGCATACACACATACTACAATCATTGGGACAAAGGGATGCGAAGCCACAAGGTGAAGCGAAACCCTTCAAACCCAGCCCCAGTTCAGATCGTCGGCTGAAACTAGCCGGCGTGAAGGAGTAATCGCTGGTAATCGCAGGTCAGCATAATGCGGCGAATCCGTTCTCCGGGTCTCGTACACACCGCCCGTCACACCATCGAAGTTGGTAACATCACGAAGTCGTTACTCCTAACCACTTTATGGG</t>
  </si>
  <si>
    <t>&gt;BEA2126_Premix
TCGCACGTCACCATACTGCGGTGAATACGTTCCCGGGCCTTGTACACACCGCCCGTCACACCACGGGAGTTGGCCACGCCCGAAGTCGTTACTCCGACCGGTTCGCGGAGGAGGACGCCAAATGCAGGGCTGATGACTGGGGTGAAGTCTGTAACAGGTTAACCGTAAAGGCGACGATCAGTAGCTGGTCTGAGAGGATGATCAGCCACACTGGGACTGAGACACGGCCCAGACTCCTACGGGAGGCAGCAGTGGGGAATTTTCCGCAATGGGCGAAAGCCTGACGGAGCAAGACCGCGTGAGGGAGGAAGGCCTACTGGTTGTAAACCTCTTTTGATAGGGAAGAACACAATGACGGTACCTATCGAATCAGCATCGGCTAACTCCGTGCCAGCAGCCGCGGTAATACGGAGGATGCAAGCGTTATCCGGATTTATTGGGCGTAAAGCGTCCGTAGGTGGATGGCCAAGTCAGTTGTTAAAGCGTGGAGCTTAACTCCATAACGGCAATTGAAACTGGTGGTCTAGAGTGCGACAGGGGCAAGGGGAATTCCCAGTGTAGCGGTGAAATGCGTAGATATTGGGAAGAACATCGGTGGCGAAAGCGCCTTGCTGGGTCTGCACTGACACTGAGGGACGAAAGCTAGGGGAGCGAAAGGGATTAGATACCCCTGTAGTCCTAGCCGTAAACCATGGATACTAAGGCGTTGTCCGTATCGACCCGGGCAGTGCCGTATCTAACGCGTTAAGTATCCCGCCTGGGGAGTACGCTCGCAAGAGTGAAACTCAAAGGAATTGACGGGGGCCCGCACAAGCGGTGGAGTATGTGGTTTAATTCGATGCAACGCGAAGAACCTTACCAAGGCTTGACATGTCCAGAATCTCGGTGAAAGCTGAGAGTGCCTTCGGGAGCTGGAACACAGGTGGTGCATGGCTGTCGTCAGCTCGTGTCGTGAGATGTTGGGTTAAGTCCCGCAACGAGCGCAACCCTCGTTTTTAGTTGCCATCATTAAGTTGGGCACTCTGAAGAGACTGCCGGTGACAAACCGGAGGAAGGTGGGGATGACGTCAAGTCAGCATGCCCCTTACGTCTTGGGCTACACACGTACTACAATGCTACGGACAAAGGGCAGCAAGCTAGCGATAGCAAGCTACTAGAGTTTGATCGTGGCTCAGTTCAGATTGCAGGCTGCAACTCGCCTGCATGAAGGAGGAATCGCTAGTAATCGCAGGTCAGCATACTGCGGTGAATACGTTCCCGGGCCTTGTACACACCGCCCGTCACACCATGGGAGTTGGCCACGCCCGAAGTCGTTACTCCAACCGTTCGCGG</t>
  </si>
  <si>
    <t>&gt;BEA2127_1494R_Premix_Pegethrix
TAGGGGGATGGCCAAGTCAGTTGTTAAAGCGGGGAGCTTAACTCCAAAACGGCAATTGAAACTGGTGGTC
TAGAGTGCGACAGGGGCAAGGGGAATTCCCAGTGTAGCGGTGAAATGCGTAGATATTGGGAAGAACATCG
GTGGGCGAAAGCGCCTTGCTGGGTCTGCACTGACACTGAGGGACGAAAGCTAGGGGAGCGAAAGGGATTA
GATACCCCTGTAGTCCTAGCCGTAAACGATGGATACTAGGCGTTGTCCGTATCGACCCGGGCAGTGCCGT
AGCTAACGCGTTAAGTATCCCGCCTGGGGAGTACGCTCGCAAGAGTGAAACTCAAAGGAATTGACGGGGG
CCCGCACAAGCGGTGGAGTATGTGGTTTAATTCGATGCAACGCGAAGAACCTTACCAAGGCTTGACATGT
CCAGAATCTCGGTGAAAGCTGAGAGTGCCTTCGGGAGCTGGAACACAGGTGGTGCATGGCTGTCGTCAGC
TCGTGTCGTGAGATGTTGGGTTAAGTCCCGCAACGAGCGCAACCCTCGTTTTTAGTTGCCATCATTAAGT
TGGGCACTCTGAAGAGACTGCCGGTGACAAACCGGAGGAAGGTGGGGATGACGTCAAGTCAGCATGCCCC
TTACGTCTTGGGCTACACACGTACTACAATGCTACGGACAAAGGGCAGCAAGCTAGCGATAGCAAGCTAC
TAGAGTTTGATTCGTGGCTCAGTTCAGATTGCAGGCTGCAACTCGCCTGCATGAAGGAGGAATCGCTAGT
AATCGCAGGTCAGCATACTGCGGTGAATACGTTCCCGGGCCTTGTACACACCGCCCGTCACACCATGGGA
GTTGGCCACGCCCGAAGTCGTTACTCCAACCGTTCGCGG
&gt;BEA2127_Premix_loq_pegethrix
TAGTAATCGCAGGTCAGCATACTGCGGTGAATACGTTCCCGGGCCTTGTACACACCGCCCGTCACACCAT
GGGAGTTGGCCACGCCCGAAGTCGTTACTCCGACCGTTCGCGGAGGAGGACGCCAAAGGCAGGGCTGATG
ACTGGGGTGAAGTCGTAACAGGGGTAACCGTAAAGGCGACGATCAGTAGCTGGTCTGAGAGGATGATCAG
CCACACTGGGACTGAGACACGGCCCAGACTCCTACGGGAGGCAGCAGTGGGGAATTTTCCGCAATGGGCG
AAAGCCTGACGGAGCAAGACCGCGTGAGGGAGGAAGGCCTACTGGTTGTAAACCTCTTTTGATAGGGAAG
AACACAATGACGGTACCTATCGAATCAGCATCGGCTAACTCCGTGCCAGCAGCCGCGGTAATACGGAGGA
TGCAAGCGTTATCCGGATTTATTGGGCGTAAAGCGTCCGTAGGTGGATGGCCAAGTCAGTTGTTAAAGCG
TGGAGCTTAACTCCATAACGGCAATTGAAACTGGTGGTCTAGAGTGCGACAGGGGCAAGGGGAATTCCCA
GTGTAGCGGTGAAATGCGTAGATATTGGGAAGAACATCGGTGGCGAAAGCGCCTTGCTGGGTCTGCACTG
ACACTGAGGGACGAAAGCTAGGGGAGCGAAAGGGATTAGATACCCCTGTAGTCCTAGCCGTAAACGATGG
AAACTAAGGCGTTGTCCGTATCGACCCGGGCAGTGCCGTAACTAACGCGTTAAGTATCCCGCCCGGGGGA
GTACGCTTGCAAGAATGAAACTCAAAGGAATTGACGGGGGCCCGCCCTAACCGCTGGAATTTGGGGTTTA
TTCAATGCACCCGAAAAACTTACCAGGCTTGACTTGTCCCTAAATCCCCGGTAAAACTTAAAATAGCGTT
CGGGAGCTGCA</t>
  </si>
  <si>
    <t>&gt;BEA0473X2_23S_03
GTATCGACCGCGAGCCGTGCCGGAGCTAACGCGTTAAGTATCCCGCCGGGGGAGTACGCACGCAGTGTGAAACTCAAAGGAATTGACGGGGGCCCGCACAAGCGGTGGAGTATGTGGTTTAATTCGATGCAACGCGAAAAACCTTACCAAGACTTGACATGTCGCGAATCCTCTTGAAAGGGAGGAGTGCCTTCGGGAGCGCGGAACACGGGTGGTGCATGGCCGTCGTCCAGCTCGGGTCTTGAGGATGTTGGGTTAAGTCCCGCAACGAGCGCAACCCTCGTTTTTAGTTGCCAGCATTAAGATGGGCACTCTAGAGAGACTGCCGGTGACAAACCGGAGGAAGGTGGGGATGACGTCAAGTCAGCATGCCCCTTACGTCTTGGGCTACACACGTACTACAATGCTACGAACAAAGGGCAGCTACACAGCGATGTGATGCAAATCTCAGAAATCGTGGCTCAGTTCAGATCGAAGGCTGCAACTCGCCTTCGTGAAGGAGGAATCGCTAGTAATTGCAGGTCAGCATACTGCAGTGAATTCGTTCCCGGGCCTTGTACACACCGCCCGTCACACCATGGAAGCTGGTCACGCCCGAAGTCATTACCTCAACTTTTCGGAGAGGGGGATGCCTAAAGGTAGGACTGGTGACTGGGGGTGAAGTCGTAACAAGGTAGCCGTACCGGAAGGTGTGGCTGGATCACCTCCTTTAGAGGGAGACCAAAACCACTCAAGTAGCGAAAACAACTGAATTAGTTGTGAATAGAGACTCAGAAGGGTCTGACCTAGGTCGGTCGAGATTGGTGAAAGCTTTCAAAGTATCACTCATTCAAGTTGACTATTTCAGACTTGTTAAACTAAATGGATACATAAATTCAGCAACTAACTTTAGTTAGACTGCTGGGTGAGAAACCATCCAGAACCTTGAAAACTGCACAGAAAAGCGAAAAATTAGCAGGCAGACACAAAAATTGGAAGTGTTGAGAGCCGAGTGAAGAATGCTGAGTCAAGTCAGTGGGAAAAACTCAAAAATCAGCACTGAAAGTGAAGTGTTGCAGGCAGGATAGAAACCAAT</t>
  </si>
  <si>
    <t>&gt;BEA1049_Premix
CTAGGAAGGATGGAACTAGGCGTTGTCCGTATCGACCCGGGCAGTGCCGTAGCTAACGCGTTAAGTATCCCGCCTGGGGAGTACGCTCGCAAGAGTGAAACTCAAAGGAATTGACGGGGGCCCGCACAAGCGGTGGAGTATGTGGTTTAATTCGATGCAACGCGAAGAACCTTACCAAGGCTTGACATGTCCAGAATCTCGGTGAAAGCTGAGAGTGCCTTCGGGAGCTGGAACACAGGTGGTGCATGGCTGTCGTCAGCTCGTGTCGTGAGATGTTGGGTTAAGTCCCGCAACGAGCGCAACCCTCGTTTTTAGTTGCCATCATTAAGTTGGGCACTCTGAAGAGACTGCCGGTGACAAACCGGAGGAAGGTGGGGATGACGTCAAGTCAGCATGCCCCTTACGTCTTGGGCTACACACGTACTACAATGCTACGGACAAAGGGCAGCAAGCTAGCGATAGCAAGCTAATCCCATAAACCGTGGCTCAGTTCAGATTGCAGGCTGCAACTCGCCTGCCAGAAGGGGGAATCGTTTGTAATCGCAGGTCAGCATAATGCGGGGAATACGTTCCCGGGCCTTGTACACACCGCCCGTCACACCATGGGAGTGGCCACGCCCGAAGTCGTTACTCCAACCGTTCGCGGAGGAGGACGCCGAAGGCAGGGCTGATGACTGGGGTGAAGTCGTAACAAGGTAGCCGTACCGGAAGGTGTGGCTGGATCACCTCCCTTTTTAGGGAGACCTACCCACTCGAAGTCAAAAGAATAGGGCAATACGAAAGTAAAGCTAAGTTTGAATAGATTAAGAGTTGGTCATCCCAAAGGTCGTTCGGATTATTGGTGTTGGCTTCCAAGCTATTGGTTCGGTTCATGGGCTATTAGCTCAGGTGGTTAGAGCGCACCCCTGATAAGGGTGAGGTCCCTGGTTCGAGTCCAGGATGGCCCACCTTTATAAACGAGGGGGTTTAGCTCAGTTGGTAAAGCGCCCGCTTTGCAAGCAGGATGTCAGCAGTTCGAGTCTGCTAACCTCCACTGAGACAGTAATGTCTGAACCGAGAATCGGTGAGAGCCGAGGATAGAGTACTGAAATGATTTCAGCAATATGTCTTGTATAGGAGTAAGTAGTTAATCCTAGGCAAGAGTATCTGCTGGATTTAGATTCAGCAAAGAACCTTGAAAACTGCATAGAGATAATGTCAGGTAGAAACGATTGTTTCAGTGACTTGAAGGAGAGCGATGAGATGCTGAAGAGCAAATCAAAGTCTGAGATTAAAGCAATGAGACAGTAGATACAGACACCAAT</t>
  </si>
  <si>
    <t>&gt;BEA1329_Premix
ATAGTCGATGGCATCTAGGCGTTGCTCGTATCGACCCGGGCAGTGCCGTAGCTAACGCGTTAAGTACCCCGCCGGGGGAGTACGCTCGCAAGAGTGAAACTCAAAGGAATTGACGGGGGCCCGCACAAGCGGTGGAGTATGTGGTTTAATTCGATGCAACGCGAAGAACCTTACCAGGGCTTGACATGTCGCGAACCCTCTTGAAAGGGAGGGGTGCCTACGGGAGCGCGAACACAGGTGGTGCATGGCTGTCGTCAGCTCGTGTCGTGAGATGTTGGGTTAAGTCCCGCAACGAGCGCAACCCTCGTTTTTAGTTGCCATCATTCAGATGGGCACTCTTGAGAGACTGCCGGTGACGAACCGGAGGAAGGTGTGGATGACGTCAAGTCAGCATGCCCCTTACGTTCTGGGCTACACACGTACTACAATGCTGCGGACAAAGGGCAGCTAGCTAGCGATATCATGCTAATCCCATAAACCGTGGCTCAGTTCAGATTGCAGGCTGCAACTCGCCTGCGTGAAGGAGGAATCGCTAGTAATCGCAGGTCAGCATACTGCGGTGAATACGTTCCCGGGCCTTGTACACACCGCCCGTCACACCATGGGAAGTTGGTCACGCCCGAAGTCATTACTCCAACCTTTCGCAGAGGAGGATGCCCAAAGGCAGGACTGATGACTGGGGGTGAAGTCGTAACAAGGTAGCCGTACCGGAAGGTGTGGCTGGATCACCTCCCTTTAAGGAAAACCTACCCCCATCAATTTACCGCGACAGCGGAAATTATTATTTGTTGGTCACCCGAAGGGTCGTTCAACGTAATTCGGTGAGGCTTTTCAAAAAAGTGGTTCCGAGTAATGGGCATTCAGCTTACGTGTTTAAAACTGCTCCCCTAAAGAATGG</t>
  </si>
  <si>
    <t>&gt;BEA1876_Premix
CGACCCGAGCCGTGCCGGACTGACGCTGTTGCAGTATCCCGCCGGGGGAGTACGCACGCAAGTGTGAAACTCAAGGAGTTGACGGGGGCCCGCACAAGCGGTGGAGTATGTGGTTTAATTCAATGCGCGCAAAGAACCTTACCCTGACGTGACATGTCGCGAATCCTCTGGAAAGGGATGAGTGCCTTCGGGAGCGCGGGCACACGTGGTGCACGGCTGTCGTCGCCTCGTGTCGTGAGATGTTGTGGTTATGTCCCGCGCCGAGCGCGCCCCTCGTTTTTAGTTGCCAGCGTTATGATGGGCACTCTCTAGTGGACTGCGCGGTGAGATACCGGAGGAGGGTGGGGGATGACATCAAGTCGGCACGCCGCCTCACGTCTTGGGCTACTCACGTACTGCTATGCTGCGAATGAAAGGGCAGCTACGCAGCGATGTGATGCAGATCTCATAAATCGTGGCTCAATTCAGATCGTGAGGCTGCGACTCGCCTTCGCTGAAGGATGAATCGCTCGTAATTGCACGTCGACACACGTGCACTGAATTCGTTCCCGGGCCTTGTACACACCGCCCGTCACACCACGGGAGGCTGTGTCACGCCCCAAGTCATTACCTCAACTTTTCTGAGAGGGGGATGCCTACTGGTAGGACTGGTGACTGGGGGTGAAGTCATAACAAGGTAGCCCTACCGGAACGTGTGTCTGGATCACCTCCCTTTATAGGGAGACCTTAACCACTCACCTGGCCGTATACTACTGATTTTAGTTTGTGAATAGAGACTGAGAAGGTCTAACCTAAGGTCGGTCGAGATCGCTGAAAGCTTTCTAAAGTATTACATATTCTCGTTACTATACTTAGACTTGTTAAATGAGGGATACATCAATTCAGCCATCTGATCTTTTGTTTAGACCGGCTGTGTGACAACCCAGCCCGAAACCTTTGACAACTGCAAAGGAAAGCGAAAAATTAGGCAGGCGAACCCAAACATTTGGAAGTGTTGAGAAGCCCGAAGTGAAGAATGCTCCAGTCCACGTCCCTTGGGAAAAAACTCCAAAAATCCACCA</t>
  </si>
  <si>
    <t>&gt;BEA1189_985_Nostoc_sp
ACCCGAGCCGTGCCGTAGCTAACGCGTTAAGTATCCCGCCTGGGGAGTACGCCGGCAACGGTGAAACTCAAAGGAATTGACGGGGGCCCGCACAAGCGGTGGAGTATGTGGTTTAATTCGATGCAACGCGAAGAACCTTACCAAGGCTTGACATGTCGCGAATCCTGGTGAAAGCTGGGAGTGCCTTCGGGAGCGCGAACACAGGTGGTGCATGGCTGTCGTCAGCTCGTGTCGTGAGATGTTGGGTTAAGTCCCGCAACGAGCGCAACCCTCGTTTTTAGTTGCCAGCATTAAGTTGGGCACTCTAGAGAGACTGCCGGTGACAAACCGGAGGAAGGTGGGGATGACGTCAAGTCAGCATGCCCCTTACGCCTTGGGCTACACACGTACTACAATGCTCCGGACAGAGGGCAGCAAGCATGCGAATGCAAGCAAATCCCGTAAACCGGAGCTCAGTTCAGATCGCAGGCTGCAACTCGCCTGCGTGAAGGAGGAATCGCTAGTAATTGCAGGTCAGCATACTGCAGTGAATTCGTTCCCGGGCCTTGTACACACCGCCCGTCACACCATGGAAGCTGGTAGTGCCCGAAGTCATTACTCCAACCTTTCGGGGAGGAGGATGCCTAAGGCAGGACTGGTGACTGGGGTGAAGTCGTAACAAGGTAGCCGTACCGGAAGGTGTGGCTGGATCACCTCCTTTTTAGGGAGACCTACACCCCTTACATATCGAAAACACACAGTTAAATAGATAGTAAGTTGGTCTAACCTAGGTCGTTCGAGAATTGGTATAAAGCTTTCAAAGTATTAATGGTTCAGAATATCAAACAGAATTAAAACTAGTGAGAGTTCAGCAACATGACTTGAATGAGTCAGACTGCTGAGTTAAATCTCAGCCAGAACCTTGAAAACTGCATAGTAACGCGAAAAAAGCAGGCAGACACAGACATTCTTTATGGATGTTTTTGTGAATGCAAGTTATAAAAA</t>
  </si>
  <si>
    <t>&gt;BEA1535__Premix_Dulcicalothrix
TATCGACCCGGGCATTGTCGTAGCTAACGCGTTAAGTATCCCGCCTGGGGAGTACGCACGCAAGTGTGAAACTCAAAGGAATTGACGGGGGCCCGCACAAGCGGTGGAGTATGTGGTTTAATTCGATGCAACGCGAAGAACCTTACCAGGACTTGACATGTCGCGAACCCTACTGAAAGGTGGGGGTGCCTTCGGGAGCGCGAACACAGGTGGTGCATGGCTGTCGTCAGCTCGTGTCGTGAGATGTTGGGTTAAGTCCCGCAACGAGCGCAACCCTCGTTTTTAGTTGCCATCATTAAGTTGGGCACTCTAGAGAGACTGCCGGTGACAAACCGGAGGAAGGTGGGGATGACGTCAAGTCAGCATGCCCCTTACGTCCTGGGCTACACACGTACTACAATGCTACGAACAAAGGGCAGCTAGTTAGCAATAACATGCAAATCTCAGAAATCGTAGCTCAGTTCAGATTGAAGGCTGCAACTCGCCTTCATGAAGTCGGAATCGCTAGTAATTGCAGGTCAGCATACTGCAGTGAATTCGTTCCCGGGCCTTGTACACACCGCCCGTCACACCATGGAAGCTGGTCACGCCCGAAGTAGTTATCCTAACCTTTCGAGGACGGAGACTCCGAAGGTAGGGCTGGTGACTGGGGGTGAAGTCGTAACAAGGTAGCCGTACCGGAAGGTGTGGCTGGATCACCTCCTTTTTAGGGAGACCTACCCACTTGTTGTCATCAGTACTTGAGTGC</t>
  </si>
  <si>
    <t>&gt;BEA1543_Premix_815_Limnospira_sp
ACAATGCCTGGATGTCGTCGAGAGTGTAGGCCTTGTATCGACCCGAGGCCTGTGCCGAAGCTAACGCGTTAAGTATCCCGCCTGGGGAGTACGCACGCAAGTGTGAAACTCAAAGGAATTGACGGGGGCCCGCACAAGCGGTGGAGTATGTGGTTTAATTCGATGCAACGCGAAGAACCTTACCAGGGCTTGACATGCCGCGAATCCCTGGTGAAAGTGGGAGAGTGCCTTCGGGAGCCGGAACACAGGTGGTGCATGGCTGTCGTCAGCTCGTGTCGTGAGATGTTGGGTTAAGTCCCGCAACGAGCGCAACCCTCGTCCTTAGTTGCCATCCTTCAGTGGGGAACTCTAGGGAGACTGCCGGTGACAAACCGGAGGAAGGTGAGGATGACGTCAAGTCATCATGCCCCTTACGCTCTGGGCGACACACGTCCTACAATGGGCGGGGACAAAGGGAAGCGAACTCGCGAGAGCTGAGCAAATCCCGTAAACTCTCCTCAGTTCAGATAGCAGGCTGCAACTCGCCTGCTTGAAGGAGGAATCGCTAGTAATCGCCGGTCAGAATACTGCGGTGAATTCGTTCCCGGGCCTTGTACACACCGCCCGTCACACCATGGAAGCTGGCCAAGCCCGAAGTCGTTACTCTAACCCGTGTGGAAGGAGGATGCCGAAGGCTGGGCTAGATGACTGGGGGTGAAGTCGTAACAAGGTAGCCGTACCGGAAGGTGTGGCTGGATCACCTCCTTATTAGGAGAGACATAGTACGGGATATCTCTGCAAATAAAAGTAATAGACAAGCCCTCGACTTCAACGCT</t>
  </si>
  <si>
    <t>&gt;BEA1900_Premix_776_Cyanophyceae_Errror_conbea1895
AACGCGTTAAGTATCCCGCCTGGGGAGTACGCACGCAAGTGTGAAACTCAAAGGAATTGACGGGGGCCCGCACAAGCCGGTGGAGGATGTGGTTTAATTCGATGCAACGCGAAGAACCTTACCAGGGCTTGACATCCCGCGAATCCCCATGAAAGTGGGGAGTGCCTTCGGGAACGCGGAGACAGGTGGTGCATGGCTGTCGTCAGCTCGTGTCGTGAGATGTTGGGTTAAGTCCCGCAACGAGCGCAACCCTCGTCCTTAGTTGCCAGCCTTAAGTGGGGAACTCTAGGGAGACTGCCGGTGACAAACCGGAGGAAGGTGAGGATGACGTCAAGTCAGCATGCCCCTTATGCTCTGGGCGACACACGTCCTACAATGGTCGGGACAAAGGGAAGCGAACTCGCAAGAGCCAGCAAATCCCATCAAACTCGGCCTCAGTTCAGATAGCAGGCTGCAACTCGCCTGCTTGAAGGAGGAATCGCTAGTAATCGCCGGTCAGAATACGGCGGTGAATTCGTTCCCGGGCCTTGTACACACCGCCCGTCACACCATGGAAGCTGGCCAAGCCCGAAGTCGTTACCCTAACCCGTGTGGAGGGGGGCGCCGAAGGCTGGGCTAGTGACTGGGGTGAAGTCGTAACAAGGTAGCCGTACCGGAAGGTGTGGCTGGATCACCTCCTTAAAAGGAGACCCAAGGTAGGGGAAACTCTGAAAAAGAAGTAAGAGAAAACCTTCCACTCCGAGGTCGGTCGTGGTAGAAATCAGTAGGCTTTTCCA</t>
  </si>
  <si>
    <t>&gt;BEA2024_Premix_796_Cyanophyceae
CGACCCAAGCCGTGCCGAAGCTAACGCGTTAAGTATCCCGCCTGGGGAGTACGCACGCAAGTGTGAAACTCAAAGGAATTGACGGGGGCCCGCACAAGCGGTGGAGGATGTGGTTTAATTCGATGCAACGCGAAGAACCTTACCAGGGCTTGACATCCCGCGAATCCCCATGAAAGTGGGGAGTGCCTTCGGGAACGCGGAGACAGGTGGTGCATGGCTGTCGTCAGCTCGTGTCGTGAGATGTTGGGTTAAGTCCCGCAACGAGCGCAACCCTCGTCCTTAGTTGCCAGCCTTAAGTGGGGAACTCTAGGGAGACTGCCGGTGACAAACCGGAGGAAGGTGAGGATGACGTCAAGTCAGCATGCCCCTTATGCTCTGGGCGACACACGTCCTACAATGGTCGGGACAAAGGGAAGCGAACTCGCAAGAGCCAGCAAATCCCATCAAACTCGGCCTCAGTTCAGATAGCAGGCTGCAACTCGCCTGCTTGAAGGAGGAATCGCTAGTAATCGCCGGTCAGAATACGGCGGTGAATTCGTTCCCGGGCCTTGTACACACCGCCCGTCACACCATGGAAGCTGGCCAAGCCCGAAGTCGTTACCCTAACCCGTGTGGAGGGGGGCGCCGAAGGCTGGGCTAGTGACTGGGGTGAAGTCGTAACAAGGTAGCCGTACCGGAAGGTGTGGCTGGATCACCTCCTTAAAAGGAGACCCAAGGTAGGGGAAACTCTGAAAAAGAAGTAAGAGAAACCCTTCCACTCCGAGGTCGGTCGTGGTAGAAATCAGTAGGCTTTTCC</t>
  </si>
  <si>
    <t>&gt;BEA1275_Premix
GAAAGCGCTCTACTTTCTACCTGACAAGTTTCTATGCAGTTTTCAAGGTTCTGACTGGATTAACTCCATCAGGCTCTCTAAATCGTTAGATGAGTTGCTGAAATTGAATCGGGTTCCGTATGGAAAGCTGAAAGCCTTCAGTGGAGGTTAACGGACTCCAACCGTTGACATCCTGCTTGCAAAGCAGGCGCTCTACCAACTGAGCTAAACCCCCTTATCGTCCTAAAGGTGGGCCATCCTGGACTCGAACCAGGGACCTCACCCTTATCAGGGGTGCGCTCTAACCACCTGAGCTAATAGCCCATAACCCGAACCAATCTTACATAGCTTGGAAGTCAACACTTAATTCCTCAACGACCTTGGGTTGACCTATCTAATCTTGATTCGCTTACGCGCTCATTCGATTAGATGGGTAGGTCTCCCTAAAAGGAGGTGATCCAGCCACACCTTCCGGTACGGCTACCTTGTTACGACTTCACCCCAGTCATCAGCCCTGCCTTCGGCATCCTCCTCCGCGAACGGTTGGAGTAACGACTTCGGGCGTGGCCAACTCCCATGGTGTGACGGGCGGTGTGTACAAGGCCCGGGAACGTATTCACCGCAGTATGCTGACCTGCGATTACTAGCGATTCCGCCTTCATGCAGGCGAGTTGCAGCCTGCAATCTGAACTGAGCCACGGTTTATGAGATTTGCTTGTCCTCGCGAACTTGCGGCTCTTTGTCCGTAGCATTGTAGTACGTGTGTAGCCCAAGGCGTAAGGGGCATGCTGACTTGACGTCATCCCCACCTTCCTCCGGTTTGTCACCGGCAGTCTCTCTAAAGTGCCCAACTTAATGATGGCAACTAGAAACGAGGGTTGCGCTCGTTGCGGGACTTAACCCAACATCTCACGACAGGAGCTGACGACAGCCATGCACCACCTGTGTTCGCGCTCCCGAAGGCACTCTCTACTTTCCCAG</t>
  </si>
  <si>
    <t>&gt;BEA0300_Premix
AAAGGAAACAAGGAAATTCCCTCCCCTCCGTTGTGGAGGAGTTTTTTGTAGGTTTTCTCCGCACGAGCTAAGGTCATAAAACCGCTCCTTATGCTATTCTTCTTAGGGCTTCACCAGCACTCCCAATCCGTATGAACCACGGGCGTTGTGTACCAAGGGCGTCTACCTCCCCCCCCTAGCTGATGACTTGCTCTAACTAAGCCTTCCTCGTGGAAAATCATTAAGTGCAATCATCCTTCCCCATCAGCAGGATTTTCAAAAATTACCCGGTCCTCTCTGCCCATGAGCTATGACCCTTGACTGTATCAGATGTAGCAGCGCGTGCAATCCAATCTATCAGATGCTATCCCAGACCTGTTATTCACTCTATGCTTTCACTGAATAAACATACATTGTCCCTTTCACAATGACTGCCGAGTCCAACAAGAGAACGCTTCTCCCTTTTTCTTGGGTTGGGTGTATATGTATCTTTCGTTTATACGTGTATACAAACCGGATAGCGCAGAATCCCGCTACACATAGGGAACGGGCCTTGTTTATCCCCCTCTGTTGATGACATAAGAAAAACTTATGCTCTTTCCTATTCGTGTCCAATCCTCAGCCTATGGTGTGAGAGCTTGTTGTCGTTTTCTCGCCTTTGTATAAATACAAAATAGAGATGGTCCAGACTACAACGAGCATGATCATTGCTCTTACAATCCAATCACTGTTAACTTCTACTACCATGGACATGCGCATCCCAGCGCACCCAGCAAACCTAAATACTTATTCTTATCCACATAATGGAAAGCGGTAGCGTAGGACCAGCTATTTCAGAAAGCCTCCCACATCTCCAAGCTTGCCTCCCATTTAGAATTTGCAAAGGAGAGAAAGAGGATCTGAGTCCACAGCACGAGATCCCCCCTACATATGATTTTTAAATACGTGATAAAAAAATCCCTATGTGCACAAGTAAACGCCAACTATTTCTTTATAGGATTGCCGAATAAATAATTACTTATATTAGTAGACACTAAGGAGCCTATAGTATCGCCTAACCTCTTCTTTTTTGTAAGTACATTCAGCCTTACTTAATATTTTACAGCGTGTAATGATTTTATCTCATGCGGTTTTGCATTGCAGAGCTTCGCTCAATGTGGGAGAAATTAATTATAATAAGACCATACGGACGGATGAAAAGATGAATCACACTCACTACCCTACTATGCCTGCCCAGTTCGTGATACACTAATCAGATTAATGCAGTGTATAACACATGCGCCATTCCATATAATGTGTAATCCCATAACTCTCAAGACATGTTGAATCCATTATACGCAAATTAATAATGGCAGTATAGTAGAATGGTCTCACTATACGTGTCTATGTACCAATATGTAGTACGCAACCAATATGATATCGTAATAGACTTATGAATTAATCTCGATGATTCTGACATTGGAAAGGTTTTTTTTCTTTTAAGTTTCAAATGATATTGACAACGAGAGCCCTCCACTATTGACTATGGATGGTCATCTTCATTAACCGTGATAATGAGATGAATTATGAAATATAAAGATCTTTGTATGTACACACGTTGAACGACGATTAGATTAATCCAATACGTAAAATGTTGGCCATTACTGTATCGATGTACTTAAAACATATTGTGCAAGAGATGATACTTAACCTCGTGGAATATATGAACGACTACAAAGATGGGACGGATTGATTTGACTGATTCTCCAATACCAATGACTAGTTTCCGCTATCATATGATTGAACAGACTATATTGCAAGCTTCCATCTCTACTGTAACTAATTTGATTTCTAATTAAAATATATCAACTTGCAATAAGACCACGACGTGTATAAATTATGTAGATATAGTATCCTTTCATGACTGTCGTGTTCTCTAGAATCGACTGATTTCAAACGCATCAAGAGGATAGATTTTCTAACTGTCGACGGGGGTATTTTCTTATGATATACGTATTTACACTCACC
&gt;BEA0300_Premix
AGGCCGATTCGGTTTTGCTTACCATGCAGTCGAACGGAATGCTTAGGCATTTAGTGGCGGACGGGTGAGTAACGCGTGAGAATCTAGCTTCTGGTCGGGGACAACAGTTGGAAACGACTGCTAATACCGGATGTGCCGAGAGGTGAAAGGTTAACTGCCTGAAGATGAGCTCGCGTCTGATTAGCTAGTTGGTGTGGTAAGAGCGCACCAAGGCGACGATCAGTAGCTGGTCTGAGAGGATGATCAGCCACACTGGGACTGAGACACGGCCCAGACTCCTACGGGAGGCAGCAGTGGGGAATTTTCCGCAATGGGCGAAAGCCTGACGGAGCAATACCGCGTGAGGGAGGAAGGCTCTTGGGTTGTAAACCTCTTTTCTCAGGGAAGAAAAAAATGACGGTACCTGAGGAATAAGCATCGGCTAACTCCGTGCCAGCAGCCGCGGTAATACGGAGGATGCAAGCGTTATCCGGAATGATTGGGCGTAAAGGGTCCGCAGGTGGCACTGTAAGTCTGCTGTCAAAGAGCAAGGCTCAACCTTGTAAAGGCAGTGGAAACTACAGAGCTAGAGTACGTTCGGGGCAGAGGGAATTCCTGGTGTAGCGGTGAAATGCGTAGAGATCAGGAAGAACACCGGTGGCGAAAGCGCTCTGCTAGGCCTGTACTGACACTGAGGGACGAAAGCTAGGGGAGCGAATGGGATTAGATACCCCAGTAGTCCTAGCCGTAAACGATGGATACTAGGCGTGGCTTGTATCGACCCGAGCCGTGCCGGAGCTAACGCGTTAAGTATCCCGCCTGGGGAGTACGCACGCAAGTGTGAAACTCAAAGGAATTGACGGGGGCCCGCACAAGCGGTGGAGTATGTGGTTTAATTCGATGCAACGCGAAGAACCTTACCAAGACTTGACATGTCGCGAATCCTCTTGAAAGGGAGGAGTGCCTTCGGGAGCGCGAACACAGGTGGTGCATGGCTGTCGTCAGCTCGTGTCGTGAGATGTTGGGTTAAGTCCCGCAACGAGCGCAACCCTCGTTTTAGTTGCCAGCATTAAGATGGGCACTCTAGAGAGACTGCCGTGACAACCGGAGGAAGGGGGGATGACGTCAGTCAGATGCCCTTACGTCTGGGCTACCACGTACTACATGCTACGAACAAGGGCAGCTACCAGCGATGTGATGCAATCTCAAAATCGGGGTCAGTCAAACAAGGTGCACCGCCTCCGGAAGGAGAACGCTAGAATTGCGGCCCCAACTGCAGGAATTCTTCCGGCTTGAACACCGCCGTCACCAGGGGTGGTCCGCCAACTTTCCCCCTTTCGAGGGGCAGGAGAGGCGGAAGGGGGGGGGGGGGAGGGAAAAGAAAAAACAAAAACAACAAAACATACGCACGAATCGTTTTAAAAATTATTCTTTTCTTACTTTATTTTAATTCTTCCAACCCCATTCCGCCCACCAACCTCCCGATCTACTCTCACTTCACTCCCTACCTCCTCTGTCTTCTCTCTTTTGTCACTCCCGCCATTGATAGATGGGAAGTTTGTTACTTTCATCTCCATCATCTACTTCCGCCTCTTTCCTTCCCTTTTCTTCCTCTTCAGCAAATCGACCTCATGAACTACGTACGCGGGCGAG
&gt;BEA0300_Premix
CGAGGGACTGTTCGCGAGACTCTTAGTGTGTAGGGGTGAGGGGTGTCACCAGAGCTTCAGCGGCTGCGCGCGGAAATCCCACTTATTTTCAAATTAATGATTGACGGGTGGCGAGCAAGGCGCTCGGTGCGTGGCTTAAGCCAAAGTCACGCGAAAAAAGCTACCACCTGTTTTGATGCATGGGTGGCCTGCTCGAAGAAGTTTTATCTTCGTGGACCCGGATACTGAGGCAGGATGAAAGTAGCCCGGCGCGTCATGAGGGGTTGTGATTTGTATCGCAACGACCGCTGGTGCGCCATTACTGATTCATGGAGTGTGAACACGCGACGGAACGTCGCAGGTAATTAGCAGAATGGGGTGGATGAGGTACCGAACTGATGGACCTTCCAGGACGAGCAACACTCGTGCACCAATTGGGCCTAGATGGTTTTCTTATCCCTATCTCCCTCGCCGTTTCTCCGACATCCGGTCACTATGAATACCCTTGGTCCACCTTAAAAATAATCTTGAATGAAGTGCTCCTTTTGCAGTCCTAACGAGGTCACTTCTTTTGTCCCCTGTCCTTGGAATAATCACCTTCCACAT
&gt;BEA0300_1494R_Premix
GGGAATGGCATGTACTACTTCTATGCATCCCCTCTCCGATTTGTTGAGGTTATGACTTCGGGCGTGACCAGCTTCCATGGTGTGACGGGCGGTGTGTACAAGGCCCGGGAACGAATTCACTGCAGTATGCTGACCTGCAATTACTAGCGATTCCTCCTTCACGAAGGCGAGTTGCAGCCTTCGATCTGAACTGAGCCACGATTTCTGAGATTTGCATCACATCGCTGTGTAGCTGCCCTTTGTTCGTAGCATTGTAGTACGTGTGTAGCCCAAGACGTAAGGGGCATGCTGACTTGACGTCATCCCCACCTTCCTCCGGTTTGTCACCGGCAGTCTCTCTAGAGTGCCCATCTTAATGCTGGCAACTAAAAACGAGGGTTGCGCTCGTTGCGGGACTTAACCCAACATCTCACGACACGAGCTGACGACAGCCATGCACCACCTGTGTTCGCGCTCCCGAAGGCACTCCTCCCTTTCAAGAGGATTCGCGACATGTCAAGTCTTGGTAAGGTTCTTCGCGTTGCATCGAATTAAACCACATACTCCACCGCTTGTGCGGGCCCCCGTCAATTCCTTTGAGTTTCACACTTGCGTGCGTACTCCCCAGGCGGGATACTTAACGCGTTAGCTCCGGCACGGCTCGGGTCGATACAAGCCACGCCTAGTATCCATCGTTTACGGCTAGGACTACTGGGGTATCTAATCCCATTCGCTCCCCTAGCTTTCGTCCCTCAGTGTCAGTACAGGCCTAGCAGAGCGCTTTCGCCACCGGTGTTCTTCCTGATCTCTACGCATTTCACCGCTACACCAGGAATTCCCTCTGCCCCGAACGTACTCTAGCTCTGTAGTTTCCACTGCCTTTACAAGGTTGAGCCTTGCTCTTTGACAGCAGACTTACAGTGCCACCTGCGGACCCTTTACGCCCAATCATTCCGGATAACGCTTGCATCCTCCGTATTACCGCGGCTGCTGGCACGGAGTTAGCCGATGCTTATTCCTCAGGTACCGTCATTTTTTTCTTCCCTGAGAAAAGAGGTTTACAACCCAAGAGCCTTCCTCCCTCACGCGGTATTGCTCCGTCAGGCTTTCGCCCATTGCGGAAAATTCCCCACTGCTGCCTCCCGTAGGAGTCTGGGCCGTGTCTCAGTCCCAGGGGGCTGATCATCCTCTCAGACAGCTACTGATCGTCGCTTGGGGCGCTTTACCAACCAACTAGCTAATCAAACCGAGTTATCTTCGGGCAGTTAACTTTCACTTCGGGCATCCGGATTACAAGGGTTTCCACTGTGTCCCGACTGAAGTAAATCCCCCCTTCCCCCCCCCCCCAAAGCCCAAATTCCTTCTTTGGGGTGTAAAACCCCCCCCCCCCCCCGCGGAAAAAAAAAAATAAAACACTCACGATCGTCCATTTAATTTAGTACCTCACCCTTCCTAGGACCCCCCCCCTTCTCATCTCTTTTCTTCTTTTTCTGAGAAAAAAAAAAACGAAAAAAAAAATTCACTTAATATGCACCTCACCCGATGGTACTAGGACTTGCTATTCTCTTGAGTGCGAGGCTCGAAATGAATTATATTCCACGCCACCAAAATTTGGCCAATGGTGC</t>
  </si>
  <si>
    <t>&gt;BEA1058_1094
TCGACCCGAGCCGTGCCGGAGCTAACGCGTTAAGTATCCCGCCGGGGGAGTACGCACGCAGTGTGAAACTCAAAGGAATTGACGGGGGCCCGCACAAGCGGTGGAGTATGTGGTTTAATTCGATGCAACGCGAAAAACCTTACCAAGACTTGACATGTCGCGAATCCTCTTGAAAGGGAGGAGTGCCTTCGGGAGCGCGAACACAGGTGGTGCATGGCTGTCGTCAGCTCGTGTCGTGAGATGTTGGGTTAAGTCCCGCAACGAGCGCAACCCTCGTTTTTAGTTGCCAGCATTAAGATGGGCACTCTAGAGAGACTGCCGGTGACAAACCGGAGGAAGGTGGGGATGACGTCAAGTCAGCATGCCCCTTACGTCTTGGGCTACACACGTACTACAATGCTACGAACAAAGGGCAGCTACACAGCGATGTGATGCAAATCTCAGAAATCGTGGCTCAGTTCAGATCGAAGGCTGCAACTCGCCTTCGTGAAGGAGGAATCGCTAGTAATTGCAGGTCAGCATACTGCAGTGAATTCGTTCCCGGGCCTTGTACACACCGCCCGTCACACCATGGAAGCTGGTCACGCCCGAAGTCATTACCTCAACTTTTCGGAGAGGGGGATGCCTAAGGTAGGACTGGTGACTGGGGTGAAGTCGTAACAAGGTAGCCGTACCGGAAGGTGTGGCTGGATCACCTCCTTTAGAGGGAGACCAAAACCACTCAAGTAGCGAAAACAACTGAATTTAGTTGTGAATAGAGACTGAGAAGGTCTAACCTAGGTCGGTCGAGATTGGTGAAAGCTTTCAAAGTATTACTTATTCGGGTTACTAATTTAGACTTGTTAAATAATGGATACATAAATTCAGCAACTAACTTTAGTTAGACTGCTGGGTGAAAACCAGCCAGAACCTTGAAAACTGCATAGAAAAGCGAAAAATTAGCAGGCAGACACAAAAATTGGAAGTGTTGAGAGCCGAGTGAAGAATGCTGAGTCAAGTCAGTGGGAAAAACTCAAAAATCAGCACTGAAAGTGAAGTGTTAGCAGGCAGGATAGAAACCAATTGTTGAGTGGTCACGCTATAGATTACTTGT</t>
  </si>
  <si>
    <t>&gt;BEA1253_1317
CGACCCGGGCAGTGCCGTAGCTAACGCGTTAAGTATCCCGCCTGGGGAGTATGCACGCAAGTGTGAAACTCAAAGGAATTGACGGGGGCCCGCACAAGCGGTGGAGTATGTGGTTTAATTCGATGCAACGCGAAGAACCTTACCAGGGCTTGACATGTCGCGAATCCCGGTGAAAGTCGGGAGTGCCTTCGGGAGCGCGAACACAGGTGGTGCATGGCTGTCGTCAGCTCGTGTCGTGAGATGTTGGGTTAAGTCCCGCAACGAGCGCAACCCTCGTTTTTAGTTGCCAGCATTTAGTTGGGCACTCTAGAGAGACTGCCGGTGACAAACCGGAGGAAGGTGGGGATGACGTCAAGTCAGCATGCCCCTTACGTCCTGGGCTACACACGTACTACAATGCTTCGGACAAAGGGTTGCAAGCCAGCGATGGCAAGCTAATCCCATAAACCGAGGCTCAGTTCAGATTGCAGGCTGCAACTCGCCTGCATGAAGGAGGAATCGCTAGTAATCGCAGGTCAGCATACTGCGGTGAATACGTTCCCGGGCCTTGTACACACCGCCCGTCACACCATGGGAGTTGGCCACGCCCGAAGTCGTTACTCCCACCGCTTGCGGAGGAGATGCCGAAAGGCAGGGCTGATGACTGGGGGTGAAGTCGTAACAAGGTAGCCGTACCGGAAGGTGGTGGCTGGATCACCTCCCTTTTAGGGAGACCTACCCACGCTGAAGTTTGAAAGCAATTTGCGATTAGAAACCAGCGTTGGTCATCCCCAAGGTCGTTCAAGGTTAAGTGTTGGCTTTCAAACTAGCTGGGTTTGGTTTATGGGCTATTAACTCAGGTGGTTAGAGCGCACCCCTGATAAGGGTGAGGTCCCTGGTTCGAGTCCAGGATGGCCCACCTTAGAAGTTGTTAGTCTTTAGTTTTTAGTTTTTAGTTGGAGTTTTCCATTTAAGAGCGAGAAATTCAATGCTAAGAGCCTCGTTTGGGGGTTTAGCTCAGTTGGTAGAGCGCCTGCTTTGCAAGCAGGATGTCAACGGTTCGAGTCCGTTAACCTCCACTGAGTTGCTAGTCTAAGGAACTAGTAATTCAATACGAAGTTTTTCAGCAACTTGTCTAGTTTTAATTGCTAGAGAGCCTGCTGGATTTATTTCCAGTCAGAACCTTGAAAACTGCATAGTACTTGTCAGGTAGAAAGAGCAGCGTGTTCTTAAGGCTTAATGTTCGACCTTTAAAAGTTGAGAGTTAAGTTGCTGAGAGTAGGCTGTAAAATCACAGACACCAATAAAATGTCAGTGGTCAAGCTACAGCTATTGGA</t>
  </si>
  <si>
    <t>&gt;BEA1280_Premix
CGACGCGAGCCGGGCCGGAGCTAACGCGTTAAGTATCCCGCCGGGGGAGTACGCACGCAAGATGTGAAACTCAAAGGAATTGACGGGGGCCCGCACAAGCGGTGGAGTAGGTGGTTTAATTCGATGCAACGCGAAAAACCTTACCAAGACTTGACATGTCGCGAATCCTCTTGAAAGGGAGGAGTGCCTTCGGGAGCGCGAACACAGGTGGTGCATGGCTGTCGTCAGCTCGTGTCGTGAGATGTTGGGTTAAGTCCCGCAACGAGCGCAACCCTCGTTTTTAGTTGCCAGCATTAAGATGGGCACTCTAGAGAGACTGCCGGTGACAAACCGGAGGAAGGTGGGGATGACGTCAAGTCAGCATGCCCCTTACGTCTTGGGCTACACACGTACTACAATGCTACGAACAAAGGGCAGCTACACAGCGATGTGATGCAAATCTCAGAAATCGTGGCTCAGTTCAGATCGAAGGCTGCAACTCGCCTTCGTGAAGGAGGAATCGCTAGTAATTGCAGGTCAGCATACTGCAGTGAATTCGTTCCCGGGCCTTGTACACACCGCCCGTCACACCATGGAAGCTGGTCACGCCCGAAGTCATTACCTCAACTTTTCGGAGAGGGGGATGCCTAAGGTAGGACTGGTGACTGGGGGTGAAGTCGTAACAAGGTAGCCGTACCGGAAGGTGTGGCTGGATCACCTCCTTCAGAGGGAGACCAAAACCACTCAGTAGCGAAAACAACTGAATTTAGTTGTGAATAGAGACTGAGAAGGTCTAACCTAGGTCGGTCGAGATTGGTGAAAGCTTTCAAAGTATTACTTATTCCGGGTTACTAATTTAGACTTGTTAAATAATGGAAACATAAATTCAGCAACTAACTTTATTTAGACGGCTGGGTGAAAACCATCCAGAACCTTGAAAACAGCATAGAAAAGCGAAAAATTAGCAGGCAGACACAAAAATTGGAAGTGTTGAGAGCCGAGTGAAGAATGCTGAGTCAAGTCAGTGGGAAA</t>
  </si>
  <si>
    <t>&gt;BEA1304_822_Chroococcidiopsis
TCGTATCGACCCGAGGAGTGCCGGAGCCAACGCGTTAAGTATCCCGCCTGGGGAGTACGCACGCAAGTGTGAAACTCAAAGGAATTGACGGGGGCCCGCACAAGCGGTGGAGTATGTGGTTTAATTCGATGCAACGCGAAGAACCTTACCAGGGCTTGACATGTCTGGAACCCGTGGGAAACTATGGGGTGCCGAAAGGAGCCAGAACACAGGTGGTGCATGGCTGTCGTCAGCTCGTGTCGTGAGATGTTGGGTTAAGTCCCGCAACGAGCGCAACCCTCGTGTTTAGTTGCCATCATTCAGTTGGGCACTCTAGACAGACTGCCGGTGACAAACCGGAGGAAGGTGGGGATGACGTCAAGTCAGCATGCCCCTTACGTCCTGGGCGACACACGTACTACAATGCTACGGACAACGGGAAGCCACCAGCGATGGGGAGCAAAGCCCAGCAAACCGTAGCTCAGTTCAGATCGCAGGCTGCAACTCGCCTGCGTGAAGGCGGAATCGCTAGTAATCGCCGGTCAGCCATACCGCGGTGAATACGTTCCCGGGCCTTGTACACACCGCCCGTCACACCATGGAAGTTGGCCACGCCCGAAGTCATTACTCTACCGAAAGGAGGAGGATGCCGAAAGGCAGGGCTGATGACTGGGGTGAAGTCGTACAAGGTAGCCGTACCGGAAGGTGGTGGCTGGATCACCTCCTTTACAGGGAGACCACTTCAGTAACCAGTGACTCCCGACCAGTGACCAGTAAATCGGACACGGCCTGGCTAGTCCATAGCTGGAAACTGATGACATCCCAGGGTCGGAAAAAACTGAC</t>
  </si>
  <si>
    <t>&gt;BEA1341_1396
CGACTTGATGGACTAGGTGTTGCCCGTATCGACCCGGGCAGTGCCGTAGCTAACGCGTTAAGTATCCCGCCTGGGGAGTACGCACGCAAGTGTGAAACTCAAAGGAATTGACGGGGGCCCGCACAAGCGGTGGAGTATGTGGTTTAATTCGATGCAACGCGAAGAACCTTACCAGGGCTTGACATGTCGCGAACTCTTGTGAAAGCAGGAGGTGCCTTCGGGAGCGCGAACACAGGTGGTGCATGGCTGTCGTCAGCTCGTGTCGTGAGATGTTGGGTTAAGTCCCGCAACGAGCGCAACCCTCGTTTCTAGTTGCCATCATTAAGTTGGGCACTCTGGAGAGACTGCCGGTGACAAACCGGAGGAAGGTGGGGATGACGTCAAGTCAGCATGCCCCTTACGTCCTGGGCTACACACGTACTACAATGCTTCGGACAAAGGGTTGCAAGTACGCGAGTGCAAGCTAATCCCGTAAACCGAGGCTCAGTTCAGATTGCAGGCTGCAACTCGCCTGCATGAAGGAGGAATCGCTAGTAATCGCAGGTCAGCATACTGCGGTGAATACGTTCCCGGGCCTTGTACACACCGCCCGTCACACCATGGGAGTTGGCCACGCCCGAAGTCGTTACTCCCACCGCTTGCAGAGGAGGACGCCCAAAGCAGGGCTGATGACTGGGGGTGAAGTCGTAACAAGGTAGCCGTACCGGAAGGTGTGGCTGGATCACCTCCTTTTAGGGAGACCTACCCACTCTTAAAGCTGAACGCACAGTGTTATTAAGCAAGAGTTGGTCATCCCCAAGGTCGTTCGAGGGATAGGTGTTGGCTTTCAAACTATTCAGGTTCGGTTTTATGGGCTATTAGCTCAGGTGGTTAGAGCGCACCCCTGATAAGGGTGAGGTCCCTGGTTCGAGTCCGGATGGCCCACCTTGAGAAGCCCTTAGCTGTTAGCTGTTAGCTGTTAGCTGAAATAGAAAAGCTAAAGGCTAAGAGCCAAGAGCTAAAAGCTCTGTTAGGGGGTTTAGCTCAGTTGGTAGAGCGCCTGCTTTGCAAGCAGGATGTCAGCGGTTCGAGTCCGCTAACCTCCACTGGGTAGTCGCCTTTAGCGATTAGCTGTTAGCGATTAGCCAAATGAGAAAGGCTTCAGCACCTTATCTAGGAATTCTAGAGAGTCTGCTGGAGTTAGTCCAGTTAGAACCTTGAAAACTGCATAGTATTTGTCAGGTAGAGGTTAGCTATTGGCGATTAGCTGTTAGCTGTTAGCTAGAAAAAGCGAACAGTAGAGAGCTAATTTTCCGATAATTAACCATCACAGACACCAATGAAAAGAGCCATTAGCAGCTAGTCATTAGTCACGAGCTTCTCTGGAAGCTAACCGCTAAGGGCTAACCGCTAAGG</t>
  </si>
  <si>
    <t>&gt;BEA1358
ATCGACCCAGTCAGTATCGAAGCAAACGCGTTAAGTATCCCGCCTGGGGAGTACGCACGCAAGTGTGAAACTCAAAGGAATTGACGGGGGCCCGCACAAGCGGTGGAGTATGTGGTTTAATTCGATGCAACGCGAAGAACCTTACCAGGGCTTGACATGCCGCGAATCTTCTTGAAAGGGAAGAGTGCCTTCGGGAGCGCGGACACAGGTGGTGCATGGCTGTCGTCAGCTCGTGTCGTGAGATGTTGGGTTAAGTCCCGCAACGAGCGCAACCCTCGTTTTTAGTTGCCATCATTAAGTTGGGCACTCTGAAGAGACTGCCGGTGACAAACCGGAGGAAGGTGGGGATGACGTCAAGTCAGCATGCCCCTTACGTTCTGGGCTACACACGTACTACAATGCTACGGACAAAGGGCAGCCAGACCGCGAGGTTGAGCTAATCCCATAAACCGTGGCTCAGTTCAGATTGCAGGCTGCAACTCGCCTGCATGAAGGAGGAATCGCTAGTAATCGCAGGTCAGCATACTGCGGTGAATACGTTCCCGGGCCTTGTACACACCGCCCGTCACACCATGGGAGTTGGCCATGCCCGAAGTCGTTACTCCAACCTTTCGAGGAGGAGGATGCCGAAGGCAGGGCTGATGACTGGGGTGAAGTCGTAACAAGGTAGCCGTACCGGAAGGTGTGGCTGGATCACCTCCTTTTAGGGAGACCTTACCCCGTCGGATCCGAAACAAAGTGTAATAGGAACGAAGACGGTCATCTCAAGGTCGGTCAGGAGTAGAAAGGAACTCAGACTATGCCTAGGTTAAGAACACGGGCTATTAGCTCAGGTGGTTAGAGCGCACCCCTGATAAGGGTGAGGTCCCTGGTTCGAGTCCAGGATGGCCCACTCGTGGGGGTTTAGCTCAGTTGGTAGAGCGCCTGCTTTGCAAGCAGGATGTCAGCGGTTCGAGTCCGCTAACCTCCACCAAATGTTCAAGAGGATAGAACTTAGCACACTATCTATAGAGTTAATGAGTACATTAATTAGGATAGATAGCCTGCTGAGTTTTAGAGACTCAGTGAGATAGAACCTTGAAAACTGCATAGTGAAGAGAAGTCAGGTAGTGAATACATGAGCATTGCTGAGAGGCAATGCGGCAAGTGGATTTACAGACACC</t>
  </si>
  <si>
    <t>&gt;BEA0247_Premix
AATTTCTGGGAAACGAGAGAGGGCCTTACGGGAGCGAGGAGACAGGTGGTGCATGGCGTCGTCAGCTCGTGTCGTGAGATGTTGGGTTAAGTCCCGCAACGAGCGCAACCCACGTTTTCAGTTACCAGCATTAAGTTGGGGACTCGGGAGAGACGCCGGTGACAAACCGGAGGAAGGTGTGGACGACGTCAAGTCATCATGCCCTTACGTCCTGGGCTACACACGTACTACAATGGTTGGGACAAAGGGCAGCGAGCCGGCGACGGTAAGCTAATCTCGAAAACCCAGCCACAGTTCAGATTGCAGGCTGCAACTCGCCTGCATGAAGGAGGAATCGCTAGTAATCGCAGGTCAGCATACTGCGGTGAATACGTTCCCGGGCCTTGTACACACCGCCCGTCACACCATGGAAGTGGCCATGCCCGAAGTCATTACTCTAACCTTAGGGAGGAGGGTGCCGAAGGCAGGGCTGATGACTGGGGTGAAGTCGTAACAAGGTAGCCGTACCGGAAGGTGTGGCTGGATCACCTCCTTTAAGGGAGACCTACCCACTTTCATCTTGAAAGCACAAAGCGAATAGAGTTGAGAGAGGTCACTCTAAGGTCGGTCAGGGATAGAGAGCTGGTTTCCAAACTAGAGTCTGGGTGTAAAAGCCAGGAAAGGAGAAGGGCTATTAGCTCAGGTGGTTAGAGCGCACCCCTGATAAGGGTGAGGTCCCTGGTTCGAGTCCAGGATGGCCCACCTTGACTGAGAAAGGGCAGGGGAGTATGTAAGGAAGCATACGGAGAAGAGGGAAGACTCAGCGCCTCAAGAGAGAGACCGCTGAGTGAGTAACTCAGCCAGAACCTTGAAAACTGCATAGTAACAAAGTGAAATAACTTCACAGAAACCAATGTGCCCTGTGAGCGAGACAACTTAGGAGTCCGATAGAAGTCGAGAGATGGAAAGAGGACAGAGTTAAGGAGTTAAGGGAGCA</t>
  </si>
  <si>
    <t>&gt;BEA0478_Premix
GCGAGTCCACATCCACAACCTGACATTCCCCCGGGACTGGTTCTCTACCTGCTCGTTTTAACTAAAGCTAAAACGGACATTTTTGCTTTTGTTGCTATGCAGTTTTCCAGGGTCGGGCTGGTTTCATCCCAGCATTCTCTCTGCTTGGTCGCATATAAGGTGCTATGATGCTTACCTAATTTTTTGTTGGTCTGGCTTCCGGTTGGCTGGGAGTCTGTTGGTCAATTGCTGACCAGGCGGCTACTCCTGACTTTTTGGTCTAAGGTGGGCGATCCTGGACTCGAACCAGGGACCTCACCATTAGCACGGGTGCGCTCTAACCACCTGAGCTAATAGCCAATTCCACCCGGACTCAATTATAGTTTGAAAGCCTTTTTCTTTTCCCTCGTTCGACCTGAGGATGACTAGCGAGAAACTTTTTTGTTGAGTTGGTTTCTGCAAGCACGTCTCCCTAAAAAGGAGGTGATCCAGCCACACCTTCCGGTACGGCTACATTGTTACGACTTCACCCCAGTCACCAGCCCCACCTTCGGCGTCCTCCTCCTCAAGAGGTTGGAGTAACGACCTCGGGCATGGACTGCTCCCATGGTGTGACGGGCGGTGTGTACGAGGCCCGGGAACGTAGTCACCGCACTATGCTGACCTGCGATTACTAACGATTCCCCCCTTCACGCAAGCGAGTTGCACCCTGCGATCTGAACTGAGCTACGGTTTATGGGAATTCACTTGTCATTGCTGAAAATGCTGCCCTCTGTCCCTCGCAGTGTAACTACGTGTGTACCCCAAGGAAGTAAGGGGGATGCTGAACTTGAAATCGTCCCCCCCTTCCTCCGGTTTGTCCCCCGGCTGTCTCCTCTTTATTGCCCAACTGAATGCTGGCAACTAAAAACGAAGGTTGCGCTCGTTGCGGGAATTTAACCCAACATCTCAGAAACAAACTGAAAAACGCCGAGCACCGAGCTGTGTTTCC</t>
  </si>
  <si>
    <t>&gt;BEA1049_Premix
CAAGTCAGCATGCCCCTTACGTCTTGGGCTACACACGTACTACAATGCTACGGACAAAGGGCAGCAAGCTAGCGATAGCAAGCTAATCCCATAAACCGTGGCTCAGTTCAGATTGCAGGCTGCAACTTGCCTGCATGAAGGAGGAATCGCTTGTAATCGCAGGTCAGCATACTGCGGTGAATACGTTCCCGGGCCTTGTACACACCGCCCGTCACACCATGGGAGTGGCCACGCCCGAAGTCGTTACTCCAACCCGTTCGCGGAGGAGGACGCCGAAGGCAGGGCTGATGACTGGGGTGAAGTCGTAACAAGGTAGCCGTACCGGAAGGTGTGGCTGGATCACCTCCTTTTTAGGGAGACCTACCCACTCGAAGTCAAAAGAATAGGGCAATACGAAAGTAAAGCTAAGTTTGAATAGATTAAGAGTTGGTCATCCCAAAGGTCGTTCGGATTATTGGTGTTGGCTTCCAAGCTATTGGTTCGGTTCATGGGCTATTAGCTCAGGTGGTTAGAGCGCACCCCTGATAAGGGTGAGGTCCCTGGTTCGAGTCCAGGATGGCCCACCTTTATAAACAAGGGGGTTTAGCTCAGTTGGTAGAGCGCCTGCTTTGCAAGCAGGATGTCAGCAGTTCGAGTCTGCTAACCTCCACTGAGACAGTAATGTCTGAACCGAGAATCGGTGAGAGCCGAGGATAGAGTACTGAAATGATTTCAGCAATATGTCTTGTATAGGAGTAAGTAGTTAATCCTAGGCAAGAGTATCTGCTGGATTTAGATTCAGCAAAGAACCTTGAAAACTGCATAGAGATAATGTCAGGTAGAAACGATTGTTTCAGTGACTTGAAGGAGAGCGATGAGATGCTGAAGAGCAAATCAAAGTTTGAGATTAAAGCAATGAGACAGTAGATACAGACACCAA</t>
  </si>
  <si>
    <t>&gt;BEA1067_Nodosilinea
GTGTCGTGAGATGTTGGGTTAAGTCCCGCAACGAGCGCAACCCTTCGTCCTTAGTTGCCATCATTAAGTTGGGCACTCTGGGGAGACTGCCGTGGACAACACGGAGGAAGGTGGGGACGACGTCAAGTCATCATGCCCCTTACGTCTTGGGCTACACACGTCCTACAATGCTACAGACAGAGGGCAGCAAGCGCGCGAGTGCAAGCAAATCCCATAAACTGTGGCTCAGTTCAGATTGCAGGCTGCAACTCGCCTGCATGAAGGCGGAATCGCTAGTAATCGCCGGTCAGCATACGGCGGTGAATACGTTCCCGGGCCTTGTACACACCGCCCGTCACACCATGGGAGTGGCCACGCCCGAAGTCGTTACTCTAACCGTTCGCGGAGGAGGGCGCCGAAGGCAGGGCTGATGACTGGGGTGAAGTCGTAACAAGGTAGCCGTACCGGAAGGTGTGGCTGGATCACCTCCTTTTAGGGAGACCTACCCTTGATAACTCCGAACCAAATTGAATTAGGAGTATTGAGTGGTCACTCTAGGTCGTTCAGGACTTTGAGATTAGTTTCTAGACTATGGTTGAGGTTTATTTCTTAGCTTTGGGTAATTGCTAGCAATAGTTACCTAGGGATAAGAAAACTAAACACGGGCTATTAGCTCAGGTGGTTAGAGCGCACCCCTGATAAGGGTGAGGTCCCTGGTTCGAGTCCAGGATGGCCCACTGCGTGGGGGTTTAGCTCAGTTGGTAGAGCGCCTGCTTTGCAAGCAGGATGTCAGCGGTTCGAGTCCGCTAACCTCCACCACGAAAGCAGGGAATGAATTCAGCACGGTGTGTTTTGGGGAATACCAGGACATAGTCTGCTGGGTGAGAGCCTAGCAAAGAACCTTGAAAACTGAATATGAGAGAAGTGTAAGGTAGTACACACAGAACATTCAAAGTTCGTTGAGAGAAGAGTGAATTTTGTTGGGTTAT</t>
  </si>
  <si>
    <t>&gt;BEA1069_Premix
GGCCCAGTAGAGCGCTTTCGCCACCGGTGTTCTTCCCAATATCTACGCATTTCACCGCTACACTGGGAATTCCCTCTACCCCTACCAAACTCTAGTTCATCAGTTTCCACTGCCTTTACGAAGTTGAGCCTCGCGCTTTGACAGCAGACTTGATAAACCACCTGCGGACGCTTTACGCCCAATAATTCCGGATAACGCTTGCATCCTCCGTATTACCGCGGCTGCTGGCACGGAGTTAGCCGATGCTGATTCGATAGGTACCGTCATTTTTCTTCCCTATCAAAAGGAGTTTACAATCCACAGACCTTCATCCCCCACGCGGTCTTGCTCCGTCAGGCTTTCGCCCATTGCGGAAAATTCCCCACTGCTGCCTCCCGTAGGAGTCTGGGCCGTGTCTCAGTCCCAGTGTGGCTGATCATCCTCTCAGACCAGCTACAGATCGTCGCCTTGGTAGGCCCTTACCCCACCAACTAGCTAATCTGACGCGAGCTCATCTTCAGGCTAAATTAATTTCACCTCTCGGCACATCGGGTCTTAGCAGCCGTTTCCAGCTGTTGTCCCCGTCCTGAAGGCAGATTCTCACGCGTTACTCACCCGTCCGCCACTAAGTGCCGAAGCACTCCGTTCGACTTGCATGTGTTAAGCAGACCGCCAGCGTTCAT                   &gt;BEA1069_Premix
AGAGCATGCAACTTGCTTCCTGACGTCGGAATCGTTGGTAATCGCAGGTGAGCATAGTGCGCTGACTACGTGACGGGGCGTAGTACACACCGTCAGTCACACCATGGGAGTCGGGCACGCCCGAGTTCGTTACTCCTACCGTCCGCGGAGGAGGACGCCGAGGGCAGGGGTGATGACCGGGGTGAAGTCGTCACAACGTAGCCGTACCTGAAGGTGTGGCTGGATCACGTCCATTATAGGGAGACCACCCGACTGCGATTGACAGCGTTATGTAATGCTTGCGTAGTGCACAGCGTGAGTCAGTCCGAGTTAGTCATCCCAACGTCATTTGGATAATAAGTGAAGGCTTTCAAACTGATGCTAGGTGTGGGACATGGGCTATTAGCTCAGTGGTTACAGCGCACCCCTGCATAAGGGTGAGGTCCCTGTCACCTCGTCCAGGATGGCCCACCTACGAGAGGGGTATGGCTCAGTGGTAGAGCGCGTGCCTGCACTCGGGATGTAAGCGATTCGAGTCCGCTCACCTTCATTGGAATTTGAAACGCAAACGAATCAAAATAGCGTAAAGTTTGTTGCTATTAGAGTCTTGAGAGACGAATATCTAAATAATTCCCCAGCAAATCTCAGCAATTTCTCTTGCGAGAGCTAGAGAGCCTGCTGGGTTTTTAAGCCAGCGAGGACCTTGAAAACTGCATAGTAACTGTCAGGTAGGGATATCTTGTCTACGGCGAGATATCAAGTATCACAGGACACCAAAGTCCCGTAAACCGTGTATCTGTTGAGATGf</t>
  </si>
  <si>
    <t>&gt;BEA1335_Premix
GCCAGCATTAGTTGGGCACTTTGAGGAGACGGCCGGTGACAAACCGGAGGAAGGGGGGGGAGGAAGTCAAGTTCAGCATGCCCCTTACTTCCTGGGCTACACACGTAATTACAATGCTACGGAAAGAGGGTTGCCAACTCGCGAGGGTGAGCTAATCCCGTAAACCGTGGCTCAGTTCAGATTGCAGGCTGCAACTCGCCTGCATGAAGGGCGGAATCGCTTGTAATCGCCGGTCAGCATACGGCGGTGAATACGTTCCCGGGCCTTGTACACACCGCCCGTCACACCATGGGAGTTGGCCACGCCCGAAGTCGTTACTCCAACCGCTTGCGGAGGAGGACGCCGAAGGCAGGGCTGATGACTGGGGTGAAGTCGTAACAAGGTAGCCGTACCGGAAGGTGTGGCTGGATCACCTCCTTTAAGGGAGACCTACCCACTTGACAAGGATAAAGCCGGAAGGATGAAGGATGAGATAAGCCTGATGTCCGAGGGTTGAGACAGATATAGCCTTGTAAGTTGGTCATCCCAAGGTCGTTCAGGTGGATAATGTGGCTTTCAAACTATGATGGTTCGGTTCATGGGCTATTAGCTCAGGTGGTTAGAGCGCACCCCTGATAAGGGTGAGGTCCCTGGTTCGAGTCCAGGATGGCCCACCTTGAGGGGAAAGGCTAAAGTATAAAGGCTGAAGGCTAAGAGAAAATTAGCTGTGTTGGTCTTATGTTCTTTAGCTTTAATCCTTTCGATATGGGGGTTTAGCTCAGTTGGTAGAGCGCCTGCTTTGCAAGCAGGATGTCAGCGGTTCGAGTCCGCTAACCTCCACTGAAGAGAGAACCGAGCAGGATGTCAGCACCTTATCTTGGCGAACAAGAGAGCGTGCTGGGATTTTACCAGCCAGGACCTAGAAAACTGCATAGCGAGAAAATGTCAGGTAGAAGTATCAGGACACCAA</t>
  </si>
  <si>
    <t>&gt;BEA1456_Premix_Oculatella_sp
TCGTTTGTACTCGCAGGTCAGCATACTGCGGAGAATAGGTTCTGGGGCATTGTACACACCGCCCGTCACACCGTGGGAGTGGGCCACGCCGGAAGTCGCTACTCCAACCGTTCGCGGAGGAGGATGCCGAAGGCAGGGCTGATGACTGGGGTGAAGTCGTAACAAGGTAGCCGTACCGGAAGGTGTGGCTGGATCACCTCCTTTAAGGGAGACCTACCCGCTCAAATTCTGAAAGCAATGTGCAAATAAGGATTGAGTTGGTCATCCCAAGGTCGTTCGAGGTATGAGTGTCGGGCTTTCAAACTATTAAAGGTTCGGTTATGGGCTATTAGCTCAGGTGGTTAGAGCGCACCCCTGATAAGGGTGAGGTCCCTGGTTCGAGTCCAGGATGGCCCACCTTAGCAATTGCACGGGGGTTTAGCTCAGTTGGTAGAGCGCCTGCTTTGCAAGCAGGATGTCAGCGGTTCGAGTCCGCTAACCTCCACTGGAGTTGATAGAGCGAGAGGAAGAATACAGCAACTTATCTAGGTTTTGCTAGAGAGCCTGCTGGATTAGTCCAGTCAGAACCATGAAAACTGCATAGTGAAAGAAGATTTCTGTCAGGTAGTAGAGATTCATCTGATTTAGGTCAGATGGGTCGTCACAGGACACCAATG
&gt;BEA1456_Premix_Oculatella_sp
AGGCCCAGCAGAGCGCTTTCGCCACCGGTGTTCTTCCCAATATCTACGCATTTCACCGCTACACTGGGAATTCCCTCTGCCCCTACCGCACTCAAGTCAACCAGTTTCCACCGCCTCTCCAGGGTTAAGCCCCAGGCTTTGACAATAGACTTGATTAACCACCTACGGACGCTTTACGCCCAATAAATCCGGATAACGCTTGCATCCTCCGTATTACCGCGGCTGCTGGCACGGAGTTAGCCGATGCTGATTCGATAGGTACCGTCATTGTGTTCTTCCCTATCAAAAGAGGTTTACAATCCACAGACCTTCCTCCCTCACGCGGTATTGCTCCGTCAGGCTTGCGCCCATTGCGGAAAATTCCCCACTGCTGCCTCCCGTAGGAGTCTGGGCCGTGTCTCAGTCCCAGTGTGGCTGATCGTCCTCTCAGACCAGCTACTGATCGTCGCCTTGGTGAGCCCTTACCTCACCAACTAGCTAATCAGACGCGAGCTCATCTACAGGCTATTAATATTTCACCTCTCGGCACATCCGGTTTTAGCAGCCGTTTCCAACTGTTGTCCCAGTCCTGTAGGCAGATCCTCACGCGTTACTCACCCGTCCGCCACTAAAGTCCCGAAAGACTTCCGTTCGACTTGCATGTGTTAAGCATACCGCCAGCGTTCATCCTGAG</t>
  </si>
  <si>
    <t>&gt;BEA2175_lowquality_Dactylococcopsis salina 
GGTGACAGACCGGAAGGAACGTGAGGGAAGAGATCAAGTCATCATGATCGCTTATGCTGAAGGCGACGCAGATCTCACAATCGTCGCGGACAACACGAAGCGAACTCGCACAGAGCCAGCAAATCACATCAAACTTGGCTTCAGTTCAGATAGCGGAGTGCAGCTCGCATGCCTGAAGGTAGGAATCGGTGGTAATCGGCAGTCAGAATACGGTGCTGAAATGGTGTGGCGGGCTCAGTTCACTAAGACGGTCACCACATGGAGGGGAGACTAAGCAAGAGATCTAAGCCATAACCTTTCAGTAGGAGGGCGCTGATGGTTGAAATCAGTGAGGCGGGGTGCAAGTCGGATCAAGGGAACCGTACCGGAAGGTCAGTTGGATCACCTCACTAAAAGAGAGACCCAAGGTAGCGGGAAACTATGAAAAAGATAGTAAGAGAAAACGGTTCCACTCTCGAGGTCGATAGTGGTAGAAATCACATAGGCGGGAGTCAAGCTGGGTTTGTGGAATTTACCTCCATACAAGGATTCAGCACCGTTAGCTTTCCTAACGACTGCTGGACACTTGTCCAGACCAGAACCTTGAAAACTGCATAATCACCAAGAAAGTTAAGGAA</t>
  </si>
  <si>
    <t>&gt;BEA2177_Premix_Leptothoe
GACATCCCTCGAAACTTTTGAGAAATCGGAAGGTGCCTTCGGGAGCGAGGAGACAGGTGGTGCATGGCGTCGTCAGCTCGTGTCGTGAGATGTTGGGTTAAGTCCCGCAACGAGCGCAACCCACGTTTTCAGTTGCCATCATTAAGTTGGGCACTCTGGAGAGACTGCCGGGGACAACTCGGAGGAAGGTGTGGACGACGTCAAGTCATCATGCCCCTTACGTTCTGGGCTACACACGTACTACAATGCAACGGACAAAGGGCAGCCAACTAGCGATAGTGAGCTAATCCCATAAACCGTTGCACAGTTCAGATTGCAGGCTGCAACTCGCCTGCATGAAGGAGGAATCGCTAGTAATCGCAGGTCAGCATACTGCGGTGAATACGTTCCCGGGCCTTGTACACACCGCCCGTCACACCATGGAAGTTGGCCATGCCCGAAGTCGTTACCCTAACCGCTTGCGGAGGGGGGCGCCGAAGGCAGGGCTGATGACTGGGGTGAAGTCGTAACAAGGTAGCCGTACCGGAAGGTGTGGCTGGATCACCTCCTTTAAGGGAGACCTACCGAATTGACTCTGAACGAATTACTATTAGGAGCAATTTTGGTCACTCTAGGTCGTGAGCAGGATTGGTTGAATCTCAAACTATTGTTTAGGTTTAGTACTCGAGAGCGAGTATTGGGGCTATTAGCTCAGGTGGTTAGAGCGCACCCCTGATAAGGGTGAGGTCCCTGGTTCGAGTCCAGGATGGCCCACTGGGATGGGGGTATAGCTCAGTTGGTAGAGCGCCTGCTTTGCAAGCAGGATGTCAGCGGTTCGAGTCCGCTTACCTCCACCAATTACCTCAAGATGTTTGTTGAGATGTAATTTCAGCACCCTGTTGATGAAGATAGGCTGCTGGACTTAGGTCTAGCGAGAACCTTGACAACTGCATAGATTAGTCGAATAGGTAGTTCGACACAGAGAACCATTAGTAGAAAGA</t>
  </si>
  <si>
    <t>&gt;BEA1021_Premix
CTAACATTGGGGGAAACCCGGGGAAAACCTGGGGGGCCTTTGGGAGCGCCAAACACGGGTGGGGCCAGGGCGGTTGTTCACTCGGGTTCTGAGATGTTGGGGTAAATCCCGCAACAAGCGCAACCTTTTCCTTTGGTGCCATCATTAAGTGGGCACTTTAGGGAAGACGCCGGGGACAAACCGGGGGGAAGGTGGGGAGACGTCAAGTCATCATGCCCCTACGTCCTGGGCTACACACGTACTACAAGGGGTGGGAAAGAGGGCAGCAAGTACGCGAGTGCAAGCTAATCCCTTAAACCTATCCTCAGTTCAGATGAAGCTTGCAACTCAGCTTCATGAAGGAGGAATCGCTTGTAATCGCAGGTCAGCATACTGCGGTGAGTACGTTCCCGGGCCTTGTACACACCGCCCGTCACACCATGGAAGTGGCCATGCCCGAAGTCATTACCCTAACCGCAAGGAGGCGGATGCCGAAGGCAGGGCTGATGACTGGGGTGACGTCGTCACCATGTAGCCGTACCGGAAGGTGTGGCTGGATCACCTCCTTAACAGGGAGACCCACGTTCGTTGTTCAGCGACCTTTCAACACGAACAGTCGCGGGACGGAAAGACATTCCCAGGTCGGTCGAGTTCGGGAAATTAACCAGGTTTCAAACTTAGCCTGCTTCGGTTTGCTCAAGCAGCCACAGTGACAGTGACAACCACATCACCGCCTGCCGGATGAAAACTCCAGCCAGAACCATGAAAACTGCATAGAAATTGAGTCCCGTGGTAAAAGCAATCCCTGCAAAAGGGGTGAAATACCAAG</t>
  </si>
  <si>
    <t>&gt;BEA1190_loquality
GAGTGCCGTCGGGAGCGCAGAGACAGGTGGTGCATGCCTGTCCTCAGCTCGTGTGGTGAGACGTTTGGTTAAGTCCTGCAACGAGCGCAACCCTAGTCCTCAGTAGCCAGCAATAAGCGGGGAACTCTAGGGTAGACTGCCGGTGACAAACCGGAGGAAGGTGAGGAAGACGTCAAGTCAGCATGCTCGTTATTCTGAGGGCGACACAGATCTTACAATGGTCGGGACAACGCGAAGCGAACTCGCAAGAGCCAGCAAATCCCATCAAACTTGGCCTCAGTTCAGATAGCAGGGTGCAACTCGCATGCTCTGAAGGAGGAATCGGTAGTAATCGCCGGTCAGAATACGGCGCTGAATTCGTTCCCGGGCTCAGTACACACCGCCCGTCACACACATGGAAGGAGGCCAAGCCAGAGAGTCGTTACCATAACCCGTCAGTAGGGGGGCGCTGAAGGTTGGGATCGTGAGGTGGGGTGCAGTCGTAACAAGGTAGCCGTACCGGATAGGTCAGGTTGGATCACCTCACTAAAAGAGAGACCCAAGGTAGGGGAAATCTAGAAAAAGAAGTAAGAGAAAACGGTTCCACTCCGAGGTCGGTCGCGGTAGAAATCAGTAGGCTTTTCCAAGCTGGGTTTGGGGAATTTACCTCCATACAAGGATTCAGCACCGTTAGCTTTCCTAACGACTGCTGGACACTTGTCCAGACCAGAACCTTGAAAACTGCATAATCACCAAGAAA
&gt;BEA1190_Premix
CGACCCAAGCCGTGCCGAAGCTAACGCGTTAAGTATCCCGCCTGGGGAGTACGCACGCAAGTGTGAAACTCAAAGGAATTGACGGGGGCCCGCACAAGCGGTGGAGGATGTGGTTTAATTCGATGCAACGCGAAGAACCTTACCAGGGCTTGACATCCCGCGAATCCCCATGAAAGTGGGGAGTGCCTTCGGGAACGCGGAGACAGGTGGTGCATGGCTGTCGTCAGCTCGTGTCGTGAGATGTTGGGTTAAGTCCCGCAACGAGCGCAACCCTCGTCCTTAGTTGCCAGCCTTAAGTGGGGAACTCTAGGGAGACTGCCGGTGACAAACCGGAGGAAGGTGAGGATGACGTCAAGTCAGCATGCCCCTTATGCTCTGGGCGACACACGTCCTACAATGGTCGGGACAAAGGGAAGCGAACTCGCAAGAGCCAGCAAATCCCATCAAACTCGGCCTCAGTTCAGATAGCAGGCTGCAACTCGCCTGCTTGAAGGAGGAATCGCTAGTAATCGCCGGTCAGAATACGGCGGTGAATTCGTTCCCGGGCCTTGTACACACCGCCCGTCACACCATGGAAGCTGGCCAAGCCCGAAGTCGTTACCCTAACCCGTGTGGAGGGGGGCGCCCAAAGCTGGGCTACTGACTGCTGGGGAGAACTCACACAGGGTACCCATACGGAGAGTGTGGGCTGGATCACCTCCTTAAAAGGAGACCCAAGGTAGGGG</t>
  </si>
  <si>
    <t>&gt;BEA1267_loq
GTACAGTAGGGGTAGCCTGGACTCCCATTGACATCGCTGAAATGCGCCGATATAGGGAAGAATACCGTCGGGAACAGCGTGACAGTGGGTTCAAACCGACACTCAGCGACGATAGTGAGAGTAGTGAAAGAGTTCAGATACCAGCCGCAATCCTAGTCGTTAATGACCAACATTAGGCGTGGAACTCTTCGACGAGTGCCGTGCACAAGCCAAAGCAATTATGTATATGGCGTCAAGTCTACGCACCCAATATTCTAAGTCAAACGCATTTCCTGCAATCGTCACGACAAATGGAATCTATGTTTCAATAGCCAGCAAATCCCATCACAACTCCACCTCAGTTACATCTCCCGGAATCCAACTCACCGTGGGAGTGCATTAATCAGTCGTAAGACAGGTCAGCATAGGCGCTCGTAATTCTCTTCCCGTGCGTTGTTCACTTAACTCCTCCCACCAGCGCAACCCTCCAAGCCAGAAGTCATCACCAAGTCCGGCATTGAAGAGAGACCGCAGGTGACAAACCGGAGGAAGGTGGGGATGATGTCAAGTTATCCTGCCCCTTACGCCTTGGGTGTATACACTCATTACAATGGTAGGGACAACAGGCAGAGATCTCAAAAGAGTAAGAGAATACCATCAAACTTGGCATCAGTTCAGCCTGCAGGCCGCAACTTGCTTGCATGATGGTGGAATCGGATTGTCATCGCAGGTAAGATTAATGCGGTGAATTGTGTCCTAGGGCCTCGTACACACTGCTCCGTCACCGCCATCGGAGTCAGTCACGTCATCAA
&gt;BEA1267_Premix_Synecochystis_sp
GCCCTGGGGAGTACGGCACGCAAGACGAGAAACTCAAAGGAATTGACGGGGGCCCGCACAAGCGGTGGAGGATGTGGTTTAATTCGATGCACGCGAAGAACCTTACCAGGGCTTGACATCCCGAAGAATCCCCATGAAAGTGGGGAGTGCCTTCGGGAACGCGGAGACAGGTGGTGCATGGCTGTCGTCAGCTCGTGTCGTGAGATGTTGGGTTAAGTCCCGCAACGAGCGCAACCCTCGTCCTTAGTTGCCAGCCTTAAGTGGGGAACTCTAGGGAGACTGCCGGTGACAAACCGGAGGAAGGTGAGGATGACGTCAAGTCAGCATGCCCCTTATGCTCTGGGCGACACACGTCCTACAATGGTCGGGACAAAGGGAAGCGAACTCGCAAGAGCCAGCAAATCCCATCAAACTCGGCCTCAGTTCAGATAGCAGGCTGCAACTCGCCTGCTTGAAGGAGGAATCGCTAGTAATCGCCGGTCAGAATACGGCGGTGAATTCGTTCCCGGGCCTTGTACACACCGCCCGTCACACCATGGAAGCTGGCCAAGCCCGAAGTCGTTACCCTAACCCGTGTGGAGGGGGGCGCCGAAGGCTGGGCTAGTGACTGGGGTGAAGTCGTAACAAGGTAGCCGTACCGGAAGGTGTGGCTGGATCACCTCCTTAAAAGGAGACCCAAGGTAGGGGAAACTCTGAAAAAGAAGTAAGAGAAAACCTTCCACTCCGAGGTCGGTCGTGGTAGAAATCAGTAGGCTTTTCCAACTGGGTTTGGGGAATTTACCTCCATACAAGGATTCGTCACCGTTACCTTTCCTAACGACTGCTGGGACCCTTGTCCAGACCACAACCTTGCAAACTGCATAATCTCCAAGAAAGTTATGGAAACTT</t>
  </si>
  <si>
    <t xml:space="preserve">&gt;BEA1279_Premix_loq_revisar_secuencia_completa
GGTAGATCTTGGGTACACACGTACTACAATGCTACGGACAAAGGACCGCAATCTAGCGATAGCAAGCAAATCTCACATCCCGTAGCTCAGTTCAGATCGCAGGCCACAACTAGCTTGCAAGAAGGAGGAATCGGTTGTAAATGCAGGTTAGCATAGTGCAGTGACTTAGTTCCCGGGCCTTGTCCACACCTCCCGTCACACCAGTGGAAGCTGGCAACGCCCGAAGTCATTACTGCAACCATTCGTGGAGGAGGATCCCTAAGGCAGTGCCTGGTGAGGGGCGCGAAGTCGTAACAAGGTAGCCGTACCGGAAGGTGTGGCTGGATCACCTCCTCTGTGAGGGAGACCGAATCCTCTCAGAAATCGAAAGCGAAAGTAAATCGATTGTGAGATGGTCTACTCTACGTCCGTCGAGATTGGTAAAAGCTTTCAAAGTATTACTACCTCCGGTTTAGACGTGACAGGAAAAGTCAGCAACTAACTATGGAGTTAGACTGCTGGGTGAATACCAGCCAGAACCTTGAAAACTGCATAGAAACGCGATTTAGAGCAGGCAGACACAGACATCGGAAAGATAAAAGTGTTTGCAAGGAGAAA &gt;BEA1279_979
TTGTATCGACCCGAGCCGTGCCGGAGCCAACGCGTTAAGTATCCCGCCTGGGGAGTACGCACGCAAGTGTGAAACTCAAAGGAATTGACGGGGGCCCGCACAAGCGGTGGAGTATGTGGTTTAATTCGATGCAACGCGAAGAACCTTACCAAGACTTGACATGTCGCGAATCTTCTTGAAAGGGGAGAGTGCCTTCGGGAGCGCGAACACAGGTGGTGCATGGCTGTCGTCAGCTCGTGTCGTGAGATGTTGGGTTAAGTCCCGCAACGAGCGCAACCCTCGTTTTTAGTTGCCAGCATTAAGTTGGGCACTCTAGAGAGACTGCCGGTGACAAACCGGAGGAAGGTGGGGATGACGTCAAGTCAGCATGCCCCTTACGTCTTGGGCTACACACGTACTACAATGCTACGGACAAAGGGCAGCAAGCTAGCGATAGCAAGCAAATCTCACAAACCGTAGCTCAGTTCAGATCGCAGGCTGCAACTCGCCTGCGTGAAGGAGGAATCGCTAGTAATTGCAGGTCAGCATACTGCAGTGAATTCGTTCCCGGGCCTTGTACACACCGCCCGTCACACCATGGAAGCTGGCAACGCCCGAAGTCATTACTCCCACCATTCGTGGGGGGAGGAGATGCCTAAGGCGTGGCTGGTGACTGGGGGTGAAGTCGTAACAAGGTAGCCGTACCGGAAGGTGTGGCTGGATCACCTCCTTTTGAGGGAGACCGAATCCACTCAGAAATCGAAAGCGAAAGTAAATAGATTTTGAGATGGTCTACTCCTAGGTCGGTCGAGATTGGTAAAAGCTTTCAAAGTATTACTACCTCCGGTTTAGACGTGACAGGAAAAGTCAGCAACTAACTATGGAGTTAGACTGCTGGGTGAATACCAGCCAGAACCTTGAAAACTGCATAGAAACGCGATTTAGAGCAGGCAGACACAGACATCGGAAAGATAAAAGTGTTTGCAAGGAGAAACCAATG
&gt;BEA1279_Premix
ATCGACCCGAGCCGTGCCGGAGCCAACGCGTTAAGTATCCCGCCTGGGGAGTACGCACGCAAGTGTGAAACTCAAAGGAATTGACGGGGGCCCGCACAAGCGGTGGAGTATGTGGTTTAATTCGATGCAACGCGAAGAACCTTACCAAGACTTGACATGTCGCGAATCTTCTTGAAAGGGGAGAGTGCCTTCGGGAGCGCGAACACAGGTGGTGCATGGCTGTCGTCAGCTCGTGTCGTGAGATGTTGGGTTAAGTCCCGCAACGAGCGCAACCCTCGTTTTTAGTTGCCAGCATTAAGTTGGGCACTCTAGAGAGACTGCCGGTGACAAACCGGAGGAAGGTGGGGATGACGTCAAGTCAGCATGCCCCTTACGTCTTGGGCTACACACGTACTACAATGCTACGGACAAAGGGCAGCAAGCTAGCGATAGCAAGCAAATCTCACAAACCGTAGCTCAGTTCAGATCGCAGGCTGCAACTCGCCTGCGTGAAGGAGGAATCGCTAGTAATTGCAGGTCAGCATACTGCAGTGAATTCGTTCCCGGGCCTTGTACACACCGCCCGTCACACCATGGAAGCTGGCAACGCCCGAAGTCATTACTCCCACCATTCGTGGGGGGAGGAGATGCCTAAGGCGTGGCTGGTGACTGGGGGTGAAGTCGTAACAAGGTAGCCGTACCGGAAGGTGTGGCTGGATCACCTCCTTTTGAGGGAGACCGAATCCACTCAGAAATCGAAAGCGAAAGTAAATAGATTTTGAGATGGTCTACTCCTAGGTCGGTCGAGAATAGTGATAGACTCTCT
&gt;BEA1279_Premix_Nostoc
TTGTATCGACCCGAGCCGTGCCGGAGCCAACGCGTTAAGTATCCCGCCTGGGGAGTACGCACGCAAGTGTGAAACTCAAAGGAATTGACGGGGGCCCGCACAAGCGGTGGAGTATGTGGTTTAATTCGATGCAACGCGAAGAACCTTACCAAGACTTGACATGTCGCGAATCTTCTTGAAAGGGGAGAGTGCCTTCGGGAGCGCGAACACAGGTGGTGCATGGCTGTCGTCAGCTCGTGTCGTGAGATGTTGGGTTAAGTCCCGCAACGAGCGCAACCCTCGTTTTTAGTTGCCAGCATTAAGTTGGGCACTCTAGAGAGACTGCCGGTGACAAACCGGAGGAAGGTGGGGATGACGTCAAGTCAGCATGCCCCTTACGTCTTGGGCTACACACGTACTACAATGCTACGGACAAAGGGCAGCAAGCTAGCGATAGCAAGCAAATCTCACAAACCGTAGCTCAGTTCAGATCGCAGGCTGCAACTCGCCTGCGTGAAGGAGGAATCGCTAGTAATTGCAGGTCAGCATACTGCAGTGAATTCGTTCCCGGGCCTTGTACACACCGCCCGTCACACCATGGAAGCTGGCAACGCCCGAAGTCATTACTCCCACCATTCGTGGGGGGAGGAGATGCCTAAGGCGTGGCTGGTGACTGGGGGTGAAGTCGTAACAAGGTAGCCGTACCGGAAGGTGTGGCTGGATCACCTCCTTTTGAGGGAGACCGAATCCACTCAGAAATCGAAAGCGAAAGTAAATAGATTTTGAGATGGTCTACTCCTAGGTCGGTCG
&gt;BEA1279_Premix
GCGAGAACATAACCAAGACATGACATGTCGCGAATGTTCTCGAAAGGGGAGAGGCATTCAAGTAGCGCGAACACAGGTGCTGCACGGCTGTCGTCAGCTCGTTTCGTGAGATGATGGATTAAGTCCCGCTACGAGCGCATCAGTCGTTTTCAGTGACCAGCATTCAGTGCGGCACTCACGAGAGACGTCAGATGACAAACGGGAGCAAGGTGGGGATGACGTCACTGTCAGCATGCGCGGTAGATCTTGGGTACACACGTACTACAATGCTACGGACAAAGGACCGCAATCTAGCGATAGCAAGCAAATCTCACATCCCGTAGCTCAGTTCAGATCGCAGGCCACAACTAGCTTGCAAGAAGGAGGAATCGGTTGTAAATGCAGGTTAGCATAGTGCAGTGACTTAGTTCCCGGGCCTTGTCCACACCTCCCGTCACACCAGTGGAAGCTGGCAACGCCCGAAGTCATTACTGCAACCATTCGTGGAGGAGGATCCCTAAGGCAGTGCCTGGTGAGGGGCGCGAAGTCGTAACAAGGTAGCCGTACCGGAAGGTGTGGCTGGATCACCTCCTCTGTGAGGGAGACCGAATCCTCTCAGAAATCGAAAGCGAAAGTAAATCGATTGTGAGATGGTCTACTCTACGTCCGTCGAGATTGGTAAAAGCTTTCAAAGTATTACTACCTCCGGTTTAGACGTGACAGGAAAAGTCAGCAACTAACTATGGAGTTAGACTGCTGGGTGAATACCAGCCAGAACCTTGAAAACTGCATAGAAACGCGATTTAGAGCAGGCAGACACAGACATCGGAAAGATAAAAGTGTTTGCAAGGAGAAACCAATG
&gt;BEA1279_980
TTGTATCGACCCGAGCCGTGCCGGAGCCAACGCGTTAAGTATCCCGCCTGGGGAGTACGCACGCAAGTGTGAAACTCAAAGGAATTGACGGGGGCCCGCACAAGCGGTGGAGTATGTGGTTTAATTCGATGCAACGCGAAGAACCTTACCAAGACTTGACATGTCGCGAATCTTCTTGAAAGGGGAGAGTGCCTTCGGGAGCGCGAACACAGGTGGTGCATGGCTGTCGTCAGCTCGTGTCGTGAGATGTTGGGTTAAGTCCCGCAACGAGCGCAACCCTCGTTTTTAGTTGCCAGCATTAAGTTGGGCACTCTAGAGAGACTGCCGGTGACAAACCGGAGGAAGGTGGGGATGACGTCAAGTCAGCATGCCCCTTACGTCTTGGGCTACACACGTACTACAATGCTACGGACAAAGGGCAGCAAGCTAGCGATAGCAAGCAAATCTCACAAACCGTAGCTCAGTTCAGATCGCAGGCTGCAACTCGCCTGCGTGAAGGAGGAATCGCTAGTAATTGCAGGTCAGCATACTGCAGTGAATTCGTTCCCGGGCCTTGTACACACCGCCCGTCACACCATGGAAGCTGGCAACGCCCGAAGTCATTACTCCCACCATTCGTGGGGGGAGGAGATGCCTAAGGCGTGGCTGGTGACTGGGGGTGAAGTCGTAACAAGGTAGCCGTACCGGAAGGTGTGGCTGGATCACCTCCTTTTGAGGGAGACCGAATCCACTCAGAAATCGAAAGCGAAAGTAAATAGATTTTGAGATGGTCTACTCCTAGGTCGGTCGAGATTGGTAAAAGCTTTCAAAGTATTACTACCTCCGGTTTAGACGTGACAGGAAAAGTCAGCAACTAACTATGGAGTTAGACTGCTGGGTGAATACCAGCCAGAACCTTGAAAACTGCATAGAAACGCGATTTAGAGCAGGCAGACACAGACATCGGAAAGATAAAAGTGTTTGCAAGGAGAAACCAATG
</t>
  </si>
  <si>
    <t xml:space="preserve">&gt;BEA1383_Premix_loq_qualit
TGGGTTAATGAGGCTACTGGGAGTAGCTTGTACAGACCCAGACATGTGCCGACATTCACCGCGATAAGTATGACTGCCTTGGGAGTACGCACGCACAGGTGAAACTCAACGGAATCAGCGGGGGTCCGCACGATGCTGTGGAGGATGTGGCAACGAGCGCAGCAACTCGACGAACGTTACCAGCGCTAGACATGCCGCGAATCGCCGAGAAACGTGGGAAGAGCCGTCGGAAGCGCAGAGACACGTCATGCATGCATGTCCTCAGCTCGTGTGGTGACACACGTCGTTAAGTCCGTGCAGCCAGCGCGACCCTAATCCGCAAGAGCCAGCAATAACCGGCGAACTCTACGGCGACTCCCGTAGACAAACCGCGAGGAACGTGAGGAAGAGGTCAAGTCAGCATGATCGCTAGTCTGAAGGCGACGCAGATCTTACAATCGTCGGGACAACAGGAAGCGAATTCGCAAGAGCCAGCAAATCCCATCAAACTTGGTTCAGTTCAGATAGCGGAGGGCAACTCGCATGGCTGAAGGTAGGAATCGGTGGGAATCGCCAACAGAATACGGCGCTGAAATGGTGTCCCGGGCTCACCTCACACAAAAGGTCACCACATGTAGGGGAAACCAAGAAAGAGATCTAAGCCATAACCTTGTCAGTAGGAGGGCGCTGAAGGTAGAAATCAGTAGGCGGGGTGCAAGTCGGAACAAGGTAACCGTACCTGAAGGTCAGTTGGATAGAGCGCACTAAAAGGAGACCCAAGGTAGGGGAAACAAGAAAAAGAAGTAAGAGAAAACGTTCCACTCTCGAGGTCGTATCGTGGTAGAAATCACATAGGCTTTTCCAACTAGGTCTTGTGGAATTTACCTCCATACAAGGATTCAGCACCGTTAGCTTTCCTAACGACTGCTGGACACTTGTCCAGACCAGAACCTTGAAAACTGCATAATCACCAAGAAAGTTAAGGAAACT
&gt;BEA1383_Premix
GTATCGACCCAAGCCAGTGCCGAAGCTAACGCGTTAAGTATCCCGCCTGGGGAGTACGCACGCAAGTGTGAAACTCAAAGGAATTGACGGGGGCCCGCACAAGCGGTGGAGGATGTGGTTTAATTCGATGCAACGCGAAGAACCTTACCAGGGCTTGACATCCCGCGAATCCCCATGAAAGTGGGGAGTGCCTTCGGGAACGCGGAGACAGGTGGTGCATGGCTGTCGTCAGCTCGTGTCGTGAGATGTTGGGTTAAGTCCCGCAACGAGCGCAACCCTCGTCCTTAGTTGCCAGCCTTAAGTGGGGAACTCTAGGGAGACTGCCGGTGACAAACCGGAGGAAGGTGAGGATGACGTCAAGTCAGCATGCCCCTTATGCTCTGGGCGACACACGTCCTACAATGGTCGGGACAAAGGGAAGCGAACTCGCAAGAGCCAGCAAATCCCATCAAACTCGGCCTCAGTTCAGATAGCAGGCTGCAACTCGCCTGCTTGAAGGAGGAATCGCTAGTAATCGCCGGTCAGAATACGGCGGTGAATTCGTTCCCGGGCCTTGTACACACCGCCCGTCACACCATGGAAGCTGGCCAAGCCCGAAGTCGTTACCCTAACCCGTGTGGAGGGGGGCGCCGAAGGCTGGGCTAGTGACTGGGGGTGAAGTCGTAACAAGGTAGCCGTACCGGAAGGGTGTGGCTGGATCACCTCCTTAAAAGGAGACCCAAGGTAGGGGAAACTCTGA
</t>
  </si>
  <si>
    <t>&gt;BEA1534_1293_121
ATCGACCCGGGCAGTGCCGTAGCTAACGCGTTAAGTATCCCGCCTGGGGAGTACGCTCGCAAGAGTGAAACTCAAAGGAATTGACGGGGGCCCGCACAAGCGGTGGAGTATGTGGTTTAATTCGATGCAACGCGAAGAACCTTACCAAGGCTTGACATGTCCAGAACCCTTGTGAAAGCAGGGGGTGCCTTCGGGAGCTGGAACACAGGTGGTGCATGGCTGTCGTCAGCTCGTGTCGTGAGATGTTGGGTTAAGTCCCGCAACGAGCGCAACCCTCGTTTTTAGTTGCCATCATTAAGTTGGGCACTCTGAAGAGACTGCCGGTGACAAACCGGAGGAAGGTGGGGATGACGTCAAGTCAGCATGCCCCTTACGTCTTGGGCTACACACGTACTACAATGCTACGGACAAAGGGCAGCAAGCTAGCGATAGCAAGCTAATCCCATAAACCGTGGCTCAGTTCAGATTGCAGGCTGCAACTCGCCTGCATGAAGGAGGAATCGCTAGTAATCGCAGGTCAGCATACTGCGGTGAATACGTTCCCGGGCCTTGTACACACCGCCCGTCACACCATGGGAGTTGGCCACGCCCGAAGTCGTTACTCCACCGTTCGCGGAGGAGGACGCCGAAGGCAGGGCTGATGACTGGGGGTGAAGTCGTAACAAGGTAGCCGTACCGGAAGGGTGTGGCTGGATCACCTCCTTTTTAGGGAGACCTACCCACTCAAAGTTGAAAGAGGTTAGTGAAACGAACGTGAAAGCGAACGTAGAGCGAGTCTTGAATAGATTAAAGAGTTGGTCATCCCAAAGGTCGTTCGGATATTGGTGTTGGCTTCCAAACTATTGGTTCGGTTCATGGGCTATTAGCTCAGGTGGTTAGAGCGCACCCCTGATAAGGGTGAGGTCCCTGGTTCGAGTCCAGGATGGCCCACCTTACAACTAGCAATTGTTAGTTGAATTATGGGGGTTTAGCTCAGTTGGTAGAGCGCCTGCTTTGCAAGCAGGATGTCAGCAGTTCGAGTCTGCTAACCTCCACTGAGACAAGATGTGAAAGCATGATGTCTGAGATGAACTGATAGTGTAGAAAATAATTCTAGCAATGCATCTTGTTTCGGCAAGAGTATCTGCTGGACTTAGATTCAGCTAAGAACCTTGAAAACTGCATAGAGATAATGTCAGGTAGAAACGATTGTTTCAGTGACTTGATGGGCAGTGATGAAGTGCCGAAAGGTGATTCAGAGCAGCATATTAAAGCAATGAGACAATTTTTACAGACACCAATGTAAGTTGCGAA</t>
  </si>
  <si>
    <t>&gt;BEA1605_Premix
AGCCGTGCCGGAGCCAACGCGTTAAGTATCCCGCCTGGGGAGTACGCACGCAAGTGTGAAACTCAAAGGAATTGACGGGGGCCCGCACAAGCGGTGGAGTATGTGGTTTAATTCGATGCAACGCGAAGAACCTTACCAAGACTTGACATGTCGCGAATCTTCTTGAAAGGGGAGAGTGCCTTCGGGAGCGCGAACACAGGTGGTGCATGGCTGTCGTCAGCTCGTGTCGTGAGATGTTGGGTTAAGTCCCGCAACGAGCGCAACCCTCGTTTTTAGTTGCCAGCATTAAGTTGGGCACTCTAGAGAGACTGCCGGTGACAAACCGGAGGAAGGTGGGGATGACGTCAAGTCAGCATGCCCCTTACGTCTTGGGCTACACACGTACTACAATGCTACGGACAAAGGGCAGCAAGCTAGCGATAGCAAGCAAATCTCACAAACCGTAGCTCAGTTCAGATCGCAGGCTGCAACTCGCCTGCGTGAAGGAGGAATCGCTAGTAATTGCAGGTCAGCATACTGCAGTGAATTCGTTCCCGGGCCTTGTACACACCGCCCGTCACACCATGGAAGCTGGCAACGCCCGAAGTCATTACTCCACCATTCGTGGAGGAGGATGCCTAAGGCAGTGCTGGTGACTGGGGGTGAAGTCGTAACAAGGTAGCCGTACCGGAAGGTGTGGCTGGATCACCTCCTTTTGAGGGAGACCGAATCCACTCACAAATCGAAAGCGAAAGTGAATAGATTTGGAGATGGTCTACTCTAGGTCGGTCGAGAATGGTGATAGACT
&gt;BEA1605_Premix
AGCCGTGCCGGAGCCAACGCGTTAAGTATCCCGCCTGGGGAGTACGCACGCAAGTGTGAAACTCAAAGGAATTGACGGGGGCCCGCACAAGCGGTGGAGTATGTGGTTTAATTCGATGCAACGCGAAGAACCTTACCAAGACTTGACATGTCGCGAATCTTCTTGAAAGGGGAGAGTGCCTTCGGGAGCGCGAACACAGGTGGTGCATGGCTGTCGTCAGCTCGTGTCGTGAGATGTTGGGTTAAGTCCCGCAACGAGCGCAACCCTCGTTTTTAGTTGCCAGCATTAAGTTGGGCACTCTAGAGAGACTGCCGGTGACAAACCGGAGGAAGGTGGGGATGACGTCAAGTCAGCATGCCCCTTACGTCTTGGGCTACACACGTACTACAATGCTACGGACAAAGGGCAGCAAGCTAGCGATAGCAAGCAAATCTCACAAACCGTAGCTCAGTTCAGATCGCAGGCTGCAACTCGCCTGCGTGAAGGAGGAATCGCTAGTAATTGCAGGTCAGCATACTGCAGTGAATTCGTTCCCGGGCCTTGTACACACCGCCCGTCACACCATGGAAGCTGGCAACGCCCGAAGTCATTACTCCACCATTCGTGGAGGAGGATGCCTAAGGCAGTGCTGGTGACTGGGGGTGAAGTCGTAACAAGGTAGCCGTACCGGAAGGTGTGGCTGGATCACCTCCTTTTGAGGGAGACCGAATCCACTCACAAATCGAAAGCGAAAGTGAATAGATTTGGAGATGGTCTACTCTAGGTCGGTCGAGAATGGTGATAGACTTCAAAGTATTACTAGTCAAAATTTAACGTGAGAGGAAAAGTCAGCAACTAACTATGGAGTTAGACTGCTGGGTGAATACCAGCCAGAACCTTGAAAACTGCATAGAAACGCGATTGAAAGCAGGCAGACACAGACATCCGAAGGATAAAAGTGTTTGCAAAGGAGAAACCAATGGA
&gt;BEA1605_Premix
ATGACGTCCAAGTCAGCATGCGCATTACGTCTTGCAGTACACACGTACTACAGTGCTACGGACAAAGTGCAGCAAGCGAGACGATAGCAAGCAATCTCACAAACCGTAGGTCAGTTCATATAGCCGGATGCAAATAGCGAAAGTGAAGGGGGAATCGGTTGTAATTGCATGTCAGCATAGCGCAGTGAGTTGGTTCCCGCGCATTGTACACACCTTCCCGTCACACCATGGAAGCTGGCAACGCCCGAGAGTCATTACTCCAACCATTCGTGGACGAGGATGCCTACCGGCAGTGGCTGCACATGGGGATGAAGTGGTAACAAAGTAGCCGTACCGGAAGGTGTGGCTGGATCACCTCCTTTTGAGGGAGACCGAATCCACTCACAAATCGAAAGCGAACAGTGAATAGATTTGGAGATGGTCTACTCTAGGTCGGTCGAGATTGGTAAAAGCTTTCAAAGTATTACTAGTCAAAATTTAACGTGAGAGGAAAAGTCAGCAACTAACTATGGAGTTAGACTGCTGGGTGAATACCAGCCAGAACCTTGAAAACTGCATAGAAACGCGATTGAAAGCAGGCAGACACAGACATCCGAAGGATAAAAGTGTTTGCAAAGGAGAAACCAATGGA</t>
  </si>
  <si>
    <t>&gt;BEA1841_Premix_LOQ
TACACTGTGTGGGGACAGAGAGTCAGCATGTCGCTCAGAGGACGTTGATGCGGTACGCACGAGCTCGGGTCAGATGGCGGGTATGCAAGTTAGCCCCGCGTGAAAGCGTAATCAGCTCTAGTCATCACCGCAGTCTACCACGACGAGTAGGATACCGGGCGTAGTACACACCGCCGTCACACCATGGGAGTTCACCACGCGTGATGACATTACTTCCTACATTTTCGCAGAAGAGAGCAACCGAAGTCCAGGAGTGCCAGCTGGGATGAAGTCATCTCTACGTAGCTGTACGGTGACAGTGTGCCAGTATCACGTCCTTATTAGGAAGACCTCCTGATTCTCAGACTGAAGCCATACAGAAATAGGTCAAGAGTTGGTCATACCAAGGTCGTTCGAGATATAAGTGAAAGGCTCTCACAGATACTTGCGTCCGTGATATGGGCTGTTAGCTCAGCTGGTGAGAGCGCACCCGTGATATGGGAGATGTCCGTGATTAGAGTCCAGGATAGTCGCACCTCTACAGTGGACAGTGAACAGTATACCGTCACCAGAGGTAACTAGTAATAATTTCTATAGATGAACGTTGATAGACGAGGACTGTGATGGTGGTTTAGATCAGTTGGTAGAGCGTCGTATCTGCAAGCAGGATGTCAGCAGTTCGAGTGTGATAACTTCACACTGGGTGACAGTGCAATGCATGGGGTATTACCTTAGAAGAGGTACGATTTTGCAATATGCAAGTTGGATCGCGATAGAAATAGCATACGAGTTCCTGAGTGAAGGGATATAATTTACCTCCATACATGGATTCAGCACCGTTAGCTTTCCTAACGACTGCAGGACACTTCTCCAGACCAGAACCT</t>
  </si>
  <si>
    <t>&gt;BEA1895_1259_Nostoc_sp
GAGCCGTGCCGTAGCTAACGCGTTAAGTATCCCGCCTGGGGAGTACGCAGGCAACTGTGAAACTCAAAGGAATTGACGGGGGCCCGCACAAGCGGTGGAGTATGTGGTTTAATTCGATGCAACGCGAAGAACCTTACCAAGACTTGACATGTCGCGAATCTTCTTGAAAGGGAAGAGTGCCTTCGGGAGCGCGAACACAGGTGGTGCATGGCTGTCGTCAGCTCGTGTCGTGAGATGTTGGGTTAAGTCCCGCAACGAGCGCAACCCTCGTTTTTAGTTGCCATCATTAAGTTGGGCACTCTAGAGAGACTGCCGGTGACAAACCGGAGGAAGGTGGGGATGACGTCAAGTCAGCATGCCCCTTACGTCTTGGGCTACACACGTACTACAATGCTCCGGACAAAGGGCAGCAAGCTAGTGATAGCAAGCAAATCCCATAAACCGGAGCTCAGTTCAGATCGAAGGCTGCAACTCGCCTTCGTGAAGTCGGAATCGCTAGTAATTGCAGGTCAGCATACTGCAGTGAATTCGTTCCCGGGCCTTGTACACACCGCCCGTCACACCATGGAAGCTGGCAACGCCCGAAGTCATTACCCCAACTTTTCGGAGAGGGGGATGCCTAAGGCAGTGCTGGTGACTGGGGTGAAGTCGTAACAAGGTAGCCGTACCGGAAGGTGTGGCTGGATCACCTCCTTTTTAGGGAGACCTAATCCACTCAGAAATCGAAAACAAACAGTGAATAGATTTTGAGATGGTCATCTCTAGGTCGGTCGCAGTTATTTGTGAAAAGCTTTCAAACTATGATTGGGTTCGATATGGGCTATTAGCTCAGGTGGTTAGAGCGCACCCCTGATAAGGGTGAGGTCCCTGGTTCGAGTCCAGGATGGGCCCACCTGAAGAATTTGAGATTTTAAACTTTGGATTTTAGATTGAAAAAACATCAATCCAAAATCGCAAATCTAAAATCCAAAATCAAATTGGGGGGTTTAGCTCAGTTGGTAGAGCGCCTGCTTTGCAAGCAGGATGTCAGCGGTTCGAGTCCGCTAACCTCCACCTGAAAAAAGTGAAGTGTGAAGAGTCAGCAACATGGCGAGAGCCAGACTGCTGGGTTAGTACCAGCCAGAACCTTGAAAACTGCATAGAAACGCGAAAAAAAGCAGGCAGACGAATCTGAGTGCTGAATGCCGATTGCTGAGTGATGAGTGAAAAACTCAAAACTGAGTATGAAAGTGTCAGTAGTGAAGAAAAGTTTGTCGTGG</t>
  </si>
  <si>
    <t>&gt;BEA2036_Chrocopsidosis_thermalis_857
CACTCTAGACAGACTGACAGTGACAAACCGGAGGAGGTGCGGATGATGTCGAGTCAGCATGCCCCATTACGTCCTGGACGACGACACGTACTACCAATGCTACGGACAACGGGAAGCCACCAGCGATGGGGAGCAAACGCTCAGCAAACCGTAGCTCAGTTCAGATCGCAGGCTGCAACTCGCCTGCGTGAAGGCGGGATCGCTAGTCATCGCCGATCAGCCATATAGCGGTGAATACGTTCCCTGACCTAGTACACTCCGCCCGTCACACCATGGAAGTTGGCCACGCCCGAAGTCATTACTCTAACCATTCGTGGAGGAGGATGCCGAAGGCAGGGCTGATGACTGGGGTGAAGTCGTAACAAGGTAGCCGTACCGGAAGGTGTGGCTGGATCACCTCCTTTACAGGGAGACCAACTTCAGTAACCAGTAGAGAGTGACCGGTGCCGATTGTATCGGCAAAGGCAGTAACACCAAGCTGGAAACTGAGGACATCCCGAGGTCGGACGACACTGACAAAACAGCTCGAGTGCAGCAACGCTTTCAAAGTAGAACTGGTTCGGTAGGAGCGGTACCACCAGTAGGGGCTATTAGCTCAGGTGGTTAGAGCGCACCCCTGATAAGGGTGAGGTCCCTGGTTCGAGTCCAGGATGGCCCACCTCAAAGAAGTGAGAATTTCCAGTTCGAGATTCAAAAAAATTGAAACAAGCAATTGGTCAAGTCAAATCCAGTGGGATGTGATAGACTAGTCAAGTTGAGTAAAATTACAGCACTGTATGCGAGTGGAGACAACTGCTGGAAATTCTCCAGCGAGCACCTTGAAAAGTCCATAGACATAAGAGAAATAGTCAGGTCGA
&gt;BEA2036_Premix_loq
AGTGCCGGAGCTAACGCGTTAAGTATCCCGCCTGGGGAGTACGCACGCAAGTGTGAAACTCAAAGGAATTGACGGGGGCCCGCACAAGCGGTGGAGTATGTGGTTTAATTCGATGCAACGCGAAGAACCTTACCAGGGCTTGACATGTCTGGAACCCCTGGGAAACTATGGGGTGCCTTAAAGGAACCTGAACACAGGTGGTGCATGGCTGTCGTCAGCTCGTGTCGTGAGATGTTGGGTTAAGTCCCGCAACGAGCGCAACCCTCGTGTTTAGTTGCCATCCTTCAGTTGGGCACTCTAGACAGACTGCCGGTGACAAACCGGAGGAAGGTGGGGATGACGTCAAGTCAGCATGCCCCTTACGTCCTGGGCGACACACGTCCTACAATGCTACGGACAACGGGAAGCCAACCCGCGATAGGGAGCAAATCCCATCAAACCGTAGCTCAGTTCAGATAGCAGGCTGCAACTCGCCTGCGTGAAGGCGGAATCGCTAGTAATCGCCGGTCAGAACATACGGCGGTAAATACTTTCCCGGGCCTTGTACACACCGCCGGTCACACCAGGGAACTTGGCCACGCCCAAATTCTTTACTCTAACCATTCGTGGAGGAGGATGCCAAACGCGGGGCTGATCAGTGGGGTGATCTCATAACAGTGTGTCCATACCGGAGTGTGTGTGTGTATCACTCTCTTTTACGAGGAGACCAGCTTCAGTAACTACTACAGAGTGACCGGTGACAATCGTATACTCTGAGGTCCTACCTCCTAGATGGAAACTGGCTGACTTCCCCTAGGTCTGGAGGACACTGACAAAACAGCTCGAGTGCACAACGCTCTCAACTATAAACTGGGTCGGATACGAGC</t>
  </si>
  <si>
    <t>&gt;BEA2106_Premix_loq
TCGTCTAATAGCGATGACACCTCGTCGATCGTTACCAGCGCTAAGACATGCCCGCGAATCGCCATGAAACTGGGAAGAACCGTCGGGAAGCTCAGAGACACGTCAAGCATGCATGTCCTCAGCTCTCTGTCGTGACACGTGTCGTTACAGTCCTGCGACCAGAGCGACGCTAGTCCGCAAGAGCCAGCATATACCGTGGAACTCTACGGCGACTTCACAGTGACAAACCGGAAGTAACGTGAGGAAGAGGTCAATTCATCATGATCGCTTATTCTGAAGGCGACGCAGATCTTGCAACGGTCGCGGACAACAGGAAGCCAATTCCCCAGAGCCAGCAGATCCCATCAAAATTGGCGTCAGTTCAGATAGCGGAGGGCGACTCGCATGGCTGAAGGTAGGAGATCGGTCGGAATCGCCAGTCAGAATAGCGGCGCTGGAATGGTGTCCCGGGCTCACCTCACTTAAAACCGTCACACCATGGAAGGAAACCAAGCAAAGAGATCGTAGACCATAACCTTCCAGTAGGAGGTCGCTCAAGGTTGAAATCAGTAGGCTTTTGAAGTCGGATCAAGGTAGCCGTACCGGAAGGTCAGTTGGTTAGACCTCACCCAAAGGAGACCCAAGGTAGGGGAAACTCTTAAAAGAAGTAAGAGAAAACGGTTCCACTCCGAGGTCGGTAGTGGTAGAAATGCATAGGCTTTTCCAGCTGGGTTTGGGGAATTTACCTCCATACAAGGATTCAGCACCGTTAGCTTTCCTAACGACTGCTGGACACTTGTCCAGACCAGAACCTTGAAA
&gt;BEA2106_Premix
TATCGACCCAAGCCGTGCCGAAGCTAACGCGTTAAGTATCCCGCCTGGGGAGTACGCACGCAAGTGTGAAACTCAAAGGAATTGACGGGGGCCCGCACAAGCGGTGGAGGATGTGGTTTAATTCGATGCAACGCGAAGAACCTTACCAGGGCTTGACATCCCGCGAATCCCCATGAAAGTGGGGAGTGCCTTCGGGAACGCGGAGACAGGTGGTGCATGGCTGTCGTCAGCTCGTGTCGTGAGATGTTGGGTTAAGTCCCGCAACGAGCGCAACCCTCGTCCTTAGTTGCCAGCCTTAAGTGGGGAACTCTAGGGAGACTGCCGGTGACAAACCGGAGGAAGGTGAGGATGACGTCAAGTCAGCATGCCCCTTATGCTCTGGGCGACACACGTCCTACAATGGTCGGGACAAAGGGAAGCGAACTCGCAAGAGCCAGCAAATCCCATCAAACTCGGCCTCAGTTCAGATAGCAGGCTGCAACTCGCCTGCTTGAAGGAGGAATCGCTAGTAATCGCCGGTCAGAATACGGCGGTGAATTCGTTCCCGGGCCTTGTACACACCGCCCGTCACACCATGGAAGCTGGCCAAGCCCGAAGTCGTTACCCTAACCCGTGTGGAGGGGGGCGCCGAAGGCTGGGCTAGTGACTGGGGTGAAGTCGTAACAAGGTAGCCGTACCGGAAGGTGTGGCTGGATCACCTCCTTAAAAGGAGACCCAAGGTAGGGGAAACTCTGAAAAAGAAGTAAGAGAAACCCTTCCACTCCGAGGTCGGTCGTGGTAGAAATCAGTAGGCTTT</t>
  </si>
  <si>
    <t>&gt;BEA2025_chequear_low_quality
GTTTCCTTAACTTTCTTGGTGATTATGCAGTTTTCAAGGTCTGGTCTGGACTAGTGTCCAGCAGTCGTTAGGAAAGCTAACGGTGCTGAATCCTTGTATGGAGGTAAATTGCACTCGACCCGCTGAGAACGCGTATGGATGCGATGCGACCGACCTCGAGAGTGTAACGGCTCTCTCGTATATCTAGTACTTAGATGCAGGTACTTGGCTTACCATGTATGCGCTCTAACCAACTGAGCTACAGCTACGGTTACCCAGATACGACTGCAACAGCCTACTGATTTCTACCATCACCGACCTCGTACTGAAGGGGTCTGTCTAACATCTCTTTCTTAGTCCCCTCACTGGGGGGATGCGTGGAGTGAGTGAGCCAGCCACACCTTCCGGTACGGTATCTGGTTAGGAATTACACCGATCACTACCTCAGGCATGGGAGCCGCATCTGCTAGTGACTGAGCGAAGTCTGACGGGACTGCTGCCTCGGGTGACTCGCGGCGTGTTGTCCGACGATACGAGTCTGCGCCGTACTCAGACCAGGGAGTACGAGGATTCACCTTCAGCAGCTAGTCGAGTCTGCATCTGAGCGACGCGAGTTCCCGGTATTGCTGGCTCTGAGAGTAGCTTCCTCTGTCCGACGATTGAAGAAATGTGTCACCAAAAGAATAGAGGACAGCTGACTTGACTGTTCCCCCGCTCCCAAGGTTGCCCCGTTTGTGGCGATGAGTGCAGTTAGCGCTGGGAAGTTTTCCGAGGTTGCGTATTAGCCGAATCACCCCCCTTGGCGGGCCCCGTGATCCTTTATTTCACTTGCTCGGGTCCCAAGGCGACATTTCGGGGATTCCGGGGGTGGGCCGGAAAGCCTCCCGTACCATAAACAAACACGGGGGGGCCCCCAAAAAA
&gt;BEA2025_Premix_Dactylococcopsis salina 
GTATCGACCCAAGCCGTGCCGAAGCTAACGCGTTAAGTATCCCGCCTGGGGAGTACGCACGCAAGTGTGAAACTCAAAGGAATTGACGGGGGCCCGCACAAGCGGTGGAGGATGTGGTTTAATTCGATGCAACGCGAAGAACCTTACCAGGGCTTGACATCCCGCGAATCCCCATGAAAGTGGGGAGTGCCTTCGGGAACGCGGAGACAGGTGGTGCATGGCTGTCGTCAGCTCGTGTCGTGAGATGTTGGGTTAAGTCCCGCAACGAGCGCAACCCTCGTCCTTAGTTGCCAGCCTTAAGTGGGGAACTCTAGGGAGACTGCCGGTGACAAACCGGAGGAAGGTGAGGATGACGTCAAGTCAGCATGCCCCTTATGCTCTGGGCGACACACGTCCTACAATGGTCGGGACAAAGGGAAGCGAACTCGCAAGAGCCAGCAAATCCCATCAAACTCGGCCTCAGTTCAGATAGCAGGCTGCAACTCGCCTGCTTGAAGGAGGAATCGCTAGTAATCGCCGGTCAGAATACGGCGGTGAATTCGTTCCCGGGCCTTGTACACACCGCCCGTCACACCAGGGAAGCTGGCCAGCCCGAAGTCGTTACCCTAACCTGTGTGGAGGGGGGCGCCGAAAGGCTGGGCTAGTGACTGGGGTGAAGTCGTAACAAGGTAGCCGTACCGGAAGGTGTGGCTGGATCACCTCCTTAAAAGGAGACCCAAGGTAGGGGAAACTCTGAAAAAGAAGTAAGAGAGACCTTCCCCTCCCAGGTCGGTCGTGGTAGAAATCAATAGGCTTTTCCACTGGGTTTGGGGAATTTGCGCCCATTAACCTGATTTGGTTAACAGTTGCCCTCTCTCAAAAAGGTGGAGGTACCCTGGTTCCAGACCAAGAACTTGCAAAACCGGGGAAT</t>
  </si>
  <si>
    <t>&gt;1_2_Premix_Ulva_sp.
CACCTGCGGGCCCCGGCCCGCCGTAGTTTGGATCCGCCGGTCATCCTGGCCCCCCCCGGGGGCGGGCGGCCGGCTGGAGCCTCAACCCAGCCCACCCTCTGCCCTGAAGCAGCTTCGCATGGGGACACCCCTGCGACGTTCACCAGAGACAACTCTCAACAACGGATATCTTGGCTCTCGCAACGATGAAGAACGCAGCGAAATGCGATACGTAGTGTGAATTGCAGAATTCCGTGAGTCATCGAATCTTTGAACGCACATTGCCGGTCGACTCTTCGGAGGAGACCACATCTGCCTCAGCGTCGGAATACCCCCTCGCGCGGCCCCCCCGCCGCGCGGACCTGGCCCCCCCGGACGCACTGCCGCCCGGGCCGGCTGAAATGCAGAGGCTCGCGCGCGGCCCACTCGTGGCCCCGACTAGGTAGGTAGCTCGCTACTGCTAGGCGGCGGCTCGGCGCCTGCGCGCTGTGGGCCCCAGAGGATAACCCCCATTCATTCGACCTGAGTTCAGGTGAGGCTACCCGCTGAACTTAAGCTATATTAAAGGGAAGA</t>
  </si>
  <si>
    <t>&gt;2_1_Premix
GATGCAATGGATCATCACTCACAGAGCACCAGCGGGCCCCGGCCCGCCGTAGTTTGGATCCGCCGGTCATCCTGGCCCCCCCCGGGGGCGGGCGGCCGGCTGGAGCCTCAACCCAGCCAACCCTCTGCCCTGAAGCAGCTTCGCATGGGGACACCCCTGCGACGTTAACCAGAGACAACTCTCAACAACGGATATCTTGGCTCTCGCAACGATGAAGAACGCAGCGAAATGCGATACGTAGTGTGAATTGCAGAATTCCGTGAGTCATCGAATCTTTGAACGCACATTGCCGGTCGACTCTTCGGAGGAGACCACATCTGCCTCAGCGTCGGAATACCCCCTCGCGCGGCCCCCCCGCCGCGCGGACCTGGCCCCCCCGGACGCACTGCCGCCCGGGCCGGCTGAAATGCAGAGGCTCGCGCGCGGCCCACTCGTGGCCCCGACTAGGTAGGTAGCTCGCTACTGCTAGGCGGCGGCTCGGCGCCTGCGCGCTGTGGGCCCCAGAGGATAACCCCCATTCATTCGACCTGAGTTCAGGTGAGGCTACCCGCTGAACTTAAGCATATCATA</t>
  </si>
  <si>
    <t>&gt;AL1_Premix_Ulva_sp
TGCGGGCGCCGCGCCTCCCCCGGGGGGAGCGGCGTCCGCCGTTTTCGGAACCGCCGGTGAGGTGCGCTCCCCCGGGGGCGCCCCCCTGCCGTGCGGGGCCCTAACCCATGAAACCTTCTGCCCTGAAGCAGCTTCGTACGGGGACACCCCTGCGATCTAACTGAGACGACTCTCAACAACGGATATCTAGGCTCTCGCAACGATGAAGAACGCAGCGAAATGCGATACGTAGTGTGAATTGCAGAATTCCGTGAGTCATCGAATCTTTGAACGCACATTGCCGGTCGAGTCTTCGGACGAGACCACATCTGCCTCAGCGTCGGGATACCCCCTCACGCCCGCTCGCGAGAGCGGGCCGTGGACCTGGCCCCCCCGGTCCTTGCGGCCGGGCTGGCTGAAGTACAGAGGTTCGTGCGCGGCCCATTCGCGGCCCCGACTAGGTAGGTTGCTCGCAACTTCTAGGCGGAGGCTCGGTGCCGTGTGCTATGAGCCACGAAGGATACTAACTTTCCATTCGACCTGAGTTCGGGTGAGGCTACCCGCTAAACTTAAGCATA</t>
  </si>
  <si>
    <t>&gt;BEA2087_Premix
CAGGCGGTACGTTCCGGTCGCCGCTCCCCCCCGGGGGGGCCGGCCGGCTCGCCCCGCCATTTTCACCCACGCCATAACACATTTGACCAGTATCGAATGCTTGCAGGCCCTGCCTCGAGCTTTAACTGAGACAACTCTCAACAACGGATATCTTGGCTCTCGCAACGATGAAGAACGCAACGAAATGCGATACGTAGTGTGAATTGCAGAATTCCGTGAATCATCGAATCTTTGAACGCATATGGCGGTCGAGGCTTCGGCCGAGACCACGTCTGCCTCAGCGTCGGAATACACCCTCAGCCCAACGGCTGGAGCTGGCCCCCCCGGAGACGCTTCGCTCTCCGGGTCGGCTGAAAGGCAGAGGCTCCCGCACGGACCCATCGAGGCCGCGGTTAGGTAGGTAGCTCGCTACTGCTAGCCGGAGGCCGGGCACGCGCGGCGGAGCCCGCAGGTTATTCTAACACATCGACCTGAGTTCAGGCGAGGCTACCCGCTGAAC
&gt;BEA2087_ITS4_Premix
GGGTCTAGAGGATATTGAAACCGATCATCCACAACAGCGAACCGAAAAGGCGGTCGCTCCGTGGTCGCTCCGCCCGGGGGGCCGCCGGCTCGCCCGCCATATCACCCACGCCATAACACATTGACCAGTATCGAAGCTCGCAGGCCCTGCCTCGAGCTTAACTGAGACAACTCTCAACAACGGATATCTGGCTCTCGCAACGATGAAGAACGCAGCGAAATGCGATACGTAGTGTGAATTGCAGAATTCCGTGAATCATCGAATCATTGAACGCATATTGCGGTCGAGGCTTCGGCCGAGACCACGTCTGCCTCAGCGTCGGAATACACCCTCAGCCCAACGGCTGGAGCTGGCCCCCCCGGAGACGCTTCGCTCTCCGGGTCGGCTGAAAGGCAGAGGCTCCCGCACGGACCCATCGAGGCCGCGGTTAGGTAGGTAGCTCGCTACTGCTAGCCGGAGGCCGGGCACGCGCGGCGGAGCCCGCAGGTTATTCTAACAC
&gt;BEA2087_4Premix
GGGTCTAGAGGATATTGAAACCGATCATCCACAACAGCGAACCGAAAAGGCGGTACGTTCCGGTCGCCGCTCCCCCCCGGGGGGGCCGGCCGGCTCGCCCCGCCATTTTCACCCACGCCATAACACATTTGACCAGTATCGAATGCTTGCAGGCCCTGCCTCGAGCTTTAACTGAGACAACTCTCAACAACGGATATCTTGGCTCTCGCAACGATGAAGAACGCAACGAAATGCGATACGTAGTGTGAATTGCAGAATTCCGTGAATCATCGAATCTTTGAACGCATATGGCGGTCGAGGCTTCGGCCGAGACCACGTCTGCCTCAGCGTCGGAATACACCCTCAGCCCAACGGCTGGAGCTGGCCCCCCCGGAGACGCTTCGCTCTCCGGGTCGGCTGAAAGGCAGAGGCTCCCGCACGGACCCATCGAGGCCGCGGTTAGGTAGGTAGCTCGCTACTGCTAGCCGGAGGCCGGGCACGCGCGGCGGAGCCCGCAGGTTATTCTAACACATCGACCTGAGTTCAGGCGAGGCTACCCGCTGAAC</t>
  </si>
  <si>
    <t>&gt;BEA2098_lOW_QUALITY_Ulvella_check_ab1
TACTCGTTTGTCTGGCCCATCACCCGCTCCCGATCCCCCCCGCTTCTTGCCGCGCCGGTTCTTTGCTGTCTTTCATGCACGCCATATGCCCTTTGACCATTATCGAATGCTTGCTGGTCCTGCCTCGAGCTTTAACTGATACAACTCTCAACAACGAGATATCTTGGCTCTCCTAACCATCAAAACCGCACTGAAACGCCACTCATCATGTGAATTGCTGAATTCCGCGAATCATAAAATCTTTGAACACTGATAGCGGTCGAGGCTTCTGCCGATACCACGTCTGCCTCAATCTCTTGAATACACCCTCAGCCCAACGGCTGGAGCTGGGCCCCCCGGACACGCTTCGCTCTCCGGATCTCGCTGACCCGCTCACGCTGCGGACGGACCGATCGAGGCACCTGTTAGGTCCGTAGCTCGCTACTGCTATTGCGATGCCGCGCAGCTCTGGATCAGCCCACATGCTAATCTAACACATCGGACTGAGTTCAGGGCCACGCTACCCGCTGAACTTCACGCTTGCTTTTTCTAGAGTGATGGCTTGGGACCATGGGCTTGGCCCTCAAACAGGAACCTACCTTTTTTCTCGACCTGAGCTCAAGCAAGAACACCCGCTGAACTTAAGCATATCATAA</t>
  </si>
  <si>
    <t>&gt;J3_Premix_Ulva_lactuca
GTTTTATTCCTATCATCACTCACAGAGCACCAGCGGGCCCCGGCCCGCCGTAGTTTGGATCCGCCGGTCATCCTGGCCCCCCCCGGGGGCGGGCGGCCGGCTGGAGCCTCAACCCATCCAACCCTCTGCCCTGAAGCAGCTTCGCATGGGGACACCCCTGCGACGTTAACCAGAGACAACTCTCAACAACGGATATCTTGGCTCTCGCAACGATGAATAACGCAGCGAAATGCGATACGTAGTGTGAATTGCAGAATTCCGTGAGTCATCGAATCTTTGAACGCACATTGCCGGTCGACTCTTCGGAGGAGACCACATCTGCCTCAGCGTCGGAATACCCCCTCGCGCGGCCCCCCCGCCGCGCGGACCTGGCCCCCCCGGACGCACTGCCGCCCGGGCCGGCTGAAATGCAGAGGCTCGCGCGCGGCCCACTCGTGGCCCCGACTAGGTAGGTAGCTCGCTACTGCTAGGCGGCGGCTCGGCGCCTGCGCGCTGTGGGCCCCAGAGGATAACACCCCATCATCGACCTGAGTCAGCGAGCAGACCAGTAAGGG</t>
  </si>
  <si>
    <t>&gt;RPNOV_LOW_QUALITY
TGCGGGCTTCGGCCCGCCGTATGCGGAACCGCCCGGTGGGGGCGGGGGGGTTCTTCTGACAGTTTCCTTTTGCTGCCTTCGTGTTGCTTTATTTGACGTGCAACGATGAACGTTAATTTAAACCCCGTGCACCGTTCTGTGACAAGGACAGTTATTGTTGGACTGGATTGCCGTCGATTTTGATGAGCGTTTGTTCTATTCTAGCGAGCATCTGAATGACTCCTGCCAACGGCATATCTTGGCTCTCATGTCTCATAACAACTCCCGGAAAGCTCTACTTCTCAATTAATTCTCCACTTCTGTGACCCATCAATCCCTTCACCGCCCGCATAGTGGAGATGGCCTCAGGTGTATTGTCCTCTGTTTCGGGCGGGGCCCGTAGAAACATTCACTACGGCGCGGGGCTTCATGGGGGTTACGAGCACCTTGGATGGGGGATGCGGGCAGCAGGAGAGCCCCGTCCTCAGGTGGTGGTGAACCACGAAGCACCCCACTATTTCGACGTGATGTGTGGTG
&gt;RPNOV_ITS4_LOW_QUALITY
ACCTCCCGTGAGATGGGTCTTGGGCCCCCGGAGCGGTGATCCCCCTCCCCCAGGGCGCACCTGAACCTCGCGGAGAGTCTAGGGAACCTGCATTAAGAGCACTTCACAAGGAATCTGCCTCGCACGTGAGACGACGAATCGTACGTAGTTGAATGCAGAATCCGTGATCATCGATCTTGACGCACATGCCGGTCGAGTCTCGGATGAGACCACATCTGCCTCAGCGTCGGAATAACCCTCACGCGCTTGCGCGTGGACCTGGCCCCCCCGGTCACTGGCCCCCGTGCCAGCCGGGCCGGCTGAAATACAGAGGCTCGCGCGCGGCCCATTCGCGGCCCCGACTAGGTAGGTAGCTCGCTACTCCTACGGCGGAGGCTCGGCGTCGCGTGCTGTGA</t>
  </si>
  <si>
    <t>&gt;BEA2087_ITS4_Premix
GGGTCTAGAGGATATTGAAACCGATCATCCACAACAGCGAACCGAAAAGGCGGTCGCTCCGTGGTCGCTCCGCCCGGGGGGCCGCCGGCTCGCCCGCCATATCACCCACGCCATAACACATTGACCAGTATCGAAGCTCGCAGGCCCTGCCTCGAGCTTAACTGAGACAACTCTCAACAACGGATATCTGGCTCTCGCAACGATGAAGAACGCAGCGAAATGCGATACGTAGTGTGAATTGCAGAATTCCGTGAATCATCGAATCATTGAACGCATATTGCGGTCGAGGCTTCGGCCGAGACCACGTCTGCCTCAGCGTCGGAATACACCCTCAGCCCAACGGCTGGAGCTGGCCCCCCCGGAGACGCTTCGCTCTCCGGGTCGGCTGAAAGGCAGAGGCTCCCGCACGGACCCATCGAGGCCGCGGTTAGGTAGGTAGCTCGCTACTGCTAGCCGGAGGCCGGGCACGCGCGGCGGAGCCCGCAGGTTATTCTAACAC
&gt;BEA2087_4Premix
GGGTCTAGAGGATATTGAAACCGATCATCCACAACAGCGAACCGAAAAGGCGGTACGTTCCGGTCGCCGCTCCCCCCCGGGGGGGCCGGCCGGCTCGCCCCGCCATTTTCACCCACGCCATAACACATTTGACCAGTATCGAATGCTTGCAGGCCCTGCCTCGAGCTTTAACTGAGACAACTCTCAACAACGGATATCTTGGCTCTCGCAACGATGAAGAACGCAACGAAATGCGATACGTAGTGTGAATTGCAGAATTCCGTGAATCATCGAATCTTTGAACGCATATGGCGGTCGAGGCTTCGGCCGAGACCACGTCTGCCTCAGCGTCGGAATACACCCTCAGCCCAACGGCTGGAGCTGGCCCCCCCGGAGACGCTTCGCTCTCCGGGTCGGCTGAAAGGCAGAGGCTCCCGCACGGACCCATCGAGGCCGCGGTTAGGTAGGTAGCTCGCTACTGCTAGCCGGAGGCCGGGCACGCGCGGCGGAGCCCGCAGGTTATTCTAACACATCGACCTGAGTTCAGGCGAGGCTACCCGCTGAAC &gt;BEA2087_Premix
CAGGCGGTACGTTCCGGTCGCCGCTCCCCCCCGGGGGGGCCGGCCGGCTCGCCCCGCCATTTTCACCCACGCCATAACACATTTGACCAGTATCGAATGCTTGCAGGCCCTGCCTCGAGCTTTAACTGAGACAACTCTCAACAACGGATATCTTGGCTCTCGCAACGATGAAGAACGCAACGAAATGCGATACGTAGTGTGAATTGCAGAATTCCGTGAATCATCGAATCTTTGAACGCATATGGCGGTCGAGGCTTCGGCCGAGACCACGTCTGCCTCAGCGTCGGAATACACCCTCAGCCCAACGGCTGGAGCTGGCCCCCCCGGAGACGCTTCGCTCTCCGGGTCGGCTGAAAGGCAGAGGCTCCCGCACGGACCCATCGAGGCCGCGGTTAGGTAGGTAGCTCGCTACTGCTAGCCGGAGGCCGGGCACGCGCGGCGGAGCCCGCAGGTTATTCTAACACATCGACCTGAGTTCAGGCGAGGCTACCCGCTGAAC</t>
  </si>
  <si>
    <t>&gt;RP7_2_2_4_Ulva_sp
GAGGGATCATTGAAACCGATCAATTCCACTCACAGAGCACCAGCGGGGCCCCGGCCCGCCGTAGTTTGGATCCGCCGGTCATCCTGGCCCCCCCCGGGGGCGGGCGGCCGGCTGGAGCCTCAACCCAGCCAACCCTCTGCCCTGAAGCAGCTTCGCATGGGGACACCCCTGCGACGTTAACCAGAGACAACTCTCAACAACGGATATCTTGGCTCTCGCAACGATGAAGAACGCAGCGAAATGCGATACGTAGTGTGAATTGCAGAATTCCGTGAGTCATCGAATCTTTGAACGCACATTGCCGGTCGACTCTTCGGATGAGACCACATCTGCCTCAGCGTCGGAATACCCCCTCGCGCGGCCCCCCCGCCGCGCGGACCTGGCCCCCCCGGACGCACTGCCGCCCGGGCCGGCTGAAATGCAGAGGCTCGCGCGCGGCCCACTCGTGGCCCCGACTAGGTAGGTAGCTCGCTACTGCTAGGCGGCGGCTCGGCGCCTGCGCGCTGTGGGCCCCAGAGGATAACCCCCATCAT</t>
  </si>
  <si>
    <t>&gt;RP7_2_4_ITS4_Ulva_sp
AGAGCACCTGTGGGTCCGCCCCCAGCCCGGTGCTGTCCCCTCTCGGGGGCGCCCGGGGGGTTTTGGGGCGGGCCCGCCGTATTCTAAGGGTCCGCCGGTCGCCCCCTCGGGGGAGGCCGGTCCCGGATCCCCAACCCATCTGAACCCTTCTGCCCTGAAGCAGCTTCGCAAGGGGACACCCCGAGCGACAGTAACAGAGACAACTCTCAACAACGGATATCTTGGCTCTCGCAACGATGAAGAACGCAGCGAAATGCGATACGTAGTGTGAATTGCAGAATTCCGTGAGTCATCGAATCTTTGAACGCACATTGCCGGTCGACTCTTCGGAGGAGACCACATCTGCCTCAGCGTCGGGATACCCCCTCACGCACAACCGCGCGTGGATCTGGCCCCCCCGGCCCCCCTCGCAGGGGACCGGGCCGGCTGAAATGCAGAGGCCCGTGCGCGGCCCACTTGTGGCCCCGACTAGGTAGGTAGCTCGCTACTGCTAGGCGGCGGCTCGGTGCCGCGGACTTTGGGCCGCAAAGGATACTCCCATTCATTCGACCTGAGTTCAGGTGAGGCTACCCGCTGAACTTAAGCATATCA</t>
  </si>
  <si>
    <t>&gt;RP7_2_5_ITS4
ATCAGACGGGTCCCGGCCCGCCGTAGGTTGGATCCGCCGGACATCCTGGCCCCCTCCGGGTGCGGGCGGACGGACTGGAGCCTCTTTGAGCTAATACTCTGCCCTGAAGTCGCTTCGCGAGGGGACACCCCTGCGACGGTCACCAGAGACAACTCTCAACAACGGATATCTTGGCTCTCGCAACGATGAAGAACGCAGCGAAATGCGATACGTAGCGTGAATTGCAGAATTCCGAGAGTCATCGGATCTTTGAACGCACATTGCCGGTCGACTCTTCGGAGGAGACCACATCTGCCTCAGCGTCGGAATACCCCCTCGCGCGGGCCCCCCGCCGCGCGGACCTGTCCCCCCCGGACGAACTGCCGCCCGGGCCGGATGAAATGCAGAGGCTCGCGCGCGGCCCACTCGTGCCCCCGACTAGATAGGAAGCTCGCTACTGCTAGGCGGCGGCTCGGCGCCTGCCCTCTGCGGTCCCAGAGGATAGCCGCCATTCAGTTCGACGTGAGCTCAGGTGAGGCGACCCGCTGAGCTTAAGCGTATCAGTGAGGCGGAGGATGCATTTTCGAGGTAAAATTAGAAATTGGGGAAAATTCGGAAAAAACCACCCTGGCGCAAAGGCACTCTCTGGAGAAGTATCGACAATTAATGTGCCAAAACCTGGGGGGCAACAGGAATAAAAACCCCGGTTAATCCCCCCCGTAGAAGAATATAACTTACTTTTCGGGTTATAAAACTTCTCTGGGGCACCTATCACACA</t>
  </si>
  <si>
    <t>&gt;RP7_3_2_Chaetomorpha_linum
GGCTGTGCCTCACGATGCCAACCCCAACCTCGGCCAGGGCTGGGAACCACCGGGCGGGATTCATCCCTCCGACCCCCAGACCCAGGCCTTGATGCCAAGGTACCCCTGCATTTATGCGTGGCCTCCTAACACGAGTGCAACGCGCGGGTGGTACGGGTCGGTACACCTCCAATGGTTCGTCGCTCCCCGTGAGCCCGGATCACTCGGAGGCCCGGCCGGGGGGCTCCCCGCAGCATTGCCTCCCACCTCTTTGGCGGGGCGTGCATGCTGCGTGCCCGGCGCCCCGCCGCCAGGAGTCCCCCACACCTATCCTAAATCCCCAAACCTGTGCCATCTTGGTGGGCTAGACCCTCAAGAGTTAACTTGAAACAACACTGTACAATGGATTTCTTGGCTCCCACATCGATGAAGAACGCAGCAAAGCGCGATAGGTAGTGTGAATTGCAGAATCCCGTGAATCATCGAATTTTTGAACGCACATTGCGCCCGTGCCCCCGGGCTTGGGCATGTCTGCCTCAGCGTCGTTTAAAACCCTGGCTTAGTCCGTCATTGGCTCCTGCCCACTCCCACGGAGCGTGGCACGAGCTTAAGCACCGAACGCTCGCATGTTTCGACGTGCAAGTTGGCAGCGGCTTCCCACCCCCTGCCCATTGTTAGCAAAGCGGCTGGTTTCCGGGACGCCATTTCTGGCGCGACGCTTAACCGCCTTGAGTCTATCATTCATGGGACAGAAGGGAGCATGGGTTTTGGAGATGAATGCGTTTTTGCGTGCATCTCCAGTCGCGTGGTC</t>
  </si>
  <si>
    <t>&gt;BEA2000_4_Dunaliella_sp
TCTGGCCCACCAATTCTCTTCGGAGTTTTGGTGCTTCCTGGGGAGCATTAATTTGCTGTCTGGGTTGGGCTCGGCTGCCCAAATCCAATTCGGGTAGTCGGGTTGGTCCTATTACTAACCAACAACACCAAACAAAACCTAAAGCCAAAGATATGTGATCGGCCTAGCCGTCACATCCTAACTGAGACAACTCTCAACAACGGATATCTTGGCTCTCGCAACGATGAAGAACGCAGCGAAATGCGATACGTAGTGTGAATTGCAGAATTCCGTGAATCATCAAATCTTTGAACGCAAATTGCGTCCGCGGCTTCGGCCAAGGGCATGTTTGCCTCAGCGTCGGGTTAATCTCACTAACCACTCCCCCATGTGAGGAGTAATGTTAGTGGACCTGGCTGTTCCAGAGCTTGGGTGCTTCTTTGCCCCAGCAAAAGGCTCTGGATCAGCTGAAGAGCAGAGGCTAGCTCAAGGACCCGTCAAGGGCCGCAACTGGGTAGGCAGCAATCGCTTGCTATTTCTAGTTGTTGGCTTGGGACCATGGGCTTGGCCCTCAAACAGGAACCCTTCTTTTTTCTCGACCTGAGCTCAAGCAAGACCACCCGCTGAACTTAA</t>
  </si>
  <si>
    <t>PL2_B3_3</t>
  </si>
  <si>
    <t>&gt;PL2_B3_3_4_Tetraselmis_marina_cf
TGACCATACTGTACTGTGCCTTGCCCGGCTCCGCAAACAGCCAGCATTTTAATTAATGCTATCTTTGGTGGGCCAAGCCGGCTGGGTGCCAATTAATCACTCCAACACAAAACAAAGTCTGAAGCTATTTCTGATTGGCCAAGCCGATCAGTCTAACCAAAGACAACTCTCAACAACGGATATCTTGGCTCCTACAACGATGAAGAACGCAGCGAAATGCGATACGTAGTGTGAATTGCAGAATTCCGTGAACCATCGAATTTTTGAACGCATATTGCGCTCGAGGCCTCGGCCAAGAGCACGCCTGCCTCAGGGTCATGATTACCTCACCCCTACCTACATAGTGGGTATCGGGTGGACCTGGCCTCCTCACCTTAGCGGGTGGGCTGGCTGAAGTGCAGAGATCCAACCACTGCCACATTCCGGCCTCTCTTTTTATCAAGTCTGGCCGGGGGCGAGCACCGGTAGGTACCCCAAGGGTTATTCCGTGCGCGTTGGTGGCAATGGGCTGGTGATCAAGCAGGTATTTATTTTCGGATAAATAATCAACATTTGACCTGAGTTCAGACGAGACTACCCGCCGAACTTAAGCATATCAAAG</t>
  </si>
  <si>
    <t>PL1_B8_2</t>
  </si>
  <si>
    <t>&gt;PL1_B8_2_Premix TGTGACTTACCACTTGTTGCTTCGGCGCGCGCTTCGGCGCCGCCGAGGACACTTAAACTCTTTGTTTTTATAAGCATTTCTGAGTGGCCGAAAGGCAAAAATACAAATGAATCAAAACTTTCAACAACGGATCTCTTGGTTCTGGCATCGATGAAGAACGCAGCGAAATGCGATAAGTAATGTGAATTGCAGAATTCAGTGAATCATCGAATCTTTGAACGCACATTGCGCCCGCCAGCATTCTGGCGGGCATGCCTGTTCGAGCGTCATTTCAACCCTCGAGCCCGACTCTTTTGAGGACGGCTCGGCG</t>
  </si>
  <si>
    <t>&gt;PL4_D10_Premix
GATCGGGTCCCAGACAGGAGCTAGGCTGTGGACTTACCTAACCCCCAAATACCTAACCAGTATGACAAAAGAATCTGAATCCAAACAGGGAGGAGTGATTGGAGGCAGTACCTTTCGGGGGAAGCCTCCAAGCAACCACCCTGGTAAACAAAATGCATTATACAACTTTCAGCAACGGATGTCTAGGTTCCCACAACGATGAAGAACGCAGCGAAATGCAATACGTAATGCGAATTGCAAGACCTCGTGAATCATCCAAATTTTGAACGCACATTGCGCTGCCGGGAATTTCCTGGTAACATGCTTGTCTGAGTGTCTGCGAACCCCCCTCAACACCATATGTGTGGGTGGTGGACTCCGGACTTCACTGTCGCAGGAACGAGGCAAATTTTGCATAGTAACATGCTCTCGCCCAGGAAGCGTCCGAGCGGTTACTCCGCAAAAACCGACCTTAATTCAGGTTGACCTGAAGCAAGGAGGACTACCCGACTGAACTTATGCGTATCCAGAGCCGCGTGAAGCCTAACCGCCCTCACTCCATGACACGTGCGTTGGTGTCGATAGTGCTAATGGTACGTGAGACGTC</t>
  </si>
  <si>
    <t>&gt;BEA1994_4T
CTTCTCAGCACCAGCAGAGGTTGCCCCCCACTGATACCGATCCAAACACTTCACCAGCACACCCAATCGGTAGGAGCGACGGGCGGTGTGTACAAAGGGCAGGGACGTAATCAACGCGAGCTGATGACTCGCGCTTACTAGGCATTCCTCGTTGAAGACTAATAATTGCAATAATCTATCCCCATCACGATGCAGTTTCAAAGATTACCCGGACCTCTCGGCCAAGGATAGGCTCGTTGAATGCATCAGTGTAGCGCGCGTGCGGCCCAGAACATCTAAGGGCATCACAGACCTGTTATTGCCTCACACTTCCATTGGCTAAACGCCAATAGTCCCTCTAAGAAGTCAGGCGCCTACCGAGGTAGACGTGACTATTTAGCAGGCTGAGGTCTCGTTCGTTACCGGAATCAACCTGACAAGGCAACCCACCAACTAAGAACGGCCATGCACCACCACCCACAGAATCAAGAAAGAGCTCTCAATCTGTCAATCCTCCCCGTGTCTGGACCTGGTAAGTTTTCCCGTGTTGAGTCAAATTAAGCCGCAGGCTCCACGCCTGGTGGTGCCCTTCCGTCAATTCCTTTAAGTTTCAGCCTTGCGACCATACTCCCCCCGGAACCCAAAAACTTTGATTTCTCATAAAGTGCTGGCAGGGTCATCAACGAAACACCTGCCAATCCCTAGTCGGCATCGTTTAT</t>
  </si>
  <si>
    <t>&gt;1_1_Premix_Chlorophyceae_sp
CCGTGATAAGCCTCACTAGATGATCTTATTGGTCTCCGAGATTCTGTGTGTATGATTTCCTTGATGTTGGAGCTGCTTTTACATATGACTCCACAACCAGGTGTTCCACCTGTAAGAATGTGGTGCAGCCGTATCAGCATGAATCATCAACAGGAACTTGGACAACTGTATGGACAGACGGTCTAACAACTTTAGACCGTTACAAAGGGCGTTGTTACGATATCGAACCAGTACCTGGTGAAGACAACCAATACATTGCTTACGTAGCTTACCCAATCGATTTATTCGAAGAAGGTTCAGTAACAAACTTATTCACATCAATCGTAGGAAACGTATTTGGTTTCAAAGCTTTACGTGCTCTTCGTTTAGAAGATCTTCGTATTTCTGCAGCTTACGCAAAAACTTTTGAAGGACCCCCACACGGTATTCAAGTTGAACGTGACAAATTAAACAAATACGGACGAGGACTTTTAGGATGTACGATCAAACCTAAATTAGGTTTATCAGCTAAAAACTACGGACGTGCTGTTTACGAATGTTTACGTGGTGATGGAA
&gt;1_1_rbcLaR_Premix_Chlorophyceae_sp
ACAACAGAGACTAAAGCAGGCGCTGGATTTAAAGCGGGTGTAAAAGATTACCGTTTAACTTATTACACTCCTGATTACGTTGTAAAAGATACTGATATCTTAGCTGCATTCCGTATGACTCCACAACCAGGTGTTCCACCTGAAGAATGTGGTGCAGCCGTAGCAGCTGAATCATCAACAGGAACTTGGACAACTGTATGGACAGACGGTCTAACAACTTTAGACCGTTACAAAGGGCGTTGTTACGATATCGAACCAGTACCTGGTGAAGACAACCAATACATTGCTTACGTAGCTTACCCAATCGATTTATTCGAAGAAGGTTCAGTAACAAACTTATTCACATCAATCGTAGGAAACGTATTTGGTTTCAAAGCTTTACGTGCTCTTCGTTTAGAAGATCTTCGTATTTCTTCAGCTTACGCAAAAACTTTTGAAGGACCCCCACACGGTATTCAAGTTGAACGTTATAACACCACCAACAGCGAATGAAGACACCAATAAGTGTATATCAAACATGAGCTTCATTACAGCTAATTCAAG</t>
  </si>
  <si>
    <t>&gt;1_2/R
GACTAAAGCAGGCGCTGGATTTAAAGCGGGTGTAAAAGATTACCGTTTAACTTATTACACTCCTGATTACGTTGTAAAAGATACTGATATCTTAGCTGCATTCCGTATGACTCCACAACCAGGTGTTCCACCTGAAGAATGTGGTGCAGCCGTATCAGCTGAATCATCAACAGGAACTTGGACAACTGTATGGACAGACGGTCTAACAACTTTAGACCGTTACAAAGGGCGTTGTTACGATATCGAACCAGTACCTGGTGAAGACAACCAATACATTGCTTACGTAGCTTACCCAATCGATTTATTCGAAGAAGGTTCAGTAACAAACTTATTCACATCAATCGTAGGAAACGTATTTGGTTTCAAAGCTTTACGTGCTCTTCGTTTAGAAGATCTTCGTATTTCTTCAGCTTACGCAAAAACTTTTGAAGGACCCCCACACGGTATTCAAGTTGAACGTGACAAATTAAACAAATACGGACGAGGACTTTTAGGATGTACGATCAAACCTAAATTAGGTTTATCAGCTAAAAACTACGGACGTGCTGTTTACGAATGTTTACGTGGTGATG &gt;1_2_Premix
GCGTCACTAGATGATCTTATTGCACTCCGAGATTACGTTGTATGATTTCCTCGATGTTGTAGCTGCTTTCCCATATGACTCCACAACCAGGTGTTCCACCTGAAGAATGTGGTGCAGCCGTATCAGCATGAATCATCAACAGGAACTTGGACAACTGTATGGACAGACGGTCTAACAACTTTAGACCGTTACAAAGGGCGTTGTTACGATATCGAACCAGTACCTGGTGAAGACAACCAATACATTGCTTACGTAGCTTACCCAATCGATTTATTCGAAGAAGGTTCAGTAACAAACTTATTCACATCAATCGTAGGAAACGTATTTGGTTTCAAAGCTTTACGTGCTCTTCGTTTAGAAGATCTTCGTATTTCTGCAGCTTACGCAAAAACTTTTGAAGGACCCCCACACGGTATTCAAGTTGAACGTGACAAATTAAACAAATACGGACGAGGACTTTTAGGATGTACGATCAAACCTAAATTAGGTTTATCAGCTAAAAACTACGGACGTGC</t>
  </si>
  <si>
    <t>&gt;1_3_Premix
TACGTCGCATGCATGTTCGATGAGAGCGTCACTAGATGATCTATATTGGCTCCGAGATACCGTGTGTATGATTTCCTCGATGTGTGGAGCTGATTTCACATATGACTCCACAACCAGGTGTTCCACCTGAAGAATGTGGTGCAGCCGTATCAGCATGAATCATCAACAGGAACTTGGACAACTGTATGGACAGACGGTCTAACAACTTTAGACCGTTACAAAGGGCGTTGTTACGATATCGAACCAGTACCTGGTGAAGACAACCAATACATTGCTTACGTAGCTTACCCAATCGATTTATTCGAAGAAGGTTCAGTAACAAACTTATTCACATCAATCGTAGGAAACGTATTTGGTTTCAAAGCTTTACGTGCTCTTCGTTTAGAAGATCTTCGTATTTCTGCAGCTTACGCAAAAACTTTTGAAGGACCCCCACACGGTATTCAAGTTGAACGTGACAAATTAAACAAATACGGACGAGGACTTTTAGGATGTACGATCAAACCTAAATTAGGTTTATCAGCTAAAAACTACGGACGTGC</t>
  </si>
  <si>
    <t>&gt;2_1_R
ACAGAGACTAAAGCAGGCGCTGGATTTAAAGCGGGTGTAAAAGATTACCGTTTAACTTATTACACTCCTGATTACGTTGTAAAAGATACTGATATCTTAGCTGCATTCCGTATGACTCCACAACCAGGTGTTCCACCTGAAGAATGTGGTGCAGCCGTAGCAGCTGAATCATCAACAGGAACTTGGACAACTGTATGGACAGACGGTCTAACAACTTTAGACCGTTACAAAGGGCGTTGTTACGATATCGAACCAGTACCTGGTGAAGACAACCAATACATTGCTTACGTAGCTTACCCAATCGATTTATTCGAAGAAGGTTCAGTAACAAACTTATTCACATCAATCGTAGGAAACGTATTTGGTTTCAAAGCTTTACGTGCTCTTCGTTTAGAAGATCTTCGTATTTCTTCAGCTTACGCAAAAACTTTTGAAGGACCCCCACACGGTATTCAAGTTGAACGTTACAAATTAAACAAATACGGACGAGGACTTTTAGGATGTACGATCAAACCTAAATTAGGTTTATCAGCTAAAAACTACGGACGTGCTGTTTACGAATGTTTACGTGGTGA</t>
  </si>
  <si>
    <t>&gt;AL1_R
TAAAGCAGGCGCTGGATTTAAAGCGGGTGTAAAAGATTACCGTTTAACTTATTACACTCCTGATTACGTTGTAAAAGATACTGATATCTTAGCTGCATTCCGTATGACTCCACAACCAGGTGTTCCACCTGAAGAATGTGGTGCAGCCGTAGCAGCTGAATCATCAACAGGAACTTGGACAACTGTATGGACAGACGGTCTAACAACTTTAGACCGTTACAAAGGGCGTTGTTACGATATCGAACCAGTACCTGGTGAAGACAACCAATACATTGCTTACGTAGCTTACCCAATCGATTTATTCGAAGAAGGTTCAGTAACAAACTTATTCACATCAATCGTAGGAAACGTATTTGGTTTCAAAGCTTTACGTGCTCTTCGTTTAGAAGATCTTCGTATTTCTTCAGCTTACGCAAAAACTTTTGAAGGACCCCCACACGGTGTTCAAGTTGAACGTGACAAATTAAACAAATACGGACGAGGACTTTTAGGATGTACGATCAAACCTAAATTAGGTTTATCAGCTAAAAACTACGGACGTGCTGTTTACGAATGTTTAC</t>
  </si>
  <si>
    <t>&gt;BEA1322/R_Premix
CAGAGACTAAAGCAGGCGCTGGATTTAAAGCGGGTGTAAAAGATTACCGTTTAACTTATTACACTCCTGATTACGTTGTAAAAGATACTGATATCTTAGCTGCATTCCGTATGACTCCACAACCAGGTGTTCCACCTGAAGAATGTGGTGCAGCCGTAGCAGCTGAATCATCAACAGGAACTTGGACAACTGTATGGACAGACGGTCTAACAACTTTAGACCGTTACAAAGGGCGTTGTTACGATATCGAACCAGTACCTGGTGAAGACAACCAATACATTGCTTACGTAGCTTACCCAATCGATTTATTCGAAGAAGGTTCAGTAACAAACTTATTCACATCAATCGTAGGAAACGTATTTGGTTTCAAAGCTTTACGTGCTCTTCGTTTAGAAGATCTTCGTATTTCTGCAGCTTACGCAAAAACTTTTGAAGGACCCCCACACGGTATTCAAGTTGAACGTGACAAATTAAACAAATACGGACGAGGACTTTTAGGATGTACGATCAAACCTAAATTAGGTTTATCAGCTAAAAACTACGGACGTGCTGTTTACGAATGTTTACGCGGTGATGTGATTTTTTAAAAAAAGGGTGTTAACCATGCC
&gt;BEA1322F/r CAGAGACTAAAGCAGGCGCTGGATTTAAAGCGGGTGTAAAAGATTACCGTTTAACTTATTACACTCCTGATTACGTTGTAAAGATACTGATATCTTAGCTGCATTCCGTATGACTCCACAACCAGGTGTTCCACCTGAAGAATGTGGTGCAGCCGTAGCAGCTGAATCATCAACAGGAACTTGGACAACTGTATGGACAGACGGTCTAACAACTTTAGACCGTTACAAAGGGCGTTGTTACGATATCGAACCAGTACCTGGTGAAGACAACCAATACATTGCTTACGTAGCTTACCCAATCGATTTATTCGAAGAAGGTTCAGTAACAAACTTATTCACATCAATCGTAGGAAACGTATTTGGTTTCAAAGCTTTACGTGCTCTTCGTTTAGAAGATCTTCGTATTTCTGCAGCTTACGCAAAAACTTTTGAAGGACCCCCACACGGTATTCAAGTTGAACGTTACAACTTCAACAACTGCGAACGAAGACACCCATAAGTGCGATCAAACCTAAGCTAGCATCATCAGCTATAAGCTACGGACGTGCTGTTTACGAATGTTTACGCGGTGATGTGATTTTTTAAAAAAAGGGTGTTAACCATGCC</t>
  </si>
  <si>
    <t>&gt;BEA1865_R_Ankitrodesmus 
AGCAGGCGCTGGATTTAAAGCGGGTGTAAAAGATTACCGTTTAACTTATTACACTCCTGATTACGTTGTAAAAGATACTGATATCTTAGCTGCATTCCGTATGACTCCACAACCAGGTGTTCCACCTGAAGAATGTGGTGCAGCCGTAGCAGCTGAATCATCAACAGGAACTTGGACAACTGTATGGACAGACGGTCTAACAACTTTAGACCGTTACAAAGGGCGTTGTTACGATATCGAACCAGTACCTGGTGAAGACAACCAATACATTGCTTACGTAGCTTACCCAATCGATTTATTCGAAGAAGGTTCAGTAACAAACTTATTCACATCAATCGTAGGAAACGTATTTGGTTTCAAAGCTTTACGTGCTCTTCGTTTAGAAGATCTTCGTATTTCTGCAGCTTACGCAAAAACTTTTGAAGGACCCCCACACGGTATTCAAGTTGAACGTGACAAATTAAACAAATACGGACGAGGACTTTTAGGATGTACGATCAAACCTAAATTAGGTTTATCAGCTAAAAACTACGGACGTGCTGTTTACGAATGT</t>
  </si>
  <si>
    <t>&gt;BEA2086/R_Neochloridaceae_sp_revisar_en_FileMarker_Ulva
ACAACAGAGACTAAAGCCGGTGCTGGGTTTAAAGCCGGAGTAAAAGACTACCGTCTTACTTACTATACTCCAGATTACGTTGTAAAAGATACTGATATTTTAGCAGCATTCCGTATGACTCCACAACCAGGTGTTCCACCTGAAGAATGTGGTGCTGCAGTAGCTGCAGAATCTTCAACAGGTACTTGGACAACTGTATGGACTGATGGTTTAACAAGTTTAGACCGTTACAAAGGACGTTGTTACGATATCGAACCAGTTCCAGGAGAAGACAACCAATATATTGCTTACGTAGCATACCCTATTGACCTTTTCGAAGAAGGTTCAGTAACTAACTTATTTACTTCAATTGTAGGGAACGTATTTGGTTTCAAAGCTTTACGTGCTTTACGTTTAGAAGACCTTCGTATTCCTCCAGCTTACGTTAAAACTTTCGTAGGACCTCCTCACGGAATCCAAGTTGAACGTGACAAATTAAACAAATATGGTCGTGGATTATTAGGTTGTACAATTAAACCTAAATTAGGTTTATCAGCTAAAAACTACGGTCGTGCTGTTTACGAATG</t>
  </si>
  <si>
    <t>&gt;PL1B8_Premix_Messastrum gracile 
TTACCGTTGATCTTATAGGCTCCTGATTACGTTGTAGAGATCCTGATGTCTTTAGCTGCTTTCCCATATGACTCCACAACCAGGTGTTCCACCTGAAGAATGTGGTGCAGCCGTAGCAGCATGAATCATCAACAGGAACTTGGACAACTGTATGGACAGACGGTCTAACAACTTTAGACCGTTACAAAGGGCGTTGTTACGATATCGAACCAGTACCTGGTGAAGACAACCAATACATTGCTTACGTAGCTTACCCAATCGATTTATTCGAAGAAGGTTCAGTAACAAACTTATTCACATCAATCGTAGGAAACGTATTTGGTTTCAAAGCTTTACGTGCTCTTCGTTTAGAAGATCTTCGTATTTCTGCAGCTTACGCAAAAACTTTTGAAGGACCCCCACACGGTATTCAAGTTGAACGTGACAAATTAAACAAATACGGACGAGGACTTTTAGGATGTACGATCAAACCTAAATTAGGTTTATCAGCTAAAAACTACGGACGTGCTGTTTACGAA</t>
  </si>
  <si>
    <t>&gt;BEA2054_R
AGATTAAAGCAGGCGCTGGATTTAAAGCGGGTGTAAAAGATTACCGTTTAACTTATTACACTCCTGATTACGTTGTAAAAGATACTGATATCTTAGCTGCATTCCGTATGACTCCACAACCAGGTGTTCCACCTGAAGAATGTGGTGCAGCCGTAGCAGCTGAATCATCAACAGGAACTTGGACAACTGTATGGACAGACGGTCTAACAACTTTAGACCGTTACAAAGGGCGTTGTTACGATATCGAACCAGTACCTGGTGAAGACAACCAATACATTGCTTACGTAGCTTACCCAATCGATTTATTCGAAGAAGGTTCAGTAACAAACTTATTCACATCAATCGTAGGAAACGTATTTGGTTTCAAAGCTTTACGTGCTCTTCGTTTAGAAGATCTTCGTATTTCTGCAGCTTACGCAAAAACTTTTGAAGGACCCCCACACGGTATTCAAGTTGAACGTGACAAATTAAACAAATACGGACGAGGACTTTTAGGATGTACGATCAAACCTAAATTAGGTTTATCAGCTAAAAACTACGGACGTGCTGTTTACGAATGTTTA</t>
  </si>
  <si>
    <t>&gt;BEA2055_Premix
TACGCGATTGACCAGGATTTCATACGTGTTAGCCTCATTAGATGATCTTAATGGTCTCCGAGATTCTGTGATATGATTTCCTCGATGGTGGAGCTGCTTTTACATATGACTCCACAACCAGGTGTTCCACCTGAAGAATGTGGTGCACCCGTATCAGATGAATCATCAACAGGAACTTGGACAACTGTATGGACAGACGGTCTAACAACTTTAGACCGTTACAAAGGGCGTTGTTACGATATCGAACCAGTACCTGGTGAAGACAACCAATACATTGCTTACGTAGCTTACCCAATCGATTTATTCGAAGAAGGTTCAGTAACAAACTTATTCACATCAATCGTAGGAAACGTATTTGGTTTCAAAGCTTTACGTGCTCTTCGTTTAGAAGATCTTCGTATTTCTGCAGCTTACGCAAAAACTTTTGAAGGACCCCCACACGGTATTCAAGTTGAACGTGACAAATTAAACAAATACGGACGAGGACTTTTAGGATGTACGATCAAACCTAAATTAGGTTTATCAGCTAAAAACTACGGACGTGCTGTTTACGAATGTTTACGTGGTGGCT
&gt;BEA2055_rbcLaR_Premix
AACAGAGACTAAAGCAGGCGCTGGATTTAAAGCGGGTGTAAAAGATTACCGTTTAACTTATTACACTCCTGATTACGTTGTAAAAGATACTGATATCTTAGCTGCATTCCGTATGACTCCACAACCAGGTGTTCCACCTGAAGAATGTGGTGCAGCCGTAGCAGCTGAATCATCAACAGGAACTTGGACAACTGTATGGACAGACGGTCTAACAACTTTAGACCGTTACAAAGGGCGTTGTTACGATATCGAACCAGTACCTGGTGAAGACAACCAATACATTGCTTACGTAGCTTACCCAATCGATTTATTCGAAGAAGGTTCAGTAACAAACTTATTCACATCAATCGTAGGAAACGTATTTGGTTTCAAAGCTTTACGTGCTCTTCGTTTAGAAGATCTTCGTATTTCTGCAGCTTACGCAAAAACTTTTGAAGGACCCCCACACGGTATTCAAGAGAACGTTATGACACCAACAACAGAGAATGAAGACACCAATAAGTGTATTCTAACAGGAGCTTCATTATCAGCTAAAACCTTCCAAGCTCTCTACTGAA</t>
  </si>
  <si>
    <t>&gt;BEA2087_R
ACAGAGACTAAAGCAGGCGCTGGATTTAAAGCGGGTGTAAAAGATTACCGTTTAACTTATTACACTCCTGATTACGTTGTAAAAGATACTGATATCTTAGCTGCATTCCGTATGACTCCACAACCAGGTGTTCCACCTGAAGAATGTGGTGCAGCCGTAGCAGCTGAATCATCAACAGGAACTTGGACAACTGTATGGACAGACGGTCTAACAACTTTAGACCGTTACAAAGGGCGTTGTTACGATATCGAACCAGTACCTGGTGAAGACAACCAATACATTGCTTACGTAGCTTACCCAATCGATTTATTCGAAGAAGGTTCAGTAACAAACTTATTCACATCAATCGTAGGAAACGTATTTGGTTTCAAAGCTTTACGTGCTCTTCGTTTAGAAGATCTTCGTATTTCTGCAGCTTACGCAAAAACTTTTGAAGGACCCCCACACGGTATTCAAGTTGAACGTGACAAATTAAACAAATACGGACGAGGACTTTTAGGATGTACGATCAAACCTAAATTAGGTTTATCAGCTAAAAACTACGGACGTGCTGTTTACGAATGTTTAC</t>
  </si>
  <si>
    <t>&gt;BEA1395/R_Neochloridaceae_chequear
CCCACAGAGACTAAAGCCGGTGCTGGGTTTAAAGCCGGAGTAAAAGACTACCGTCTTACTTACTATACTCCAGATTACGTTGTAAAAGATACTGATATTTTAGCAGCATTCCGTATGACTCCACAACCAGGTGTTCCACCTGAAGAATGTGGTGCTGCAGTAGCTGCAGAATCTTCAACAGGTACTTGGACAACTGTATGGACTGATGGTTTAACAAGTTTAGACCGTTACAAAGGACGTTGTTACGATATCGAACCAGTTCCAGGAGAAGACAACCAATATATTGCTTACGTAGCATACCCTATTGACCTTTTCGAAGAAGGTTCAGTAACTAACTTATTTACTTCAATTGTAGGGAACGTATTTGGTTTCAAAGCTTTACGTGCTTTACGTTTAGAAGACCTTCGTATTCCTCCAGCTTACGTTAAAACTTTCGTAGGACCTCCTCACGGAATCCAAGTTGAACGTGACAAATTAAACAAATATGGTCGTGGATTATTAGGTTGTACAATCTAAACCTAAATTAGGTTTATCAGCTAAAAACTACGGTCGGTGCTGTTTACGAATGCTATTAGGTTGTATCATATAAACCTAAATAT</t>
  </si>
  <si>
    <t>&gt;BEA2017_Neochloridaceae_la_región_rbclAR_no_sale_bien
TACCGTTCTAACTTACTATACTCCAGATTACGTTGTAAAAGATACTGATATTTTAGCAGCATTCCATATGACTCCACAACCAGGTGTTCCACCTGAAGAATGTGGTGCTGCTGTAGCTGCTGAATCTTCAACAGGTACTTGGACAACTGTATGGACTGATGGTTTAACAAGTTTAGACCGTTACAAAGGACGTTGTTACGATATCGAACCAGTTCCTGGAGAAGACAACCAATATATTGCTTACGTAGCATACCCTATTGACTTTTCGAAGAAGGTTCAGTAACTAACTTATTTACTTCAATTGTAGGGAACGTATTTGGTTTCAAAGCTTTACGTGCTTTACGTTTAGAAGACCTTCGTATTCCTCCAGCTTACGTTAAAACTTTCGTAGGACCTCCTCACGGAATCCAAGTTGAACGTGACAAATTAAACAAATATGGTCGTGGATTATTAGGTTGTACTATTAAACCTAAATTAGGTTTATCAGCTAAAAACTACGGTCGTGCTGTTTACGAATGTTTACGCGGTGA</t>
  </si>
  <si>
    <t xml:space="preserve">
&gt;BEA2108_Premix
AACAGAGACTAAAGCAGGCGCTGGATTTAAAGCGGGTGTAAAAGATTACCGTTTAACTTATTACACTCCTGATTACGTTGTAAAAGATACTGATATCTTAGCTGCATTCCGTATGACTCCACAACCAGGTGTTCCACCTGAAGAATGTGGTGCAGCCGTAGCAGCTGAATCATCAACAGGAACTTGGACAACTGAATGGACAGACGGTCTAACAACTTTAGACCGTTACAAAGGGCGTTGTTACGATATCGAACCAGTACCTGGTGAAGACAACCAATACATTGCTTACGTAGCTTACCCAATCGATTTATTCGAAGAAGGTTCAGTAACAAACTTATTCACATCAATCGTAGGAAACGTATTTGGTTTCAAAGCTTTACGTGCTCTTCGTTTAGAAGATCTTCGTATTTCTGCAGCTTACGCAAAAACTTTTGAAGGACCCCCACACGGTATTCAAGTTGAACGTGACAAATTAAACAAATACGGACGAGGACTTTTAGGATGTACGATCAAACCTAAATTAGGTTTATCAGCTAAAAACTACGGACGTGCTGTTTACGAAT</t>
  </si>
  <si>
    <t>&gt;RD3B3_Premix_Trebouphyceae
ACTGCTTTCCCAATGACGCCTCAACCAGGTGTTCAGCCTGAAGAGTGTGGTGCAGCGGTTGCTGCAGAGTCTTCAACTGGTACTTGGACTACTGTTTGGACTGACGGACTGACTACTCTTGACCGATACAAAGGACGTTGCTATGACATCGAACCGGTTCCTGGTGAAGACAACCAATACATCGCTTACGTTGCTTACCCGCTCGATCTTTTCGAAGAGGGATCAGTGACAAACTTGTTCACTTCTATTGTAGGAAACGTTTTTGGTTTCAAAGCACTTCGTGCTCTGCGTCTTGAAGACCTTCGCATTCCACTGCTTACGTAAAACCTTCCAAGGACCACCTCATGGTATCCAGGTTGAGCGTGACAAACTAAACAAATACGGACGTTCTCTGTGGGTGTACTATTAACCGAACTAGGTCTTTCTGCTAAGACTACGGCGTGTGTTACAATGTTAGCGCGTG</t>
  </si>
  <si>
    <t>PL4_D10_R_545_anyresult
TGTTCAGATTGTCTGCGGTGCTCCACAATGTTGCTGAAGGCCAAACTGTTCCCGTAGCTACTGTGAACACGGTTTTACCTGTCGAATTACCAAATGGTAAACCTTTCAAAATAAAGAAGAGCAAAATACGCGGAGAAGTATCTTTTGGCATGATCTGCGCCGAGGATGAGCTTGGGATTGGTGATGATCATAGCGGCATCATGGTTCTCGATACAGACAAACCTGTGGGAACTCCACTGAAAGAGGTATTGGATCTCTATCATGACACCGTTATTGAAATTGCGATTACTCCTAACAGACCCGACGCTACCTGTCACATTGGAGTTGCCAGAGATCTCGCAGCTTATTTTGAAAAAGAGCTTCGTTATCCGCAAATCAGCGGTGAAGACGAGCAACCGGTTGAGGGTGTAGAAATTGAAATTAAAGACACCGACAAATGCCATCGCTACGTTGGAAAAGTAATAAAGAACGCAACGATTAAGGAAAGTCCCACCTGGCTTAAAAACTATCTGAAAGCGATTGGTTTGCGACCTGTAAACAACGCG</t>
  </si>
  <si>
    <t>&gt;PL8_B1_Premix
TACCGTTTAACTTATTATACACCTGATTATCAGTAAAAGATACTGATATTTTAGCAGCTTTTCGTATGACTCCTCAACCAGGGGTTCCTGCAGAAGAAGCTGGTGCAGCAGTTGCTGCGGAATCATCAACAGGTACTTGGACAACTGTATGGACCGATGGTTTAACATCTTTAGATCGTTATAAAGGTCGTTGTTATGATATTGAACCATTAGGAGAAGATGATCAATATATTGCATATATTGCATATCCATTAGATTTATTTGAAGAAGGATCTGTTACAAATTTATTTACTTCAATTGTAGGTAACGTTTTTGGTTTTAAAGCATTACGTGCTTTACGTTTAGAAGATTTACGTATTCCACCAGCTTATACTAAAACTTTCCAAGGACCACCACATGGTATTCAAGTTGAACGTGATAAATTAAATAAATATGGACGAGGTTTATTAGGTTGTACAATTAAACCAAAATTAGGTCTTTCAGCTAAAAATTATGGTCGTGCCGTTTACGAATGTTTACGCGGT
&gt;PL8_B1_EUKA_Premix_Ulvella_leptochaete
TAGTATAAACAGTTTATACTAGTGCAAACTGCGAATGGCTCATTAAATCAGTTAGAGTTTATTTGATGGTACCACACTACTCGGATAACCGTAGTAAAGCTACAGCTAATACGTGCGTAACTCCCGACTCACGAAGGGACGTATTTATTAGATTCAAGGCCGACCGTACTTGTACGTTTTTGGTGAATCATGGTAACTTCACGAATCGCAGGGCTTGCCCCGGCGATGTTTCATTCAACTTTCTGCCCTATCAACTTTCGACGGTAGTATAGAGGACTACCGTGGTGGTAACGGGTGACGGAGGATTAGGGTTCGATTCCGGAGAGGGAGCCTGAGAAACGGCTACCACATCCCAGGAAGGCAGCAGGCGCGCAAATTACCCAATCCTGACACAGGGAGGTAGTGACAATAAATATCAGTTCTGGGCCAACGGTCCGGTGATTGGAATGAGTACAATCTAAACACCTTAACGAGGATCCCTTGGAGGGCAAGTCTGGTGCCCGCAGCCGCGGTAATTCCCGCTCCATAGCGTAAATTTTAAGTTGTTGCAGTTAAAAGCTCGTAGTTGGATTTCGGGTTGGCTTCTGCGGTCTCGCTTTTGCGTTTGTACTGCTGCAGCCCGGCCTTCTTGTCGGGGACGGGCCTTCGGGCTTAATTGCTTGGGGGTCCGGAATCCACAATTTTACTTTGAGTAAATTAGAAGGGTTCAAAGCAGCCCACCCTTT
&gt;PL8_B1_EUKB_Premix_Ulvella_leptochaete
GGCCTGGGGTTATTTGACTCACCCGGGAAAACTTACCAGTCCAGACATGGAAGGATGACAGATTATAGCTCTTTCTTGTTCTTGGGTGGTGGTGCATGGCCGTTTTTAGTTGGTGGGTTGCCTGTCAGGTTGATTCCGGTAACGAACGAGACCGACGCCTGCTAAATAGTGGCGGCTGCTTCTGCAGTCGAACACTTCTTAGAGGGACTTGGGGCGTTTAGCTCCAGGAAGTCGTCGGCAATAACAGGTCTGTGATGCCCTTAGATGTTCTGGGCCGCACGCGCGCTACACTGATACGTTCAACGAGCTCCTTGGCCGAAAGGTCCGGGGAATCTTAGAAACCGTATCGTGATGGGGATAGAACATTGCAATTTTTGTTCTTCAACGAGGAATGCCTAGTAAGCGCGAGTCATCATCTCGCGTTGATTACGTCCCTGCCCTTTGTACACACCGCCCGTCGCTCCTACCGATTGAACGTGCTGGTGAAGCGTTAGGACTGGAACTCCGAACAGGTCTCCTGCTCGTTGCTTAAGGGAATTTCGTTGAACCCTCCCGTAAGAGGAAT</t>
  </si>
  <si>
    <t>bea2087</t>
  </si>
  <si>
    <t>BEA1554_</t>
  </si>
  <si>
    <t>BEA1558_</t>
  </si>
  <si>
    <t>BEA1582_</t>
  </si>
  <si>
    <t>BEA1599_</t>
  </si>
  <si>
    <t>BEA1832_</t>
  </si>
  <si>
    <t>BEA1840_</t>
  </si>
  <si>
    <t>BEA2098 2098</t>
  </si>
  <si>
    <t>BEA1865R</t>
  </si>
  <si>
    <t>R¡LK2D9</t>
  </si>
  <si>
    <t>&gt;BEA_0473_1373
CTGGCGGTATGCTTAACACATGCAAGTCGAACGGTGTCTTCGGACATAGTGGCGGACGGGTGAGTAACGCGTGAGAATCTGCCTTCAGGTTGGGGACAACAACTGGAAACGGTTGCTAATACCCAATGTGCCGAGAGGTGAAAGCTTTAGTGCCTGAAGATGAGCTCGCGTCTGATTAGCTAGTTGGAGTGGTAACGGCACCCCAAGGCGACGATCAGTAGCTGGTCTGAGAGGATGATCAGCCACACTGGGACTGAGACACGGCCCAGACTCCTACGGGAGGCAGCAGTGGGGAATTTTCCGCAATGGGCGAAAGCCTGACGGAGCAATACCGCGTGAGGGAGGAAGGCTCTTGGGTCGTAAACCTCTTTTGTCAGGGAAGAACACAATGACGGTACCTGACGAATCAGCATCGGCTAACTCCGTGCCAGCAGCCGCGGTAATACGGGGGATGCAAGCGTTATCCGGAATTATTGGGCGTAAAGCGTCCGCAGGTGGTTGTCCAAGTCTGCTGTTAAAGCATGGGGCTTAACTCCATATAGGCAGTGGAAACTGGGCGACTAGAGTACGGTAGGGGTCGCGGGAATTCCCAGTGTAGCGGTGAAATGCGTAGATATTGGGAAGAACACCAGTGGCGAAAGCGCGCGGCTGGACCTGTACTGACACTGAGGGACGAAAGCTAGGGGAGCGAAAGGGATTAGATACCCCTGTAGTCCTAGCTGTAAACGATGGATACTAGGTGTTGCCCGTATCGACCCGGGCAGTGCCGTAGCTAACGCGTTAAGTATCCCGCCTGGGGAGTACGCACGCAAGTGTGAAACTCAAAGGAATTGACGGGGGCCCGCACAAGCGGTGGAGTATGTGGTTTAATTCGATGCAACGCGAAGAACCTTACCAGGACTTGACATGTCGCGAATCTTGGTGAAAGCTGAGAGTGCCTTCGGGAGCGCGAACACAGGTGGTGCATGGCTGTCGTCAGCTCGTGTCGTGAGATGTTGGGTTAAGTCCCGCAACGAGCGCAACCCTCGTTTTTAGTTGCCATCATTCAGTTGGGCACTCTAGAGAGACTGCCGGTGACAAACCGGAGGAAGGTGGGGATGACGTCAAGTCATCATGCCCCTTACGTCCTGGGCTACACACGTACTACAATGCTAGGGACAAAGGGTCGCAAGCTCGCGAGAGCAAGCTAATCCCATAAACCCTGGCTCAGTTCAGATTGCAGGCTGCAACTCGCCTGCATGAAGGCGGAATCGCTAGTAATCGCAGGTCAGCATACTGCGGTGAATACGTTCCCGGGCCTTGTACACACCGCCCGTCACACCATGGAAGTTGGTCACGCCCGAAGTCATTACTTCAACCGTTCGCGGAGGAGG</t>
  </si>
  <si>
    <t>&gt;BEA_1175_1362
ACACATGCAAGTCGAACGGAGTGCTTTCGGGCACTTAGTGGCGGACGGGTGAGTAACGCGTGAGGATCTGCCCTTAGGAGGGGAACAACAGTTGGAAACGACTGCTAATGCCCCATATGCCGAGAGGTGAAAAGTTATATCGCCTGAGGATGAACTCGCGTCTGATTAGCTAGTTGGTGGGGTAAGAGCTTACCAAGGCGACGATCAGTAGCTGGTCTAAGAGGATGATCAGCCACACTGGGACTGAGACACGGCCCAGACTCCTACGGGAGGCAGCAGTGGGGAATTTTCCGCAATGGGCGAAAGCCTGACGGAGCAACGCCGCGTGAGGGAGGAAGGCCTTAGGGTTGTAAACCTCTTTTCTCTGGGAAGAATAACTGACGGTACCAGAGGAATAAGCCTCGGCTAACTCCGTGCCAGCAGCCGCGGTAAGACGGAGGAGGCAAGCGTTATCCGGAATTATTGGGCGTAAAGCGTCCGCAGGCGGTTATTTAAGTCTGTTGTCAAAGGTCACAGCTCAACTGTGGATCGGCAATGGAAACTGGATGACTAGAGTGTGGTAGGGGTAGAGGGAATTCCCGGTGTAGCGGTGAAATGCGTAGATATCGGGAAGAACACCAGTGGCGAAGGCGCTCTACTGGGCCACAACTGACGCTGAGGGACGAAAGCTAGGGGAGCGAAAGGGATTAGATACCCCTGTAGTCCTAGCTGTAAACGATGGATACTAGGTGTTGGACGTATCGACCCGTGCAGTACCGTAGCTAACGCGTTAAGTATCCCGCCTGGGGAGTACGCACGCAAGTGTGAAACTCAAAGGAATTGACGGGGGCCCGCACAAGCGGTGGAGGATGTGGTTTAATTCGATGCAACGCGAAGAACCTTACCAAGGCTTGACATCCTGCGAATCTTTCAGAGATGAGAGAGTGCCTTCGGGAGCGCAGAGACAGGTGGTGCATGGCTGTCGTCAGCTCGTGTCGTGAGATGTTGGGTTAAGTCCCGCAACGAGCGCAACCCTCGTCCTTAGTTGCCAGCATTGAGTTGGGCACTCTGGGGAGACTGCCGTGGACAACACGGAGGAAGGTGGGGACGACGTCAAGTCATCATGCCCCTTACGTCTTGGGCTACACACGTCCTACAATGCTACAGACAGAGGGCAGCGAGCGCGCGAGTGCAAGCAAATCCCATAAACTGTGGCTCAGTTCAGATTGCAGGCTGCAACTCGCCTGCATGAAGGCGGAATCGCTAGTAATCGCCGGTCAGCATACGGCGGTGAATACGTTCCCGGGCCTTGTACACACCGCCCGTCACACCATGGGAGTTGGCCACGCCCGAAGTCGTTACTCTAACCGTTCGCGGAGGAGG</t>
  </si>
  <si>
    <t>&gt;BEA_1253_1354
ACGGAATCTTCGGATTTAGTGGCGGACGGGTGAGTAACGCGTGAGAATCTGCCTTCAGGTTGGGGACAACAGTTGGAAACGACTGCTAATACCCAATGTGCCGAGAGGTGAAAGCTTTAGTGCCTGAGGATGAGCTCGCGTCTGATTAGCTAGTTGGAGTGGTAACGGCACACCAAGGCGACGATCAGTAGCTGGTCTGAGAGGATGATCAGCCACACTGGGACTGAGACACGGCCCAGACTCCTACGGGAGGCAGCAGTGGGGAATTTTCCGCAATGGGCGCAAGCCTGACGGAGCAAGACCGCGTGAGGGAGGAAGGCTCTTGGGTTGTAAACCTCTTTTATCAGGGAAGAAGATCTGACGGTACCTGATGAATCAGCATCGGCTAACTCCGTGCCAGCAGCCGCGGTAATACGGAGGATGCAAGCGTTATCCGGATTTATTGGGCGTAAAGCGTCCGCAGGTGGTTTTTCAAGTCTGCTGTTAAAGCGCAGAGCTTAACTCTGTAACGGCGGTGGAAACTGAGAGACTAGAGTATGGTAGGGGTAGCGGGAATTCCCAGTGTAGCGGTGAAATGCGTAGATATTGGGAAGAACACCAGCGGCGAAAGCGCGCTACTGGGCCATAACTGACACTCATGGACGAAAGCTAGGGGAGCGAAAGGGATTAGATACCCCTGTAGTCCTAGCTGTAAACGATGGATACTAGGTGTTGCCCGTATCGACCCGGGCAGTGCCGTAGCTAACGCGTTAAGTATCCCGCCTGGGGAGTATGCACGCAAGTGTGAAACTCAAAGGAATTGACGGGGGCCCGCACAAGCGGTGGAGTATGTGGTTTAATTCGATGCAACGCGAAGAACCTTACCAGGGCTTGACATGTCGCGAATCCCGGTGAAAGTCGGGAGTGCCTTCGGGAGCGCGAACACAGGTGGTGCATGGCTGTCGTCAGCTCGTGTCGTGAGATGTTGGGTTAAGTCCCGCAACGAGCGCAACCCTCGTTTTTAGTTGCCAGCATTTAGTTGGGCACTCTAGAGAGACTGCCGGTGACAAACCGGAGGAAGGTGGGGATGACGTCAAGTCAGCATGCCCCTTACGTCCTGGGCTACACACGTACTACAATGCTTCGGACAAAGGGTTGCAAGCCAGCGATGGCAAGCTAATCCCATAAACCGAGGCTCAGTTCAGATTGCAGGCTGCAACTCGCCTGCATGAAGGAGGAATCGCTAGTAATCGCAGGTCAGCATACTGCGGTGAATACGTTCCCGGGCCTTGTACACACCGCCCGTCACACCATGGGAGTTGGCCACGCCCGAAGTCGTTACTCCAACCGCTTGCGGAGGAGGATGCCGAAGGCA</t>
  </si>
  <si>
    <t>&gt;BEA_1279_1019
CTCTTGGGTTGTAAACCTCTTTTCTCAAGGAATAAGATATGAAGGTACTTGAGGAATAAGCATCGGCTAACTCCGTGCCAGCAGCCGCGGTAATACGGAGGATGCAAGCGTTATCCGGAATGATTGGGCGTAAAGAGTCCGTAGGTGGTTGTGAAAGTCTGCTGTTAAAGAGCAAGGCTCAACCTTGTAAAGGCAGTGGAAACTACACAGCTAGAGTGCGTTCGGGGCAGAAGGAATTCCTGGTGTAGCGGTGAAATGCGTAGAGATCAGGAAGAACACCGGTGGCGAAAGCGTTCTGCTAGGCCGCAACTGACACTGAGGGACGAAAGCTAGGGGAGCGAATGGGATTAGATACCCCAGTAGTCCTAGCCGTAAACGATGGATACTAGGCGTGGCTTGTATCGACCCGAGCCGTGCCGGAGCCAACGCGTTAAGTATCCCGCCTGGGGAGTACGCACGCAAGTGTGAAACTCAAAGGAATTGACGGGGGCCCGCACAAGCGGTGGAGTATGTGGTTTAATTCGATGCAACGCGAAGAACCTTACCAAGACTTGACATGTCGCGAATCTTCTTGAAAGGGGAGAGTGCCTTCGGGAGCGCGAACACAGGTGGTGCATGGCTGTCGTCAGCTCGTGTCGTGAGATGTTGGGTTAAGTCCCGCAACGAGCGCAACCCTCGTTTTTAGTTGCCAGCATTAAGTTGGGCACTCTAGAGAGACTGCCGGTGACAAACCGGAGGAAGGTGGGGATGACGTCAAGTCAGCATGCCCCTTACGTCTTGGGCTACACACGTACTACAATGCTACGGACAAAGGGCAGCAAGCTAGCGATAGCAAGCAAATCTCACAAACCGTAGCTCAGTTCAGATCGCAGGCTGCAACTCGCCTGCGTGAAGGAGGAATCGCTAGTAATTGCAGGTCAGCATACTGCAGTGAATTCGTTCCCGGGCCTTGTACACACCGCCCGTCACACCATGGAAGCTGGCAACGCCCGAAGTCATTACTCCAACCATTCGTGGAG</t>
  </si>
  <si>
    <t>&gt;BEA_1280_1377
AACGCTGGCGGCGTGCTTAACACATGCAAGTCGAACGGACCCTTCGGGGTTAGTGGCGGACGGGTGAGTAACGCGTGAGGATCTGCCCTTAGGAGGGGAACAACAGTTGGAAACGACTGCTAATGCCCCATATGCCGAGAGGTGAAATGTTATATCGCCTGAGGATGAACTCGCGTCTGATTAGCTAGTTGGTGGGGTAAAGGCCCACCAAGGCGACGATCAGTAGCTGGTCTAAGAGGATGATCAGCCACACTGGGACTGAGACACGGCCCAGACTCCTACGGGAGGCAGCAGTGGGGAATTTTCCGCAATGGGCGAAAGCCTGACGGAGCAACGCCGCGTGAGGGAGGAAGGCCTTAGGGTTGTAAACCTCTTTTCTCTGGGAAGAAGAACTGACGGTACCAGAGGAATAAGCCTCGGCTAACTCCGTGCCAGCAGCCGCGGTAAGACGGAGGAGGCAAGCGTTATCCGGAATTATTGGGCGTAAAGCGTCCGCAGGCGGTTTTTTAAGTCTGTTGTTAAAGCCCACAGCTCAACTGTGGATCGGCAATGGAAACTGGGAGACTAGAGTGTGGTAGGGGTAGAGGGAATTCCCGGTGTAGCGGTGAAATGCGTAGATATCGGGAAGAACACCAGTGGCGAAGGCGCTCTACTGGGCCACAACTGACGCTGAGGGACGAAAGCTAGGGGAGCGAAAGGGATTAGATACCCCTGTAGTCCTAGCTGTAAACGATGGATACTAGGTGTTGGACGTATCGACCCGTGCAGTACCGTAGCTAACGCGTTAAGTATCCCGCCTGGGGAGTACGCACGCAAGTGTGAAACTCAAAGGAATTGACGGGGGCCCGCACAAGCGGTGGAGGATGTGGTTTAATTCGATGCAACGCGAAGAACCTTACCAAGGCTTGACATGTCGCGAATCTTTCAGAGATGAGAGAGTGCCTTCGGGAGCGCGAACACAGGTGGTGCATGGCTGTCGTCAGCTCGTGTCGTGAGATGTTGGGTTAAGTCCCGCAACGAGCGCAACCCTCGTTTTTAGTTGCCATCATTAAGTTGGGCACTCTAAAGAGACTGCCGGGGACAACTCGGAGGAAGGTGGGGACGACGTCAAGTCATCATGCCCCTTACGTCTTGGGCTACACACGTCCTACAATGCTACAGACAGAGGGCAGCGAGCGCGCGAGTGCAAGCAAATCCCATAAACTGTGGCTCAGTTCAGATTGCAGGCTGCAACTCGCCTGCATGAAGGCGGAATCGCTAGTAATCGCAGGTCAGCATACTGCGGTGAATACGTTCCCGGGCCTTGTACACACCGCCCGTCACACCATGGGAGTTGGCCACGCCCGAAGTCGTTACTCTAACCGTTCGCGGAGGAGG</t>
  </si>
  <si>
    <t>&gt;BEA_1473_994
CTTGGGTCGTAAACCTCTTTTCTCAGGGAAGAAAAAAATGACGGTACCTGAGGAATAAGCATCGGCTAACTCCGTGCCAGCAGCCGCGGTAATACGGAGGATGCAAGCGTTATCCGGAATGATTGGGCGTAAAGCGTCCGCAGGTGGCTATGTAAGTCTGCTGTTAAAGAGTCTAGCTCAACTAGATAAGAGCAGTGGAAACTACAAGGCTAGAGTACGTTCGGGGCAGAGGGAATTCCTGGTGTAGCGGTGAAATGCGTAGAGATCAGGAAGAACACCAGTGGCGAAGGCGCTCTGCTAGGCCGTAACTGACACTGAGGGACGAAAGCTAGGGGAGCGAATGGGATTAGATACCCCAGTAGTCCTAGCCGTAAACGATGGATACTAGGCGTGGCTTGTATCGACCCGAGCCGTGCCGTAGCTAACGCGTTAAGTATCCCGCCTGGGGAGTACGCCGGCAACGGTGAAACTCAAAGGAATTGACGGGGGCCCGCACAAGCGGTGGAGTATGTGGTTTAATTCGATGCAACGCGAAGAACCTTACCAAGGCTTGACATGTCGCGAATCTTGATGAAAGTTGAGAGTGCCTTCGGGAGCGCGAACACAGGTGGTGCATGGCTGTCGTCAGCTCGTGTCGTGAGATGTTGGGTTAAGTCCCGCAACGAGCGCAACCCTCGTTTTTAGTTGCCAGCATTAAGTTGGGCACTCTAGAGAGACTGCCGGTGACAAACCGGAGGAAGGTGGGGATGACGTCAAGTCAGCATGCCCCTTACGCCTTGGGCTACACACGTACTACAATGCTCCGGACAGAGGGCAGCAAGCATGCGAATGCAAGCAAATCCCGTAAACCGGAGCTCAGTTCAGATCGCAGGCTGCAACTCGCCTGCGTGAAGGAGGAATCGCTAGTAATTGCAGGTCAGCATACTGCAGTGAATTCGTTCCCGGGCCTTGTACACACCGCCCGTCACACCATGGAAGCTGGTAGTGCCCGAAG</t>
  </si>
  <si>
    <t>&gt;BEA_1547_986
CTTGGGTTGTAAACCTCTTTTCTCAAGGAAGAAGTTCTGACGGTACTTGAGGAATCAGCATCGGCTAACTCCGTGCCAGCAGCCGCGGTAATACGGAGGATGCAAGCGTTATCCGGAATGATTGGGCGTAAAGCGTCCGCAGGTGGTTGTGTGTGTCTATTGTCAAAGCATCATGCTTAACATGATATGGGCAGTGGAAACTACACAACTAGAGTGCGTTCGGGGCAGAGGGAATTCCTGGTGTAGCGGTGAAATGCGTAGAGATCAGGAAGAACACCGGTGGCGAAAGCGCTCTGCTAGGCCGCAACTGACACTGAGGGACGAAAGCTAGGGGAGCGAATGGGATTAGATACCCCAGTAGTCCTAGCCGTAAACGATGGATACTAGGCGTTGAGAGTATCGACCCTCTCAGTGCCGTAGCTAACGCGTTAAGTATCCCGCCTGGGGAGTACGCACGCAAGTGTGAAACTCAAAGGAATTGACGGGGGCCCGCACAAGCGGTGGAGTATGTGGTTTAATTCGATGCAACGCGAAGAACCTTACCAGGGCTTGACATGTCTGGAATCTGCTCGAAAGGGTGGAGTGCCTTCGGGAGCCAGAACACAGGTGGTGCATGGCTGTCGTCAGCTCGTGTCGTGAGATGTTGGGTTAAGTCCCGCAACGAGCGCAACCCTCGTTCTTAGTTGCCAGCATTTCGGATGGGCACTCTAGGGAGACTGCCGGTGACAAACCGGAGGAAGGTGGGGATGACGTCAAGTCAGCATGCCCCTTACGTCCTGGGCTACACACGTACTACAATGCTCGAGACAAAGGGCAGCAAGTATGCGAATACAAGCAAATCTCATAAACTCGGGCTCAGTTCAGATCGCAGGCTGCAACTCGCCTGCGTGAAGTCGGAATCGCTAGTAATTGCAGGTCAGCATACTGCAGTGAATTCGTTCCCGGGCCTTGTACACTCCGCCCGTCACACCATGGAAGCTGGTCAC</t>
  </si>
  <si>
    <t>&gt;BEA_1639_957
GGCTCTTGGGTTGTAAACTCCTTTTCTCAGGGAAGAAAAAAATGACGGTACCTGAGGAATCAGCTTCGGCTAACTCCGTGCCAGCAGCCGCGGTAATACGGAGGATGCAAGCGTTATCCGGAATCGTTGGGCGTAAAGCGTCCGCAGGTGGCACTTCAAGTCTGCTGTCAAAGGTCGGGGCTTAACTCCGAACAGGCAGTGGAAACTGAAGCGCTCGAGTGCGGTAGGGGCAGAGGGAATTCCTGGTGTAGCGGTGAAATGCGTAGAGATCAGGAAGAACACCGGTGGCGAAAGCGCTCTGCTAGGCCGCAACTGACACTCAGGGACGAAAGCTAGGGGAGCGAATGGGATTAGATACCCCAGTAGTCCTAGCTGTAAACGATGGATACTAGGCGTTGCTTGTATCGACCCAAGCAGTGCCGTAGCTAACGCGTTAAGTATCCCGCCTGGGGAGTACGCACGCAAGTGTGAAACTCAAAGGAATTGACGGGGGCCCGCACAAGCGGTGGAGTATGTGGTTTAATTCGATGCAACGCGAAGAACCTTACCAGGGTTTGACATGTCCGGAACCCCACTGAAAGGTGGGGGTGCCTTCGGGAACCGGAACACAGGTGGTGCATGGCTGTCGTCAGCTCGTGTCGTGAGATGTTGGGTTAAGTCCCGCAACGAGCGCAACCCTCGTTTTTAGTTGCCAGCATTAAGTTGGGCACTCTAGAAAGACTGCCGGTGACAAACCGGAGGAAGGTGGGGATGACGTCAAGTCAGCATGCCCCTTACGCTCTGGGCTACACACGTACTACAATGCTATGGACAAAGGGCAGCAAGTTAGCGATGACAAGCAAATCCCATAAACCATGGCTCAGTTCAGATCGCAGGCTGCAACTCGCCTGCGTGAAGGCGGAATCGCTAGTAATCGCCGGTCAGCCATACGGCGGTGAATACGTTCCCGGGCCTTGT</t>
  </si>
  <si>
    <t>&gt;BEA_1895_1006
TCTTGGGTCGTAAACCTCTTTTCTCAGGGAAGAAAAAAATGACGGTACCTGAGGAATAAGCATCGGCTAACTCCGTGCCAGCAGCCGCGGTAATACGGAGGATGCAAGCGTTATCCGGAATGATTGGGCGTAAAGCGTCCGCAGGTGGCTGTGTAAGTCTGCTGTTAAAGAGTCATGCTCAACATGATAAGAGCAGTGGAAACTACACGGCTAGAGTGCGTTCGGGGCAGAGGGAATTCCTGGTGTAGCGGTGAAATGCGTAGAGATCAGGAAGAACACCGGTGGCGAAAGCGCTCTGCTAGGCCGCAACTGACACTGAGGGACGAAAGCTAGGGGAGCGAATGGGATTAGATACCCCAGTAGTCCTAGCCGTAAACGATGGATACTAGGCGTGGCTTGTATCGACCCGAGCCGTGCCGTAGCTAACGCGTTAAGTATCCCGCCTGGGGAGTACGCAGGCAACTGTGAAACTCAAAGGAATTGACGGGGGCCCGCACAAGCGGTGGAGTATGTGGTTTAATTCGATGCAACGCGAAGAACCTTACCAAGACTTGACATGTCGCGAATCTTCTTGAAAGGGAAGAGTGCCTTCGGGAGCGCGAACACAGGTGGTGCATGGCTGTCGTCAGCTCGTGTCGTGAGATGTTGGGTTAAGTCCCGCAACGAGCGCAACCCTCGTTTTTAGTTGCCATCATTAAGTTGGGCACTCTAGAGAGACTGCCGGTGACAAACCGGAGGAAGGTGGGGATGACGTCAAGTCAGCATGCCCCTTACGTCTTGGGCTACACACGTACTACAATGCTCCGGACAAAGGGCAGCAAGCTAGTGATAGCAAGCAAATCCCATAAACCGGAGCTCAGTTCAGATCGAAGGCTGCAACTCGCCTTCGTGAAGTCGGAATCGCTAGTAATTGCAGGTCAGCATACTGCAGTGAATTCGTTCCCGGGCCTTGTACACACCGCCCGTCACACCATGGAAGCTGGCAACGCCCGAAGTCATTACCCCA</t>
  </si>
  <si>
    <t>&gt;BEA_1391_993
CCTCTTTTCTCAGGGAAGAAGAACTGACGGTACCTGAGGAATCAGCATCGGCTAACTCCGTGCCAGCAGCCGCGGTAATACGGAGGATGCAAGCGTTATCCGGAATTATTGGGCGTAAAGCGTCCGTAGGTGGCTAAGCAAGTCTGCTGTTAAAGAGCGGAGCTAAACTCCGCAAAGGCGGTGGAAACTGCATAGCTAGAGTGTGGTAGGGGTAGAGGGAATTCCCAGTGTAGCGGTGAAATGCGTAGATATTGGGAAGAACACCGGTGGCGAAGGCGCTCTACTGGGCCATAACTGACACTGATGGACGAAAGCTAGGGGAGCGAAAGGGATTAGATACCCCTGTAGTCCTAGCCGTAAACGATGAACACTAGGTGTTGCCCGTATCGACCCGGGCAGTGCCGTAGCCAACGCGTTAAGTGTTCCGCCTGGGGAGTACGCTCGCAAGAGTGAAACTCAAAGGAATTGACGGGGGCCCGCACAAGCGGTGGAGTATGTGGTTTAATTCGATGCAACGCGAAGAACCTTACCAAGGCTTGACATGCCGCGAATCCCTTAGAGATGAGGGAGTGCCTACGGGAGCGCGGACACAGGTGGTGCATGGCTGTCGTCAGCTCGTGTCGTGAGATGTTGGGTTAAGTCCCGCAACGAGCGCAACCCTCGTTCTTAGTTGCCATCATTAAGTTGGGCACTCTAGGGAGACTGCCGGTGACAAACCGGAGGAAGGTGAGGATGACGTCAAGTCATCATGCCCCTTACGTCTTGGGCTACACACGTACTACAATGCTTCGGACAAAGGGCAGCCAACCAGCGATGGTGAGCAAATCCCATAAACCGAGGCTCAGTTCAGATTGCAGGCTGCAACTCGCCTGCATGAAGGAGGAATCGCTAGTAATCCCAGGTCAGCATACTGGGGTGAATACGTTCCCGGGCCTTGTACACACCGCCCGTCACACCATGGGAGTTGGCCACGCCCGAAGTCGTTACTCCAAC</t>
  </si>
  <si>
    <t>&gt;BEA_1229_1381
CGCTGGCGGTATGCTTAACACATGCAAGTCGAACGAAATCTTCGGATTTAGTGGCGGACGGGTGAGTAACGCGTGAGAATCTGGCTTCAGGTCTGGGACAACCACTGGAAACGGTGGCTAATACCGGATGTGCCTTGCGGGGTGAAAGGTTAACTGCCTGAAGATGAGCTCGCGTCTGATTAGCTAGTTGGAAGTGTAAAGGACTCCCAAGGCGACGATCAGTAGCTGGTCTGAGAGGACGATCAGCCACACTGGGACTGAGACACGGCCCAGACTCCTACGGGAGGCAGCAGTGGGGAATTTTCCGCAATGGGCGAAAGCCTGACGGAGCAATACCGCGTGAGGGAGGAAGGCTCTTGGGTCGTAAACCTCTTTTCTCAGGGAAGAAGACAATGACGGTACCTGAGGAATAAGCATCGGCTAACTCCGTGCCAGCAGCCGCGGTAATACGGAGGATGCAAGCGTTATCCGGAATGATTGGGCGTAAAGCGTCCGCAGGTGGCTATGTAAGTCTGCTGTTAAAGAGTCTAGCTCAACTAGATAAAAGCAGTGGAAACTACAAGGCTAGAGTACGTTCGGGGCAGAGGGAATTCCTGGTGTAGCGGTGAAATGCGTAGAGATCAGGAAGAACACCAGTGGCGAAGGCGCTCTGCTAGGCCGTAACTGACACTGAGGGACGAAAGCTAGGGGAGCGAATGGGATTAGATACCCCAGTAGTCCTAGCCGTAAACGATGGATACTAGGCGTGGCTTGTATCGACCCGAGCCGTGCCGTAGCTAACGCGTTAAGTATCCCGCCTGGGGAGTACGCCGGCAACGGTGAAACTCAAAGGAATTGACGGGGGCCCGCACAAGCGGTGGAGTATGTGGTTTAATTCGATGCAACGCGAAGAACCTTACCAAGGCTTGACATGTCGCGAATCTTGGCGAAAGTTGAGAGTGCCTTCGGGAGCGCGAACACAGGTGGTGCATGGCTGTCGTCAGCTCGTGTCGTGAGATGTTGGGTTAAGTCCCGCAACGAGCGCAACCCTCGTTTTTAGTTGCCAGCATTAAGTTGGGCACTCTAGAGAGACTGCCGGTGACAAACCGGAGGAAGGTGGGGATGACGTCAAGTCAGCATGCCCCTTACGCCTTGGGCTACACACGTACTACAATGCTCCGGACAGAGGGCAGCAAGCCAGCGATGGCAAGCAAATCCCGGAAACCGGAGCTCAGTTCAGATCGCAGGCTGCAACTCGCCTGCGTGAAGGAGGAATCGCTAGTAATTGCAGGTCAGCATACTGCAGTGAATTCGTTCCCGGGCCTTGTACACACCGCCCGTCACACCATGGAAGCTGGTAGTGCCCGAAGTCATTACTCCAACTGTTCGCAGAGGAGGATGC</t>
  </si>
  <si>
    <t>&gt;BEA_1241_980
CCTCTTTTCTCAAGGAAGAAGTTCTGACGGTACTTGAGGAATCAGCCTCGGCTAACTCCGTGCCAGCAGCCGCGGTAATACGGGGGAGGCAAGCGTTATCCGGAATTATTGGGCGTAAAGCGTCCGCAGGTGGTCAGCCAAGTCTGCCGTCAAATCAGGTTGCTTAACGACCTACCGGCGGTGGAAACTGGCAGACTAGAGAGCAGTAGGGGTAGCAGGAATTCCCAGTGTAGCGGTGAAATGCGTAGAGATTGGGAAGAACATCGGTGGCGAAAGCGTGCTACTGGGCTGTATCTGACACTCAGGGACGAAAGCTAGGGGAGCGAAAGGGATTAGATACCCCTGTAGTCCTAGCCGTAAACGATGGATACTAGGCGTGGCTTGTATCGACCCGAGCCGTGCCGAAGCTAACGCGTTAAGTATCCCGCCTGGGGAGTACGCACGCAAGTGTGAAACTCAAAGGAATTGACGGGGGCCCGCACAAGCGGTGGAGTATGTGGTTTAATTCGATGCAACGCGAAGAACCTTACCAAGACTTGACATGTCGCGAACCCTGCTGAAAGGTGGGGGTGCCTTCGGGAGCGCGAACACAGGTGGTGCATGGCTGTCGTCAGCTCGTGTCGTGAGATGTTGGGTTAAGTCCCGCAACGAGCGCAACCCTCGTTCTTAGTTGCCAGCATTAAGTTGGGGACTCTAAGGAGACTGCCGGTGACAAACCGGAGGAAGGTGGGGATGACGTCAAGTCAGCATGCCCCTTACGTCTTGGGCGACACACGTACTACAATGGTCGGGACAAAGGGCAGCGAACTTGCGAAAGCCAGCGAATCCCATCAAACCCGGCCTCAGTTCAGATTGCAGGCTGCAACTCGCCTGCATGAAGGAGGAATCGCTAGTAATCGCCGGTCAGCATACGGCGGTGAATTCGTTCCCGGGCCTTGTACACACCGCCCGTCACACCATGGAAGCTGGTCACGCCCGAA &gt;BEA1241_Premix
CGGATTCCTAGTGGCGGACGGGTGAGTAACGCGTAAGAATCTAACTTCAGGACGGGGACAACAGTTGGAAACGACTGCTAATACCCGATGTGCCGCAAGGTGAAACTTATCTGGCCTGAAGAAGAGCTTGCGTCTGATTAGCTAGTTGGTGGGGTAAGAGCCTACCAAGGCGACGATCAGTAGCTGGTCTGAGAGGATGAGCAGCCACACTGGGACTGAGACACGGCCCAGACTCCTACGGGAGGCAGCAGTGGGGAATTTTCCGCAATGGGCGAAAGCCTGACGGAGCAACGCCGCGTGAGGGAGGAAGGTCTTTGGATTGTAAACCTCTTTTCTCAAGGAAGAAGTTCTGACGGTACTTGAGGAATCAGCCTCGGCTAACTCCGTGCCAGCAGCCGCGGTAATACGGGGGAGGCAAGCGTTATCCGGAATTATTGGGCGTAAAGCGTCCGCAGGTGGTCAGCCAAGTCTGCCGTCAAATCAGGTTGCTTAACGACCTACCGGCGGTGGAAACTGGCAGACTAGAGAGCAGTAGGGGTAGCAGGAATTCCCAGTGTAGCGGTGAAATGCGTAGAGATTGGGAAGAACATCGGTGGCGAAAGCGTGCTACTGGGCTGTATCTGACACTCAGGGACGAAAGCTAGGGGAGCGAAAGGGATTAAATACCCCTGGTAGTCCTAGCCGTAAACGATGGAAACCAGGCGTGGCTTGTATCGACCCGAGCCGTGCCGAAGCTAACGCGTTAAGTATCCCGCCTGGGGAGTACGCACGCAAGTGTGAAACTCAAAGGAATTGACGGGGGCCCGCACAAGCGGTGGAGTATGTGGTTTAATTCGATGCAACGCGAAGAACCTTACCAAGACTTGACATGTCGCGAACCCTGCTGAAAGGTGGGGGTGCCTTCGGGAGCGCGAACACAGGTGGTGCATGGCTGTCGTCAGCTCGTGTCGTGAGATGTTGGGTTAAGTCCCGCAACGAGCGCAACCCTCGTTCTTAGTTGCCAGCATTAAGTTGGGGACTCTAAGGAGACTGCCGGTGACAAACCGGAGGAAGGTGGGGATGACGTCAAGTCAGCATGCCCCTTACGTCTTGGGCGACACACGTACTACAATGGTCGGGACAAAGGGCAGCGAACTTGCGAAAGCCAGCGAATCCCATCAAACCCGGCCTCAGTTCAGATTGCAGGCTGCAACTCGCCTGCATGAAGGAGGAATCGCTAGTAATCGCCGGTCAGCATACGGCGGTGAATTCGTTCCCGGGCCTTGTACACACCGCCCGTCACACCATGGAAGCTGGTCACGCCCGAAGTCATTACCTCA
&gt;BEA_1292_1365</t>
  </si>
  <si>
    <t>&gt;BEA_1292_1365
CGGCGTGCTTAACACATGCAAGTCGAACGAAGTCTTCGGACTTAGTGGCGGACGGGTGAGTAACGCGTGAGGATCTGCCCTTAGGCGGGGGACAACCATTGGAAACGATGGCTAATACCCCATATGGCGAGAGCTGAAAGATTTATTGCCTGAGGATGAGCTCGCGTCTGATTAGCTAGTTGGTGGGGTAATGGCTTACCAAGGCGACGATCAGTAGCTGTTCTGAGAGGAAGATCAGCCACACTGGGACTGAGACACGGCCCAGACTCCTACGGGAGGCAGCAGTGGGGAATTTTCCGCAATGGGCGCAAGCCTGACGGAGCAACGCCGCGTGAGGGAGGAATGTCTGTGGATTGTAAACCTCTTTTCTCTGGGAAGAAGATCTGACGGTACCAGAGGAATCAGCATCGGCTAACTCCGTGCCAGCAGCCGCGGTAAGACGGAGGATGCAAGCGTTATCCGGAATTATTGGGCGTAAAGCGTCCGTAGGCGGTTACTTAAGTCAGTTGTTAAAGACTGCAGCTCAACTGTGGGAGAGCAACTGAAACTGGGTGACTAGAGTGTGGTAGGGGTAGAGGGAATTCCTAGTGTAGCGGTGAAATGCGTAGATATTAGGAAGAACACCAGTGGCGAAGGCGCTCTGCTGGGCCAATACTGACGCTGATGGACGAAAGCTAGGGGAGCGAAAGGGATTAGATACCCCTGTAGTCCTAGCTGTAAACGATGGATACTAGGTGTTGTGCGTATCGACCCGTGCAGTACCGCAGCAAACGCGTTAAGTATCCCGCCTGGGGAGTACGCACGCAAGTGTGAAACTCAAAGGAATTGACGGGGGCCCGCACAAGCGGTGGAGTATGTGGTTTAATTCGATGCAACGCGAAGAACCTTACCAGGACTTGACATCCCTCGAACTTCTTAGAAATAGGAAGGTGCCTTCGGGAGCGAGGAGACAGGTGGTGCATGGCTGTCGTCAGCTCGTGTCGTGAGATGTTGGGTTAAGTCCCGCAACGAGCGCAACCCACGTTTTCAGTTGCCATCATTAAGTTGGGCACTCTGGAGAGACTGCCGGGGACAACTCGGAGGAAGGTGTGGACGACGTCAAGTCATCATGCCCCTTACGTTCTGGGCTACACACGTACTACAATGCAACGGACAAAGGGCAGCCAACTAGCGATAGTGAGCTAATCCCATAAACCGTTGCTCAGTTCAGATTGCAGGCTGCAACTCGCCTGCATGAAGGAGGAATCGCTAGTAATCGCAGGTCAGCATACTGCGGTGAATACGTTCCCGGGCCTTGTACACACCGCCCGTCACACCATGGAAGTTGGCCATGCCCGAAGTCGTTACCCTAACCGCTTGCGGAGG</t>
  </si>
  <si>
    <t>&gt;BEA_1303_1033
GGGAGGAAGGCTTTTGGGTTGTAAACCTCTTTTGTTAAGGAAGAAGCAAGTGACGGTACTTAACGAATCAGCATCGGCTAACTCCGTGCCAGCAGCCGCGGTAATACGGAGGATGCAAGCGTTATCCGGAATCATTGGGCGTAAAGCGTCCGCAGGTGGTTATTCAAGTCTGCTGTTAAAGACAGAAGCTCAACTTCTGGTCGGCGGTGGAAACTGGGTAACTAGAGTACGGTAGGGGTTGAGGGAATTCCCAGTGTAGCGGTGAAATGCGTAGAGATTGGGAAGAACACCAGTGGCGAAGGCGCTCAACTGGGCCGTAACTGACACTCAGGGACGAAAGCTAGGGTAGCCAAAGGGATTAGATACCCCTGTAGTCCTAGCTGTAAACGATGAACACTAGGCGTTGCTTGTATCGACCCGAGCAGTGCCGTAGCCAACGCGTTAAGTGTTCCGCCTGGGGAGTACGCAGGCAACTGTGAAACTCAAAGGAATTGACGGGGGCCCGCACAAGCGGTGGAGTATGTGGTTTAATTCGATGCAACGCGAAGAACCTTACCAGGACTTGACATGTCGAGAAGGAGGCTTAATCGCCTCTGTGCCTTCGGGAACTCGAACACAGGTGGTGCATGGCTGTCGTCAGCTCGTGTCGTGAGATGTTGGGTTAAGTCCCGCAACGAGCGCAACCCTCGTTCTTAGTTGCCAGCATTAAGTTGGGCACTTTAGGAAGACTGCCGGTGACAAACCGGAGGAAGGTGGGGATGACGTCAAGTCAGCATGCCCCTTACGTTCTGGGCTACACACGTACTACAATGGTGGGGACAAAGGGCAGCCAACTCGCGAGAGTGAGCGAATCTCAGCAAACCCCGCCTCAGTTCAGATTGCAGGCTGCAACTCGCCTGCATGAAGGAGGAATCGCTAGTAATCGCCGGTCAGCATACGGCGGTGAATTCGTTCCCGGGCCTTGTACACACCGCCCGTCACACCATGGAAGTTGGCCACGCCCGAAGTCGTTACCCTAACCAGTTTACTGGAG</t>
  </si>
  <si>
    <t>&gt;BEA_1469_963
GGGTTGTAAACCTCTTTTCTCAGGGAAGAAAGATGACGGTACCTGAGGAATCAGCATCGGCTAACTCCGTGCCAGCAGCCGCGGTAATACGGAGGATGCAAGCGTTATCCGGAATGATTGGGCGTACAGGGTCCGTATGTGGCACTTCAAGTCTACTGTTAAAGCGTGCAGCTCAACTGCATAAAGGCGGTGGAAACTGAACAGCTAGAGAGAGGTAAGGGTAGAGGGAATTCCCAGTGTAGCGGTGAAATGCGTAAAAATTGGGAAAAACACCGGTGGCGAAAGCGCTCTGATGGACCTCATCTGACACTGAGGGACGAAAGCTAGGGGAGCGAATGGGATTAGATACCCCAGTAGTCCTAGCCGTAAACGATGGATACTAGGCGTTGTTTGTATCGACCCAATCAGTGCCGTAGCCAACGCGTTAAGTATCCCGCCTGGGGAGTACGCACGCAAGTGTGAAACTCAAAGGAATTGACGGGGGCCCGCACAAGCGGTGGAGTATGTGGTTTAATTCGATGCAACGCGAAGAACCTTACCAGGGCTTGACATGTCCGGAACCCATGTGAAAGCATGGGGTGCCTTCGGGAGCCGGAACACAGGTGGTGCATGGCTGTCGTCAGCTCGTGTCGTGAGATGTTGGGTTAAGTCCCGCAACGAGCGCAACCCTCGTTGTTAGTTGCCAGCATTAAGTTGGGCACTCTAGGAAGACTGCCGGTGACAAACCGGAGGAAGGTGGGGATGACGTCAAGTCATCATGCCCCTTACGCCCTGGGCTACACACGTACTACAATGCCATGAACAGAGGGCAGCTAACCAGCGATGGCAGGCAAATCCCGGAAATCATGGCTCAGTTCAGATCGTAGTCTGCAACTCGCCTACGTGAAGTCGGAATCGCTAGTAATTGCAGGTCAGCATACTGCAGTGAATTCGTTCCCGGGCCTTGTACACACCGCCCGTCAC</t>
  </si>
  <si>
    <t>&gt;BEA_1483_1309
TAGAGTAATGACTTCGGGCGTGGCCAACTTCCATGGTGTGACGGGCGGTGTGTACAAGGCCCGGGAACGGATTCACCGCAGTATGCTGACCTGCGATTACTAGCGATTCCGCCTTCATGCAGGCGAGTTGCAGCCTGCAATCTGAACTGAGGCAGGGTTTACGGGATTAGCTCGCCCTCGCGGGTTGGCTGCCCTCTGTCCCTACCATTGTAGTACGTGTGTAGCCCAGGACGTAAGGGGCATGCTGACTTGACGTCATCCCCACCTTCCTCCGGTTTGTCACCGGCAGTCTGTTTAGAGTGCCCAACTTAATGATGGCAACTAAACACGAGGGTTGCGCTCGTTGCGGGACTTAACCCAACATCTCACGACACGAGCTGACGACAGCCATGCACCACCTGTGTTCGCGCTCCCTAAGGCACTTCTCTCTTTCAAAAGAATTCGCGACATGTCAAGTCCTGGTAAGGTTCTTCGCGTTGCATCGAATTAAACCACATACTCCACCGCTTGTGCGGGCCCCCGTCAATTCCTTTGAGTTTCACACTTGCGTGCGTACTCCCCAGGCGGGATACTTAACGCGTTAGCTACGGCACTGTCCGGGTCGATACAGACAACACCTAGTATCCATCGTTTACGGCTAGGACTACTGGGGTATCTAATCCCATTCGCTCCCCTAGCTTTCGTCCCTGAGTGTCAGTTATGGTCCAGCAAAGCGCCTTCGCCACCGATGTTCTTCCTGATCTCTACGCATTTCACCGCTACACCAGGAATTCCCTTTGCCCCTACCATACTCTAGCTGTTCAGTTTCCACTGCCTTTCCGAGGTTAAGCCCCGGTCTTTGACAGCAGACTTGAACTGCCACCTGCGGACGCTTTACGCCCAATCATTCCGGATAACGCTTGCATCCTCCGTCTTACCGCGGCTGCTGGCACGGAGTTAGCCGATGCTGATTCCTCTGGTACCGTCAGGCTGCTTTCACAACTTTCTTCCCAGAGAAAAGGGGTTTACAACCCAAGAGCCTTCTTCCCCCACGCGGTCTTGCTCCGTCAGGCTTTCGCCCATTGCGGAAAATTCCCCACTGCTGCCTCCCGTAGGAGTCTGGGCCGTGTCTCAGTCCCAGTGTGGCTGATCGTCCTCTCAGACCAGCTACCGATCGTCGCCTTGGTGAGCTTTTACCTCTCCAACTAGCTAATCGGACGCGAGCTCTTCTTCAGGCTATAAATATTTGCCCTTGCGGTACATCGGGGGTTAGCAGTCGTTTCCAACTGTTGTCTCCGTCCTGAAGGTAGATTCTCACGCGTTACTCACC
&gt;BEA_1483_1024
CTCTTGGGTTGTAAACCCCTTTTCTCTGGGAAGAAAGTTGTGAAAGCAGCCTGACGGTACCAGAGGAATCAGCATCGGCTAACTCCGTGCCAGCAGCCGCGGTAAGACGGAGGATGCAAGCGTTATCCGGAATGATTGGGCGTAAAGCGTCCGCAGGTGGCAGTTCAAGTCTGCTGTCAAAGACCGGGGCTTAACCTCGGAAAGGCAGTGGAAACTGAACAGCTAGAGTATGGTAGGGGCAAAGGGAATTCCTGGTGTAGCGGTGAAATGCGTAGAGATCAGGAAGAACATCGGTGGCGAAGGCGCTTTGCTGGACCATAACTGACACTCAGGGACGAAAGCTAGGGGAGCGAATGGGATTAGATACCCCAGTAGTCCTAGCCGTAAACGATGGATACTAGGTGTTGTCTGTATCGACCCGGACAGTGCCGTAGCTAACGCGTTAAGTATCCCGCCTGGGGAGTACGCACGCAAGTGTGAAACTCAAAGGAATTGACGGGGGCCCGCACAAGCGGTGGAGTATGTGGTTTAATTCGATGCAACGCGAAGAACCTTACCAGGACTTGACATGTCGCGAATTCTTTTGAAAGAGAGAAGTGCCTTAGGGAGCGCGAACACAGGTGGTGCATGGCTGTCGTCAGCTCGTGTCGTGAGATGTTGGGTTAAGTCCCGCAACGAGCGCAACCCTCGTGTTTAGTTGCCATCATTAAGTTGGGCACTCTAAACAGACTGCCGGTGACAAACCGGAGGAAGGTGGGGATGACGTCAAGTCAGCATGCCCCTTACGTCCTGGGCTACACACGTACTACAATGGTAGGGACAGAGGGCAGCCAACCCGCGAGGGCGAGCTAATCCCGTAAACCCTGCCTCAGTTCAGATTGCAGGCTGCAACTCGCCTGCATGAAGGCGGAATCGCTAGTAATCGCAGGTCAGCATACTGCGGTGAATCCGTTCCCGGGCCTTGTACACACCGCCCGTCACACCATGGAAGTTGGCCACGCCCGAAGTCATTACTCTAACCTTA</t>
  </si>
  <si>
    <t>&gt;BEA_1576_962
CTTGAGGAATAAGCATCGGCTAACTCCGTGCCAGCAGCCGCGGTAATACGGAGGATGCAAGCGTTATCCGGAATGATTGGGCGTAAAGAGTCCGTAGGTGGTTGTGAAAGTCTGCTGTTAAAGAGCAAGGCTCAACCTTGTAAAGGCAGTGGAAACTACACAGCTAGAGTGCGTTCGGGGCAGAAGGAATTCCTGGTGTAGCGGTGAAATGCGTAGAGATCAGGAAGAACACCGGTGGCGAAAGCGTTCTGCTAGGCCGCGACTGACACTGAGGGACGAAAGCTAGGGGAGCGAATGGGATTAGATACCCCAGTAGTCCTAGCCGTAAACGATGGATACTAGGCGTGGCTTGTATCGACCCGAGCCGTGCCGGAGCCAACGCGTTAAGTATCCCGCCTGGGGAGTACGCACGCAAGTGTGAAACTCAAAGGAATTGACGGGGGCCCGCACAAGCGGTGGAGTATGTGGTTTAATTCGATGCAACGCGAAGAACCTTACCAAGACTTGACATGTCGCGAATCTTCTTGAAAGGGGAGAGTGCCTTCGGGAGCGCGAACACAGGTGGTGCATGGCTGTCGTCAGCTCGTGTCGTGAGATGTTGGGTTAAGTCCCGCAACGAGCGCAACCCTCGTTTTTAGTTGCCAGCATTAAGTTGGGCACTCTAGAGAGACTGCCGGTGACAAACCGGAGGAAGGTGGGGATGACGTCAAGTCAGCATGCCCCTTACGTCTTGGGCTACACACGTACTACAATGCTACGGACAAAGGGCAGCAAGCTAGCGATAGCAAGCAAATCTCACAAACCGTAGCTCAGTTCAGATCGCAGGCTGCAACTCGCCTGCGTGAAGGAGGAATCGCTAGTAATTGCAGGTCAGCATACTGCAGTGAATTCGTTCCCGGGCCTTGTACACACCGCCCGTCACACCATGGAAGCTGGCAACGCCCGAAGTCATTACTCCAACC</t>
  </si>
  <si>
    <t>&gt;BEA_1845_1033
TGGGAGGAAGGTCTATTGATTGTAAACCACTTTTCCAAGGAAAGAAAAAAATGAGGGAACCTTGGGAATAAGCATCGGCTAACTCTGTGCCAGCAGCCGCGGTAATACAGAGGATGCAAGCGTTATCCGGAATTATTGGGCGTAAAGAGTCCGTAGGGGGCTAATCAAGTCTGTTGTTAAAGACCGCAGCTAAACTGCGGGCAAGCAATGGAAACTGAAGAGCTAGAGAGCAGTAGGGGCAGAGGGAATTCCCAGTGTAGCGGTGAAATGCGTAGAGATTGGGAAGAACATCGGTGGCGAAAGCGCTCTGCTGGGCTGAATCTGACCCTGAGGGACGAAAGCTAGGGGAGCAAAAGGGATTAGATACCCCTGTAGTCCTAGCCGTAAACGATGGAAACTAGGCGTAGCCTGACTCGACCCAGGCTGTGCCGAAGCAAACGCGTTAAGTTTCCCGCCTGGGGAGTACGCACGCAAGTGTGAAACTCAAAGGAATTGACGGGGGCCCGCACAAGCGGTGGAGTATGTGGTTTAATTCGATGCAACGCGAAGAACCTTACCAGGGCTTGACATGTCGTGAATCTCCTTGAAAGGGGAGAGTGCCTTCGGGAGCACGAACACAGGTGGTGCATGGCTGTCGTCAGCTCGTGTCGTGAGATGTTGGGTTAAGTCCCGCAACGAGCGCAACCCTCGTTTTTAGTTGCCAGCGGGTAAAGCCGGGCACTCTAGAGAGACTGCCGGTGACAAACCGGAGGAAGGTGGGGATGACGTCAAGTCAGCATGCCCCTTATGTCCTGGGGCTACACACGTACTACAATGGTTAAGACAAAGGGCAGCTAAATCGCAAGAGCAAGSGAATCCCATCAAACTTAGCCTCAGTTCAGATTGCAGGCTGCAACTCGCCTGCATGAAGGAGGAATCGCTAGTAATCGCAGGTCAGCATACTGCGGTGAATACGTTCCCGGGCCTTGTACACACCGCCCGTCACACCATGGGAGCTGGCTACGCCCGAAGTCGTTACCCCTAACCAATAAAA
&gt;BEA1845_737_loq_quality
TTCGGGACTAGTGGCCCAGGTGCAGTACGCGAGAGGATCTGCCCGTAGTGAGGGGACACAGCTGGAATCGAGCGGCTAATGCACATATGCCTAGAGGTGAAAACATTCTTGCGTGAAGATGAAGTCACGTCTGATTATCGAGTTGTAGAGGTAGGGACTACCGAGGCGATAATTAGTAGGTGGTCTGAGAGGATGATCAACCACACTGGGACTGAGACACAGGCCAAACTCCTACTGGAGGCAGCAGTGGGGAATTTTCCGCAATGGGCGAAAGCCTGACGGAACAACTGCCACGTGAGGGACGACAGTCTGTGGATTGTAAACCTCTTTTCTCTAGGATGATAACTGACGGTACTAGAGGAATCAGCATCGGCAAATTCCGGGCCAGCAGCCGCGGTAATACGGAGGATGCAGGCGTTATCGGGAATTATGGGGCTGAAAGCGTCCGTAGGCGGCCTTACAAGTCTGCTGTTAATGCGTGCAGCTGACCTGCATATCGCCCGGTGGAAACTGTGAGGCTAGAGTGTAGTAAGGGGTAGAGGGAATTCGAGGGTGTACGTTGAAATGGGTAAATTTGGGGAAAAGAAACCGGGGGGGGAAGGCGCTCTTCTGGGCGACAACTGGACGCGTAATGGACAAAAGCTGGGGGGAGCGAAAGGGATTAAATCCCCGGTGATAGTCCTACCCCATAAACAATAGAGCCTAGGGTGTGGACCGAATCTAAATCAGGTTGGTGC</t>
  </si>
  <si>
    <t>&gt;BEA_1896_997_Toxopsis calypsus
TCTTGGGTTGTAAACCTCTTTTCTCAAGGAAGAACAAAATGACGGTACTTGAGGAATAAGCATCGGCTAACTCCGTGCCAGCAGCCGCGGTAATACGGAGGATGCAAGCGTTATCCGGAATGATTGGGCGTAAAGCGTCCGCAGGTGGCTTTGTAAGTCTGCTGTTAAAGAGTGAGGCTCAACCTCATAAAAGCAGTGGAAACTACATAGCTTGAGTACGTTCGGGGCAGAGGGAATTCCTGGTGTAGCGGTGAAATGCGTAGAGATCAGGAAGAACACCGGTGGCGAAAGCGCTCTGCTAGGCCGTAACTGACACTGAGGGACGAAAGCTAGGGGAGCGAATGGGATTAGATACCCCAGTAGTCCTAGCCGTAAACGATGGATACTAGGCGTTGTCTGTATCGACCCGGACAGTGCCGTAGCTAACGCGTTAAGTATCCCGCCTGGGGAGTACGCAGGCAACTGTGAAACTCAAAGGAATTGACGGGGGCCCGCACAAGCGGTGGAGTATGTGGTTTAATTCGATGCAACGCGAAGAACCTTACCAGGACTTGACATGTCGCGAATCTTTGGGAAACTAGAGAGTGCCTTCGGGAGCGCGAACACAGGTGGTGCATGGCTGTCGTCAGCTCGTGTCGTGAGATGTTGGGTTAAGTCCCGCAACGAGCGCAACCCTCGTTTTTAGTTGCCAGCATTAAGTTGGGCACTCTAGAGAGACTGCCGGTGACAAACCGGAGGAAGGTGGGGATGACGTCAAGTCAGCATGCCCCTTACGTTCTGGGCTACACACGTACTACAATGCAACGGACAAAGGGCAGCTACACAGCGATGTGATGCTAATCTCATAAACCGTTGCTCAGTTCAGATCGCAGGCTGCAACTCGCCTGCGTGAAGTCGGAATCGCTAGTAATTGCAGGTCAGCATACTGCAGTGAATTCGTTCCCGGGCCTTGTACACACCGCCCGTCACACCATGGAAGCTGGCAACGCCCGAAGTC</t>
  </si>
  <si>
    <t>&gt;BEA_1900_1010
CTCTGGGCTGTAAACCTCTTTTCTCAAGGAAGAAGACATGACGGTACTTGAGGAATAAGCCACGGCTAATTCCGTGCCAGCAGCCGCGGTAATACGGGAGTGGCAAGCGTTATCCGGAATTATTGGGCGTAAAGCGTCCGCAGGCGGCCTTGTAAGTCTGTCGTTAAAGCGTGGAGCTTAACTCCATTTCAGCGATGGAAACTACAAGGCTTGAGTGTGGTAGGGGCAGAGGGAATTCCCGGTGTAGCGGTGAAATGCGTAGATATCGGGAAGAACACCAGTGGCGAAGGCGCTCTGCTGGGCCATAACTGACGCTCATGGACGAAAGCCAGGGGAGCGAAAGGGATTAGATACCCCTGTAGTCCTGGCCGTAAACGATGAACACTAGGTGTCGGGGGAATCGACCCCCTCGGTGTCGTAGCTAACGCGTTAAGTGTTCCGCCTGGGGAGTACGCACGCAAGTGTGAAACTCAAAGGAATTGACGGGGGCCCGCACAAGCGGTGGAGTATGTGGTTTAATTCGATGCAACGCGAAGAACCTTACCAGGGTTTGACATCCTGCGAATCCCTTGGAAACGAGGGAGTGCCTTCGGGAGCGCAGAGACAGGTGGTGCATGGCTGTCGTCAGCTCGTGTCGTGAGATGTTGGGTTAAGTCCCGCAACGAGCGCAACCCACGTCTTTAGTTGCCAGCATTCAGTTGGGCACTCTAGAGAGACCGCCGGTGATAAACCGGAGGAAGGTGTGGATGACGTCAAGTCATCATGCCCCTTACATCCTGGGCTACACACGTACTACAATGCTACGGACAAAGGGTTGCAAGCTCGCGAGAGTTAGCTAATCCCATAAACCGTGGCTCAGTTCAGATCGTAGGCTGCAACTCGCCTACGTGAAGGAGGAATCGCTAGTAATCGCAGGTCAGCATACTGCGGTGAATACGTTCCCGGGCCTTGTACACACCGCCCGTCACACCATGGAAGTTGGCCCATGCCCGAAGTCGTTACTCCAACCC</t>
  </si>
  <si>
    <t>&gt;BEA_1901_930
GACGGTACCTGAGGAATAAGCATCGGCTAACTCCGTGCCAGCAGCCGCGGTAATACGGAGGATGCAAGCGTTATCCGGAATTATTGGGCGTAAAGAGTTCGTAGGTGGTTTAATAAGTCTGTTGTTAAAGATTGGGGCTTAACCCCAAACAGGCAATGGAAACTGTTAGGCTTGAGTACGGTAGGGGTAGAGGGAATTCCCGGTGTAGCGGTGAAATGCGTAGATATCGGGAAGAACACCAATGGCGAAAGCACTCTGCTGGGCCGTTACTGACACTGAGGAACGAAAGCTAGGGGAGCAAATGGGATTAGATACCCCAGTAGTCCTAGCCGTAAACGATGGATACTAGGTGTTGTACGTATCGACCCGTACAGTACTGTAGCTAACGCGTTAAGTATCCCGCCTGGGGAGTACGCTCGCAAGAGTGAAACTCAAAGGAATTGACGGGGGCCCGCACAAGCGGTGGAGCATGTGGTTTAATTCGATGCAACGCGAAGAACCTTACCAGGATTTGACATGTCGCGAATTTTCTTGAGAAAGAAAAGTGCCTTCGGGAGCGCGAACACAGGTGGTGCATGGCTGTCGTCAGCTCGTGTCGTGAGATGTTGGGTTAAGTCCCGCAACGAGCGCAACCCTTGTTTTTAGTTGCCAGCATTCAGTTGGGTACTCTAAAGAAACTGCCGGTGACAAGCCGGAGGAAGGGAGGGATGACGTCAAGTCAGCATGCCCCTTATATCCTGGGCTACACACGTGCTACAATGGCCGGGACAAAAGGTCGCGAACTTGTGAAAGTAAGCCAATCCTATAAACCCGGTCTCAGTTCGGATTGCAGGCTGCAACTCGCCTGCATGAAGGTGGAATCGCTAGTAATCGCCGGTCAGCTATACGGCGGTGAATCCGTTCCCGGGCCTTGTACACACCGCCCGTCAC</t>
  </si>
  <si>
    <t>&gt;BEA_2028_990
TTTTCTCAGGGAAGAATTACTGACGGTACCTGAGGAATCAGCCTCGGCTAACTCCGTGCCAGCAGCCGCGGTAATACGGAGGAGGCAAGCGTTATCCGGAATTATTGGGCGTAAAGCGTCCGCAGGGGGCGCATCAAGTCTGCTGTTAAAGGTCGGAGCTTAACTCCGGTGTGGCAGTGGAAACGGGTGCGCTAGAGGGCGACAGGGGTAGAGGGAATTCCCAGTGTAGCGGTGAAATGCGTAGAGATTGGGAAGAACACCGGTGGCGAAAGCGCTCTACTGGGTCGCACCTGACCCTCAGGGACGAAAGCTAAGGTAGCGAAAGGGATTAGATACCCCTGTAGTCTTAGCCGTAAACGATGGATACTAGGCGTGGTTTGTATCGACCCAAGCCGTGCCGAAGCTAACGCGTTAAGTATCCCGCCTGGGGAGTACGCACGCAAGTGTGAAACTCAAAGGAATTGACGGGGGCCCGCACAAGCGGTGGAGGATGTGGTTTAATTCGATGCAACGCGAAGAACCTTACCAGGGCTTGACATCCCGCGAATCCCCATGAAAGTGGGGAGTGCCTTCGGGAACGCGGAGACAGGTGGTGCATGGCTGTCGTCAGCTCGTGTCGTGAGATGTTGGGTTAAGTCCCGCAACGAGCGCAACCCTCGTCCTTAGTTGCCAGCATTAAGTTGGGAACTCTAGGGAGACTGCCGGTGACAAACCGGAGGAAGGTGAGGATGACGTCAAGTCAGCATGCCCCTTATGCTCTGGGCGACACACGTCCTACAATGGTCGGGACAAAGGGAAGCGAACTCGCAAGAGCCAGCAAATCCCATCAAACTCGGCCTCAGTTCAGATAGCAGGCTGCAACTCGCCTGCTTGAAGGAGGAATCGCTAGTAATCGCCGGTCAGAATACGGCGGTGAATTCGTTCCCGGGCCTTGTACACACCGCCCGTCACACCATGGAAGCTGGCCAAGCCCGAAGTCGTTACCCTAAC</t>
  </si>
  <si>
    <t>&gt;BEA_2034_981
TTTATCAGGGAAGAAGTTCTGACGGTACCTGATGAATAAGCATCGGCTAACTCCGTGCCAGCAGCCGCGGTAATACGGAGGATGCAAGCGTTATCCGGAATTATTGGGCGTAAAGCGTCCGTAGGTGGTTTTGCAAGTCTGCTGTTAAAGAATGGAGCTTAACTCCATAGGAGCGGTGGAAACTGCAAGACTAGAGTACAGTAGGGGTAGCAGGAATTCCCAGTGTAGCGGTGAAATGCGTAGATATTGGGAAGAACATCGGTGGCGAAAGCGTGCTACTGGGCTGAAACTGACACTGAGGGACGAAAGCTAGGGTAGCGAAAGGGATTAGATACCCCTGTAGTCCTAGCCGTAAACGATGGATACTAGGCGTGGCTTGTATCGACCCGAGCCGTGCCGAAGCTAACGCGTTAAGTATCCCGCCTGGGGAGTACGCACGCAAGTGTGAAACTCAAAGGAATTGACGGGGGCCCGCACAAGCGGTGGAGTATGTGGTTTAATTCGATGCAACGCGAAGAACCTTACCAAGGCTTGACATCCCTGGAATCCTGCGGAAACGTGGGAGTGCCTTAGGGAGCCAGGAGACAGGTGGTGCATGGCTGTCGTCAGCTCGTGTCGTGAGATGTTGGGTTAAGTCCCGCAACGAGCGCAACCCTCGTTTTTAGTTGCCATCATTAAGTTGGGCACTCTAGAGAGACTGCCGGTGACAAACCGGAGGAAGGTGGGGATGACGTCAAGTCATCATGCCCCTTACGCCTTGGGCTACACACGTACTACAATGGTCGGGACAACGGGCAGCGAGCTCGCGAGAGTAAGCGAATCCCATCAAACCCGGCCTCAGTTCAGATTGCAGGCTGCAACTCGCCTGCATGAAGGAGGAATCGCTAGTAATCGCAGGTCAGAATACTGCGGTGAATTCGTTCCCGGGCCTTGTACACACCGCCCGTCACACCATGGGAGCTGGTCACGCCCGAAGTCGTT
&gt;BEA2034_1494R_Premix
GTCTGTAGGGTACAGGAATTCCAGGGACGGTGAATGTGTAGATATTGGAAGAACTCGGGGCGAAAGCTGCTCTGGGCTAATTTGACATGAGGGCGAAACTAGGTAGGAAACGGATTAGATACCCCTGTAGTCCTACCCGTAACGAATGATATTGGCTTGCTTGTTCGAGCGAGCCGTGCCGCAGCTAACGCGTTAAGTATCCCGCCTGGGGAGTACGCACGCAAGTGTGAACTCAAAGGAATTGACGGGGCCCGCACAAGCGGTGGAGTATGTGGTTTATTCGATGCAACGCGAAGACCTTACCACGCTTGACATCCTAGGATCCTGCGGAAACGTGAGATTGCCCTATGGAGCCCGGAGACAGATGTGCACGGCGGTCGTCACCTCGTGTCTTGAGATGTTGGGTTATGTCCCGCAACGAGAGCACCCCTCTTTTCTAGTGCCATCTCTAAGTTGGGCACTCTAGAGAGACAGCCGGTGACAAACCGGAGGAAGGTGGGGATGAGGTCACGTCTTCTTGCCCCCTACGCCTTGGGGTACACACATATTACACTGGTCGGGACACAGGGCAGAGAGCTTGCGAGAGTAAGCGAATCTCTTCAAACCCTGCCTCAGTTCAGATTGCAGGCTGCAACTCGCCTGCATGAAGGAGGAATCGCTAGTAATCGCAGGTCAGAATACTGCGGTGAATTCGTTCCCGGGCCTTGTACACACCGCCCGTCACACCATGGGAGCTGGTCACAGCCGGAAGTCAGTGACGT
&gt;BEA2034
TGGGCAATGCGGCAGCTACCATGCAGTCGACGAGAGCTTCTCTCGGTACACTTAGTGGCGGAGGGTGTGTAGCACGTGAGAATCTACCTTCGTAATGGAGGACCTCAGTTGGAAACGACCGCTAATACCCTATGGGCCTAACGGTGAAAAATTTATCGTCCTGAAGATGGGCTCGCGTCTGATTATCTAGTTGGTGGGGTAAGAGCCTACCATGGCACGATCAGTAGCTGGTCTGAGAGGATGAGCAGCCACACTGGGACTGAGACACGGCCCAGACTCCTACGGGAGGCAGCAGTGGGGAATTTTCCGCATGGGCGAAGCCTGACGGACATGCCGCGTGAGGGAGGAAGGTCCTTGGATGTAAACTCTTTTATCAGGAAGAATTCTGACGGCCCTGATGAATATCATCGCAACTCCGTGCAGCCCGCGTATACAGGGATGCCGTGTTTCCAGATATGGGCGAGAGCGCAGGCGTGGTTGCAGCTGTGTAAGATGACTATTCAATGACGTGATCTGACATAATAGATAGGGAGAGACTCCGTGAGTGTATTGGAATTGAGAACTCGTGCAAGCTGTCTGCTATTGCCTGGGCAAGTGGGACGAAGATAATCCCTTCTCTCGCTAACATGACAGCTGCTGACATCGGCGGCAACTATCTATACCGCGGATCCACATTGATAAGATGGGGCCAACGGATTTGTATCTCCCAAACTACTGTGCTCTGATCGAATGATCTAGACCGAAGGGGGGTCCCCTCGATTGTATCCCCACCCCTTTTCCCTA</t>
  </si>
  <si>
    <t>&gt;BEA_2106_968
ACGGTACTTGAGGAATAAGCCTCGGCTAACTCCGTGCCAGCAGCCGCGGTAATACGGAGGAGGCAAGCGTTATCCGGAATGATTGGGCGTAAAGCGTCCGTAGGTGGCAGTTCAAGTCTGCTGTCAAAGACAGTAGCTCAACTACTGAAAGGCAGTGGAAACTGAACAGCTAGAGTACGGTAGGGGCAGAGGGAATTCCCGGTGTAGCGGTGAAATGCGTAGATATCGGGAAGAACACCGGTGGCGAAAGCGCTCTGCTGGGCCGTAACTGACACTGAGGGACGAAAGCTAGGGGAGCGAATGGGATTAGATACCCCAGTAGTCCTAGCCGTAAACGATGGAAACTAGGTGTAGCCTGTATCGACCCGGGCTGTGCCGAAGCTAACGCGTTAAGTTTCCCGCCTGGGGAGTACGCACGCAAGTGTGAAACTCAAAGGAATTGACGGGGGCCCGCACAAGCGGTGGAGTATGTGGTTTAATTCGATGCAACGCGAAGAACCTTACCAGGGCTTGACATGTCCGGAATCTTGGTGAAAGCCGAGAGTGCCTTCGGGAGCCGGAACACAGGTGGTGCATGGCTGTCGTCAGCTCGTGTCGTGAGATGTTGGGTTAAGTCCCGCAACGAGCGCAACCCTCGTCCTTAGTTGCCATCATTCAGTTGGGCACTTTAGGGAGACTGCCGGTGACAAACCGGAGGAAGGTGGGGATGACGTCAAGTCATCATGCCCCTTACGTCCTGGGCTACACACGTACTACAATGGGGGGGACAAAGGGTAGCCAAGACGCGAGTCTGAGCCAATCCCGTAAACCTCTCCTCAGTTCAGATTGCAGGCTGCAACTCGCCTGCATGAAGGAGGAATCGCTAGTAATCGCAGGTCAGCATACTGCGGTGAATCCGTTCCCGGGCCTTGTACACACCGCCCGTCACACCATGGAAGTTAGCCACGCCCGAAGTCGTTACTCTAACC
&gt;BEA2107_rbcLaR_Premix_nose_yo</t>
  </si>
  <si>
    <t>&gt;BEA_0037_2225
AACGCTGGCGGTATGCTTAACACATGCAAGTCGAACGGTCTCTTCGGAGATAGTGGCGGACGGGTGAGTAACGCGTGAGAATCTAGCTTCAGGTCGGGGACAACCACTGGAAACGGTGGCTAATACCGGATGTGCCGAAAGGTGAAAGATTTATTGCCTGAAGATGAGCTCGCGTCTGATTAGCTAGTTGGTGTGGTAAGAGCGCACCAAGGCGACGATCAGTAGCTGGTCTGAGAGGATGATCAGCCACACTGGGACTGAGACACGGCCCAGACTCCTACGGGAGGCAGCAGTGGGGAATTTTCCGCAATGGGCGAAAGCCTGACGGAGCAATACCGCGTGAGGGAGGAAGGCTCTTGGGTTGTAAACCTCTTTTCTCAGGGAATAAAAAAATGAAGGTACCTGAGGAATAAGCATCGGCTAACTCCGTGCCAGCAGCCGCGGTAATACGGAGGATGCAAGCGTTATCCGGAATGATTGGGCGTAAAGCGTCCGCAGGTGGCACTGTAAGTCTGCTGTTAAAGAGCAAGGCTCAACCTTGTAAAGGCAGTGGAAACTACAGAGCTAGAGTACGTTCGGGGCAGAGGGAATTCCTGGTGTAGCGGTGAAATGCGTAGAGATCAGGAAGAACACCGGTGGCGAAAGCGCTCTGCTAGGCCGTAACTGACACTGAGGGACGAAAGCTAGGGGAGCGAATGGGATTAGATACCCCAGTAGTCCTAGCCGTAAACGATGGATACTAGGCGTGGCTTGTATCGACCCGAGCCGTGCCGGAGCCAACGCGTTAAGTATCCCGCCTGGGGAGTACGCACGCAAGTGTGAAACTCAAAGGAATTGACGGGGGCCCGCACAAGCGGTGGAGTATGTGGTTTAATTCGATGCAACGCGAAGAACCTTACCAAGACTTGACATGTCGCGAATCTTCTTGAAAGGGAAGAGTGCCTTAGGGAGCGCGAACACAGGTGGTGCATGGCTGTCGTCAGCTCGTGTCGTGAGATGTTGGGTTAAGTCCCGCAACGAGCGCAACCCTCGTTTTTAGTTGCCAGCATTAAGTTGGGCACTCTAGAGAGACTGCCGGTGACAAACCGGAGGAAGGTGGGGATGACGTCAAGTCAGCATGCCCCTTACGTCTTGGGCTACACACGTACTACAATGCTACGGACAGAGGGCAGCAAGCTAGCGATAGCAAGCAAATCCCGTAAACCGWARCTCAGTTCAGATCGCAGGCTGCAACTCGCCTGCGTGAAGGAGGAATCGCTAGTAATTGCAGGTCAGCATACTGCAGTGAATTCGTTCCCGGGCCTTGTACACACCGCCCGTCACACCATGGAAGCTGGCAACGCCCGAAGTCATTACTCCAACTTTTAGGAGAGGAGGATGCCTAAGGGTTATTTACTTTTGAATTTTGGATTCTGAATTTTGAATTGTATTTGGGGGTTTAGCTCAGTTGGTAGAGCGCCTGCTTTGCAAGCAGGATGTCAGCGGTTCGAGTCCGCTAACCTCCACATGAAAAGGCAAGCCAAGAAAGAGGAAAAATTCAGCAACTAACGGGAGTTAGACTGCTGGGTAGTACCTAGCCAGAACCTTGAAAACTGCATAAAAACGCGATTAGATTAGCAGGCAGACACAGACAAACTGTGAATGCAGGATAAAACCAATGGAATTGTGGTCAAGCTAATAAGGGCTAATGGTGGATACCTAGGCACACAGAGGCGAAGAAGGACGTGGTTACCGACGAAATACTCCGGGGAGTTGGAAGCAAACATTGAGCCGGAGGTGTCCGAATGGGGCAACCCTAAATACTACCTGTTGAATATATAGACAGGAAAGAGCCAACCCAGCGAACTGAAACATCTTAGTAGCTGGAGGAAGAGAAATCAAAAGAGATTCCCTGAGTAGTGGTGAGCGAAAGGGGAAGAGCCTAAACCAGTTGGTTTACTGACTGGGGTAGTGGGACAGCGATATCGAATCACGGAGACTAGACGAAGCAGCTAAATACTGCACCAGAGGAGGTGAAAGTCCTGTAGTCGAAAGTCAAAGGATAGTAGCTGAATCCCGAGTAGCATGGGGCACGAGGAATCCCATGTGAATCAGCGAGGACCATCTCGTAAGGCTAAATACTACTGTGTGACCGATAGTGAACCAGTACCGCGAGGGAAAGGTGAAAAGAACCCCGCAAGGGGAGTGAAATAGAACATGAAACCATTAGTTACAAGCAGTGGGAG</t>
  </si>
  <si>
    <t>&gt;BEA_0088_1378
GCGGTATGCCTAACACATGCAAGTCGAACGGGATTCTTCGGGGTTCAGTGGCGGACGGGTGAGTAACGCGTGAGAATCTGCCTTGAGGATGGGGACAACAGCGGGAAACTGCTGCTAATACCCAATAAGCTGAAAAGTAAAAGATTTATCGCCTGAAGAGGAGCTCGCGTCTGATTAGCTAGTTGGTGGAGTAAAAGTTTACCAAGGCGACGATCAGTAGCTGGTCTGAGAGGATGAGCAGCCACACTGGGACTGAGACACGGCCCAGACTCCTACGGGAGGCAGCAGTGGGGAATTTTCCGCAATGGGCGAAAGCCTGACGGAGCAATACCGCGTGAGGGAGGAAGGCTTTTGGGTTGTAAACCTCAAAACTTAGGGAAGAAGAAAGTGACGGTACCTAATATAAGCATCGGCTAACTCCGTGCCAGCAGCCGCGGTAAGACGGAGGATGCAAGCGTTATCCGGAATTATTGGGCGTAAAGCGTCCGCAGGTGGCTTTTCAAGTCTGCAGTCAAAGACTGGAGCTTAACTCCAGGAAGGCAGTGGAAACTGAGGAGCTAGAGTTCGGTAGGGGTAGAGGGAATTCCCAGTGTAGCGGTGAAATGCGTAGAGATTGGGAAGAACACCAGTGGCGAAGGCGCTCTACTGGGCCGAAACTGACACTCAGGGACGAAAGCTAGGGGAGCGAAAGGGATTAGATACCCCTGTAGTCCTAGCTGTAAACGATGGATACTAGGCGTAGCTTGTATCGACCCGAGCTGTGCCGAAGCAAACGCGTTAAGTATCCCGCCTGGGGAGTACGCACGCAAGTGTGAAACTCAAAGGAATTGACGGGGGCCCGCACAAGCGGTGGAGTATGTGGTTTAATTCGATGCAACGCGAAGAACCTTACCAGGGCTTGACATTCGGCGAATCTCCTTGAAAGAGGGGAGTGCCCATTGGGAGCGCCGTAACAGGTGGTGCATGGCTGTCGTCAGCTCGTGTCGTGAGATGTTGGGTTAAGTCCCGCAACGAGCGCAACCCTCGTCCTTAGTTGCCATCATTAAGTTGGGAACTCTAGGGAGACTGCCGGTGACAAACCGGAGGAAGGTGGGGATGACGTCAAGTCAGCATGCCCCTTACGTTCTGGGCTACACACGTACTACAATGGTTGGGACAAAGGGCAGCGAACTCGAGAGGGTAAGCGAATCCCATCAAACCCAGCCTCAGTTCAGATTGCAGGCTGCAACTCGCCTGCATGAAGGAGGAATCGCTAGTAATCGCAGGTCAGCATACTGCGGTGAATTCGTTCCCGGGCCTTGTACACACCGCCCGTCACACCATGGAAGCTGACCATGCCCGAAGTCGTTACCCTAACCGAAAGGAGGGGGATGCCGAA</t>
  </si>
  <si>
    <t>&gt;BEA_0095_1271
CGGGAAACTGTGGCTAATACCGGATATGCCGAGAGGTGAAAGGCTTGCTGCCTAAAGATGAGCTCGCGTCTGATTAGCTAGTAGGTGTGGTAAAAGCGCACCTAGGCGACGATCAGTAGCTGGTCTGAGAGGATGATCAGCCACACTGGGACTGAGACACGGCCCAGACTCCTACGGGAGGCAGCAGTGGGGAATTTTCCGCAATGGGCGAAAGCCTGACGGAGCAATACCGCGTGAGGGAGGAAGGCTCTTGGGTTGTAAACCTCTTTTCTCAGGGAAGAAGTTCTGACGGTACCTGAGGAATAAGCATCGGCTAACTCCGTGCCAGCAGCCGCGGTAATACGGAGGATGCAAGCGTTATCCGGAATGATTGGGCGTAAAGGGTCCGCAGGTGGCTATGTAAGTCTGCTGTTAAAGAATCTAGCTCAACTAGATAAAAGCAGTGGAAACTACGTGGCTAGAGTGCGTTCGGGGTAGAGGGAATTCCTGGTGTAGCGGTGAAATGCGTAGATATCAGGAAGAACACCAGTGGCGAAGGCGCTCTACTAGGCCGCAACTGACACTGAGGGACGAAAGCTAGGGGAGCGAATGGGATTAGATACCCCAGTAGTCCTAGCCGTAAACGATGGATACTAGGCGTGGCTCGTATCGACCCGAGCCGTGCCGGAGCTAACGCGTTAAGTATCCCGCCTGGGGAGTACGCACGCAAGTGTGAAACTCAAAGGAATTGACGGGGGCCCGCACAAGCGGTGGAGTATGTGGTTTAATTCGATGCAACGCGAAGAACCTTACCAAGACTTGACATGTCGCGAATCCCTCTGAAAGGAGGGAGTGCCTTCGGGAGCGCGAACACAGGTGGTGCATGGCTGTCGTCAGCTCGTGTCGTGAGATGTTGGGTTAAGTCCCGCAACGAGCGCAACCCTCGTTTTTAGTTGCCAGCATTAAGTTGGGCACTCTAGAGAGACTGCCGGTGACAAACCGGAGGAAGGTGGGGATGACGTCAAGTCAGCATGCCCCTTACGTCTTGGGCTACACACGTACTACAATGCTACGGACAAAGGGCAGCTACACAGCAATGTGATGCAAATCTCAGAAACCGTAGCTCAGTTCAGATCGCAGGCTGCAACTCGCCTGCGTGAAGTCGGAATCGCTAGTAATTGCAGGTCAGCATACTGCAGTGAATTCGTTCCCGGGCCTTGTACACACCGCCCGTCACACCATGGAAGCTGGTCACGCCCGAAGTCGTTACCCCAACTCTTCGGAGAGGGGGA &gt;BEA_0095_1392
ATGAACGCTGGCGGTATGCTTAACACATGCAAGTCGAACGGTGTCTTCGGACATAGTGGCGGACGGGTGAGTAACGCGTGAGAATCTAGCTTTAGGTCGGGGACAACCACGGGAAACTGTGGCTAATACCGGATATGCCGAGAGGTGAAAGGCTTGCTGCCTAAAGATGAGCTCGSGTCTGATTAGCTAGTAGGTGTGGTAAAAGCGCACCTAGGCGACGATCAGTAGCTGGTCTGAGAGGATGATCAGCCACACTGGGACTGAGACACGGCCCAGACTCCTACGGGAGGCAGCAGTGGGGAATTTTCCGCAATGGGCGAAAGCCTGACGGAGCAATACCGCGTGAGGGAGGAAGGCTCTTGGGTTGTAAACCTCTTTTCTCAGGGAAGAAGTTCTGACGGTACCTGAGGAATAAGCATCGGCTAACTCCGTGCCAGCAGCCGCGGTAATACGGAGGATGCAAGCGTTATCCGGAATGATTGGGCGTAAAGGGTCCGCAGGTGGCTATGTAAGTCTGCTGTTAAAGAATCTAGCTCAACTAGATAAAAGCAGTGGAAACTACGTGGCTAGAGTGCGTTCGGGGTAGAGGGAATTCCTGGTGTAGCGGTGAAATGCGTAGATATCAGGAAGAACACCAGTGGCGAAGGCGCTCTACTAGGCCGCAACTGACACTGAGGGACGAAAGCTAGGGGAGCGAATGGGATTAGATACCCCAGTAGTCCTAGCCGTAAACGATGGATACTAGGCGTGGCTCGTATCGACCCGAGCCGTGCCGGAGCTAACGCGTTAAGTATCCCGCCTGGGGAGTACGCACGCAAGTGTGAAACTCAAAGGAATTGACGGGGGCCCGCACAAGCGGTGGAGTATGTGGTTTAATTCGATGCAACGCGAAGAACCTTACCAAGACTTGACATGTCGCGAATCCCTCTGAAAGGAGGGAGTGCCTTCGGGAGCGCGAACACAGGTGGTGCATGGCTGTCGTCAGCTCGTGTCGTGAGATGTTGGGTTAAGTCCCGCAACGAGCGCAACCCTCGTTTTTAGTTGCCAGCATTAAGTTGGGCACTCTAGAGAGACTGCCGGTGACAAACCGGAGGAAGGTGGGGATGACGTCAAGTCAGCATGCCCCTTACGTCTTGGGCTACACACGTACTACAATGCTACGGACAAAGGGCAGCTACACAGCAATGTGATGCAAATCTCAGAAACCGTAGCTCAGTTCAGATCGCAGGCTGCAACTCGCCTGCGTGAAGTCGGAATCGCTAGTAATTGCAGGTCAGCATACTGCAGTGAATTCGTTCCCGGGCCTTGTACACACCGCCCGTCACACCGTGGAAGCTGGTCACGCCCGAAGTCGTTACCCCAACTCTTCGGAGAGGGGGATGCCGAAGGCAG</t>
  </si>
  <si>
    <t>&gt;BEA_0431_1629
CTTCGGTGATAGTGGCGGACGGGTGAGTAACACGTGAGAACCTACCTTCAGGACGGGGACAACAGTTGGAAACGACTGCTAATACCCGATGTGCCGAGAGGTGAAAGGATTTATTGCCTGAAGATGGGCTCGCGTCTGATTAGCTAGTTGGGGGTGTAAGAGACCACCAAGGCGACGATCAGTAGCTGGTCTGAGAGGATGAGCAGCCACACTGGGACTGAGACACGGCCCAGACTCCTACGGGAGGCAGCAGTGGGGAATTTTCCGCAATGGGCGAAAGCCTGACGGAGCAATACCGCGTGAGGGAGGAAGGTCCTTGGATTGTAAACCTCTTTTATCAGGGAAGAAAAAAATGACGGTACCTGATGAATAAGCATCGGCTAACTCCGTGCCAGCAGCCGCGGTAATACGGAGGATGCGAGCGTTATCCGGAATTATTGGGCGTAAAGCGTCCGTAGGTGGTTTTGCAAGTCTGCCGTTAAAGAATGGAGCTTAACTCCATAGGGGCGGTGGAAACTGTGAGACTAGAGTACAGTAGGGGTAGCAGGAATTCCCAGTGTAGCGGTGAAATGCGTAGATATTGGGAAGAACATCGGTGGCGAAAGCGTGCTACTGGGCTGAAACTGACACTGAGGGACGAAAGCTAGGGTAGCGAAAGGGATTAGATACCCCTGTAGTCCTAGCCGTAAACGATGGATACTAGGCGTGGCTTGTATCGACCCGAGCCGTGCCGAAGCTAACGCGTTAAGTATCCCGCCTGGGGAGTACGCTCGCAAGAGTGAAACTCAAAGGAATTGACGGGGGCCCGCACAAGCGGTGGAGTATGTGGTTTAATTCGATGCAACGCGAAGAACCTTACCAAGGCTTGACATCCCTGGAATCCCGGTGAAAGCTGGGAGTGCCTTAGGGAGCCAGGAGACAGGTGGTGCATGGCTGTCGTCAGCTCGTGTCGTGAGATGTTGGGTTAAGTCCCGCAACGAGCGCAACCCTCGTTTTTAGTTGCCATCATTAAGTTGGGCACTCTAGAGAGACTGCCGGTGACAAACCGGAGGAAGGTGGGGATGACGTCAAGTCATCATGCCCCTTACGCCTTGGGCTACACACGTACTACAATGGTCGGGACAACGGGCAGCAAAACCGCGAGGTCAAGCGAATCCCAACAAACCCGGCCTCAGTTCAGATTGCAGGCTGCAACTCGCCTGCATGAAGGAGGAATCGCTAGTAATCGCAGGTCAGAATACTGCGGTGAATTCGTTCCCGGGCCTTGTACACACCGCCCGTCACACCATGGGAGCTGGTCACGCCCGAAGTCGTTACTCTAACCTTTCGAGGGGGAGGGCGCCGAAGGCAGGGCTAGTGACTGGGGTGAAGTCGTAACAAGGTAGCCGTACCGGAAGGTGTGGCTGGATCACCTCCTTAAAGGGAGACCTGTACCCCTTCAGACCGAAAGCAAAGTGCAAATAGGGAAGAAGATGGTCACCTAAAAGGTCGAGCAAGGAAAAAGAAGAAAGTCTTTCAAACTATTGACTAGGGAAGGGAAAAGGGCTATTAGCTCAGCTGGTTAGAGCGCACCCCTGATAAGGGTGAGGTCTCTGGTTCGAGTCCAGAATGGCCCACCTAACCAACAAA</t>
  </si>
  <si>
    <t>&gt;BEA_0906_23S_1430
AGGGGAGTGAAATAGAACATGAAACCGTTAGCCTACAAGCAATTAGAGCACGATTGAACGTGTAATAGTGTGCCTGTTGAAGAATGAGCCGGCGACTTACAGGTTGTGGCAGGTTAAGAAGTAATACTCGAAGCCAAAGTGAAAGCGAGCCTGACAAGGGCGAATTTTGTCACAATTTGTAGACCCGAACCCGGGTGATCTAACCATGTCCAGGATGAAGCTTGGGTAAAGCTAAGTGGAGGTCCGAACCGACTGGCGTTGAAAAGCCAGCGGATGAGGTGTGGTTAGGGGTGAAATGCCAATCGAACCCGGAGCTAGCTGGATCTCCTCGAAATGCGTTTAGGCGCAGCGGTAAGTAGACTTGTTGGGGGGTAAAGCACTGTTTCGCTGCGGGCTGCGAGAGCGGTACCAAAGTGAGACAAACTCAGAATACCCAACAAAATTTTACCAGTGAGACGGTGGGGGATAAGCTTCATCGTCGAAAGGGAAACAGCCCAGACCACCAGCTAAGGTCCCCAAGTACACACTAAGTGAGAAAGGAGGTGGGAGTGCATAGACAACCAGGAGGTTTGCTTAGAAGCAGCAATCCTTAAAAGAGTGCGTAATAGCTCACTGGTCTAGCGCTCCTGCGCCGAAAATGAACGGGGCTAAGTGTGTCACCGAAGCTGTGGACTTGTGTTTAACACAAGTGGTAGAGGAGCGTTCTGTATTGGGAGAAGCATTAGCGGCAAGCAGATGTGGACGATACAGAAGTGAGAATGTCGGCTTAAGTAGCGAAAATATATGTGAGAATCATATACCCCGAAAGCCTAAGGGTTTCTTCGGAAGGCTCGTCCGCGAAGAGTTAGTCGGGACCTAAGGCGAGGCCGAAAGGCGTAGTCGATGGACACAGGGTGAATATTCCCTGACTACTGCATGGGAGCTGAGATAGGGACGCATGAACAATAACCACGCCCTGAATGGATTGGGAGTTCTCTAAGGAGAACGTGTGGTAAAGCTAGTGCCAAGAAAAGCTATTTCAGTGATGAAGATGTAGTACCCGTACCCGAAACCGACACAGGTAGGCAGGTAGAGAATACTAAGGGGCGCGAGATAACTCTCTCTAAGGAACTCGGCAAAATGACCCCGTAACTTCGGGAGAAGGGGTGCCACCGAGAGGTGGTTGCAATAAAGAGGCCCAGGCGACTGTTTACCAAAAACATAGGTCTCTGCTAACTCGTAAGAGGATGTATAGGGGCTGACGCCTGCCCAGTGCCGGAAGGTTAAGGAAGTTGGTCAGGGGCTTGCCCTAAAGCTAACGACTGAAGCCCCGGTGAACGGCGGCCGTAACTATAACGGTCCTAAGGTAGCGAAATTCCTTGTCGGGTAAGTTCCGACCCGCACGAAAGGCGTAACGATCTGGGCGCTGTCTCGGAGAGAGGCTCGGCGAA &gt;BEA_0906_1687
ACGCTGGCGGTATGCCTAACACATGCAAGTCGAACGGGCTCTTCGGAGCTAGTGGCGGACGGGTGAGTAACGCGTGAGAATCTGCCTTGAGGATGGGGACAACAGCGAGAAATCGCTGCTAAAACCCAATATGCCAGCTAAGCTGGTGAAATATTTATAGCCTCAAGAGGAGCTCGCGTCCGATTAGTTAGTTGGTGGGGTAAGAGCCTACCAAGGCAGCGATCGGTAGCTGGTCTGAGAGGATGAGCAGCCACACTGGGACTGAGACACGGCCCAGACTCCTACGGGAGGCAGCAGTGGGGAATTTTCCGCAATGGGCGAAAGCCTGACGGAGCAATACCGCGTGAGGGAGGAAGGTTTTTGGATTGTAAACCTCTTTTTTAAAGGAAGAAGAAAGTGACGGTACTTTAAGAATCAGCATCGGCTAACTCCGTGCCAGCAGCCGCGGTAATACGGAGGATGCAAGCGTTATCCGGAATCATTGGGCGTAAAGCGTCCGCAGGTGGCTGTTCAAGTCTGCTGTTAAAGACAGAAGCTCAACTTCTGAACAGCAGTGGAAACTGGACGGCTAGAGTACGGTAGGGGTTGAGGGAATTCCCAGTGTAGCGGTGAAATGCGTAGATATTGGGAAGAACACCAGTGGCGAAGGCGCTCAACTGGACCGTAACTGACACTCAGGGACGAAAGCTAGGGTAGCGAAAGGGATTAGATACCCCTGTAGTCTTAGCTGTAAACGATGAACACTAGGCGTTGCTTGTATCGACCCGAGCAGTGCCGTAGCCAACGCGTTAAGTGTTCCGCCTGGGGAGTACGCACGCAAGTGTGAAACTCAAAGGAATTGACGGGGGCCCGCACAAGCGGTGGAGTATGTGGTTTAATTCGATGCAACGCGAAGAACCTTACCAGGACTTGACATCTCGAGAACTGAACCTAATAGTTCAGGTGCCTTAGGGAACTCGAAGACAGGTGGTGCATGGCTGTCGTCAGCTCGTGTCGTGAGATGTTGGGTTAAGTCCCGCAACGAGCGCAACCCTCGTTCTTAGTTGCCAGCATTAAGTTGGGCACTTTAGGAAGACTGCCGGTGACAAACCGGAGGAAGGTGGGGATGACGTCAAGTCAGCATGCCCCTTACGTTCTGGGCTACACACGTACTACAATGGTTGGGACAAAGGGCAGCGAGCTCGCAAGAGTCAGCGAATCTCATCAAACCCAGCCTCAGTTCAGATTGCAGGCTGCAACTCGCCTGCATGAAGGAGGAATCGCTAGTAATCGCAGGTCAGCATACTGCGGTGAATTCGTTCCCGGGCCTTGTACACACCGCCCGTCACACCATGGAAGTTGGCCACGCCCGAAGTCGTTACCCTAACCCTGTATTGGGAGGGGGATGCCGAAGGCAGGGCTGGTGACTAGGGTGAAGTCGTAACAAGGTAGCCGTACCGGAAGGTGTGGCTGGATCACCTCCTTATAGGGAGACCTAACCGTGAAGCGAAGACCGAAGAGTCTCGCCATCACAGGTCAAACCAAGGTCGGTTCAAAAAGCAGCAAAGATCCAAGATAGAGATCGAGCAAATGTGAGTCAAAAAACTGTCAAACTAATTGTTCTGGTTCAGAAAAAATCTACTAGAGATAAGTAGCAAAACAAGGGCTATTAGCTCAGGTGGTTAGAGCGCACCCCTGATAAGGGTGA</t>
  </si>
  <si>
    <t>&gt;BEA_0965_2505
TGAACGCTGGCGGTCTGCTTAACACATGCAAGTCGAACGGTGTCTTCGGACACAGTGGCGGACGGGTGAGTAACGCGTGAGAATCTACCTTCAGGTCGGGGATAACCCCTGGAAACGGGGGCTAATACCGGATAGGTCGAAAGATGAAAGGTTAACTGCCTGAAGAGGAGCTCGCGTCTGATTAGCTAGTAGGTGTGGTAAGAGCGCACCTAGGCGACGATCAGTAGCTGGTCTGAGAGGATGAGCAGCCACACTGGGACTGAGACACGGCCCAGACTCCTACGGGAGGCAGCAGTGGGGAATTTTCCGCAATGGGCGAAAGCCTGACGGAGCAAGACCGCGTGGGGGAGGAAGGCCTTTGGGTTGTAAACCCCTTTTGTTAGGGAAGAAAAAAATGACGGTACCTAACGAATCAGCCTCGGCTAACTCCGTGCCAGCAGCCGCGGTAATACGGAGGAGGCAAGCGTTATCCGGAATTATTGGGCGTAAAGCGTCCGTAGGTGGCCCGGCAAGTCTGCTGTCAAAGACCWCAGCTCAACTGTGGAAAGGCAGTGGAAACTGCAAGGCTAGAGTGCGGTAGGGGTAGAGGGAATTCCCAGTGTAGCGGTGAAATGCGTAGAGATTGGGAAGAACACCGGTGGCGAAAGCGCTCTACTGGGCCGCAACTGACACTGATGGACGAAAGCTAGGGGAGCGAATGGGATTAGATACCCCAGTAGTCCTAGCTGTAAACGATGGAAACTAGGTGTAGCACGTATCGACCCGTGCTGTATCGGAGCTAACGCGTTAAGTTTCCCGCCTGGGGAGTACGCACGCAAGTGTGAAACTCAAAGGAATTGACGGGGGCCCGCACAAGCGGTGGAGTATGTGGTTTAATTCGATGCAACGCGAAGAACCTTACCAGGGCTTGACATGTCCGGAACCTCTGTGAAAGCAGAGGGTGCCTTCGGGAGCCGGAACACAGGTGGTGCATGGCTGTCGTCAGCTCGTGTCGTGAGATGTTGGGTTAAGTCCCGCAACGAGCGCAACCCTCGTCCTTAGTTGCCAGCATTTTGGATGGGCACTCTAGGGAGACTGCCGGTGACAAACCGGAGGAAGGTGGGGATGACGTCAAGTCAGCATGCCCCTTACGTCCTGGGCGACACACGTACTACAATGCTGTGGACAAAGAGCAGCCAACCCGCGAGGGCGAGCTAATCTCATAAACCACGGCTCAGTTCAGATCGCAGGCTGCAACTCGCCTGCGTGAAGGCGGAATCGCTAGTAATCGCCGGTCAGCATACGGCGGTGAATCCGTTCCCGGGCCTTGTACACACCGCCCGTCACACCATGGGAGCTGGCCACGCCCGAAGTCGTTACTCCAACCGTTCGCGGAGGAGGACGCCGAAGGCAGGGCTGGTGACTGGGGTGAAGTCGTAACAAGGTAGCCGTACCGGAAGGTGTGGCTGGATCACCTCCTTTATAGGGAGACCCGACCAGAGTCAAGGTGAAAAAACTAATTAGCCTGACTCTCGGACAATCCCGAGGTCGTTCGGGGTGAAATGGAAATCGTTGTTTCAAACTGAGTTCGGTTCGGAGTAAGGGCTATTAGCTCAGGTGGTTAGAGCGCACCCCTGATAAGGGTGAGGTCCCTGGTTCAAGTCCAGGATGGCCCACCTGAACCCCAAAGCCAAATTCCCCTCCTCAAACCCAACAGTTAAACCTGTGGGCGAGTGGTGCGAGTGCGGATGGCATAACTCAAACGGGGGTATAGCTCAGTTGGTAGAGCGCCTGCTTTGCAAGCAGGATGTCAGCGGTTCGAGTCCGCTTACCTCCACCAAAACGCCCAAGCCAAGATTGAGAAAAATTCAGCACCGGCTGTCAGCAGCAGACTGCTGGAGAAATTCTCCAGTCAAAGAACCTTGAAAACTGCATAGTCATAAGTCAGGCAAGAAGGAGATTAGTTTTACTAATCGACTTCACAGACAAAAAAAGTCAAGCAAAGCCAAAAAGCAAAAGAATCTTCTAGTGGTCAAGCTAGAAAGGGCTTACGGTGGATACCTTGGCACGCAGAGGCGAAGAAGGACGTGGCGACCGACGAAACGCTTCGGGGAGCTGGAAGCAAGCACCGATCCGGAGATGTCCGAATGGGGCAACCCAAAAACTACCGGCTGAATCAATAGGCCGGTCAGAGCCAACCGGGCGAACTGAAACATCTTAGTAGCCCGAGGAACAGAAAGAAAACTCGATTCCCCAAGTAGCGGCGAGCGAAAAGGGAAAAGCCTAAACCATCAACTTTCGAGTCGATGGGGTCGTGGGACAGCACCACCCAGAGAGTAGAGACTAGACAAAGCAGTTGAATGCTGCACCAGAGAAGGTGAAAGTCCTGTAGTCGAAAGTCAAAACCCTGGAGCTGTATCCCGAGTAGCTTGGGGCCCGTGGAATCCCAAGTGAATCAGCGAGGACCACCTCGTAAGGCTAAATACTCCTGCGTGACCGATAGCGAACCAGTACCGCGAGGGAAAG</t>
  </si>
  <si>
    <t>&gt;BEA_1025_1540
ACGCTGGCGGCGTGCCTAACACATGCAAGTCGAACGGTCACGAAAGTGATAGTGGCGGACGGGTGAGTAACGCGTAAGAATCTACCTCAAGGACGGGGACAACAGTTGGAAACGACTGCTAAAACCCGATGTGCCGCAAGGTGAAATATTTATAGCCTAGAGAAGAGCTTGCGTCTGATTAGCTAGTTGGTGGGGTAAGAGCCTACCAAGGCGACGATCAGTAGCTGGTCTGAGAGGATGAGCAGCCACACTGGGACTGAGACACGGCCCAGACTCCTACGGGAGGCAGCAGTGGGGAATTTTCCGCAATGGGCGAAAGCCTGACGGAGCAACGCCGCGTGAGGGAGGAAGGCTCTTGGGTTGTAAACCTCTTTTGCTTGGGAAGAAGATCTGACGGTACCAAGCGAATCAGCATCGGCTAACTCCGTGCCAGCAGCCGCGGTAATACGGAGGATGCAAGCGTTATCCGGAATTATTGGGCGTAAAGCGTCCGCAGGTGGTTATTCAAGTCTGCTGTTAAAGACTGAAGCTTAACTTCGGAAAGGCAGTGGAAACTGAATGACTAGAGGTCAGTAGGGGTAGCAGGAATTCCCAGTGTAGCGGTGAAATGCGTAGAGATTGGGAAGAACATCGGTGGCGAAAGCGTGCTACTGGGCTGAATCTGACACTGAGGGACGAAAGCTAGGGGAGCAAAAGGGATTAGATACCCCTGTAGTCCTAGCCGTAAACGATGGAAACTAGGCGTGGCTTGTATCGACCCGAGCCGTGCCGAAGCTAACGCGTTAAGTTTCCCGCCTGGGGAGTACGCACGCAAGTGTGAAACTCAAAGGAATTGACGGGGGCCCGCACAAGCGGTGGAGTATGTGGTTTAATTCGATGCAACGCGAAGAACCTTACCAGGGCTTGACATGTCGCGAATCCCGATGAAAGTTGGGAGTGCCGTAAGGAGCGCGAACACAGGTGGTGCATGGCTGTCGTCAGCTCGTGTCGTGAGATGTTGGGTTAAGTCCCGCAACGAGCGCAACCCTCGTCCTTAGTTGCCAGCAGGTAAAGCTGGGCACTCTGAGGAGACTGCCGGTGACAAACCGGAGGAAGGTGGGGATGACGTCAAGTCAGCATGCCCCTTACGCCCTGGGCTACACACGTACTACAATGGTTGAGACAATGGGCAGCGAGCAAGCGATTGTCAGCGAATCCCATCAAACTCAGCCTCAGTTCAGATTGCAGGCTGCAACTCGCCTGCATGAAGGAGGAATCGCTAGTAATCGCCGGTCAGCATACGGCGGTGAATCCGTTCCCGGGCCTTGTACACACCGCCCGTCACACCATGGAAGCTGGCCACGCCCGAAGTCGTTACCCTAACCCGCAAGGGAGGGGGATGCCGAAGGCAGGGCTAGTGACTGGGGTGAAGTCGTAACAAGGTAGCCGTACCGGAAGGTGTGGCTGGATCACCTCCTTTAAGGGAGACCTCATGAGAGTCGAACAGCAAAAACTTAATTCTAGCTGTCGAGTACTCAGTATCCCAAGGTCGTAACAAGGG</t>
  </si>
  <si>
    <t>&gt;BEA_1041_2425
AGATGAACGCTGGCGGTATGCTTAACACATGCAAGTCGAACGGACGTTTTCGGACGTTAGTGGCGGACGGGTGAGTAACACGTGAGAATCTGCCTTCAGGTTGGGGACAACAGTTGGAAACGGCTGCTAATACCCAATGTGCCGAGAGGTGAAAGGCTAGCTGCCTGAAGAAGAGCTCGCGACTGATTAGCTAGTTGGTAAGGTAAAGGCTTACCAAGGCGACGATCAGTAGCTGGTCTGAGAGGATGATCAGCCACACTGGGACTGAGACCCGGCCCAGACTCCTACGGGAGGCAGCAGTGGGGAATTTTCCGCAATGGGCGAAAGCCTGACGGAGCAATACCGCGTGAGGGAGGAAGGCTCTTGGGTTGTAAACCTCTTTTGTCAGGGAAGAAGATCTGACGGTACCTGACGAATCAGCATCGGCTAACTCCGTGCCAGCAGCCGCGGTAATACGGAGGATGCAAGCGTTATCCGGATTTATTGGGCGTAAAGCGTCCGCAGGTGGTTTTTCAAGTCTGCTGTTAAAGCGTGGGGCTTAACTCCATACAGGCAGTGGAAACTGGGAGACTAGAGTCTGGTAGGGGTCACGGGAATTCCCAGTGTAGCGGTGAAATGCGTAGATATTGGGAAGAACACCAGCGGCGAAAGCGCGTGACTGGGCCGGAACTGACACTCATGGACGAAAGCTAGGGGAGCGAAAGGGATTAGATACCCCTGTAGTCCTAGCCGTAAACGATGGATACTAGGTGTTGCCCGTATCGACCCGGGCAGTGCCGTAGCTAACGCGTTAAGTATCCCGCCTGGGGAGTACGCACGCAAGTGTGAAACTCAAAGGAATTGACGGGGGCCCGCACAAGCGGTGGAGTATGTGGTTTAATTCGATGCAACGCGAAGAACCTTACCAGGGCTTGACATGTCGCGAACTCTTGTGAAAGCAGGAGGTGCCTTCGGGAGCGCGAACACAGGTGGTGCATGGCTGTCGTCAGCTCGTGTCGTGAGATGTTGGGTTAAGTCCCGCAACGAGCGCAACCCTCGTTTCTAGTTGCCATCATTAAGTTGGGCACTCTGGAGAGACTGCCGGTGACAAACCGGAGGAAGGTGGGGATGACGTCAAGTCAGCATGCCCCTTACGTCCTGGGCTACACACGTACTACAATGCTTCGGACAAAGGGTTGCAAGTACGCGAGTGCAAGCTAATCCCGTAAACCGAGGCTCAGTTCAGATTGCAGGCTGCAACTCGCCTGCATGAAGGAGGAATCGCTAGTAATCGCAGGTCAGCATACTGCGGTGAATACGTTCCCGGGCCTTGTACACACCGCCCGTCACACCATGGGAGTTGGCCACGCCCGAAGTCGTTACTCCAACCGCTTGCGGAGGAGGACGCCGAAGGCAGGGCTGATGACTGGGGTGAAGTCGTAACAAGGTAGCCGTACCGGAAGGTGTGGCTGGATCACCTCCTTTTAGGGAGACCTACCCACTCTTAAGCTGAACGCACAGTGTTATTAAGCAAGAGTTGGTCATCCCAAGGTCGTTCGAGGGATAGGTGTTGGCTTTCAAACTATTCAGGTTCGGTTTTATGGGCTATTAGCTCAGGTGGTTAGAGCGCACCCCTGATAAGGGTGAGGTCCCTGGTTCGAGTCCAGGATGGCCCACCTTGAGAAGCCGTTAGCTGTTAGCTGTTAGCTGTTAGCTGAAATAGAAAAGCTAAAGGCTAAGAGCCAAGAGCTAAAAGCTTTGTTAGGGGGTTTAGCTCAGTTGGTAGAGCGCCTGCTTTGCAAGCAGGATGTCAGCGGTTCGAGTCCGCTAACCTCCACTGGGTAGTCGCCTTTAGCGATTAGCTGTTAGCGATTAGCCAAATGAGAAAGGCTTCAGCACCTTATCTAGGAATTCTAGAGAGTCTGCTGGAGTTAGTCCAGTTAGAACCTTGAAAACTGCATAGTATTTGTCAGGTAGAGGTTAGCTATTGGCGATTAGCTGTTAGCTGTTAGCTAGAAAAAGCGAACAGTAGAGAGCTAATTTTCCGATAATTAACCATCACAGACACCAATGAAAAGAGCCATTAGCAGCTAGTCATTAGTCACGAGCTTCTCTGGAAGCTAACCGCTAAGGGCTAACCGCTAAGGGCTTAAAAGTGGTCAAGCTATCAAGGGCTGATGGTGGATACCTAGGCACACAGAGGCGATGAAGGACGTGGTTACCGACGATATGCACCGGGGAGTTGGAAGCAGGCATTGATCCGGTGATTTCCGAATGGGGCAACCCTATATACTGCCTTCTGAATCCATAGGGAGGCAAGAGCGAACCCAGCGAATTGAAACATCTTAGTAGCTGGAGGAAGAGAAAACAAACGTGATTCCCCTAGTAGCGGCGAGCGAAGCGGGAAGAGCCTAAACCGAAGTGCATGCACTTCGGGGTTGTGGGA</t>
  </si>
  <si>
    <t>&gt;BEA_1049_1355
ACGGGCTCTTTCGGGAGCTAGTGGCGGACGGGTGAGTAACACGTGAGAATCTGCCCTTAGGTTGGGGACAACAGTTGGAAACGACTGCTAATACCCGATGTGCCGAGAGGTGAAAGTTTTATCGCCTAGGGATGAGCTCGCGTCTGATTAGCTAGTTGGTAGTGTAATGGACTACCAAGGCGACGATCAGTAGCTGGTCTGAGAGGATGATCAGCCACACTGGGACTGAGACACGGCCCAGACTCCTACGGGAGGCAGCAGTGGGGAATTTTCCGCAATGGGCGAAAGCCTGACGGAGCAAGACCGCGTGAGGGAGGAAGGCCTACTGGTTGTAAACCTCTTTTGATAGGGAAGAACACAATGACGGTACCTATCGAATCAGCATCGGCTAACTCCGTGCCAGCAGCCGCGGTAATACGGAGGATGCAAGCGTTATCCGGATTTATTGGGCGTAAAGCGTCCGTAGGTGGTTGGCCAAGTCAGTTGTTAAAGCGTGGAGCTTAACTCCATAAAGGCAAATGAAACTGGTCGGCTAGAGTGCGACAGGGGCAAGGGGAATTCCCAGTGTAGCGGTGAAATGCGTAGATATTGGGAAGAACATCGGTGGCGAAAGCGCCTTGCTGGGTCTGCACTGACACTGAGGGACGAAAGCTAGGGGAGCGAAAGGGATTAGATACCCCTGTAGTCCTAGCCGTAAACGATGGATACTAGGCGTTGTCCGTATCGACCCGGGCAGTGCCGTAGCTAACGCGTTAAGTATCCCGCCTGGGGAGTACGCTCGCAAGAGTGAAACTCAAAGGAATTGACGGGGGCCCGCACAAGCGGTGGAGTATGTGGTTTAATTCGATGCAACGCGAAGAACCTTACCAAGGCTTGACATGTCCAGAATCTCGGTGAAAGCTGAGAGTGCCTTCGGGAGCTGGAACACAGGTGGTGCATGGCTGTCGTCAGCTCGTGTCGTGAGATGTTGGGTTAAGTCCCGCAACGAGCGCAACCCTCGTTTTTAGTTGCCATCATTAAGTTGGGCACTCTGAAGAGACTGCCGGTGACAAACCGGAGGAAGGTGGGGATGACGTCAAGTCAGCATGCCCCTTACGTCTTGGGCTACACACGTACTACAATGCTACGGACAAAGGGCAGCAAGCTAGCGATAGCAAGCTAATCCCATAAACCGTGGCTCAGTTCAGATTGCAGGCTGCAACTCGCCTGCATGAAGGAGGAATCGCTAGTAATCGCAGGTCAGCATACTGCGGTGAATACGTTCCCGGGCCTTGTACACACCGCCCGTCACACCATGGGAGTTGGCCACGCCCGAAGTCGTTACTCCAACCGTTCGCGGAGGAGGACGCCGAAGG</t>
  </si>
  <si>
    <t>&gt;BEA_1058_1338
ACTTAGTGGCGGACGGGTGAGTAACGCGTGAGAATCTGCCTACAGGATGGGGACAACAGTTGGAAACGGCTGCTAAGACCCGATGTGCCGAGAGGTGAAATATTTATAGCCTGTAGATGAGCTCGCGTCAGATTAGCTAGATGGTGGGGTAAGGGCCTACCATGGCGACGATCTGTAGCTGGTCTGAGAGGATGATCAGCCACACTGGGACTGAGACACGGCCCAGACTCCTACGGGAGGCAGCAGTGGGGAATTTTCCGCAATGGGCGAAAGCCTGACGGAGCAATACCGCGTGAGGGAGGACGGCTTTTGGGTTGTAAACCTCTTTTGTCAGGGAAGAAGATCTGACGGTACCTGACGAATCAGCATCGGCTAACTCCGTGCCAGCAGCCGCGGTAATACGGAGGATGCAAGCGTTATCCGGAATTATTGGGCGTAAAGCGTCCGCAGGTGGTTTTTCAAGTCTGCTGTCAAAGCGCGGAGCTTAACTTCGTAAGGGCAGTGGAAACTGAGAGACTAGAGTACGGTAGGGGTAGCGGGAATTCCCAGTGTAGCGGTGAAATGCGTAGATATTGGGAAGAACACCAGCGGCGAAAGCGCGCTACTGGGCCTGTACTGACACTGAGGGACGAAAGCTAGGGGAGCGAAAGGGATTAGATACCCCTGTAGTCCTAGCTGTAAACGATGGGAACTAGGTGTTGACCGTATCGACCCGGTCAGTGCCGTAGCTAACGCGTTAAGTTCCCCGCCTGGGGAGTACGCACGCAAGTGTGAAACTCAAAGGAATTGACGGGGGCCCGCACAAGCGGTGGAGTATGTGGTTTAATTCGATGCAACGCGAAGAACCTTACCAGGGCTTGACATGTCGCGAATCTTCTTGAAAGGGGAGAGTGCCTTCGGGAGCGCGAACACAGGTGGTGCATGGCTGTCGTCAGCTCGTGTCGTGAGATGTTGGGTTAAGTCCCGCAACGAGCGCAACCCTCGTCTTTAGTTGCCATCATTCAGTTGGGCACTCTGGAGAGACTGCCGGTGACAAACCGGAGGAAGGTGGGGATGACGTCAAGTCAGCATGCCCCTTACGTTCTGGGCTACACACGTACTACAATGCTTCGGACAGAGGGTAGCCAACCGGCGACGGTGAGCCAATCCCGTAAACCGAGGCACAGTTCAGATTGCAGGCTGCAACTCGCCTGCATGAAGGAGGAATCGCTAGTAATCGCAGGTCAGCATACTGCGGTGAATACGTTCCCGGGCCTTGTACACACCGCCCGTCACACCATGGGAGTTGGCCACGCCCGAAGTCGTTACTCCAACCGTTCGCGGAGGGGACGCCGAAGG</t>
  </si>
  <si>
    <t>&gt;BEA_1069_1389
TCAGGATGAACGCTGGCGGTCTGCTTAACACATGCAAGTCGAACGGAGTGCTTCGGCACTTAGTGGCGGACGGGTGAGTAACGCGTGAGAATCTGCCTTCAGGACGGGGACAACAGCTGGAAACGGCTGCTAAGACCCGATGTGCCGAGAGGTGAAATTAATTTAGCCTGAAGATGAGCTCGCGTCAGATTAGCTAGTTGGTGGGGTAAGGGCCTACCAAGGCGACGATCTGTAGCTGGTCTGAGAGGATGATCAGCCACACTGGGACTGAGACACGGCCCAGACTCCTACGGGAGGCAGCAGTGGGGAATTTTCCGCAATGGGCGAAAGCCTGACGGAGCAAGACCGCGTGGGGGATGAAGGTCTGTGGATTGTAAACTCCTTTTGATAGGGAAGAAAAATGACGGTACCTATCGAATCAGCATCGGCTAACTCCGTGCCAGCAGCCGCGGTAATACGGAGGATGCAAGCGTTATCCGGAATTATTGGGCGTAAAGCGTCCGCAGGTGGTTTATCAAGTCTGCTGTCAAAGCGCGAGGCTCAACTTCGTAAAGGCAGTGGAAACTGATGAACTAGAGTTTGGTAGGGGTAGAGGGAATTCCCAGTGTAGCGGTGAAATGCGTAGATATTGGGAAGAACACCGGTGGCGAAAGCGCTCTACTGGGCCTGAACTGACACTGAGGGACGAAAGCTAGGGGAGCGAAAGGGATTAGATACCCCTGTAGTCCTAGCTGTAAACGATGGATACTAGGTGTTGCCCGTATCGACCCGGGCAGTGCCGTAGCTAACGCGTTAAGTATCCCGCCTGGGGAGTACGCTCGCAAGAGTGAAACTCAAAGGAATTGACGGGGGCCCGCACAAGCGGTGGAGTATGTGGTTTAATTCGATGCAACGCGAAGAACCTTACCAGGGCTTGACATGCCGCGAATCTCTGTGAAAGCAGAGAGTGCCTACGGGAGCGCGGACACAGGTGGTGCATGGCTGTCGTCAGCTCGTGTCGTGAGATGTTGGGTTAAGTCCCGCAACGAGCGCAACCCACGTTTTTAGTTGCCATCATTCAGTTGGGCACTCTAGAGAGACTGCCGGTGACAAACCGGAGGAAGGTGTGGATGACGTCAAGTCAGCATGCCCCTTACGTTCTGGGCTACACACGTACTACAATGCTACGGACAAAGGGTTGCGAGCGCGCGAGTGCAAGCTAATCCCATAAACCGTGGCTCAGTTCAGATTGGAGGCTGCAACTCGCCTCCATGAAGGCGGAATCGCTAGTAATCGCAGGTCAGCATACTGCGGTGAATACGTTCCCGGGCCTTGTACACACCGCCCGTCACACCATGGGAGTTGGCCACGCCCGAAGTCGTTACTCCAACCGTTTCGCGGAGGAGACGC &gt;BEA_1058_1338 
ACTTAGTGGCGGACGGGTGAGTAACGCGTGAGAATCTGCCTACAGGATGGGGACAACAGTTGGAAACGGCTGCTAAGACCCGATGTGCCGAGAGGTGAAATATTTATAGCCTGTAGATGAGCTCGCGTCAGATTAGCTAGATGGTGGGGTAAGGGCCTACCATGGCGACGATCTGTAGCTGGTCTGAGAGGATGATCAGCCACACTGGGACTGAGACACGGCCCAGACTCCTACGGGAGGCAGCAGTGGGGAATTTTCCGCAATGGGCGAAAGCCTGACGGAGCAATACCGCGTGAGGGAGGACGGCTTTTGGGTTGTAAACCTCTTTTGTCAGGGAAGAAGATCTGACGGTACCTGACGAATCAGCATCGGCTAACTCCGTGCCAGCAGCCGCGGTAATACGGAGGATGCAAGCGTTATCCGGAATTATTGGGCGTAAAGCGTCCGCAGGTGGTTTTTCAAGTCTGCTGTCAAAGCGCGGAGCTTAACTTCGTAAGGGCAGTGGAAACTGAGAGACTAGAGTACGGTAGGGGTAGCGGGAATTCCCAGTGTAGCGGTGAAATGCGTAGATATTGGGAAGAACACCAGCGGCGAAAGCGCGCTACTGGGCCTGTACTGACACTGAGGGACGAAAGCTAGGGGAGCGAAAGGGATTAGATACCCCTGTAGTCCTAGCTGTAAACGATGGGAACTAGGTGTTGACCGTATCGACCCGGTCAGTGCCGTAGCTAACGCGTTAAGTTCCCCGCCTGGGGAGTACGCACGCAAGTGTGAAACTCAAAGGAATTGACGGGGGCCCGCACAAGCGGTGGAGTATGTGGTTTAATTCGATGCAACGCGAAGAACCTTACCAGGGCTTGACATGTCGCGAATCTTCTTGAAAGGGGAGAGTGCCTTCGGGAGCGCGAACACAGGTGGTGCATGGCTGTCGTCAGCTCGTGTCGTGAGATGTTGGGTTAAGTCCCGCAACGAGCGCAACCCTCGTCTTTAGTTGCCATCATTCAGTTGGGCACTCTGGAGAGACTGCCGGTGACAAACCGGAGGAAGGTGGGGATGACGTCAAGTCAGCATGCCCCTTACGTTCTGGGCTACACACGTACTACAATGCTTCGGACAGAGGGTAGCCAACCGGCGACGGTGAGCCAATCCCGTAAACCGAGGCACAGTTCAGATTGCAGGCTGCAACTCGCCTGCATGAAGGAGGAATCGCTAGTAATCGCAGGTCAGCATACTGCGGTGAATACGTTCCCGGGCCTTGTACACACCGCCCGTCACACCATGGGAGTTGGCCACGCCCGAAGTCGTTACTCCAACCGTTCGCGGAGGGGACGCCGAAGG</t>
  </si>
  <si>
    <t>&gt;BEA_1077_1384
ACGCTGGCGGCGTGCTTAACACATGCAAGTCGAACGAACCTTTCGGGGTGAGTGGCGGACGGGTGAGTAACGCGTGAGGATCTGCCCTTAGGCGGGGGACAACTTTTGGAAACGGAAGCTAATACCCCATATGGCGAGAGCTGAAAGATTTATTGCCTGAGGATGAACTCGCGTCTGATTAGCTAGTTGGTGGTGTAAGGGACTACCAAGGCGACGATCAGTAGCTGTTCTGAGAGGAAGATCAGCCACACTGGGACTGAGACACGGCCCAGACTCCTACGGGAGGCAGCAGTGGGGAATTTTCCGCAATGGGCGCAAGCCTGACGGAGCAACGCCGCGTGAGGGAGGAATGTCTGTGGATTGTAAACCTCTTTTCTCTGGGAAGAAGATCTGACGGTACCAGAGGAATCAGCATCGGCTAACTCCGTGCCAGCAGCCGCGGTAAGACGGAGGATGCAAGCGTTATCCGGAATTATTGGGCGTAAAGCGTCCGTAGGCGGTTATTTAAGTCAGTTGTTAAAGACTGCAGCTCAACTGTGGGAGAGCAACTGAAACTGAATGACTAGAGTATGGTAGGGGTAGAGGGAATTCCTAGTGTAGCGGTGAAATGCGTAGATATTAGGAAGAACACCAGTGGCGAAGGCGCTCTACTGGGCCAAGACTGACGCTGATGGACGAAAGCTAGGGGAGCGAAAGGGATTAGATACCCCTGTAGTCCTAGCTGTAAACGATGGATACTAGGTGTTGTGCGTATCGACCCGTGCAGTACCGCAGCAAACGCGTTAAGTATCCCGCCTGGGGAGTACGCACGCAAGTGTGAAACTCAAAGGAATTGACGGGGGCCCGCACAAGCGGTGGAGTATGTGGTTTAATTCGATGCAACGCGAAGAACCTTACCAGGACTTGACATCCCCCGAACTTCTGAGAAATCAGTTGGTGCCTTCGGGAACGGGGAGACAGGTGGTGCATGGCTGTCGTCAGCTCGTGTCGTGAGATGTTGGGTTAAGTCCCGCAACGAGCGCAACCCACGTCTTTAGTTGCCATCATTAAGTTGGGCACTCTGGAGAGACTGCCGGGGACAACTCGGAGGAAGGTGTGGACGACGTCAAGTCATCATGCCCCTTACGTTCTGGGCTACACACGTACTACAATGCAACGGACAAAGGGCAGCCAACTAGCGATAGTGAGCTAATCCCATAAACCGTTGCTCAGTTCAGATTGCAGGCTGCAACTCGCCTGCATGAAGGAGGAATCGCTAGTAATCGCAGGTCAGCATACTGCGGTGAATACGTTCCCGGGCCTTGTACACACCGCCCGTCACACCATGGAAGTTGGCCATGCCCGAAGTCGTTACCCTAACCGTTCGCGGAGGGGGGCGCCGAAG</t>
  </si>
  <si>
    <t>&gt;BEA_1150_1388
ACAGATGAACGCTGGCGGTATGCCTAACACATGCAAGTCGAACGAAGTCTTCGGACTTAGTGGCGGACGGGTGAGTAACGCGTGAGAATCTGCCTTCAGGATGGGGACAACAGTTGGAAACGACTGCTAATACCCAATGTGCCGAGAGGTGAAAGTTATATCGCCTGAAGAGGAGCTCGCGTCCGATTAGCTAGTTGGTGGGGTAAGAGCCTACCAAGGCAACGATCGGTAGCTGGTCTGAGAGGATGAGCAGCCACACTGGGACTGAGACACGGCCCAGACTCCTACGGGAGGCAGCAGTGGGGAATTTTCCGCAATGGGCGAAAGCCTGACGGAGCAATACCGCGTGAGGGAGGAAGGCTTTTGGGTTGTAAACCTCTTTTTTCAAGGAAGAAGCAAGTGACGGTACTTGAAGAATCAGCATCGGCTAACTCCGTGCCAGCAGCCGCGGTAATACGGAGGATGCAAGCGTTATCCGGAATCATTGGGCGTAAAGCGTCCGCAGGTGGCGTATCAAGTCTGCTGTCAAAGACTAGAGCTTAACTCTAGGCAGGCAGTGGAAACTGGTAAGCTAGAGTACGGTAGGGGTTGAGGGAATTCCCAGTGTAGCGGTGAAATGCGTAGATATTGGGAAGAACACCAGTGGCGAAGGCGCTCAACTGGGCCGTAACTGACACTGAGGGACGAAAGCTAGGGGAGCGAAAGGGATTAGATACCCCTGTAGTCCTAGCTGTAAACGATGAACACTAGGCGTTGCTTGTATCGACCCGAGCAGTGCCGTAGCCAACGCGTTAAGTGTTCCGCCTGGGGAGTACGCACGCAAGTGTGAAACTCAAAGGAATTGACGGGGGCCCGCACAAGCGGTGGAGTATGTGGTTTAATTCGATGCAACGCGAAGAACCTTACCAGGACTTGACAGTTCGCGAATCTGGAGGAAACTTCAGAGTGCCTTAGGGAGCGCGAAAACAGGTGGTGCATGGCTGTCGTCAGCTCGTGTCGTGAGATGTTGGGTTAAGTCCCGCAACGAGCGCAACCCTCGTTCTTAGTTGCCAGCATTAAGATGGGCACTTTAGGAAGACTGCCGGTGACAAACCGGAGGAAGGTGGGGATGACGTCAAGTCAGCATGCCCCTTACGTTCTGGGCTACACACGTACTACAATGGTTGGGACAAAGGGCAGCGAACTCGCGAGAGTAAGCGAATCTCATCAAACCCAGCCTCAGTTCAGATTGCAGGCTGCAACTCGCCTGCATGAAGGAGGAATCGCTAGTAATCGCAGGTCAGCATACTGCGGTGAATTCGTTCCCGGGCCTTGTACACACCGCCCGTCACACCATGGAAGTTGGCCACGCCCGAAGTCGTTACCCTAACCGTTCGCGGAGGGGATGC</t>
  </si>
  <si>
    <t>&gt;BEA_1201_2012
GCGGCGTGCTTAACACATGCAAGTCGAACGGTCCCTTCGGGGATAGTGGCGGACGGGTGAGTAACGCGTGAGGATCTAGCCTCAGGTCTGGGACAACCGTTGGAAACGGCGGCTAATACCGGATGAGCCGAGAGGTAAAAGGCAAGCTGCCTGAGGATGAGCTCGCGACTGATTAGCTAGTTGGTGGGGTAAGGGCCTACCAAGGCGACGATCAGTAGCTGGTCTGAGAGGATGACCAGCCACACTGGGACTGAGACACGGCCCAGACTCCTACGGGAGGCAGCAGTGGGGAATTTTCCGCAATGGGGGGAACCCTGACGGAGCAACGCCGCGTGCGGGAGGACGGCCTTCGGGTTGTAAACCGCTTTTCTCTGGGAAGAAGATCTGACGGTACCAGAGGAATCAGCCTCGGCTAACTCCGTGCCAGCAGCCGCGGTAAGACGGAGGAGGCAAGCGTTATCCGGAATTATTGGGCGTAAAGCGTCCGCAGGCGGCTCGATAAGTCTGTTGTTAAAGGTCAGGGCTCAACCCTGAGTGAGCGATGGAAACTATGGAGCTAGAGGGTGGTAAGGGTAGAGGGAATTCCCGGTGTAGCGGTGAAATGCGTAGATATCGGGAAGAACACCAGTGGCGAAGGCGCTCTACTGGGCCATGACTGACGCTGAGGGACGAAAGCTAGGGGAGCGAAAGGGATTAGATACCCCTGTAGTCCTAGCTGTAAACGATGGACACTAGGTGTTGGGCGTATCGACCCGTCCAGTATCGAAGCTAACGCGTTAAGTGTCCCGCCTGGGGAGTACGCACGCAAGTGTGAAACTCAAAGGAATTGACGGGGGCCCGCACAAGCGGTGGAGTATGTGGTTTAATTCGATGCAACGCGAAGAACCTTACCAGGGCTTGACATCCCCCGAATCTTCGAGAGATTGAGGAGTGCCTTCGGGAGCGGGGAGACAGGTGGTGCATGGCTGTCGTCAGCTCGTGTCGTGAGATGTTGGGTTAAGTCCCGCAACGAGCGCAACCCACGTTTTTAGTTGCCAGCATTAAGTTGGGCACTCTAGAGAGACTGCCGTGGACAACACGGAGGAAGGTGTGGACGACGTCAAGTCATCATGCCCCTTACGTCCTGGGCTACACACGTACTACAATGCTGCGGACAGAGGGCAGCGAGCGTGCGAGCGTGAGCAAATCCCAGAAACCGCGGCCCAGTTCAGATTGCAGGCTGCAACTCGCCTGCATGAAGGCGGAATCGCTAGTAATCGCCGGTCAGCATACGGCGGTGAATACGTTCCCGGGCCTTGTACACACCGCCCGTCACACCATGGGAGTTGGCCACGCCCGAAGTCGTTACTCTAACCATTCGTGGAGGAGGGCGCNAGCGAGCACCTAGACAACTGCATAGAAGCGAAGAGAAAGACGTGTAGGTAGAGCCACAGATAGTGGAGACGACAGCGTTGAGAGACGTAGGTCAAGATATAACGAGCTCACGGTGGATACCTAGGTACGCAGAGGCGAAGAAGGACGTGGTTACCGACGATATGCTTCGGGGAGCTGGAAGCGAGCGATGATCCGGAGGTTTCCGAATGGGGCAACCCAAAGAACGACCACCTGAATGTATAGGGTGGAGCGAGCGAACGCAGCGAACTGAAACATCTTAGTAGCTGTAGGAAGAGAAAGAAAGATCGATTTCCATAGTAGCGGCGAGCGAAGTGGAAAGAGCCTAAACCACTGGTGAGAGCTGGTGGGGTTGTGGGACAGCGAGAAGGGATCTAGCGACTAGACGAAGCATTTGAAAGATGCACCAGAGGGGGTGAAAGTCCTGTAGTCGAAAGTTTAAGGACCCGCGCTGCATCCCGAGTAGGTCGGGGCACGAGAAATCCCGATTGAATCCTCGAGGACCACCTCGAAAGGCTAAATACTCCTGCGTGACCGATAGAGGACCAGTACCGCGAGGGAATGGTGAAAAGAACCCCGGGAGGGGAGTGAAATAGAACCTGAAACCGTGAGCTTACAAG</t>
  </si>
  <si>
    <t>&gt;BEA_1218_1157
CGGGTGAGTAACGCGTGAGGATCTGCCTTGAGGTGGGGGATAACAACTGGAAACGGTTGCTAATACCGCATATGGCGAGAGCTAAAAGCTTAATGTGCCTTGAGAAGAACTCGCGTCTGATTAGCTAGTTGGTGGAGTAAAGGTTTACCAAGGCGACGATCAGTAGCTGGTCTGAGAGGATGATCAGCCACACTGGGACTGAGACACGGCCCAGACTCCTACGGGAGGCAGCAGTGGGGAATTTTCCGCAATGGGGGCAACCCTGACGGAGCAACGCCGCGTGGGGGAGGAAGGTCTGTGGATTGTAAACTCCTTTTCTCAGGGAAGAAGTTCTGACGGTACCTGAGGAATCAGCATCGGCTAACTCCGTGCCAGCAGCCGCGGTAAGACGGAGGATGCAAGCGTTATCCGGAATTATTGGGCGTAAAGCGTCCGTAGGCGGTTCATCAAGTCTGCCGTTAAAGACTGCAGCTTAACTGTGGGCGAGCGGTGGAAACTGAAGAACTAGAGTACGGTAGGGGTAGAGGGAATTCCCAGTGTAGCGGTGAAATGCGTAGATATTGGGAAGAACACCAGTGGCGAAGGCGCTCTACTGGGCCGTAACTGACGCTGAGGGACGAAAGCTAGGGGAGCGAAAGGGATTAGATACCCCTGTAGTCCTAGCTGTAAACGATGGATACTAGGTGTTGGACGTATCGACCCGTTCAGTACCGCAGCCAACGCGATAAGTATCCCGCCTGGGGAGTACGCACGCAAGTGTGAAACTCAAAGGAATTGACGGGGGCCCGCACAAGCGGTGGAGTATGTGGTTTAATTCGATGCAACGCGAAGAACCTTACCAGGGCTTGACATCCCCCGAATCCCTCTGAAAGGAGGGAGTGCCTTCGGGAGCGGGGAAAAAAGGTGGTGCATGGCTGTCGTCAGCTCGTGTCGTGAGATGTTGGGTTAAGTCCCGCAACGAGCGCAACCCACGTCCTTAGTTGCCATCATTCAGTTGGGCACTCTGGGGAGACTGCCGGGGACAACTCGGAGGAAGGTGTGGATGACGTCAAGTCATCATGCCCCTTACGTTCTGGGCTACACACGTACTACAATGCTTCGGACAAAGGGCAGCGAGCCAGCGATGGTGAGCTAATCCCATAAACCGAGGCACAGTT</t>
  </si>
  <si>
    <t>&gt;BEA_1237_1366
AACGCTGGCGGTATGCTTAACACATGCAAGTCGAACGGTGTCTTCGGACATAGTGGCGGACGGGTGAGTAACGCGTGAGAATCTGGCTTCAGGTCGGGGACAACCACTGGAAACGGTGGCTAATACCGGATATGCCGAGAGGTGAAAGGCTAGCTGCCTGAAGATGAGCTCGCGTCTGATTAGCTAGTTGGGAGTGTAAGAGACTACCAAGGCGACGATCAGTAGCTGGTCTGAGAGGATGATCAGCCACACTGGGACTGAGACACGGCCCAGACTCCTACGGGAGGCAGCAGTGGGGAATTTTCCGCAATGGGCGAAAGCCTGACGGAGCAATACCGCGTGAGGGAGGAAGGCTCTTGGGTTGTAAACCTCTTTTCTCAAGGAAGAAAAAAATGACGGTACTTGAGGAATAAGCATCGGCTAACTCCGTGCCAGCAGCCGCGGTAATACGGAGGATGCAAGCGTTATCCGGAATGATTGGGCGTAAAGCGTCCGCAGGTGGCTGTGAAAGTCTGCTGTTAAAGAATGAGGCTCAACCTCATCAAAGCAGTGGAAACTACACGGCTAGAGTGCGTTCGGGGTAGAGGGAATTCCTGGTGTAGCGGTGAAATGCGTAGATATCAGGAAGAACACCGGTGGCGAAGGCGCTCTACTAGGCCGCAACTGACACTGAGGGACGAAAGCTAGGGGAGCGAATGGGATTAGATACCCCAGTAGTCCTAGCCGTAAACGATGGATACTAGGCGTGGCTTGTATCGACCCGAGCCGTGCCGTAGCTAACGCGTTAAGTATCCCGCCTGGGGAGTACGCACGCAAGTGTGAAACTCAAAGGAATTGACGGGGGCCCGCACAAGCGGTGGAGTATGTGGTTTAATTCGATGCAACGCGAAGAACCTTACCAAGACTTGACATGTCGCGAATCTTCCTGAAAGGGAAGAGTGCCTTCGGGAGCGCGAACACAGGTGGTGCATGGCTGTCGTCAGCTCGTGTCGTGAGATGTTGGGTTAAGTCCCGCAACGAGCGCAACCCTCGTTTTTAGTTGCCAGCATTAAGTTGGGCACTCTAAAGAGACTGCCGGTGACAAACCGGAGGAAGGTGGGGATGACGTCAAGTCAGCATGCCCCTTACGTCTTGGGCTACACACGTACTACAATGCTACGGACAAAGGGCAGCTACACAGCGATGTGATGCAAATCTCAGAAACCGTAGCTCAGTTCAGATCGCAGGCTGCAACTCGCCTGCGTGAAGGAGGAATCGCTAGTAATTGCAGGTCAGCATACTGCAGTGAATTCGTTCCCGGGCCTTGTACACACCGCCCGTCACACCATGGAAGCTGGCAACGCCCGAAGTCATTACTCCAACTCTT</t>
  </si>
  <si>
    <t xml:space="preserve"> &gt;BEA_1253_1354
ACGGAATCTTCGGATTTAGTGGCGGACGGGTGAGTAACGCGTGAGAATCTGCCTTCAGGTTGGGGACAACAGTTGGAAACGACTGCTAATACCCAATGTGCCGAGAGGTGAAAGCTTTAGTGCCTGAGGATGAGCTCGCGTCTGATTAGCTAGTTGGAGTGGTAACGGCACACCAAGGCGACGATCAGTAGCTGGTCTGAGAGGATGATCAGCCACACTGGGACTGAGACACGGCCCAGACTCCTACGGGAGGCAGCAGTGGGGAATTTTCCGCAATGGGCGCAAGCCTGACGGAGCAAGACCGCGTGAGGGAGGAAGGCTCTTGGGTTGTAAACCTCTTTTATCAGGGAAGAAGATCTGACGGTACCTGATGAATCAGCATCGGCTAACTCCGTGCCAGCAGCCGCGGTAATACGGAGGATGCAAGCGTTATCCGGATTTATTGGGCGTAAAGCGTCCGCAGGTGGTTTTTCAAGTCTGCTGTTAAAGCGCAGAGCTTAACTCTGTAACGGCGGTGGAAACTGAGAGACTAGAGTATGGTAGGGGTAGCGGGAATTCCCAGTGTAGCGGTGAAATGCGTAGATATTGGGAAGAACACCAGCGGCGAAAGCGCGCTACTGGGCCATAACTGACACTCATGGACGAAAGCTAGGGGAGCGAAAGGGATTAGATACCCCTGTAGTCCTAGCTGTAAACGATGGATACTAGGTGTTGCCCGTATCGACCCGGGCAGTGCCGTAGCTAACGCGTTAAGTATCCCGCCTGGGGAGTATGCACGCAAGTGTGAAACTCAAAGGAATTGACGGGGGCCCGCACAAGCGGTGGAGTATGTGGTTTAATTCGATGCAACGCGAAGAACCTTACCAGGGCTTGACATGTCGCGAATCCCGGTGAAAGTCGGGAGTGCCTTCGGGAGCGCGAACACAGGTGGTGCATGGCTGTCGTCAGCTCGTGTCGTGAGATGTTGGGTTAAGTCCCGCAACGAGCGCAACCCTCGTTTTTAGTTGCCAGCATTTAGTTGGGCACTCTAGAGAGACTGCCGGTGACAAACCGGAGGAAGGTGGGGATGACGTCAAGTCAGCATGCCCCTTACGTCCTGGGCTACACACGTACTACAATGCTTCGGACAAAGGGTTGCAAGCCAGCGATGGCAAGCTAATCCCATAAACCGAGGCTCAGTTCAGATTGCAGGCTGCAACTCGCCTGCATGAAGGAGGAATCGCTAGTAATCGCAGGTCAGCATACTGCGGTGAATACGTTCCCGGGCCTTGTACACACCGCCCGTCACACCATGGGAGTTGGCCACGCCCGAAGTCGTTACTCCAACCGCTTGCGGAGGAGGATGCCGAAGGCA </t>
  </si>
  <si>
    <t>&gt;BEA_1329_1049
GTGCCTGGGGATGAGCTCGCGTCTGATTAGCTAGTTGGTAGTGTAAAGGACTACCAAGGCGACGATCAGTAGCTGGTCTGAGAGGATGATCAGCCACACTGGGACTGAGACACGGCCCAGACTCCTACGGGAGGCAGCAGTGGGGAATTTTCCGCAATGGGCGAAAGCCTGACGGAGCAAGACCGCGTGAGGGAGGAAGGCCTACTGGTTGTAAACCTCTTTTGATAGGGAAGAACACAATGACGGTACCTATCGAATCAGCCTCGGCTAACTCCGTGCCAGCAGCCGCGGTAATACGGAGGAGGCAAGCGTTATCCGGAATTATTGGGCGTAAAGCGTCCGTAGGTGGTTTATCAAGTCAGTTGTTAAAGCGTGGAGCTTAACTCCATAAGGGCAAATGAAACTGATAGGCTAGAGTGCGATAGGGGCAAGGGGAATTCCCAGTGTAGCGGTGAAATGCGTAGATATTGGGAAGAACATCGGTGGCGAAAGCGCCTTGCTGGGTCTGCACTGACACTGAGGGACGAAAGCTAGGGGAGCGAAAGGGATTAGATACCCCTGTAGTCCTAGCTGTAAACGATGGGTACTAGGCGTTGTCCGTATCGACCCGGGCAGTGCCGTAGCTAACGCGTTAAGTACCCCGCCTGGGGAGTACGCTCGCAAGAGTGAAACTCAAAGGAATTGACGGGGGCCCGCACAAGCGGTGGAGTATGTGGTTTAATTCGATGCAACGCGAAGAACCTTACCAGGGCTTGACATGTCGCGAACCCTCTTGAAAGGGAGGGGTGCCTACGGGAGCGCGAACACAGGTGGTGCATGGCTGTCGTCAGCTCGTGTCGTGAGATGTTGGGTTAAGTCCCGCAACGAGCGCAACCCACGTTTTTAGTTGCCATCATTCAGTTGGGCACTCTAGAAAGACTGCCGGTGACAAACCGGAGGAAGGTGTGGATGACGTCAAGTCAGCATGCCCCTTACGTTCTGGGCTACACAACGTACTACAATGCTACGGACAAAGGGCAGCGAGCTAACGATAGCAAGCTAATCCCATA</t>
  </si>
  <si>
    <t>&gt;BEA_1335_1288
CCATGGTGTGACGGGCGGTGTGTACAAGGCCCGGGAACGTATTCACCGCCGTATGCTGACCGGCGATTACTAGCGATTCCGCCTTCATGCAGGCGAGTTGCAGCCTGCAATCTGAACTGAGCCACGGTTTACGGGATTAGCTCACCCTCGCGAGTTGGCAACCCTCTGTCCGTAGCATTGTAGTACGTGTGTAGCCCAGGATGTAAGGGGCATGCTGACTTGACGTCATCCCCACCTTCCTCCGGTTTGTCACCGGCAGTCTCCTCAGAGTGCCCAACTAAATGCTGGCAACTAAGAACGAGGGTTGCGCTCGTTGCGGGACTTAACCCAACATCTCACGACACGAGCTGACGACAGCCATGCACCACCTGTGCTCCGGCTCCCGAAGGCACTCTCAGCTTTCACCGAGATTCCGGACATGTCAAACCCTGGTAAGGTTCTTCGCGTTGCATCGAATTAAACCACATACTCCACCGCTTGTGCGGGCCCCCGTCAATTCCTTTGAGTTTCACTCTTGCGAGCGTACTCCCCAGGCGGGGTACTTAACGCGTTAGCTACGGCACTGTCCGGGTCGATACGGACAACGCCTAGTACCCATCGTTTACAGCTAGGACTACAGGGGTATCTAATCCCTTTCGCTCCCCTAGCTTTCGTCCCTCAGTGTCAGTGCAGACCCAGCAAGGCGCTTTCGCCACCGGTGTTCTTCCCAATATCTACGCATTTCACCGCTACACTGGGAATTCCCCTTGCCCCTATCGCACTCTAGCTGACCAGTTTCCTCGGCCCTTACGGAGTTAAGCTCCGCGCTTTAACCGAAGACTTGACCAACCACCTACGGACGCTTTACGCCCAATAATTCCGGATAACGCTTGCCTCCTCCGTATTACCGCGGCTGCTGGCACGGAGTTAGCCGAGGCTGATTCGATAGGTACCGTCAGTTCTTCTTCCCTATCAAAAGAGGTTTACAATCCACAGACCTTCTTCCCTCACGCGGTCTTGCTCCGTCAGGCTTGCGCCCATTGCGGAAAATTCCCCACTGCTGCCTCCCGTAGGAGTCTGGGCCGTGTCTCAGTCCCAGTGTGGCTGGTCATCCTCTCAGACCAGCTACGGATCGTCGCCTTGGTAGGCTCTTACCCCACCAACTAGCTAATCCGACGCGAGCTCATCCTCAGGCAATTAATCCTTTCACCTCTCGGCATATGCGGTATTAGCGGTCGTTTCCAACCGTTATCCCACTCCTAAGGGCAGATTCTCACGCGTTACTCACCCGTCCGCCACTAAGTGCCGA</t>
  </si>
  <si>
    <t>&gt;BEA_1383_1261
GGTGAGGAACACGTAAGAACTTACCTTTTGGTGGGGGATAACAGCGGGAAACTGCTGCTAACACCCCATAATGCTGAGGAGCTAAAAGTGAAAACTGCCAAGAGAGAGGCTTGCGTCTGATTAGCTAGTTGGGGAGGTAAAGGCTTCCCAAGGCGACGATCAGTAGCTGGTCTGAGAGGATGATCAGCCACACTGGGACTGAGACACGGCCCAGACTCCTACGGGAGGCAGCAGTGGGGAATTTTCCACAATGGGCGAAAGCCTGATGGAGCAATACCGCGTGGGTGAAGACGGTTCGTGGATTGTAAAGCCCTTTTCTTAAGAAAGAATAAATGACGGTACTTAAGGAATAAGCACCGGCTAACTCTGTGCCAGCAGCCGCGGTAATACAGGGGGTGCAAGCGTTGTCCGGAATGATTGGGCGTAAAGCATCTGTAGGTGGTTCTTAAAGTCAACTGTTAAATCCCAGGGCTCAACCTTGGAAAAGCAGTTGAGTACTTAAGGACTCGAGTATGGTAGAGGCAGAGGGAATTCCTAGTGGAGCGGTGAAATGCACAGAGATTAGGAAGAACACCAGAGGCGAAAGCGCTCTGCTGGGCCATTCACTGACACTGAGAGATGAAAGTTAGGGGAGCGAAAAGGATTAGATACCCTTGTAGTCCTAACTGTAAACGATGGATACTAAATGCTGTCAAAAACAGTGTTAAAGCTAACGCGTTAAGTATCCCGCCTGGGGAGTATGCTCGCAAGAGTGAAACTCAAAGGAATTGACGGGGACCAGCACAAGCAGTGGATTATGCGGTTTAATTCGATGATACACGAAGAACCTTACCAGGGATTGACATGCCAGGAACTTTCTAGAGATAGATCGGTGCCTATCCCTCTGGGGATAGGAACCTGGACACAGGTGGTGCATGGCTGTCGTCAGCTCGTGCCGTGAGGTGTAGAGTTAAGTCTTCTAACGAGCGCAACCCTTGTCTTTAGTTACAACTCTAAAGAGACTGCCGGTGCAAGCCGGAGGAAGGAGAGGATGACGTCAAGTCAGCATGCCCCTTACATCCTGGGCTACACGCGTAATACAATGGCTAAGACAATAGGAAGCGAACCTGCGAAGGTGAGCAAATCTAGCAAACTTAGCCTCAGTTCAGATTGCAGGCTGCAACTCGCCTGCATGAAGCCGGAATTGCTAGTAATCGCCAGTCAGCTATATGGCGGTGAATACGTTCTCTGGTCTTGTACACACCGCCCGTCACATGCTGGA</t>
  </si>
  <si>
    <t>&gt;BEA_1391_1284
CATGGTGTGACGGGCGGTGTGTACAAGGCCCGGGAACGTATTCACCGCAGTATGCTGACCTGCGATTACTAGCGATTCCTCCTTCATGCAGGCGAGTTGCAGCCTGCAATCTGAACTGAGCCACGGTTTATGGGATTAGCTTGCTATCGCTAGCTCGCTGCCCTTTGTCCGTAGCATTGTAGTACGTGTGTAGCCCAGAACGTAAGGGGCATGCTGACTTGACGTCATCCACACCTTCCTCCGGTTTGTCACCGGCAGTCTCTCTAGAGTGCCCAACTGAATGATGGCAACTAAAAACGTGGGTTGCGCTCGTTGCGGGACTTAACCCAACATCTCACGACACGAGCTGACGACAGCCATGCACCACCTGTGTTCGCGCTCCCGTAGGCACCCCTCCCTTTCAAGAGGGTTCGCGACATGTCAAGCCCTGGTAAGGTTCTTCGCGTTGCATCGAATTAAACCACATACTCCACCGCTTGTGCGGGCCCCCGTCAATTCCTTTGAGTTTCACTCTTGCGAGCGTACTCCCCAGGCGGGGTACTTAACGCGTTAGCTACGGCACTGCCCGGGTCGATACGGACAACGCCTAGTACCCATCGTTTACAGCTAGGACTACAGGGGTATCTAATCCCTTTCGCTCCCCTAGCTTTCGTCCCTCAGTGTCAGTGCAGACCCAGCAAGGCGCTTTCGCCACCGATGTTCTTCCCAATATCTACGCATTTCACCGCTACACTGGGAATTCCCCTTGCCCCTATCGCACTCTAGCCTATCAGTTTCATTTGCCCTTATGGAGTTAAGCTCCACGCTTTAACAACTGACTTGATAAACCACCTACGGACGCTTTACGCCCAATAATTCCGGATAACGCTTGCCTCCTCCGTATTACCGCGGCTGCTGGCACGGAGTTAGCCGAGGCTGATTCGATAGGTACCGTCATTGTGTTCTTCCCTATCAAAAGAGGTTTACAACCAGTAGGCCTTCCTCCCTCACGCGGTCTTGCTCCGTCAGGCTTTCGCCCATTGCGGAAAATTCCCCACTGCTGCCTCCCGTAGGAGTCTGGGCCGTGTCTCAGTCCCAGTGTGGCTGATCATCCTCTCAGACCAGCTACTGATCGTCGCCTTGGTAGTCCTTTACACTACCAACTAGCTAATCAGACGCGAGCTCATCCCCAGGCACTAAAGCTTTTACCTCTCGGCACATTGGGTATTAGCAGCCGTTTCCAGCTGTTGTCCCCAACCTAGGGCCAGATTCTCACGCGTTACTCACCCGTCCGCCACTAGCTCC</t>
  </si>
  <si>
    <t>&gt;BEA_1430_1283
GGCGGTGTGTACAAGGCCCGGGAACGGATTCACCGCAGTATGCTGACCTGCGATTACTAGCGATTCCTCCTTCATGCAGGCGAGTTGCAGCCTGCAATCTGAACTGAGGCAAGGTTTTCGGGATTAGCTCCTCCTCGCGAAGTGGCTGCCCTCTGTCCTTACCATTGTAGTACGTGTGTAGCCCAGGACGTAAGGGGCATGATGACTTGACGTCATCCCCACCTTCCTCCGGTTTGTCACCGGCAGTCTCCCTAGAGTGCCCAACTTAATGATGGCAACTAAGAACGAGGGTTGCGCTCGTTGCGGGACTTAACCCAACATCTCACGACACGAGCTGACGACAGCCATGCACCACCTGTGTTCCGGCTCCCGAAGGCACCTCCGAGTTTCCCCAGAGTTCCGGACATGTCAAGCCCTGGTAAGGTTCTTCGCGTTGCATCGAATTAAACCACATACTCCACCGCTTGTGCGGGCCCCCGTCAATTCCTTTGAGTTTCACACTTGCGTGCGTACTCCCCAGGCGGGAAACTTAACGCGTTAGCTACGGCACTGCCTGGGTCGATACAGGCAACACCTAGTTTCCATCGTTTACAGCTAGGACTACTGGGGTATCTAATCCCATTCGCTCCCCTAGCTTTCGTCCCTCAGTGTCAGTTGCGGCCCAGCAGAGCGCTTTCGCCACCGGTGTTCTTCCCGATCTCTACGCATTTCACCGCTACACCGGGAATTCCCTCTGCCCCTACCGCACTCCAGCTCTTCAGTTTCCACTGCCTTTCAGGAGTTGAGCTCCCGTCTTTGACAGCAGACTTGAAGGGCCACCTACGAACGCTTTACGCCCAATCATTCCGGATAACGCTTGCCTCCTCCGTATTACCGCGGCTGCTGGCACGGAGTTAGCCGAGGCTGATTCCTCAGGTACCGTCACTTTCTTCTTCCCTGAGAAAAGGGGTTTACAACCCAAAGGCTTTCCTCCCCCACGCGGTCTTGCTCCGTCAGGCTTTCGCCCATTGCGGAAAATTCCCCACTGCTGCCTCCCGTAGGAGTCTGGGCCGTGTCTCAGTCCCAGTGTGGCTGATCATCCTCTCAGACCAGCTACTGATCGTCGCCTTGGTAAGCTTTTACCTTACCAACTAGCTAATCAGACGCGAGCTCATCTCTAGGCGATAAATCTTTCACCTTACGGCTCATCCGGGATTAGCAGAAGTTTCCCTCTGTTGTCCCCGTCCTAGAGGCAGATTCTCACGCGTTACTCACCCGTCCGCCACTAACTCCGAAGAGTCCGT</t>
  </si>
  <si>
    <t>&gt;BEA_1437_1303
GGCGTGACCAGCTCCCATGGTGTGACGGGCGGTGTGTACAAGGCCCGGGAACGTATTCACCGCAGCATTCTGATCTGCGATTACTAGCGATTCCTCCTTCACGCAGGCGAGTTGCAGCCTGCGATCTGAACTGAGATAGGGTTTATGAGATTAGCGCGTCCTCGCGGATTGGCAACTCTTTGTCCCTACCATTGTAGTACGTGTGTAGCCCAGGACGTAAGGGGCATGATGACTTGACGTCATCCACACCTTCCTCCGGTTTGTCACCGGCAGTCTCTCTAGAGTGCCCAACTTAATGATGGCAACTAAAAACGTGGGTTGCGCTCGTTGCGGGACTTAACCCAACATCTCACGACACGAGCTGACGACAGCCATGCACCACCTGTGTTCGCGCTCCCGAAGGCACTTCCTACTTTCATAAGAATTCGCGACATGTCAAGTCCTGGTAAGGTTCTTCGCGTTGCATCGAATTAAACCACATACTCCACCGCTTGTGCGGGCCCCCGTCAATTCCTTTGAGTTTCACACTTGCGTGCGTACTCCCCAGGCGGGATACTTAACGCGTTAGCTACGGCACGGCTTGGGTCGATACAAGCCACACCTAGTATCCATCGTTTACGGCTAGGACTACTGGGGTATCTAATCCCATTCGCTCCCCTAGCTTTCGTACCTCAGTGTCAGTTTCGGCCTGGCAGGACGCTTTCGCTGCTGGTGTTCTTCCCGATATCTACGCATTTCACCGCTACACCGGGAATTCCTCCTGCCCCTACCGTACTCTAGCCAATCAGTTTCTGCTACTCTCCCAGAGTTAAGCCCTGGTCTTTAATAGCAGACTTGATTAGCCACCTGCGTACGCTTTACGCCCAATAATTCCGGATAACGCTTGCCTCCTCCGTCTTACCGCGGCTGCTGGCACGGAGTTAGCCGAGGCTTATTCGTCAGGTACCGTCATCTTTYTCTTCCCTGACAAAAGAGGTTTACGACCCACAGGCCTTCTTCCCTCACGCGGTATTGCTCCGTCAGGCTTTCGCCCATTGCGGAAAATTCCCCACTGCTGCCTCCCGTAGGAGTCTGGGCCGTGTCTCAGTCCCAGTGTGACTGGTCATCCTCTCAGACCAGTTACTGATTGTTGCCTTGGGAAGCTCTTACCTCCCCAACTAGCTAATCAGACGCAAGCTCATCCTTAGGCAATTAATCTTTTACCTCTCGGCACATCCGGTATTAGCAGCCGTTTCCAGCTGTTGTCCCGAACCTAAGGGCAGATTCTTACGCGTTACTCACCCGTCCGCCACTAGCTCCGAAA</t>
  </si>
  <si>
    <t>&gt;BEA_1456_1247
ACGCGTGAGGATCTGCCTACAGGACTGGGACAACAGTTGGAAACGGCTGCTAAAACCGGATGTGCCGAGAGGTGAAATATTAATAGCCTGTAGATGAGCTCGCGTCTGATTAGCTAGTTGGTGAGGTAAGGGCTCACCAAGGCGACGATCAGTAGCTGGTCTGAGAGGACGATCAGCCACACTGGGACTGAGACACGGCCCAGACTCCTACGGGAGGCAGCAGTGGGGAATTTTCCGCAATGGGCGCAAGCCTGACGGAGCAATACCGCGTGAGGGAGGAAGGTCTGTGGATTGTAAACCTCTTTTGATAGGGAAGAACACAATGACGGTACCTATCGAATCAGCATCGGCTAACTCCGTGCCAGCAGCCGCGGTAATACGGAGGATGCAAGCGTTATCCGGATTTATTGGGCGTAAAGCGTCCGTAGGTGGTTAATCAAGTCTATTGTCAAAGCCTGGGGCTTAACCCTGGAGAGGCGGTGGAAACTGGTTGACTTGAGTGCGGTAGGGGCAGAGGGAATTCCCAGTGTAGCGGTGAAATGCGTAGATATTGGGAAGAACACCGGTGGCGAAAGCGCTCTGCTGGGCCTGCACTGACACTGAGGGACGAAAGCTAGGGGAGCGAAAGGGATTAGATACCCCTGTAGTCCTAGCTGTAAACGATGGATACTAGGTGTTGCACGTATCGACCCGTGCAGTGCCGTAGCTAACGCGTTAAGTATCCCGCCTGGGGAGTACGCTCGCAAGAGTGAAACTCAAAGGAATTGACGGGGGCCCGCACAAGCGGTGGAGTATGTGGTTTAATTCGATGCAACGCGAAGAACCTTACCAGGACTTGACATGTCGCGAATCCCTTTGAAAGGAGGGAGTGCCTTCGGGAGCGCGAACACAGGTGGTGCATGGCTGTCGTCAGCTCGTGTCGTGAGATGTTGGGTTAAGTCCCGCAACGAGCGCAACCCACGTTTTTAGTTGCCATCATTCAGTTGGGCACTCTAGAGAGACTGCCGGTGACAAACCGGAGGAAGGTGTGGATGACGTCAAGTCAGCATGCCCCTTACGTTCTGGGCTACACACGTACTACAATGCTTCGGACAAAGGGCAGCAAGCGCGCGAGTGCAAGCCAATCCCATAAACCGAGGCTCAGTTCAGATTGCAGGCTGCAACTCGCCTGCATGAAGGCGGAATCGCTAGTAATCGCAGGTCAGCATACTGCGGTGAATACGTTCCCGGGCCTTGTACACACCGCC</t>
  </si>
  <si>
    <t>&gt;BEA_1482_1278
ACTTCCATGGTGTGACGGGCGGTGTGTACAAGGCCCGGGAACGGATTCACCGCCGTATGCTGACCGGCGATTACTAGCGATTCCTCCTTCATGCTCTCGAGTTGCAGAGAGCAATCTGAACTGAGACCGGGTTTCTGGGATTAGCTGGCCCTCGCGGGTTCGCTGCCCTTTGTCCCGACCATTGTAGTACGTGTGTCGCCCAGGGCGTAAGGGGCATGCTGACTTGACGTCATCCCCACCTTCCTCCGGTTTGTCACCGGCAGTCTCTCTAGAGTTCCCTACTTAAAGCTGGCAACTAAAGACGAGGGTTGCGCTCGTTGCGGGACTTAACCCAACATCTCACGACACGAGCTGACGACAGCCATGCACCACCTGTGTTCGCGCTCCCGAAGGCACTTTCAAGTTTCCCTGAAATTCGCGACATGTCAAGCCCTGGTAAGGTTCTTCGCGTTGCATCGAATTAAACCACATACTCCACCGCTTGTGCGGGCCCCCGTCAATTCCTTTGAGTTTCACACTTGCGTGCGTACTCCCCAGGCGGGAGACTTAACGCGTTGGCTACGATACAGCACGGGTCGATACGTGCTACACCTAGTCTCCATCGTTTACGGCTAGGACTACAGGGGTATCTAATCCCTTTCGCTCCCCTAGCTTTCGTCCTTCAGTGTCAGGTCTGGCCCAGTAAAGCGCTTTCGCCACCGGTGTTCTTCCCGATATCTACGCATTTCACCGCTACACCGGGAATTCCCTTTACCCCTACCAGCCTCTAGCTAACCAGTTTCCACTGCCTACCCACAGTTGAGCTGTGATCTTTAACAGCAGACTTAGTTCGCCACCTACAGACTCTTTACGCCCAATTATTCCGGATAACGCTTGCCTCCTCCGTATTACCGCGGCTGCTGGCACGGAGTTAGCCGAGGCTTATTCGTCAAGTACCGTCAGAGCTTCTTCCTTGACAAAAGGGGTTTACGATCCAAAAACCTTCCTCCCCCACGCGGTCTTGCTCCGTCAGGCTTTCGCCCATTGCGGAAAATTCCCCACTGCTGCCTCCCGTAGGAGTCTGGGCCGTGTCTCAGTCCCAGTGTGGCTGCTCATCCTCTCAGACCAGCTACTGATCGTCGCCTTGGTGCGCTTTTACCACACCAACTAGCTAATCAGACGCGAGCTCATCTGTGGGCAATAAATCTTTTACCTTTCGGCTCATCCGGTATTAGCCACCGTTTCCAGTGGTTATCCCCGACCCACAGGCAGATTCTCACGCGTTACTCACCCGTCCGC</t>
  </si>
  <si>
    <t>&gt;BEA_1509_23S_2521
TCCATAGGTGAGTATGAGCCAACCCAGTGAACTGAAACATCTAAGTAGCTGGAGGAAGAGAAAGAAAAATCGATTCCCTGAGTAGCGGCGAGCGAAACGGGAAGAGCCTAAACCAGCAATTTTAATTGTTGGGGTAGTGGGACAGCGAGAAGGAATCTGGCAGCTAGACGAAACACTTGAGAGGTGTTCCAAAGAAGGTGAGAGACCTGTAGTCGAAAGCTTAAGGATACTAGCTGACTCCCGAGTAGGCCGGGACACGAGAAATCCCGGTTGAATCCGCGAGGACCGCCTCGTAAGGCTAAATACTCCTGTGTGACCGATAGCGAAGAGTACCGCGAGGGAAAGGTGAAAAGAACCCCGGGAGGGGAGTGAAATAGAACATGAAACCGTGAGCTTACAAGCAATTAGAGCACGATTAAACGTGTGATAGTGTGCCTGTTGAAGAATGAGCCGGCGACTTATAGGCACTGGCAGGTTAAGGGGTAGTACCCGAAGCCCAAGGGAAACCGAGTCTGAAGAGGGCGAATAGTCAGTGTTTATAGACCCGAACCCAGGTGATCTAACCATGTCCAGGATGAAGCTTGGGTAACACTAAGTGGAGGTCCGAACCGACTTCTGTTGAAAAAGGAGCGGATGAGGTGTGGTTAGGGGTGAAATGCCAATCGAACCTGGAGCTAGCTGGTTCTCCCCGAAATGTGTTTAGGCGCAGCGGTATTGATTATATACGGGGGGTAAAGCACTGATTCGGTGCGGGCTGCGAGAGCGGTACCAAATCGAGTCAAACTCAGAATACCCGTAGCACACAATGCCAGTAAGACGGTGGGGGATAAGCTTCATCGTCAAGAGGGAAACAGCCCAGACCACCGGCTAAGGTCCCCAAGTGATTGCTAAGTGGCAAAGGAGGTGGGAATGCAGAGACAACCAGGAGGTTTGCCTAGAAGCAGCCATCCTTAAAAGAGTGCGTAATAGCTCACTGGTCAAGCGTTCCTGCGCCGAAAATGAATGGGACTAAGCAATGCACCGAAGCCGTGGACTTGTAGCGATACAAGTGGTAGGGGAGCGTTCCGTAGTAGTGAGAAGCAGTAGCGAGAGCAGCTGTGGACGAAGCGGAAGTGAGAATGTCGGCTTGAGTAGCGAAAACATGGGTGAGAATCCCATGCCCCGAAATCCTAAGGATTCCTCCGGAAGGCTCGTCCGCGGAGGGTTAGTCGGGACCTAAGGCGAGGCCGAAAGGCGTAGTCGATGGCGAACAGGTTAATATTCCTGTACCGATTGTGAATTGTGCAGAGGGACGGAGAAGGCTAGGTATGCCGCAAGATGGTTAGCGGTTCAAGTATCCGAGGTGATGAGAGACGGCGAAAACGTCTTGAGCTGAGGTGCGAGTGGGACTCACTACGGTGAGGAAGATACTGATGTCCAGCTTCCAAGAAAAGCTCTAACCACGTTAATTTACAATTGCCCGTACCCTAAACCGACACAGGTAGGAAGGTTGAGTATACCCAGGGGCGCGAGATAACTCTCTCTAAGGAACTCGGCAAAATGGCCCCGTAACTTCGGGAGAAGGGGTGCCCACGAGAGTGGGCCGCAGTGAAGAGATCCAGGCGACTGTTTACCAAAAACACAGGTTTCCGCGAAGTCGAAAGACGAAGTATGGGAGCTGACGCCTGCCCAGTGCCGGAAGGTTAAGGAAGTTGGTCAGGGCTGAGCTTGTCGAAGCCTGAAGCTAGCGACTGAAGCCCCGGTGAACGGCGGCCGTAACTATAACGGTCCTAAGGTAGCGAAATTCCTTGTCGGGTAAGTTCCGACCCGCACGAAAGGCGTAACGATCTGGATGCTGTCTCGGAGAGAGACTCGGCGAAATAGGAGTGTCTGTGAAGATACGGACTACCTGCACCCGGACAGAAAGACCCTATGAAGCTTTACTATAGCCTGGTATTGGGTTCGGGCCCTGATTGCGCAGGATAGGTGGGAGACGATGAGTTAGCCCTTGTGGGGGTTAAGGAGTCACTGGTGAGATACCACTCTATCAGGGCTAGAATTCTAACCATAAGCCGTGATCCGGCTGTGGGACAGTATCAGGTGGGTAGTTTGACTGGGGCGGTCGCCTCCTAAAAGGTAACGGAGGCGCGCAAAGGTTCCCTCAGGCTGGTTGGAAATCAGCCGCAGAGTGTAAAGGCAGAAGGGAGCTTGACTGCGAGACAAACAAGTCGAGCAGGTACGAAAGTAGGCCTTAGTGATCCGACGGTTCCGCGTGGAAGGGCCGTCGCTCAACGGATAAAAGTTACTCTAGGGATAACAGGCTGATCTCCCCCAAGAGTTCACATCGACGGGGAGGTTTGGCACCTCGATGTCGGCTCATCGCAACCTGGGGCGGTAGTACGTCCCAAGGGTTGGGCTGTTCGCCCATTAAAGCGGTACGTGAGCTGGGTTCAGAACGTCGTGAGACAGTTCGGTCCATATCCGGTGCAGGCGTAAGAACATTGAGAGGAGTCTTCCTTAGTACGAGAGGACCGGGAAGAAC &gt;BEA_1509_1003
GGTTGTAAACCTCTTTTCTCAGGGAAGAAGAACTGACGGTACCTGAGGAATCAGCATCGGCTAACTCCGTGCCAGCAGCCGCGGTAAGACGGAGGATGCAAGCGTTATCCGGAATTATTGGGCGTAAAGCGTCCGTAGGCGGTTAAGGAAGTCTGCTGTTAAAGGTCACAGCTCAACTGTGAAACGGCAGTGGAAACTCCTTGACTTGAGAGTGGTAGGGGTAGAGGGAATTCCTAGTGTAGCGGTGAAATGCGTAGATATTAGGAAGAACACCAGTGGCGAAGGCGCTCTACTGGGCCATTACTGACGCTGATGGACGAAAGCTAGGGGAGCGAAAGGGATTAGATACCCCTGTAGTCCTAGCTGTAAACGATGGATACTAGGTGTTGGCCGTATCGACCCGGTCAGTATCGAAGCAAACGCGTTAAGTATCCCGCCTGGGGAGTACGCACGCAAGTGTGAAACTCAAAGGAATTGACGGGGGCCCGCACAAGCGGTGGAGTATGTGGTTTAATTCGATGCAACGCGAAGAACCTTACCAGGGATTGACATCCTACGAATCCTCATGAAAGTGAGGAGTGCCTTCGGGAGCGTAGAGACAGGTGGTGCATGGCTGTCGTCAGCTCGTGTCGTGAGATGTTGGGTTAAGTCCCGCAACGAGCGCAACCCTCGTCCTTAGTTGCCATCATTGAGTTGGGCACTTTAAGGAGACTGCCGGTGACAAACCGGAGGAAGGTGGGGATGACGTCAAGTCATCATGCCCCTTACATCCTGGGCTACACACGTACTACAATGCAACGGACAAAGGGCAGCCAACTAGCGATAGTGCGCAAATCCCATAAACCGTTGCTCAGTTCAGATTGCAGGCTGCAACTCGCCTGCATGAAGGCGGAATCGCTAGTAATCGCAGGTCAGCATACTGCGGTGAATACGTTCCCGGGCCTTGTACACACCGCCCGTCACACCATGGAAGTTGGCCACGCCCGAAGTCGTTACCCCAACC</t>
  </si>
  <si>
    <t>&gt;BEA_1544_805
AATGATTGGGCGTAAAGCGCCGTAGGTGGCTGTTCAAGTCTGCTGTCAAAGACAGTGGCTTAACTACTGAAAGGCAGTGGAAACTGAACAGCTAGAGTACGGTAGGGGCAGAGGGAATTCCCGGTGTAGCGGTGAAATGCGTAGATATCGGGAAGAACACCGGTGGCGAAAGCGCTCTGCTGGGCCGTAACTGACACTGAGGGACGAAAGCTAGGGGAGCGAATGGGATTAGATACCCCAGTAGTCCTAGCCGTAAACGATGGAAACTAGGTGTAGCCTGTATCGACCCGGGCTGTGCCGAAGCTAACGCGTTAAGTTTCCCGCCTGGGGAGTACGCACGCAAGTGTGAAACTCAAAGGAATTGACGGGGGCCCGCACAAGCGGTGGAGTATGTGGTTTAATTCGATGCAACGCGAAGAACCTTACCAGGGCTTGACATGTCCGGAATCTTGGTGAAAGCCGAGAGTGCCTTCGGGAGCCGGAACACAGGTGGTGCATGGCTGTCGTCAGCTCGTGTCGTGAGATGTTGGGTTAAGTCCCGCAACGAGCGCAACCCTCGTCCTTAGTTGCCATCATTCAGTTGGGCACTTTAGGGAGACTGCCGGTGACAAACCGGAGGAAGGTGGGGATGACGTCAAGTCATCATGCCCCTTACGTCCTGGGCTACACACGTACTACAATGGGGGGGACAAAGGGTAGCCAAGACGCGAGTTGAGCCAATCCCGTAAACCTCTCCTCAGTTCAGATTGCAGGCTGCAACTCGCCTGCATGAAGGAGGAATCGCTAGTAATCGCAGGTCAGCATA</t>
  </si>
  <si>
    <t>&gt;BEA_1554_944
CTAACTCCGTGCCAGCAGCCGCGGTAATACGGAGGATGCAAGCGTTATCCGGAATGATTGGGCGTAAAGCGTCCGCAGGTGGCCATGTAAGTCTGCTGTTAAAGAGTCATGCTCAACATGATAAAAGCAGTGGAAACTACACGGCTAGAGTACGTTCGGGGCAGAGGGAATTCCTGGTGTAGCGGTGAAATGCGTAGATATCAGGAAGAACACCGGTGGCGAAAGCGCTCTGCTAGGCCGTAACTGACACTGAGGGACGAAAGCTAGGGGAGCGAATGGGATTAGATACCCCAGTAGTCCTAGCCGTAAACGATGGATACTAGGCGTGGCTTGTATCGACCCGAGCCGTGCCGTAGCTAACGCGTTAAGTATCCCGCCTGGGGAGTACGCACGCAAGTGTGAAACTCAAAGGAATTGACGGGGGCCCGCACAAGCGGTGGAGTATGTGGTTTAATTCGATGCAACGCGAAGAACCTTACCAAGACTTGACATGTCGCGAATCTTTTTGAAAGGAGAGAGTGCCTTCGGGAGCGCGAACACAGGTGGTGCATGGCTGTCGTCAGCTCGTGTCGTGAGATGTTGGGTTAAGTCCCGCAACGAGCGCAACCCTCGTTTTTAGTTGCCAGCATTAAGTTGGGCACTCTAGAGAGACTGCCGGTGACAAACCGGAGGAAGGTGAGGATGACGTCAAGTCAGCATGCCCCTTACGTCTTGGGCTACACACGTACTACAATGCTACGGACAAAGGGCAGCTACACAGCGATGTGATGCTAATCTCATAAACCGTAGCTCAGTTCAGATCGCAGGCTGCAACTCGCCTGCGTGAAGGAGGAATCGCTAGTAATTGCAGGTCAGCATACTGCAGTGAATTCGTTCCCGGGCCTTGTACACACCGCCCGTCACACCATGGAAGTTGGTCACGCCCGAAGTCATTACCCCAACCG</t>
  </si>
  <si>
    <t>&gt;BEA_1558_901
GCATCGGCTAACTCCGTGCCAGCAGCCGCGGTAATACGGAGGATGCAAGCGTTATCCGGAATTATTGGGCGTAAAGCGTCCGCAGGTGGCATTTCAAGTCTGCTGTCAAAGGTCGGGGCTTAACCCTGGAAAGGCAGTGGAAACTGGGAAGCTAGAGTGTCGTAGGGGTAGAGGGAATTCCTGGTGTAGCGGTGAAATGCGTAGAGATCAGGAAGAACATCGGTGGCGAAAGCGCTCTACTGGACGACAACTGACACTCAGGGACGAAAGCTAGGGGAGCGAATGGGATTAGATACCCCAGTAGTCCTAGCCGTAAACGATGGATACTAGGTGTGGCTTGTATCGACCCGAGCCGTGCCGTAGCTAACGCGTTAAGTATCCCGCCTGGGGAGTACGCGCGCAAGCGTGAAACTCAAAGGAATTGACGGGGGCCCGCACAAGCGGTGGAGTATGTGGTTTAATTCGATGCAACGCGAAGAACCTTACCAGGGCTTGACATGTCCGGAATCTCCTTGAAAGGGGAGAGTGCCTTCGGGAGCCGGAACACAGGTGGTGCATGGCTGTCGTCAGCTCGTGTCGTGAGATGTTGGGTTAAGTCCCGCAACGAGCGCAACCCTCGTCTTTAGTTGCCAGCATTAAGTTGGGCACTCTAGAGAGACTGCCGGTGACAAACCGGAGGAAGGTGGGGATGACGTCAAGTCAGCATGCCCCTTACGTCCTGGGCTACACACGTACTACAATGCGACGGACAAAGGGCAGCCAACCAGCGATGGTGCGCTAATCCCAGAAACCGTGGCTCAGTTCAGATCGCAGGCTGCAACTCGCCTGCGTGAAGGAGGAATCGCTAGTAATTGCAGGTCAGCATACTGCAGTGAATCCGTTCCCGGGCCTTGTACACACC</t>
  </si>
  <si>
    <t>&gt;BEA_1565_1018
GAGGTTTGTGGATTGTAAACCCCTTTTGATTGGGAAGAAGATCTGACGGTACCAATCGAATAAGCCTCGGCTAACTCCGTGCCAGCAGCCGCGGTAATACGGAGGAGGCAAGCGTTATCCGGAATTATTGGGCGTAAAGCGTCCGTAGGTGGTTTAGTAAGTCTGCTGTTAAAGCGCGGGGCTTAACTCCGTATCGGCAGTGGAAACTACTAGACTAGAGTGTGGTAGGGGTAGAGGGAATTCCCAGTGTAGCGGTGAAATGCGTAGATATTGGGAAGAACACCGGTGGCGAAGGCGCTCTACTGGGCCATAACTGACACTGATGGACGAAAGCTAGGGGAGCGAAAGGGATTAGATACCCCTGTAGTCCTAGCCGTAAACGATGGAAACTAGGTGTTGGCCGTATCGACCCGGTCAGTGCCGTAGCTAACGCGTTAAGTTTCCCGCCTGGGGAGTACGCTCGCAAGAGTGAAACTCAAAGGAATTGACGGGGGCCCGCACAAGCGGTGGAGTATGTGGTTTAATTCGATGCAACGCGAAGAACCTTACCAAGGCTTGACATGTCGCGAATCCTCTTGAAAGGGAGGAGTGCCTTCGGGAGCGCGAACACAGGTGGTGCATGGCTGTCGTCAGCTCGTGTCGTGAGATGTTGGGTTAAGTCCCGCAACGAGCGCAACCCTCGTTTTTAGTTGCCATCATTAAGTTGGGCACTCTAGAGAGACTGCCGGTGACAAACCGGAGGAAGGTGGGGATGACGTCAAGTCAGCATGCCCCTTACGTCTTGGGCTACACACGTACTACAATGCTGTGGACAGAGGGCAGCAAGCTCGCGAGAGCAAGCTAATCCCATAAACCACGGCTCAGTTCAGATTGCAGGCTGCAACTCGCCTGCATGAAGGAGGAATCGCTAGTAATCGCAGGTCAGCATACTGCGGTGAATACGTTCCCGGGCCTTGTACACACCGCCCGTCACACCATGGGAGTTGGCCACGCCCGAAGTCGTTACTCCAACCGTTCG</t>
  </si>
  <si>
    <t>&gt;BEA_1566_1047
CGCGGTGAGGGGAGGAAGGCCTTAGGGTTGTAAACCTCTTTTCTCTGGGAAGAAGCTCTGACGGTACCAGAGGAATAAGCCTCGGCTAACTCCGTGCCAGCAGCCGCGGTAAGACGGAGGAGGCAAGCGTTATCCGGAATTATTGGGCGTAAAGCGTCCGCAGGCGGCTAATTAAGTCTGTTGTCAAAGCCCACAGCTCAACTGTGGATCGGCAATGGAAACTGAATAGCTAGAGTGTGGTAGGGGTAGAGGGAATTCCCGGTGTAGCGGTGAAATGCGTAGATATCGGGAAGAACACCAGTGGCGAAGGCGCTCTACTGGGCCACAACTGACGCTGAGGGACGAAAGCTAGGGGAGCGAAAGGGATTAGATACCCCTGTAGTCCTAGCTGTAAACGATGGATACTAGGTGTTGGACGTATCGACCCGTGCAGTACCGTAGCTAACGCGTTAAGTATCCCGCCTGGGGAGTACGCACGCAAGTGTGAAACTCAAAGGAATTGACGGGGGCCCGCACAAGCGGTGGAGGATGTGGTTTAATTCGATGCAACGCGAAGAACCTTACCAAGGCTTGACATGTCGCGAATTCTTCAGAGATGGAGAAGTGCCTTCGGGAGCGCGAACACAGGTGGTGCATGGCTGTCGTCAGCTCGTGTCGTGAGATGTTGGGTTAAGTCCCGCAACGAGCGCAACCCTCGTTTTTAGTTGCCAGCATTCAGTTGGGCACTCTAAAGAGACTGCCGGGGACAACTCGGAGGAAGGTGGGGACGACGTCAAGTCATCATGCCCCTTACGTCTTGGGCTACACACGTCCTACAATGCTACAGACAGAGGGCAGCGAGCGCGCGAGTGCAAGCAAATCCCATAAACTGTGGCTCAGTTCAGATTGCAGGCTGCAACTCGCCTGCATGAAGGCGGAATCGCTAGTAATCGCAGGTCAGCATACTGCGGTGAATACGTTCCCGGGCCTTGTACACACCGCCCGTCACACCATGGGAGTTGGCCACGCCCGAAGTCGTTACTCTAACCCGTTCGCCGGAGGAGGGGC</t>
  </si>
  <si>
    <t>&gt;BEA_1570_1017
CTACTGGTTGTAAACCTCTTTTGATAGGGAAGAAGACAATGACGGTACCTATCGAATCAGCCTCGGCTAACTCCGTGCCAGCAGCCGCGGTAATACGGAGGAGGCAAGCGTTATCCGGAATTATTGGGCGTAAAGCGTCCGTAGGTGGATTGTCAAGTCAGTTGTTAAAGCGTGGAGCTTAACTCCATAAGGGCAATTGAAACTGATAGTCTAGAGTGCGATAGGGGCAAGGGGAATTCCCAGTGTAGCGGTGAAATGCGTAGATATTGGGAAGAACATCGGTGGCGAAAGCGCCTTGCTGGGTCTGCACTGACACTGAGGGACGAAAGCTAGGGGAGCGAAAGGGATTAGATACCCCTGTAGTCCTAGCCGTAAACGATGGGTACTAGGCGTTGACCGTATCGACCCGGTCAGTGCCGTAGCTAACGCGTTAAGTACCCCGCCTGGGGAGTACGCTCGCAAGAGTGAAACTCAAAGGAATTGACGGGGGCCCGCACAAGCGGTGGAGTATGTGGTTTAATTCGATGCAACGCGAAGAACCTTACCAGGGCTTGACATGTGCAGAACCCTCTTGAAAGGGAGGGGTGCCTACGGGAGCTGCAACACAGGTGGTGCATGGCTGTCGTCAGCTCGTGTCGTGAGATGTTGGGTTAAGTCCCGCAACGAGCGCAACCCACGTTTTTAGTTGCCATCATTCAGTTGGGCACTCTAGAGAGACTGCCGGTGACAAACCGGAGGAAGGTGTGGATGACGTCAAGTCAGCATGCCCCTTACGTTCTGGGCTACACACGTACTACAATGCTTCGGACAAAGGGCAGCAAGTTCGCGAGGACAAGCTAATCCCATAAACCGAGGCTCAGTTCAGATTGCAGGCTGCAACTCGCCTGCATGAAGGCGGAATCGCTAGTAATCGCAGGTCAGCATACTGCGGTGAATACGTTCCCGGGCCTTGTACACACCGCCCGTCACACCATGGGAGTTGGCCACGCCCGAAGTCGTTACTCCAACCCGCGAGGG</t>
  </si>
  <si>
    <t>&gt;BEA_1582_940
AGGGAAGATAATGACGGTACTTGAGGAATCAGCATCGGCTAACTCCGTGCCAGCAGCCGCGGTAATACGGAGGATGCAAGCGTTATCCGGAATAATTGGGCGTAAAGCGTTCGTAGGTGGTGATGTAAGTCTGCTGTTAAAGCGTGTAGCTTAACTACATATAGGCGGTGGAAACTACATGACTAGAGTGCGTTCGGGGCAGAGGGAATTCCTGGTGTAGCGGTGAAATGCGTAGATATCAGGAAGAACACCGGTGGCGAAGGCGCTCTGCTAGGCCGTAACTGACACTGAGGGACGAAAGCTAGGGGAGCGAATGGGATTAGATACCCCAGTAGTCCTAGCTGTAAACGATGGATACTAGGCGTTGTCTGTATCGACCCGGACAGTGCCGTAGCTAACGCGTTAAGTATCCCGCCTGGGGAGTACGCACGCAAGTGTGAAACTCAAAGGAATTGACGGGGGCCCGCACAAGCGGTGGAGTATGTGGTTTAATTCGATGCAACGCGAAGAACCTTACCAAGGCTTGACATGTCCGGAATTTCTTGGAAACGAGAAAGTGCCTTCGGGAGCCGGAACACAGGTGGTGCATGGCTGTCGTCAGCTCGTGTCGTGAGATGTTGGGTTAAGTCCCGCAACGAGCGCAACCCTCGTTTTTAGTTGCCAGCACTTCGGGTGGGCACTCTAGAGAGACTGCCGGTGACAAACCGGAGGAAGGTGGGGATGACGTCAAGTCATCATGCCCCTTACGTCTTGGGCTACACACGTACTACAATGCTATGGACAAAGAGCAGCCAACTGGCGACAGTGCGCTAATCTCATAAACCATGGCTCAGTTCAGATCGCAGGCTGCAACTCGCCTGCGTGAAGTAGGAATCGCTAGTAATTGCAGGTCAGCATACTGCAGTGAATTCGTTCCCGGGCCTTGTACACACCGCCCGTC</t>
  </si>
  <si>
    <t>&gt;BEA_1599_946
CATCGGCTAACTCCGTGCCAGCAGCCGCGGTAATACGGAGGATGCAAGCGTTATCCGGAATAATTGGGCGTAAAGCGTTCGTAGGTGGTTATGTAAGTCTGCTGTTAAAGCGTGTAGCTCAACTACATATAGGCAGTGGAAACTACATGACTAGAGTGCGTTCGGGGCAGAGGGAATTCCTGGTGTAGCGGTGAAATGCGTAGATATCAGGAAGAACACCGGTGGCGAAGGCGCTCTGCTAGGCCGCAACTGACACTGAGGGACGAAAGCTAGGGGAGCGAATGGGATTAGATACCCCAGTAGTCCTAGCTGTAAACGATGGATACTAGGCGTTGTCTGTATCGACCCGGACAGTGCCGTAGCTAACGCGTTAAGTATCCCGCCTGGGGAGTACGCACGCAAGTGTGAAACTCAAAGGAATTGACGGGGGCCCGCACAAGCGGTGGAGTATGTGGTTTAATTCGATGCAACGCGAAGAACCTTACCAAGGCTTGACATGTCCGGAATTTCTTGGAAACGAGAAAGTGCCTTCGGGAACCGGAACACAGGTGGTGCATGGCTGTCGTCAGCTCGTGTCGTGAGATGTTGGGTTAAGTCCCGCAACGAGCGCAACCCTCGTTTTTAGTTGCCAGCACTTAGGGTGGGCACTCTAGAGAGACTGCCGGTGACAAACCGGAGGAAGGTGGGGATGACGTCAAGTCATCATGCCCCTTACGTCTTGGGCTACACACGTACTACAATGCTATGGACAAAGAGCAGCCAACCAGCGATGGTGCGCTAATCTCATAAACCATGGCTCAGTTCAGATCGCAGGCTGCAACTCGCCTGCGTGAAGTAGGAATCGCTAGTAATTGCAGGTCAGCATACTGCAGTGAATTCGTTCCCGGGCCTTGTACACACCGCCCGTCACACCATGGAAGTTGGTCATGCCCGAAGTCGTTACCCT</t>
  </si>
  <si>
    <t>&gt;BEA_1601_967
TCTTGGGTTGTAAACCTCTTTTCTCAGGGAATAATGATGAAGGTACCTGAGGAATCAGCATCGGCTAACTCCGTGCCAGCAGCCGCGGTAATACGGAGGATGCAAGCGTTATCCGGAATGATTGGGCGTAAAGCGTCCGTAGGTAGCAGTGTGTGTCTATTGTTAAAGAGTTTGGCTCAACCAAATAAAGGCGGTAGAAACTACACAGCTAGAGTGCGTTCGGGGCAGAGGGAATTCCTGGTGTAGCGGTGAAATGCGTAGAGATCAGGAAGAACACCGGTGGCGAAAGCGCTCTGCTAGGCCGCAACTGACACTGAGGGACGAAAGCTAGGGGAGCGAATGGGATTAGATACCCCAGTAGTCCTAGCCGTAAACGATGGATACTAGGCGTTGAGAGTATCGACCCTCTCAGTGCCGTAGCTAACGCGTTAAGTATCCCGCCTGGGGAGTACGCACGCAAGTGTGAAACTCAAAGGAATTGACGGGGGCCCGCACAAGCGGTGGAGTATGTGGTTTAATTCGATGCAACGCGAAGAACCTTACCAGGGCTTGACATGTCTGGAACTCTGGGGAAACTCAGGGGTGCCTTCGGGAGCCAGAACACAGGTGGTGCATGGCTGTCGTCAGCTCGTGTCGTGAGATGTTGGGTTAAGTCCCGCAACGAGCGCAACCCTCGTACTTAGTTGCCAGCACTTCGGGTGGGCACTCTAAGGAGACTGCCGGTGACAAACCGGAGGAAGGTGGGGATGACGTCAAGTCAGCATGCCCCTTACGTCCTGGGCTACACACGTACTACAATGCTACGGACAAAGGGCAGCAAGCCAGCGATGGCAAGCAAATCTCAGAAACCGTGGCTCAGTTCAGATCGCAGGCTGCAACTCGCCTGCGTGAAGTCGGAATCGCTAGTAATTGCAGGTCAGCATACTGCGGTGAATTCGTTCCCGGGCCTTGTACACACCGCCCGTCA</t>
  </si>
  <si>
    <t>&gt;BEA_1646_991
GGTTGTAAACCTCTTTTCTAGGGGAAGAAGCAAGTGACGGTACCCTAGGAATCAGCATCGGCTAACTCCGTGCCAGCAGCCGCGGTAATACGGAGGATGCAAGCGTTATCCGGAATTATTGGGCGTAAAGCGTCCGCAGGTGGCTATACAAGTCTGCTGTCAAAGACCGTAGCTTAACTACGGAAAGGCGGTGGAAACTGTAAGGCTAGAGGCCGGTAGGGGTAGCGGGAATTTCCAGTGTAGCGGTGAAATGCGTAGAGATTGGAAAGAACATCGGTGGCGAAAGCGCGCTACTGGGCTGTGCCTGACACTGAGGGACGAAAGCTAGGGGAGCGAAAGGGATTAGATACCCCTGTAGTCCTAGCCGTAAACGATGGAGACTAGGCGTAGCTTGTATCGACCCAAGCTGTGCCGAAGCTAACGCGTTAAGTCTCCCGCCTGGGGAGTACGCACGCAAGTGTGAAACTCAAAGGAATTGACGGGGGCCCGCACAAGCGGTGGAGTATGTGGTTTAATTCGATGCAACGCGAAGAACCTTACCAGGGCTTGACATCTGGCGAATCAGAGGGAAACCTTTGAGTGCCTTCGGGAACGCCAAGACAGGTGGTGCATGGCTGTCGTCAGCTCGTGTCGTGAGATGTTGGGTTAAGTCCCGCAACGAGCGCAACCCTCGTTCTTAGTTGCCATCATTAAGTTGGGCACTCTAGGGAGACTGCCGGTGACAAACCGGAGGAAGGTGGGGATGACGTCAAGTCAGCATGCCCCTTACGTCCTGGGCAACACACGTACTACAATGGTCGAGACAAAGGGCAGCGAACTCGCGAGAGTAAGCGAATCTCATCAAACTCGGCCTCAGTTCAGATTGCAGGCTGCAACTCGCCTGCATGAAGGAGGAATCGCTAGTAATCGCCGGTCAGCATACGGCGGTGAATTCGTTCCCGGGCCTTGTACACACCGCCCGTCACACCATGGGAGCTGGCCACGCCCGAAG</t>
  </si>
  <si>
    <t>&gt;BEA_1666_1021
TCTTGGGTTGTAAAACCCCTTTTCTCAAGGAAGAACACAATGACGGTACTTGAGGAATAAGCCTCGGCTAACTCCGTGCCAGCAGCCGCGGTAATACGGAGGAGGCAAGCGTTATCCGGAATGATTGGGCGTAAAGCGTCCGTAGGTGGCTGTTCAAGTCTGCTGTCAAAGACAGTGGCTTAACTACTGAAAGGCAGTGGAAACTGAACAGCTAGAGTACGGTAGGGGCAGAGGGAATTCCCGGTGTAGCGGTGAAATGCGTAGATATCGGGAAGAACACCGGTGGCGAAAGCGCTCTGCTGGGCCGTAACTGACACTGAGGGACGAAAGCTAGGGGAGCGAATGGGATTAGATACCCCAGTAGTCCTAGCCGTAAACGATGGAAACTAGGTGTAGCCTGTATCGACCCGGGCTGTGCCGAAGCTAACGCGTTAAGTTTCCCGCCTGGGGAGTACGCACGCAAGTGTGAAACTCAAAGGAATTGACGGGGGCCCGCACAAGCGGTGGAGTATGTGGTTTAATTCGATGCAACGCGAAGAACCTTACCAGGGCTTGACATGTCCGGAATCTTGGTGAAAGCCGAGAGTGCCTTCGGGAGCCGGAACACAGGTGGTGCATGGCTGTCGTCAGCTCGTGTCGTGAGATGTTGGGTTAAGTCCCGCAACGAGCGCAACCCTCGTCCTTAGTTGCCATCATTCAGTTGGGCACTTTAGGGAGACTGCCGGTGACAAACCGGAGGAAGGTGGGGATGACGTCAAGTCATCATGCCCCTTACGTCCTGGGCTACACACGTACTACAATGGGGGGGACAAAGGGTAGCCAAGACGCGAGTCTGAGCCAATCCCGTAAACCTCTCCTCAGTTCAGATTGCAGGCTGCAACTCGCCTGCATGAAGGAGGAATCGCTAGTAATCGCAGGTCAGCATACTGCGGTGAATCCGTTCCCGGGCCTTGTACACACCGCCCGTCACACCATGGAAGTTAGCCACGCCCGAAGTCGTTACTCTAACCGTTCGCGGAGG</t>
  </si>
  <si>
    <t>&gt;BEA_1827_1006
TCTTGGGTTGTAAACCTCTTTTCTCAGGGAAGAAAAAAATGACGGTACCTGAGGAATAAGCATCGGCTAACTCCGTGCCAGCAGCCGCGGTAATACGGAGGATGCAAGCGTTATCCGGAATGATTGGGCGTAAAGGGTCCGCAGGTGGCAATGTAAGTCTGCTGTTAAAGAATCTAGCTCAACTAGATAAAAGCAGTGGAAACTACACAGCTAGAGTGCGTTCGGGGTAGAGGGAATTCCTGGTGTAGCGGTGAAATGCGTAGATATCAGGAAGAACACCAGTGGCGAAGGCGCTCTACTAGGCCGCAACTGACACTGAGGGACGAAAGCTAGGGGAGCGAATGGGATTAGATACCCCAGTAGTCCTAGCCGTAAACGATGGATACTAGGCGTGGCTTGTATCGACCCAAGCCGTGCCGTAGCTAACGCGTTAAGTATCCCGCCTGGGGAGTACGCACGCAAGTGTGAAACTCAAAGGAATTGACGGGGGCCCGCACAAGCGGTGGAGTATGTGGTTTAATTCGATGCAACGCGAAGAACCTTACCAAGACTTGACATGTCGCGAATCTTGATGAAAGTTAAGAGTGCCTTCGGGAGCGCGAACACAGGTGGTGCATGGCTGTCGTCAGCTCGTGTCGTGAGATGTTGGGTTAAGTCCCGCAACGAGCGCAACCCTCGTTTTTAGTTGCCAGCATTAAGTTGGGCACTCTAGAGAGACTGCCGGTGACAAACCGGAGGAAGGTGGGGATGACGTCAAGTCAGCATGCCCCTTACGTCTTGGGCTACACACGTACTACAATGCTACGGACAAAGGGTAGCTACACAGCAATGTGATGCCAATCTCAGAAACCGTAGCTCAGTTCAGATCGCAGGCTGCAACTCGCCTGCGTGAAGTCGGAATCGCTAGTAATTGCAGGTCAGCATACTGCAGTGAATTCGTTCCCGGGCCTTGTACACACCGCCCGTCACACCATGGAAGCTGGTCACGCCCGAAGTCGTTACCCCA</t>
  </si>
  <si>
    <t>&gt;BEA_1831_958
GAATAAGCCACGGCTAATTCCGTGCCAGCAGCCGCGGTAATACGGGAGTGGCAAGCGTTATCCGGAATTATTGGGCGTAAAGCGTCCGCAGGCGGCCTTGTAAGTCTGTCGTTAAAGCGTGGAGCTTAACTCCATTTCAGCGATGGAAACTACAAGGCTTGAGTGTGGTAGGGGCAGAGGGAATTCCCGGTGTAGCGGTGAAATGCGTAGATATCGGGAAGAACACCAGTGGCGAAGGCGCTCTGCTGGGCCATAACTGACGCTCATGGACGAAAGCCAGGGGAGCGAAAGGGATTAGATACCCCTGTAGTCCTGGCCGTAAACGATGAACACTAGGTGTCGGGGGAATCGACCCCCTCGGTGTCGTAGCTAACGCGTTAAGTGTTCCGCCTGGGGAGTACGCACGCAAGTGTGAAACTCAAAGGAATTGACGGGGGCCCGCACAAGCGGTGGAGTATGTGGTTTAATTCGATGCAACGCGAAGAACCTTACCAGGGTTTGACATCCTGCGAATCCCTTGGAAACGAGGGAGTGCCTTCGGGAGCGCAGAGACAGGTGGTGCATGGCTGTCGTCAGCTCGTGTCGTGAGATGTTGGGTTAAGTCCCGCAACGAGCGCAACCCACGTCTTTAGTTGCCAGCATTCAGTTGGGCACTCTAGAGAGACCGCCGGTGATAAACCGGAGGAAGGTGTGGATGACGTCAAGTCATCATGCCCCTTACATCCTGGGCTACACACGTACTACAATGCTACGGACAAAGGGTTGCAAGCTCGCGAGAGTTAGCTAATCCCATAAACCGTGGCTCAGTTCAGATCGTAGGCTGCAACTCGCCTACGTGAAGGAGGAATCGCTAGTAATCGCAGGTCAGCATACTGCGGTGAATACGTTCCCGGGCCTTGTACACACCGCCCGTCACACCATGGAAGTTGGCCATGCCCGAAGTCGTTACTCCAACCCT</t>
  </si>
  <si>
    <t>&gt;BEA_1832_980
TCTTTTCTCAGGGAAGAAGGAACTGACGGTACCTGAGGAATCAGCATCGGCTAACTCCGTGCCAGCAGCCGCGGTAATACGGAGGATGCAAGCGTTATCCGGAATTATTGGGCGTAAAGCGTCCGTAGGTGGCTAAGCAAGTCTGCTGTTAAAGAGCGGAGCTAAACTCCGTAAAGGCGGTGGAAACTGCATAGCTAGAGTGTGGTAGGGGTAGAGGGAATTCCCAGTGTAGCGGTGAAATGCGTAGATATTGGGAAGAACACCGGTGGCGAAGGCGCTCTACTGGGCCACAACTGACACTGATGGACGAAAGCTAGGGGAGCGAAAGGGATTAGATACCCCTGTAGTCCTAGCCGTAAACGATGAACACTAGGTGTTGCCCGTATCGACCCGGGCAGTGCCGTAGCCAACGCGTTAAGTGTTCCGCCTGGGGAGTACGCTCGCAAGAGTGAAACTCAAAGGAATTGACGGGGGCCCGCACAAGCGGTGGAGTATGTGGTTTAATTCGATGCAACGCGAAGAACCTTACCAAGGCTTGACATGCCGCGAATCCCTTAGAGATGAGGGAGTGCCTACGGGAGCGCGGACACAGGTGGTGCATGGCTGTCGTCAGCTCGTGTCGTGAGATGTTGGGTTAAGTCCCGCAACGAGCGCAACCCTCGTTCTTAGTTGCCATCATTAAGTTGGGCACTCTAGGGAGACTGCCGGTGACAAACCGGAGGAAGGTGAGGATGACGTCAAGTCATCATGCCCCTTACGTCTTGGGCTACACACGTACTACAATGCTTCGGACAAAGGGCAGCCAACCAGCGATGGTGAGCAAATCCCATAAACCGAGGCTCAGTTCAGATTGCAGGCTGCAACTCGCCTGCATGAAGGAGGAATCGCTAGTAATCCCAGGTCAGCATACTGGGGTGAATACGTTCCCGGGCCTTGTACACACCGCCCGTCACACCATGGGAGTTGGCCACGCCCGAAGT</t>
  </si>
  <si>
    <t>&gt;BEA_1840_993
TGTAAACCTCTTTTCTCAGGGAAGAAGAACTGACGGTACCTGAGGAATCAGCATCGGCTAACTCCGTGCCAGCAGCCGCGGTAATACGGAGGATGCAAGCGTTATCCGGAATTATTGGGCGTAAAGCGTCCGTAGGTGGCTAAGCAAGTCTGCTGTTAAAGAGCGGAGCTAAACTCCGTAAAGGCGGTGGAAACTGCATAGCTAGAGTGTGGTAGGGGTAGAGGGAATTCCCAGTGTAGCGGTGAAATGCGTAGATATTGGGAAGAACACCGGTGGCGAAGGCGCTCTACTGGGCCACAACTGACACTGATGGACGAAAGCTAGGGGAGCGAAAGGGATTAGATACCCCTGTAGTCCTAGCCGTAAACGATGAACACTAGGTGTTGCCCGTATCGACCCGGGCAGTGCCGTAGCCAACGCGTTAAGTGTTCCGCCTGGGGAGTACGCTCGCAAGAGTGAAACTCAAAGGAATTGACGGGGGCCCGCACAAGCGGTGGAGTATGTGGTTTAATTCGATGCAACGCGAAGAACCTTACCAAGGCTTGACATGCCGCGAATCCTTCAGAGATGAGGGAGTGCCTACGGGAGCGCGGACACAGGTGGTGCATGGCTGTCGTCAGCTCGTGTCGTGAGATGTTGGGTTAAGTCCCGCAACGAGCGCAACCCTCGTTCTTAGTTGCCATCATTAAGTTGGGCACTCTAGGGAGACTGCCGGTGACAAACCGGAGGAAGGTGAGGATGACGTCAAGTCATCATGCCCCTTACGTCTTGGGCTACACACGTACTACAATGCTGCGGACAAAGGGCAGCCAACCAGCGATGGTGAGCAAATCCCATAAACCGTGGCTCAGTTCAGATTGCAGGCTGCAACTCGCCTGCATGAAGGAGGAATCGCTAGTAATCCCAGGTCAGCATACTGGGGTGAATACGTTCCCGGGCCTTGTACACACCGCCCGTCACACCATGGGAGTTGGCCACGCCCGAAGTCGTTAC</t>
  </si>
  <si>
    <t>&gt;BEA_1877_995
CCTCTTTTCTCTGGGAAGAAGATCTGACGGTACCAGAGGAATCAGCATCGGCTAACTCCGTGCCAGCAGCCGCGGTAAGACGGAGGATGCAAGCGTTATCCGGAATTATTGGGCGTAAAGCGTCCGTAGGCGGTCAATTAAGTCAGTTGTTAAAGACTGCAGCTCAACTGTGGGAGAGCAACTGAAACTGATTAACTAGAGTATGGTAGGGGTAGAGGGAATTCCTAGTGTAGCGGTGAAATGCGTAGATATTAGGAAGAACACCAGTGGCGAAGGCGCTCTACTGGGCCAAGACTGACGCTGATGGACGAAAGCTAGGGGAGCGAAAGGGATTAGATACCCCTGTAGTCCTAGCTGTAAACGATGGATACTAGGTGTTGTGCGTATCGACCCGTGCAGTACCGAAGCAAACGCGTTAAGTATCCCGCCTGGGGAGTACGCACGCAAGTGTGAAACTCAAAGGAATTGACGGGGGCCCGCACAAGCGGTGGAGTATGTGGTTTAATTCGATGCAACGCGAAGAACCTTACCAGGACTTGACATCCCTCGAATACCTAAGAAATTGGGTAGTGCCTTCGGGAGCGAGGAGACAGGTGGTGCATGGCTGTCGTCAGCTCGTGTCGTGAGATGTTGGGTTAAGTCCCGCAACGAGCGCAACCCACGTCTTTAGTTGCCATCATTCAGTTGGGCACTCTGGAGAGACTGCCGGGGACAACTCGGAGGAAGGTGTGGACGACGTCAAGTCATCATGCCCCTTACGTTCTGGGCTACACACGTACTACAATGCAACGGACAAAGGGCAGCCAACTAGCGATAGTGAGCTAATCCCATAAACCGTTGCTCAGTTCAGATTGCAGGCTGCAACTCGCCTGCATGAAGGAGGAATCGCTAGTAATCGCAGGTCAGCATACTGCGGTGAATACGTTCCCGGGCCTTGTACACACCGCCCGTCACACCATGGAAGTTGGCCATGCCCGAAGTCGTTACCCTAACCG</t>
  </si>
  <si>
    <t>&gt;BEA_1902_964
ACTTGAGGAATAAGCCACGGCTAATTCCGTGCCAGCAGCCGCGGTAATACGGGAGTGGCAAGCGTTATCCGGAATTATTGGGCGTAAAGCGTCCGCAGGCGGCCTTGTAAGTCTGTCGTTAAAGCGTGGAGCTTAACTCCATTTCAGCGATGGAAACTACAAGGCTTGAGTGTGGTAGGGGCAGAGGGAATTCCCGGTGTAGCGGTGAAATGCGTAGATATCGGGAAGAACACCAGTGGCGAAGGCGCTCTGCTGGGCCATAACTGACGCTCATGGACGAAAGCCAGGGGAGCGAAAGGGATTAGATACCCCTGTAGTCCTGGCCGTAAACGATGAACACTAGGTGTCGGGGGAATCGACCCCCTCGGTGTCGTAGCTAACGCGTTAAGTGTTCCGCCTGGGGAGTACGCACGCAAGTGTGAAACTCAAAGGAATTGACGGGGGCCCGCACAAGCGGTGGAGTATGTGGTTTAATTCGATGCAACGCGAAGAACCTTACCAGGGTTTGACATCCTGCGAATCCCTTGGAAACGAGGGAGTGCCTTCGGGAGCGCAGAGACAGGTGGTGCATGGCTGTCGTCAGCTCGTGTCGTGAGATGTTGGGTTAAGTCCCGCAACGAGCGCAACCCACGTCTTTAGTTGCCAGCATTCAGTTGGGCACTCTAGAGAGACCGCCGGTGATAAACCGGAGGAAGGTGTGGATGACGTCAAGTCATCATGCCCCTTACATCCTGGGCTACACACGTACTACAATGCTACGGACAAAGGGTTGCAAGCTCGCGAGAGTTAGCTAATCCCATAAACCGTGGCTCAGTTCAGATCGTAGGCTGCAACTCGCCTACGTGAAGGAGGAATCGCTAGTAATCGCAGGTCAGCATACTGCGGTGAATACGTTCCCGGGCCTTGTACACACCGCCCGTCACACCATGGAAGTTGGCCATGCCCGAAGTCGTTACTCCAACCC</t>
  </si>
  <si>
    <t>&gt;BEA_1916_1011
CTGTGGGTTGTAAACCTCTTTTCTCAGGGAAGAAGATATGACGGTACCTGAGGAATAAGCATCGGCTAACTCCGTGCCAGCAGCCGCGGTAATACGGAGGATGCAAGCGTTATCCGGAATTATTGGGCGTAAAGAGTTCGTAGGTGGTTTAATAAGTCTGTTGTTAAAGATTGGGGCTTAACCCCAAACAGGCAATGGAAACTGTTAGGCTTGAGTACGGTAGGGGTAGAGGGAATTCCCGGTGTAGCGGTGAAATGCGTAGATATCGGGAAGAACACCAATGGCGAAAGCACTCTGCTGGGCCGTTACTGACACTGAGGAACGAAAGCTAGGGGAGCAAATGGGATTAGATACCCCAGTAGTCCTAGCCGTAAACGATGGATACTAGGTGTTGTACGTATCGACCCGTACAGTACTGTAGCTAACGCGTTAAGTATCCCGCCTGGGGAGTACGCTCGCAAGAGTGAAACTCAAAGGAATTGACGGGGGCCCGCACAAGCGGTGGAGCATGTGGTTTAATTCGATGCAACGCGAAGAACCTTACCAGGATTTGACATGTCGCGAATTTTCTTGAGAAAGAAAAGTGCCTTCGGGAGCGCGAACACAGGTGGTGCATGGCTGTCGTCAGCTCGTGTCGTGAGATGTTGGGTTAAGTCCCGCAACGAGCGCAACCCTTGTTTTTAGTTGCCAGCATTCAGTTGGGTACTCTAAAGAAACTGCCGGTGACAAGCCGGAGGAAGGGAGGGATGACGTCAAGTCAGCATGCCCCTTATATCCTGGGCTACACACGTGCTACAATGGCCGGGACAAAAGGTCGCGAACTTGTGAAAGTAAGCCAATCCTATAAACCCGGTCTCAGTTCGGATTGCAGGCTGCAACTCGCCTGCATGAAGGTGGAATCGCTAGTAATCGCCGGTCAGCTATACGGCGGTGAATCCGTTCCCGGGCCTTGTACACACCGCCCGTCACACCATGGGAGTTGGCCACGCCCGAAGTCCGTTTACCCTAACT</t>
  </si>
  <si>
    <t>&gt;BEA_2023_1010
TCTTGGGCTGTCAACCACTTTTCTCAGGGAAGAAGTCCTGACGGTACCTGAGGAATCAGCCTCGGCTAACTCCGTGCCAGCAGCCGCGGTAATACGGAGGAGGCAAGCGTTATCCGGAATTATTGGGCGTAAAGCGTCCGCAGGGGGCGCATCAAGTCTGCTGTTAAAGGTCGGAGCTAAACTCCGGTAGAGCAGTGGAAACTGGTGCGCTAGAGGGCGACAGGGGTAGAGGGAATTCCCAGTGTAGCGGTGAAATGCGTAGAGATTGGGAAGAACACCGGTGGCGAAAGCGCTCTACTGGGTCGCACCTGACCCTCAGGGACGAAAGCTAAGGTAGCGAAAGGGATTAGATACCCCTGTAGTCTTAGCCGTAAACGATGGATACTAGGCGTGGTTTGTATCGACCCAAGCCGTGCCGAAGCTAACGCGTTAAGTATCCCGCCTGGGGAGTACGCACGCAAGTGTGAAACTCAAAGGAATTGACGGGGGCCCGCACAAGCGGTGGAGGATGTGGTTTAATTCGATGCAACGCGAAGAACCTTACCAGGGCTTGACATCCCGCGAAGTCTGGGGAAACCCAGACGTGCCTACGGGAACGCGGAGACAGGTGGTGCATGGCTGTCGTCAGCTCGTGTCGTGAGATGTTGGGTTAAGTCCCGCAACGAGCGCAACCCTCGTCCTTAGTTGCCAGCATTAGGTTGGGCACTCTAGGGAGACTGCCGGTGACAAACCGGAGGAAGGTGAGGATGACGTCAAGTCAGCATGCCCCTTATGCTCTGGGCAACACACGTCCTACAATGGTCGGGACAAAGGGGAGCGAGCTCGCGAGAGTCAGCGAATCCCAGCAAACTCGGCCTCAGTTCAGATAGCAGGCTGCAACTCGCCTGCTTGAAGGAGGAATCGCTAGTAATCGCAGGTCAGCATACTGCGGTGAATTCGTTCCCGGGCCTTGTACACACCGCCCGTCACACCATGGAAGCTGGCCAAGCCCGAAGTCGTTACCCTAACCC</t>
  </si>
  <si>
    <t>&gt;BEA_2035_1002
GGTTGTAAACCTCTTTTCTCTGGGAAGAAGACCTGACGGTACCAGAGGAATAAGCCTCGGCTAACTCCGTGCCAGCAGCCGCGGTAAGACGGAGGAGGCAAGCGTTATCCGGAATTATTGGGCGTAAAGCGTCCGCAGGCGGCTTTTTAAGTCTGTTGTCAAAGGTCACAGCTCAACTGTGGATCGGCAATGGAAACTGGAGAGCTTGAGTGTGGTAGGGGTAGAGGGAATTCCCGGTGTAGCGGTGAAATGCGTAGATATCGGGAAGAACACCAGTGGCGAAGGCGCTCTACTGGGCCACAACTGACGCTGAGGGACGAAAGCTAGGGGAGCGAAAGGGATTAGATACCCCTGTAGTCCTAGCTGTAAACGATGGATACTAGGTGTTGCGCGTATCGACCCGTGCAGTACCGTAGCTAACGCGTTAAGTATCCCGCCTGGGGAGTACGCACGCAAGTGTGAAACTCAAAGGAATTGACGGGGGCCCGCACAAGCGGTGGAGGATGTGGTTTAATTCGATGCAACGCGAAGAACCTTACCAAGGCTTGACATGTCGCGAATCTTTCAGAGATGAGAGAGTGCCTTCGGGAACGCGAACACAGGTGGTGCATGGCTGTCGTCAGCTCGTGTCGTGAGATGTTGGGTTAAGTCCCGCAACGAGCGCAACCCTCGTTTTTAGTTGCCATCATTCAGTTGGGCACTCTAGAGAGACTGCCGTGGACAACACGGAGGAAGGTGGGGACGACGTCAAGTCATCATGCCCCTTACGTCTTGGGCTACACACGTCCTACAATGCTACGGACAGAGGGCAGCGAGCCAGTGATGGTAAGCAAATCCCATAAACCGTAGCTCAGTTCAGATTGCAGGCTGCAACTCGCCTGCATGAAGGCGGAATCGCTAGTAATCGCAGGTCAGCATACTGCGGTGAATACGTTCCCGGGCCTTGTACACACCGCCCGTCACACCATGGGAGTTGGCCACGCCCGAAGTCGTTACTCTAAC</t>
  </si>
  <si>
    <t>&gt;BEA_2039_1007
CTTGGGTTGTAAACCCCTTTTCTCAGGGAAGAAGCTCTGACGGTACCTGAGGAATCAGCCTCGGCTAACTCCGTGCCAGCAGCCGCGGTAATACGGAGGAGGCAAGCGTTATCCGGAATTATTGGGCGTAAAGCGTCCGCAGGTGGCCATTTAAGTCTGCTGTCAAAGACCGGGGCTCAACTCCGGGTCGGCAGTGGAAACTGGATGGCTAGAGTACGGTAGGGGTAGAGGGAATTCCCGGTGTAGCGGTGAAATGCGTAGAGATCGGGAAGAACACCGGTGGCGAAGGCGCTCTACTGGACCGTGACTGACACTCAGGGACGAAAGCTAGGGGAGCGAAAGGGATTAGATACCCCTGTAGTCCTAGCTGTAAACGATGGACACTAGGTGTTGTCTGTATCGACCCGGACAGTGCCGAAGCTAACGCGTTAAGTGTCCCGCCTGGGGAGTACGCACGCAAGTGTGAAACTCAAAGGAATTGACGGGGGCCCGCACAAGCGGTGGAGTATGTGGTTTAATTCGATGCAACGCGAAGAACCTTACCAGGGCTTGACATGTCGCGAACCTCGGGGAAACTCGAGGGTGCCTACGGGAACGCGAACACAGGTGGTGCATGGCTGTCGTCAGCTCGTGTCGTGAGATGTTGGGTTAAGTCCCGCAACGAGCGCAACCCTCGTCCTTAGTTGCCAGCATTAAGTTGGGCACTTTAGGGAGACTGCCGGTGATAAACCGGAGGAAGGTGGGGATGACGTCAAGTCAGCATGCCCCTTACGTCCTGGGCGACACACGTACTACAATGGTCGGGACAACGGGCAGCCAACTCGCGAGAGTGAGCTAATCCCCTAAACCCGGCCTCAGTTCAGATTGCAGGCTGCAACTCGCCTGCATGAAGGAGGAATCGCTAGTAATCGCCGGTCAGCATACGGCGGTGAATCCGTTCCCGGGCCTTGTACACACCGCCCGTCACACCATGGAAGCTGGCCACGCCCGAAGTCGTTACCCCAACC</t>
  </si>
  <si>
    <t>&gt;BEA_0431_23S_1782
CTTCGGTGATAGTGGCGGACGGGTGAGTAACACGTGAGAACCTACCTTCAGGACGGGGACAACAGTTGGAAACGACTGCTAATACCCGATGTGCCGAGAGGTGAAAGGATTTATTGCCTGAAGATGGGCTCGCGTCTGATTAGCTAGTTGGGGGTGTAAGAGACCACCAAGGCGACGATCAGTAGCTGGTCTGAGAGGATGAGCAGCCACACTGGGACTGAGACACGGCCCAGACTCCTACGGGAGGCAGCAGTGGGGAATTTTCCGCAATGGGCGAAAGCCTGACGGAGCAATACCGCGTGAGGGAGGAAGGTCCTTGGATTGTAAACCTCTTTTATCAGGGAAGAAAAAAATGACGGTACCTGATGAATAAGCATCGGCTAACTCCGTGCCAGCAGCCGCGGTAATACGGAGGATGCGAGCGTTATCCGGAATTATTGGGCGTAAAGCGTCCGTAGGTGGTTTTGCAAGTCTGCCGTTAAAGAATGGAGCTTAACTCCATAGGGGCGGTGGAAACTGTGAGACTAGAGTACAGTAGGGGTAGCAGGAATTCCCAGTGTAGCGGTGAAATGCGTAGATATTGGGAAGAACATCGGTGGCGAAAGCGTGCTACTGGGCTGAAACTGACACTGAGGGACGAAAGCTAGGGTAGCGAAAGGGATTAGATACCCCTGTAGTCCTAGCCGTAAACGATGGATACTAGGCGTGGCTTGTATCGACCCGAGCCGTGCCGAAGCTAACGCGTTAAGTATCCCGCCTGGGGAGTACGCTCGCAAGAGTGAAACTCAAAGGAATTGACGGGGGCCCGCACAAGCGGTGGAGTATGTGGTTTAATTCGATGCAACGCGAAGAACCTTACCAAGGCTTGACATCCCTGGAATCCCGGTGAAAGCTGGGAGTGCCTTAGGGAGCCAGGAGACAGGTGGTGCATGGCTGTCGTCAGCTCGTGTCGTGAGATGTTGGGTTAAGTCCCGCAACGAGCGCAACCCTCGTTTTTAGTTGCCATCATTAAGTTGGGCACTCTAGAGAGACTGCCGGTGACAAACCGGAGGAAGGTGGGGATGACGTCAAGTCATCATGCCCCTTACGCCTTGGGCTACACACGTACTACAATGGTCGGGACAACGGGCAGCAAAACCGCGAGGTCAAGCGAATCCCAACAAACCCGGCCTCAGTTCAGATTGCAGGCTGCAACTCGCCTGCATGAAGGAGGAATCGCTAGTAATCGCAGGTCAGAATACTGCGGTGAATTCGTTCCCGGGCCTTGTACACACCGCCCGTCACACCATGGGAGCTGGTCACGCCCGAAGTCGTTACTCTAACCTTTCGAGGGGGAGGGCGCCGAAGGCAGGGCTAGTGACTGGGGTGAAGTCGTAACAAGGTAGCCGTACCGGAAGGTGTGGCTGGATCACCTCCTTAAAGGGAGACCTGTACCCCTTCAGACCGAAAGCAAAGTGCAAATAGGGAAGAAGATGGTCACCTAAAAGGTCGAGCAAGGAAAAAGAAGAAAGTCTTTCAAACTATTGACTAGGGAAGGGAAAAGGGCTATTAGCTCAGCTGGTTAGAGCGCACCCCTGATAAGGGTGAGGTCTCTGGTTCGAGTCCAGAATGGCCCACCTAACCAACAAAAAAAAGGGAAACCTTTCAGCATCCTATCTGGTGAGAGTCAGAGGGAATGCTGGATGAAAATCCAGTAAGAACCTTGAAAACTGCATAAAGAAAAGAGAAAGCAGGGAAAACTTTGCAGAAAGTGTAAGAACTGAAGTAAAGTGTCCTAGTAG</t>
  </si>
  <si>
    <t>1_3MARZO</t>
  </si>
  <si>
    <t>Embarcadero_cadiz</t>
  </si>
  <si>
    <t>Malaga</t>
  </si>
  <si>
    <t>RP91_1</t>
  </si>
  <si>
    <t>1_1_MARZO</t>
  </si>
  <si>
    <t>1_3_MARZO</t>
  </si>
  <si>
    <t>Roqueprieto_nov_</t>
  </si>
  <si>
    <t>RP2MAYO_</t>
  </si>
  <si>
    <t>RP3MAYO_</t>
  </si>
  <si>
    <t>AH1A10_</t>
  </si>
  <si>
    <t>PROYECTO</t>
  </si>
  <si>
    <t>BEA0033</t>
  </si>
  <si>
    <t>CAJA 5 ALMACEN PELLET DINO TETRA CHLORO</t>
  </si>
  <si>
    <t>BEA0098X1</t>
  </si>
  <si>
    <t>BEA0098X2</t>
  </si>
  <si>
    <t>BEA0647X1</t>
  </si>
  <si>
    <t>BEA0647X2</t>
  </si>
  <si>
    <t>BEA0650X1</t>
  </si>
  <si>
    <t>BEA0650X2</t>
  </si>
  <si>
    <t>BEA0660X1</t>
  </si>
  <si>
    <t>BEA0660X2</t>
  </si>
  <si>
    <t>BEA1321X1</t>
  </si>
  <si>
    <t>BEA1321X2</t>
  </si>
  <si>
    <t>BEA0754</t>
  </si>
  <si>
    <t>BEA0758X1</t>
  </si>
  <si>
    <t>BEA0758X2</t>
  </si>
  <si>
    <t>BEA1519</t>
  </si>
  <si>
    <t>BEA1620</t>
  </si>
  <si>
    <t>BEA1634</t>
  </si>
  <si>
    <t>BEA1652</t>
  </si>
  <si>
    <t>BEA1664</t>
  </si>
  <si>
    <t>BEA1520</t>
  </si>
  <si>
    <t>BEA1653</t>
  </si>
  <si>
    <t>BEA1819</t>
  </si>
  <si>
    <t>BEA1820</t>
  </si>
  <si>
    <t>BEA1923</t>
  </si>
  <si>
    <t>BEA1684X1</t>
  </si>
  <si>
    <t>BEA1684X2</t>
  </si>
  <si>
    <t>BEA1822</t>
  </si>
  <si>
    <t>BEA1679</t>
  </si>
  <si>
    <t>BEA0574X4</t>
  </si>
  <si>
    <t>CAJA 6 ALMACEN PELLET CLHOROPHYCEAE</t>
  </si>
  <si>
    <t>BEA0576X4</t>
  </si>
  <si>
    <t>BEA1260X5</t>
  </si>
  <si>
    <t>BEA1263X2</t>
  </si>
  <si>
    <t>BEA1264X5</t>
  </si>
  <si>
    <t>BEA1265X6</t>
  </si>
  <si>
    <t>BEA1325X5</t>
  </si>
  <si>
    <t>BEA1327X2</t>
  </si>
  <si>
    <t>BEA1344</t>
  </si>
  <si>
    <t>BEA1381X3</t>
  </si>
  <si>
    <t>BEA1383X3</t>
  </si>
  <si>
    <t>BEA1384X4</t>
  </si>
  <si>
    <t>BEA1385X5</t>
  </si>
  <si>
    <t>BEA1415X2</t>
  </si>
  <si>
    <t>BEA1497X4</t>
  </si>
  <si>
    <t>BEA1839</t>
  </si>
  <si>
    <t>BES1865</t>
  </si>
  <si>
    <t>BEA1851</t>
  </si>
  <si>
    <t>BEA1102X1</t>
  </si>
  <si>
    <t>CAJA ADN TETRASELMIS</t>
  </si>
  <si>
    <t>BEA1102X2</t>
  </si>
  <si>
    <t>BEA1102X3</t>
  </si>
  <si>
    <t>BEA1102X4</t>
  </si>
  <si>
    <t>BEA0754X1</t>
  </si>
  <si>
    <t>BEA0754X2</t>
  </si>
  <si>
    <t>BEA0754X3</t>
  </si>
  <si>
    <t>BEA0078X1</t>
  </si>
  <si>
    <t>BEA0078X2</t>
  </si>
  <si>
    <t>BEA0078X3</t>
  </si>
  <si>
    <t>BEA1323X1</t>
  </si>
  <si>
    <t>BEA13232X2</t>
  </si>
  <si>
    <t>BEA13232X3</t>
  </si>
  <si>
    <t>BEA1323X4</t>
  </si>
  <si>
    <t>BEA0077X1</t>
  </si>
  <si>
    <t>BEA0077X2</t>
  </si>
  <si>
    <t>BEA0077X3</t>
  </si>
  <si>
    <t>BEA0077X4</t>
  </si>
  <si>
    <t>BEA0077X5</t>
  </si>
  <si>
    <t>BEA0077X6</t>
  </si>
  <si>
    <t>ENTREPBR1</t>
  </si>
  <si>
    <t>CAJA 3 ALMACÉN PELLET</t>
  </si>
  <si>
    <t>ENTREPBR2</t>
  </si>
  <si>
    <t>ENTREPBR3</t>
  </si>
  <si>
    <t>ENTREPBR4</t>
  </si>
  <si>
    <t>VAL7.1</t>
  </si>
  <si>
    <t>BEA0571X1</t>
  </si>
  <si>
    <t>BEA0571X2</t>
  </si>
  <si>
    <t>BEA0515</t>
  </si>
  <si>
    <t>BEA1081X1</t>
  </si>
  <si>
    <t>BEA1081X2</t>
  </si>
  <si>
    <t>BEA1196</t>
  </si>
  <si>
    <t>BEA1572X1</t>
  </si>
  <si>
    <t>BEA1572X2</t>
  </si>
  <si>
    <t>BEA1572X3</t>
  </si>
  <si>
    <t>BEA0079/1</t>
  </si>
  <si>
    <t>BEA0532</t>
  </si>
  <si>
    <t>BEA0668</t>
  </si>
  <si>
    <t>BEA1204X1</t>
  </si>
  <si>
    <t>PELLET DIATOMEAS</t>
  </si>
  <si>
    <t>BEA1204X2</t>
  </si>
  <si>
    <t>CAJA 4 ALMACEN  PELLET DIATOMEAS</t>
  </si>
  <si>
    <t>BEA1204X3</t>
  </si>
  <si>
    <t>BEA1204X4</t>
  </si>
  <si>
    <t>BEA1307X1</t>
  </si>
  <si>
    <t>BEA1307X2</t>
  </si>
  <si>
    <t>BEA1310X1</t>
  </si>
  <si>
    <t>BEA1310X2</t>
  </si>
  <si>
    <t>BEA1311X1</t>
  </si>
  <si>
    <t>BEA1311X2</t>
  </si>
  <si>
    <t>BEA1317X1</t>
  </si>
  <si>
    <t>BEA1317X2</t>
  </si>
  <si>
    <t>BEA1373X1</t>
  </si>
  <si>
    <t>BEA1373X2</t>
  </si>
  <si>
    <t>BEA1552X1</t>
  </si>
  <si>
    <t>BEA1552X2</t>
  </si>
  <si>
    <t>BEA1627X1</t>
  </si>
  <si>
    <t>BEA1627X2</t>
  </si>
  <si>
    <t>BEA1629</t>
  </si>
  <si>
    <t>BEA1854X1</t>
  </si>
  <si>
    <t>BEA1854X2</t>
  </si>
  <si>
    <t>BEA1855X1</t>
  </si>
  <si>
    <t>BEA1855X2</t>
  </si>
  <si>
    <t>BEA1856X1</t>
  </si>
  <si>
    <t>BEA1856X2</t>
  </si>
  <si>
    <t>BEA1856X3</t>
  </si>
  <si>
    <t>BEA1857X1</t>
  </si>
  <si>
    <t>BEA1857X2</t>
  </si>
  <si>
    <t>BEA1628</t>
  </si>
  <si>
    <t>BEA1691</t>
  </si>
  <si>
    <t>BEA1693X1</t>
  </si>
  <si>
    <t>BEA1693X2</t>
  </si>
  <si>
    <t>BEA1855X3</t>
  </si>
  <si>
    <t>BEA1856X4</t>
  </si>
  <si>
    <t>BEA1898X1</t>
  </si>
  <si>
    <t>BEA1857X3</t>
  </si>
  <si>
    <t>BEA1857X4</t>
  </si>
  <si>
    <t>BEA1867X1</t>
  </si>
  <si>
    <t>BEA1867X2</t>
  </si>
  <si>
    <t>BEA1867X3</t>
  </si>
  <si>
    <t>BEA1867X4</t>
  </si>
  <si>
    <t>BEA1867X5</t>
  </si>
  <si>
    <t>BEA1898X2</t>
  </si>
  <si>
    <t>BEA1867X6</t>
  </si>
  <si>
    <t>BEA1868X1</t>
  </si>
  <si>
    <t>BEA1868X2</t>
  </si>
  <si>
    <t>BEA1868X3</t>
  </si>
  <si>
    <t>BEA1868X4</t>
  </si>
  <si>
    <t>BEA1868X5</t>
  </si>
  <si>
    <t>BEA1868X6</t>
  </si>
  <si>
    <t>BEA1869X1</t>
  </si>
  <si>
    <t>BEA1869X2</t>
  </si>
  <si>
    <t>BEA1869X3</t>
  </si>
  <si>
    <t>BEA1869X4</t>
  </si>
  <si>
    <t>BEA1869X5</t>
  </si>
  <si>
    <t>BEA1870X6</t>
  </si>
  <si>
    <t>BEA1871X6</t>
  </si>
  <si>
    <t>BEA1872X5</t>
  </si>
  <si>
    <t>BEA1873X5</t>
  </si>
  <si>
    <t>BEA1875X5</t>
  </si>
  <si>
    <t>BEA1898</t>
  </si>
  <si>
    <t>BEA0017</t>
  </si>
  <si>
    <t xml:space="preserve">CAJA 1 PELLET CIANOBACTERIAS 1 </t>
  </si>
  <si>
    <t>BEA0011</t>
  </si>
  <si>
    <t>BEA1173</t>
  </si>
  <si>
    <t>BEA0016</t>
  </si>
  <si>
    <t>BEA0006</t>
  </si>
  <si>
    <t>BEA1487</t>
  </si>
  <si>
    <t>BEA0876</t>
  </si>
  <si>
    <t>BEA1191</t>
  </si>
  <si>
    <t>BEA0942</t>
  </si>
  <si>
    <t>BEA0007</t>
  </si>
  <si>
    <t>BEA0009</t>
  </si>
  <si>
    <t>BEA0012</t>
  </si>
  <si>
    <t>BEA009X2</t>
  </si>
  <si>
    <t>BEA0875</t>
  </si>
  <si>
    <t>BEA0875X2</t>
  </si>
  <si>
    <t>BEA1876X2</t>
  </si>
  <si>
    <t>BEA0593</t>
  </si>
  <si>
    <t>BEA1500</t>
  </si>
  <si>
    <t>BEA1535X2</t>
  </si>
  <si>
    <t>BEA0005</t>
  </si>
  <si>
    <t>BEA0043</t>
  </si>
  <si>
    <t>BEA1535X3</t>
  </si>
  <si>
    <t>BEA1826</t>
  </si>
  <si>
    <t>BEA0042X1</t>
  </si>
  <si>
    <t>BEA0042X2</t>
  </si>
  <si>
    <t>BEA0042X3</t>
  </si>
  <si>
    <t>BEA0042X4</t>
  </si>
  <si>
    <t>CAJA 2 PELLET CIANOBACTERIAS 2</t>
  </si>
  <si>
    <t>BEA1479</t>
  </si>
  <si>
    <t>BEA1527</t>
  </si>
  <si>
    <t>BEA1527X2</t>
  </si>
  <si>
    <t>BEA1508</t>
  </si>
  <si>
    <t>BEA1335X2</t>
  </si>
  <si>
    <t>BEA1533X2</t>
  </si>
  <si>
    <t>CAJÓN 285</t>
  </si>
  <si>
    <t>CAJÓN 286</t>
  </si>
  <si>
    <t>CAJÓN 287</t>
  </si>
  <si>
    <t>CAJÓN 288</t>
  </si>
  <si>
    <t>CAJÓN 289</t>
  </si>
  <si>
    <t>CAJÓN 290</t>
  </si>
  <si>
    <t>CAJÓN 291</t>
  </si>
  <si>
    <t>CAJÓN 292</t>
  </si>
  <si>
    <t>CAJÓN 293</t>
  </si>
  <si>
    <t>CAJÓN 294</t>
  </si>
  <si>
    <t>CAJÓN 295</t>
  </si>
  <si>
    <t>CAJÓN 296</t>
  </si>
  <si>
    <t>CAJÓN 297</t>
  </si>
  <si>
    <t>CAJÓN 298</t>
  </si>
  <si>
    <t>CAJÓN 299</t>
  </si>
  <si>
    <t>CAJÓN 300</t>
  </si>
  <si>
    <t>CAJÓN 301</t>
  </si>
  <si>
    <t>CAJÓN 302</t>
  </si>
  <si>
    <t>CAJÓN 303</t>
  </si>
  <si>
    <t>CAJÓN 304</t>
  </si>
  <si>
    <t>CAJÓN 305</t>
  </si>
  <si>
    <t>CAJÓN 306</t>
  </si>
  <si>
    <t>CAJÓN 307</t>
  </si>
  <si>
    <t>CAJÓN 308</t>
  </si>
  <si>
    <t>CAJÓN 309</t>
  </si>
  <si>
    <t>CAJÓN 310</t>
  </si>
  <si>
    <t>CAJÓN 311</t>
  </si>
  <si>
    <t>CAJÓN 312</t>
  </si>
  <si>
    <t>CAJÓN 313</t>
  </si>
  <si>
    <t>CAJÓN 314</t>
  </si>
  <si>
    <t>CAJÓN 315</t>
  </si>
  <si>
    <t>CAJÓN 316</t>
  </si>
  <si>
    <t>CAJÓN 317</t>
  </si>
  <si>
    <t>CAJÓN 318</t>
  </si>
  <si>
    <t>CAJÓN 319</t>
  </si>
  <si>
    <t>CAJÓN 320</t>
  </si>
  <si>
    <t>CAJÓN 321</t>
  </si>
  <si>
    <t>CAJÓN 322</t>
  </si>
  <si>
    <t>CAJÓN 323</t>
  </si>
  <si>
    <t>CAJÓN 324</t>
  </si>
  <si>
    <t>CAJÓN 325</t>
  </si>
  <si>
    <t>CAJÓN 326</t>
  </si>
  <si>
    <t>CAJÓN 327</t>
  </si>
  <si>
    <t>CAJÓN 328</t>
  </si>
  <si>
    <t>CAJÓN 329</t>
  </si>
  <si>
    <t>CAJÓN 330</t>
  </si>
  <si>
    <t>CAJÓN 331</t>
  </si>
  <si>
    <t>CAJÓN 332</t>
  </si>
  <si>
    <t>CAJÓN 333</t>
  </si>
  <si>
    <t>CAJÓN 334</t>
  </si>
  <si>
    <t>CAJÓN 335</t>
  </si>
  <si>
    <t>CAJÓN 336</t>
  </si>
  <si>
    <t>CAJÓN 337</t>
  </si>
  <si>
    <t>CAJÓN 338</t>
  </si>
  <si>
    <t>CAJÓN 339</t>
  </si>
  <si>
    <t>CAJÓN 340</t>
  </si>
  <si>
    <t>CAJÓN 341</t>
  </si>
  <si>
    <t>CAJÓN 342</t>
  </si>
  <si>
    <t>CAJÓN 343</t>
  </si>
  <si>
    <t>CAJÓN 344</t>
  </si>
  <si>
    <t>CAJÓN 345</t>
  </si>
  <si>
    <t>CAJÓN 346</t>
  </si>
  <si>
    <t>CAJÓN 347</t>
  </si>
  <si>
    <t>CAJÓN 348</t>
  </si>
  <si>
    <t>CAJÓN 349</t>
  </si>
  <si>
    <t>CAJÓN 350</t>
  </si>
  <si>
    <t>BEA 0005B</t>
  </si>
  <si>
    <t>BEA 0006</t>
  </si>
  <si>
    <t>BEA 0007</t>
  </si>
  <si>
    <t>BEA 0009</t>
  </si>
  <si>
    <t>BEA 0010</t>
  </si>
  <si>
    <t>BEA 0011</t>
  </si>
  <si>
    <t>BEA 0012</t>
  </si>
  <si>
    <t>BEA 0016</t>
  </si>
  <si>
    <t>BEA 0017</t>
  </si>
  <si>
    <t>BEA 0021B</t>
  </si>
  <si>
    <t>BEA 0042</t>
  </si>
  <si>
    <t>BEA 0043</t>
  </si>
  <si>
    <t>BEA 0593</t>
  </si>
  <si>
    <t>BEA 0766</t>
  </si>
  <si>
    <t>BEA 0773B</t>
  </si>
  <si>
    <t>BEA 0782B</t>
  </si>
  <si>
    <t>BEA 0861B X1</t>
  </si>
  <si>
    <t>BEA 0861B X2</t>
  </si>
  <si>
    <t>BEA 0875</t>
  </si>
  <si>
    <t>BEA 0912</t>
  </si>
  <si>
    <t>BEA 0944</t>
  </si>
  <si>
    <t>BEA 0972B</t>
  </si>
  <si>
    <t>BEA 0976B</t>
  </si>
  <si>
    <t>BEA 1016B</t>
  </si>
  <si>
    <t>BEA 1150B</t>
  </si>
  <si>
    <t>BEA 1230</t>
  </si>
  <si>
    <t>BEA 1428</t>
  </si>
  <si>
    <t>BEA 1455</t>
  </si>
  <si>
    <t>BEA 1471B</t>
  </si>
  <si>
    <t>BEA 1486</t>
  </si>
  <si>
    <t>BEA 1487</t>
  </si>
  <si>
    <t>BEA 1543</t>
  </si>
  <si>
    <t>BEA 1561</t>
  </si>
  <si>
    <t>BEA 1563</t>
  </si>
  <si>
    <t>BEA 1565</t>
  </si>
  <si>
    <t>BEA 1566B</t>
  </si>
  <si>
    <t>BEA 1567</t>
  </si>
  <si>
    <t>BEA 1575</t>
  </si>
  <si>
    <t>BEA 1578</t>
  </si>
  <si>
    <t>BEA 1595</t>
  </si>
  <si>
    <t>BEA 1646</t>
  </si>
  <si>
    <t>BEA 1666 ciano</t>
  </si>
  <si>
    <t>BEA 1829</t>
  </si>
  <si>
    <t>BEA 1833</t>
  </si>
  <si>
    <t>BEA 1839</t>
  </si>
  <si>
    <t>BEA 1841</t>
  </si>
  <si>
    <t>BEA 1844</t>
  </si>
  <si>
    <t>BEA 1877</t>
  </si>
  <si>
    <t>BEA 1888</t>
  </si>
  <si>
    <t>BEA 1902B</t>
  </si>
  <si>
    <t>BEA 1916</t>
  </si>
  <si>
    <t>BEA 2023B</t>
  </si>
  <si>
    <t>BEA 2024</t>
  </si>
  <si>
    <t>BEA 2035B</t>
  </si>
  <si>
    <t>BEA 0037</t>
  </si>
  <si>
    <t>BEA 0087</t>
  </si>
  <si>
    <t>BEA 0300 X2</t>
  </si>
  <si>
    <t>BEA 0473 X1</t>
  </si>
  <si>
    <t>BEA 0473 X2</t>
  </si>
  <si>
    <t>BEA 0473 X3</t>
  </si>
  <si>
    <t>BEA 0473 X4</t>
  </si>
  <si>
    <t>BEA 0473 X5</t>
  </si>
  <si>
    <t>BEA 0478</t>
  </si>
  <si>
    <t>BEA 0478 X2</t>
  </si>
  <si>
    <t>BEA 0481</t>
  </si>
  <si>
    <t>BEA 0906</t>
  </si>
  <si>
    <t>BEA 0918</t>
  </si>
  <si>
    <t>BEA 0965</t>
  </si>
  <si>
    <t>BEA 1021</t>
  </si>
  <si>
    <t>BEA 1041</t>
  </si>
  <si>
    <t>BEA 1049</t>
  </si>
  <si>
    <t>BEA 1049 X2</t>
  </si>
  <si>
    <t>BEA 1054</t>
  </si>
  <si>
    <t>BEA 1058</t>
  </si>
  <si>
    <t>BEA 1059 1</t>
  </si>
  <si>
    <t>BEA 1069</t>
  </si>
  <si>
    <t>BEA 1224</t>
  </si>
  <si>
    <t>BEA 1253 X1</t>
  </si>
  <si>
    <t>BEA 1253 X2</t>
  </si>
  <si>
    <t>BEA 1278</t>
  </si>
  <si>
    <t>BEA 1280</t>
  </si>
  <si>
    <t>BEA 1304</t>
  </si>
  <si>
    <t>BEA 1329</t>
  </si>
  <si>
    <t>BEA 1335</t>
  </si>
  <si>
    <t>BEA 1358</t>
  </si>
  <si>
    <t>BEA 1456 cyano</t>
  </si>
  <si>
    <t>BEA 1472</t>
  </si>
  <si>
    <t>BEA 1473</t>
  </si>
  <si>
    <t>BEA 1482</t>
  </si>
  <si>
    <t>BEA 1509</t>
  </si>
  <si>
    <t>BEA 1547</t>
  </si>
  <si>
    <t>BEA 1554 B</t>
  </si>
  <si>
    <t>BEA 1558</t>
  </si>
  <si>
    <t>BEA 1559</t>
  </si>
  <si>
    <t>BEA 1564</t>
  </si>
  <si>
    <t>BEA 1568B</t>
  </si>
  <si>
    <t>BEA 1569B</t>
  </si>
  <si>
    <t>BEA 1571 B</t>
  </si>
  <si>
    <t>BEA 1574</t>
  </si>
  <si>
    <t>BEA 1576</t>
  </si>
  <si>
    <t>BEA 1583</t>
  </si>
  <si>
    <t>BEA 1584</t>
  </si>
  <si>
    <t>BEA 1597</t>
  </si>
  <si>
    <t>BEA 1599 B</t>
  </si>
  <si>
    <t>BEA 1827</t>
  </si>
  <si>
    <t>BEA 1831</t>
  </si>
  <si>
    <t>BEA 1832 B</t>
  </si>
  <si>
    <t>BEA 1840 B</t>
  </si>
  <si>
    <t>BEA 1876</t>
  </si>
  <si>
    <t>BEA 1896B</t>
  </si>
  <si>
    <t>BEA 1901</t>
  </si>
  <si>
    <t>BEA 2028B</t>
  </si>
  <si>
    <t>BEA 2101</t>
  </si>
  <si>
    <t>BEA 2102</t>
  </si>
  <si>
    <t>BEA 2103</t>
  </si>
  <si>
    <t>BEA 2126</t>
  </si>
  <si>
    <t>BEA 2127</t>
  </si>
  <si>
    <t>BEA 2131</t>
  </si>
  <si>
    <t>BEA 0008</t>
  </si>
  <si>
    <t>BEA 0089</t>
  </si>
  <si>
    <t>BEA 0854</t>
  </si>
  <si>
    <t>BEA 0984</t>
  </si>
  <si>
    <t>BEA 1017</t>
  </si>
  <si>
    <t>BEA 1059</t>
  </si>
  <si>
    <t>BEA 1067</t>
  </si>
  <si>
    <t>BEA 1189</t>
  </si>
  <si>
    <t>BEA 1256</t>
  </si>
  <si>
    <t>BEA 1442</t>
  </si>
  <si>
    <t>BEA 1484B</t>
  </si>
  <si>
    <t>BEA 1484B 2</t>
  </si>
  <si>
    <t>BEA 1484B 3</t>
  </si>
  <si>
    <t>BEA 1512</t>
  </si>
  <si>
    <t>BEA 1533B 2</t>
  </si>
  <si>
    <t>BEA 1534</t>
  </si>
  <si>
    <t>BEA 1535B</t>
  </si>
  <si>
    <t>BEA 1537</t>
  </si>
  <si>
    <t>BEA 1542</t>
  </si>
  <si>
    <t>BEA 1550</t>
  </si>
  <si>
    <t>BEA 1555</t>
  </si>
  <si>
    <t>BEA 1557</t>
  </si>
  <si>
    <t>BEA 1560 1</t>
  </si>
  <si>
    <t>BEA 1560 2</t>
  </si>
  <si>
    <t>BEA 1562</t>
  </si>
  <si>
    <t>BEA 1562 1/3</t>
  </si>
  <si>
    <t>BEA 1562 2/3</t>
  </si>
  <si>
    <t>BEA 1562 3/3</t>
  </si>
  <si>
    <t>BEA 1571</t>
  </si>
  <si>
    <t>BEA 1572</t>
  </si>
  <si>
    <t>BEA 1579</t>
  </si>
  <si>
    <t>BEA 1580 X1</t>
  </si>
  <si>
    <t>BEA 1580 X2</t>
  </si>
  <si>
    <t>BEA 1581B</t>
  </si>
  <si>
    <t>BEA 1585B X1</t>
  </si>
  <si>
    <t>BEA 1585B X2</t>
  </si>
  <si>
    <t>BEA 1587</t>
  </si>
  <si>
    <t>BEA 1603</t>
  </si>
  <si>
    <t>BEA 1639</t>
  </si>
  <si>
    <t>BEA 1645B 1</t>
  </si>
  <si>
    <t>BEA 1645B 2</t>
  </si>
  <si>
    <t>BEA 1659B</t>
  </si>
  <si>
    <t>BEA 1696</t>
  </si>
  <si>
    <t>BEA 1842</t>
  </si>
  <si>
    <t>BEA 1843</t>
  </si>
  <si>
    <t>BEA 1849</t>
  </si>
  <si>
    <t>BEA 1880B</t>
  </si>
  <si>
    <t>BEA 1915</t>
  </si>
  <si>
    <t>BEA 2168</t>
  </si>
  <si>
    <t>REC 0031B</t>
  </si>
  <si>
    <t>BEA 0876</t>
  </si>
  <si>
    <t>BEA 0915</t>
  </si>
  <si>
    <t>BEA 1060</t>
  </si>
  <si>
    <t>BEA 1077</t>
  </si>
  <si>
    <t>BEA 1201</t>
  </si>
  <si>
    <t>BEA 1237</t>
  </si>
  <si>
    <t>BEA 1277B</t>
  </si>
  <si>
    <t>BEA 1279</t>
  </si>
  <si>
    <t>BEA 1430</t>
  </si>
  <si>
    <t>BEA 1463</t>
  </si>
  <si>
    <t>BEA 1483</t>
  </si>
  <si>
    <t>BEA 1484</t>
  </si>
  <si>
    <t>BEA 1533</t>
  </si>
  <si>
    <t>BEA 1544B</t>
  </si>
  <si>
    <t>BEA 1582</t>
  </si>
  <si>
    <t>BEA 1601</t>
  </si>
  <si>
    <t>BEA 1602</t>
  </si>
  <si>
    <t>BEA 1605</t>
  </si>
  <si>
    <t>BEA 1639B</t>
  </si>
  <si>
    <t>BEA 1639B X2</t>
  </si>
  <si>
    <t>BEA 1644</t>
  </si>
  <si>
    <t>BEA 1666</t>
  </si>
  <si>
    <t>BEA 1835</t>
  </si>
  <si>
    <t>BEA 1876B</t>
  </si>
  <si>
    <t>BEA 1895B</t>
  </si>
  <si>
    <t>BEA 1900</t>
  </si>
  <si>
    <t>BEA 1914B</t>
  </si>
  <si>
    <t>BEA 2025 X1</t>
  </si>
  <si>
    <t>BEA 2025 X2</t>
  </si>
  <si>
    <t>BEA 2039 X2</t>
  </si>
  <si>
    <t>BEA 2106</t>
  </si>
  <si>
    <t>BEA 0088</t>
  </si>
  <si>
    <t>BEA 0095</t>
  </si>
  <si>
    <t>BEA 0300</t>
  </si>
  <si>
    <t>BEA 0571</t>
  </si>
  <si>
    <t>BEA 0605B</t>
  </si>
  <si>
    <t>BEA 0786B</t>
  </si>
  <si>
    <t>BEA 0850</t>
  </si>
  <si>
    <t>BEA 0866</t>
  </si>
  <si>
    <t>BEA 0912B</t>
  </si>
  <si>
    <t>BEA 0920</t>
  </si>
  <si>
    <t>BEA 1031</t>
  </si>
  <si>
    <t>BEA 1081</t>
  </si>
  <si>
    <t>BEA 1138</t>
  </si>
  <si>
    <t>BEA 1201B</t>
  </si>
  <si>
    <t>BEA 1210</t>
  </si>
  <si>
    <t>BEA 1218</t>
  </si>
  <si>
    <t>BEA 1223B</t>
  </si>
  <si>
    <t>BEA 1241B</t>
  </si>
  <si>
    <t>BEA 1335B</t>
  </si>
  <si>
    <t>BEA 1456</t>
  </si>
  <si>
    <t>BEA 0069B</t>
  </si>
  <si>
    <t>Caja 2.a microalgas</t>
  </si>
  <si>
    <t>BEA 0076B</t>
  </si>
  <si>
    <t>BEA 0077</t>
  </si>
  <si>
    <t>BEA 0077B</t>
  </si>
  <si>
    <t>BEA 0078</t>
  </si>
  <si>
    <t>BEA 0078/1</t>
  </si>
  <si>
    <t>BEA 0078/2</t>
  </si>
  <si>
    <t>BEA 0078B</t>
  </si>
  <si>
    <t>BEA 0078B/1</t>
  </si>
  <si>
    <t>BEA 0079/2</t>
  </si>
  <si>
    <t>BEA 0148</t>
  </si>
  <si>
    <t>BEA 0158</t>
  </si>
  <si>
    <t>BEA 0287</t>
  </si>
  <si>
    <t>BEA 0297</t>
  </si>
  <si>
    <t>BEA 0355</t>
  </si>
  <si>
    <t>BEA 0359</t>
  </si>
  <si>
    <t>BEA 0364</t>
  </si>
  <si>
    <t>BEA 0365</t>
  </si>
  <si>
    <t>BEA 0379</t>
  </si>
  <si>
    <t>BEA 0441</t>
  </si>
  <si>
    <t>BEA 0456</t>
  </si>
  <si>
    <t>BEA 0484</t>
  </si>
  <si>
    <t>BEA 0532</t>
  </si>
  <si>
    <t>BEA 0589</t>
  </si>
  <si>
    <t>BEA 0647</t>
  </si>
  <si>
    <t>BEA 0651B</t>
  </si>
  <si>
    <t>BEA 0660</t>
  </si>
  <si>
    <t>BEA 0668</t>
  </si>
  <si>
    <t>BEA 0754B</t>
  </si>
  <si>
    <t>BEA 0800</t>
  </si>
  <si>
    <t>BEA 0800 vac</t>
  </si>
  <si>
    <t>BEA 0834</t>
  </si>
  <si>
    <t>BEA 0837</t>
  </si>
  <si>
    <t>BEA 0928</t>
  </si>
  <si>
    <t>BEA 1102B</t>
  </si>
  <si>
    <t>BEA 1113B</t>
  </si>
  <si>
    <t>BEA 1192</t>
  </si>
  <si>
    <t>BEA 1229</t>
  </si>
  <si>
    <t>BEA 1229B</t>
  </si>
  <si>
    <t>BEA 1258</t>
  </si>
  <si>
    <t>BEA 1259</t>
  </si>
  <si>
    <t>BEA 1291B</t>
  </si>
  <si>
    <t>BEA 1312</t>
  </si>
  <si>
    <t>BEA 1323B</t>
  </si>
  <si>
    <t>BEA 1367</t>
  </si>
  <si>
    <t>BEA 1383</t>
  </si>
  <si>
    <t>BEA 1486B</t>
  </si>
  <si>
    <t>BEA 1507</t>
  </si>
  <si>
    <t>BEA 1573</t>
  </si>
  <si>
    <t>BEA 1648</t>
  </si>
  <si>
    <t>Caja 2.b microalgas</t>
  </si>
  <si>
    <t>BEA 1689</t>
  </si>
  <si>
    <t>BEA 1810B</t>
  </si>
  <si>
    <t>BEA 1858 B</t>
  </si>
  <si>
    <t>BEA 1865</t>
  </si>
  <si>
    <t>BEA 1875</t>
  </si>
  <si>
    <t>BEA 1878</t>
  </si>
  <si>
    <t>BEA 1880</t>
  </si>
  <si>
    <t>BEA 1885</t>
  </si>
  <si>
    <t>BEA 1886</t>
  </si>
  <si>
    <t>BEA 1887</t>
  </si>
  <si>
    <t>BEA 1890 B</t>
  </si>
  <si>
    <t>BEA 1906</t>
  </si>
  <si>
    <t>BEA 1908</t>
  </si>
  <si>
    <t>BEA 1909</t>
  </si>
  <si>
    <t>BEA 1911</t>
  </si>
  <si>
    <t>BEA 1912</t>
  </si>
  <si>
    <t>BEA 1948</t>
  </si>
  <si>
    <t>BEA 1982</t>
  </si>
  <si>
    <t>BEA 1993</t>
  </si>
  <si>
    <t>BEA 1996</t>
  </si>
  <si>
    <t>BEA 1997</t>
  </si>
  <si>
    <t>BEA 1999</t>
  </si>
  <si>
    <t>BEA 2000</t>
  </si>
  <si>
    <t>BEA 2032B</t>
  </si>
  <si>
    <t>BEA 2036</t>
  </si>
  <si>
    <t>BEA 2041 X2</t>
  </si>
  <si>
    <t>BEA 2041 X4</t>
  </si>
  <si>
    <t>BEA 2041 X5</t>
  </si>
  <si>
    <t>BEA 2086B</t>
  </si>
  <si>
    <t>BEA 2087</t>
  </si>
  <si>
    <t>BEA 2087B</t>
  </si>
  <si>
    <t>BEA 2089</t>
  </si>
  <si>
    <t>BEA 2089 X2</t>
  </si>
  <si>
    <t>BEA 2118</t>
  </si>
  <si>
    <t>entre PBR 5</t>
  </si>
  <si>
    <t>CAJÓN 351</t>
  </si>
  <si>
    <t>CAJÓN 352</t>
  </si>
  <si>
    <t>CAJÓN 353</t>
  </si>
  <si>
    <t>CAJÓN 354</t>
  </si>
  <si>
    <t>CAJÓN 355</t>
  </si>
  <si>
    <t>CAJÓN 356</t>
  </si>
  <si>
    <t>CAJÓN 357</t>
  </si>
  <si>
    <t>CAJÓN 358</t>
  </si>
  <si>
    <t>CAJÓN 359</t>
  </si>
  <si>
    <t>CAJÓN 360</t>
  </si>
  <si>
    <t>CAJÓN 361</t>
  </si>
  <si>
    <t>CAJÓN 362</t>
  </si>
  <si>
    <t>CAJÓN 363</t>
  </si>
  <si>
    <t>CAJÓN 364</t>
  </si>
  <si>
    <t>CAJÓN 365</t>
  </si>
  <si>
    <t>CAJÓN 366</t>
  </si>
  <si>
    <t>CAJÓN 367</t>
  </si>
  <si>
    <t>CAJÓN 368</t>
  </si>
  <si>
    <t>CAJÓN 369</t>
  </si>
  <si>
    <t>CAJÓN 370</t>
  </si>
  <si>
    <t>CAJÓN 371</t>
  </si>
  <si>
    <t>CAJÓN 372</t>
  </si>
  <si>
    <t>CAJÓN 373</t>
  </si>
  <si>
    <t>CAJÓN 374</t>
  </si>
  <si>
    <t>CAJÓN 375</t>
  </si>
  <si>
    <t>CAJÓN 376</t>
  </si>
  <si>
    <t>CAJÓN 377</t>
  </si>
  <si>
    <t>CAJÓN 378</t>
  </si>
  <si>
    <t>CAJÓN 379</t>
  </si>
  <si>
    <t>CAJÓN 380</t>
  </si>
  <si>
    <t>CAJÓN 381</t>
  </si>
  <si>
    <t>CAJÓN 382</t>
  </si>
  <si>
    <t>CAJÓN 383</t>
  </si>
  <si>
    <t>CAJÓN 384</t>
  </si>
  <si>
    <t>CAJÓN 385</t>
  </si>
  <si>
    <t>CAJÓN 386</t>
  </si>
  <si>
    <t>CAJÓN 387</t>
  </si>
  <si>
    <t>CAJÓN 388</t>
  </si>
  <si>
    <t>CAJÓN 389</t>
  </si>
  <si>
    <t>CAJÓN 390</t>
  </si>
  <si>
    <t>CAJÓN 391</t>
  </si>
  <si>
    <t>CAJÓN 392</t>
  </si>
  <si>
    <t>CAJÓN 393</t>
  </si>
  <si>
    <t>CAJÓN 394</t>
  </si>
  <si>
    <t>CAJÓN 395</t>
  </si>
  <si>
    <t>CAJÓN 396</t>
  </si>
  <si>
    <t>CAJÓN 397</t>
  </si>
  <si>
    <t>CAJÓN 398</t>
  </si>
  <si>
    <t>CAJÓN 399</t>
  </si>
  <si>
    <t>CAJÓN 400</t>
  </si>
  <si>
    <t>CAJÓN 401</t>
  </si>
  <si>
    <t>CAJÓN 402</t>
  </si>
  <si>
    <t>CAJÓN 403</t>
  </si>
  <si>
    <t>CAJÓN 404</t>
  </si>
  <si>
    <t>CAJÓN 405</t>
  </si>
  <si>
    <t>CAJÓN 406</t>
  </si>
  <si>
    <t>CAJÓN 407</t>
  </si>
  <si>
    <t>CAJÓN 408</t>
  </si>
  <si>
    <t>CAJÓN 409</t>
  </si>
  <si>
    <t>CAJÓN 410</t>
  </si>
  <si>
    <t>CAJÓN 411</t>
  </si>
  <si>
    <t>CAJÓN 412</t>
  </si>
  <si>
    <t>CAJÓN 413</t>
  </si>
  <si>
    <t>CAJÓN 414</t>
  </si>
  <si>
    <t>CAJÓN 415</t>
  </si>
  <si>
    <t>CAJÓN 416</t>
  </si>
  <si>
    <t>CAJÓN 417</t>
  </si>
  <si>
    <t>CAJÓN 418</t>
  </si>
  <si>
    <t>CAJÓN 419</t>
  </si>
  <si>
    <t>CAJÓN 420</t>
  </si>
  <si>
    <t>CAJÓN 421</t>
  </si>
  <si>
    <t>CAJÓN 422</t>
  </si>
  <si>
    <t>CAJÓN 423</t>
  </si>
  <si>
    <t>CAJÓN 424</t>
  </si>
  <si>
    <t>CAJA ALMACEN ADN 1.a Ciano</t>
  </si>
  <si>
    <t>CAJA ALMACEN ADN 1.b Ciano</t>
  </si>
  <si>
    <t>CAJA ALMACEN ADN 1.c Ciano</t>
  </si>
  <si>
    <t>CAJA ALMACEN ADN 1.d Ciano</t>
  </si>
  <si>
    <t>Codigo</t>
  </si>
  <si>
    <t>CAJA</t>
  </si>
  <si>
    <t>Secuenciación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</si>
</sst>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0.0"/>
    <numFmt numFmtId="166" formatCode="0.0000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1"/>
      <color rgb="FF434343"/>
      <name val="Aptos Display"/>
      <family val="2"/>
      <scheme val="major"/>
    </font>
    <font>
      <b/>
      <sz val="11"/>
      <color rgb="FF434343"/>
      <name val="Aptos Display"/>
      <family val="2"/>
      <scheme val="major"/>
    </font>
    <font>
      <sz val="11"/>
      <color rgb="FFFF0000"/>
      <name val="Aptos Display"/>
      <family val="2"/>
      <scheme val="major"/>
    </font>
    <font>
      <b/>
      <sz val="11"/>
      <color rgb="FF000000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2"/>
      <color theme="1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u/>
      <sz val="11"/>
      <color theme="10"/>
      <name val="Aptos Narrow"/>
      <family val="2"/>
    </font>
    <font>
      <b/>
      <sz val="7"/>
      <color theme="1"/>
      <name val="Arial"/>
      <family val="2"/>
    </font>
    <font>
      <u/>
      <sz val="11"/>
      <color theme="1"/>
      <name val="Aptos Narrow"/>
      <family val="2"/>
    </font>
    <font>
      <i/>
      <sz val="11"/>
      <color theme="1"/>
      <name val="Aptos Narrow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1"/>
      <color rgb="FFFF0000"/>
      <name val="Aptos Narrow"/>
      <family val="2"/>
    </font>
    <font>
      <b/>
      <sz val="11"/>
      <color theme="0"/>
      <name val="Aptos Narrow"/>
      <family val="2"/>
    </font>
    <font>
      <sz val="8"/>
      <name val="Aptos Narrow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91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rgb="FFF1CEEE"/>
        <bgColor rgb="FFF1CEEE"/>
      </patternFill>
    </fill>
    <fill>
      <patternFill patternType="solid">
        <fgColor rgb="FFD9F2D0"/>
        <bgColor rgb="FFD9F2D0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7030A0"/>
        <bgColor rgb="FF7030A0"/>
      </patternFill>
    </fill>
    <fill>
      <patternFill patternType="solid">
        <fgColor rgb="FF71A9E0"/>
        <bgColor rgb="FF71A9E0"/>
      </patternFill>
    </fill>
    <fill>
      <patternFill patternType="solid">
        <fgColor rgb="FFE8E8E8"/>
        <bgColor rgb="FFE8E8E8"/>
      </patternFill>
    </fill>
    <fill>
      <patternFill patternType="solid">
        <fgColor rgb="FF00B0F0"/>
        <bgColor rgb="FF00B0F0"/>
      </patternFill>
    </fill>
    <fill>
      <patternFill patternType="solid">
        <fgColor theme="5"/>
        <bgColor theme="5"/>
      </patternFill>
    </fill>
    <fill>
      <patternFill patternType="solid">
        <fgColor rgb="FFBF4F14"/>
        <bgColor rgb="FFBF4F14"/>
      </patternFill>
    </fill>
    <fill>
      <patternFill patternType="solid">
        <fgColor rgb="FFFF0000"/>
        <bgColor rgb="FFFF0000"/>
      </patternFill>
    </fill>
    <fill>
      <patternFill patternType="solid">
        <fgColor rgb="FFDBE9F7"/>
        <bgColor rgb="FFDBE9F7"/>
      </patternFill>
    </fill>
    <fill>
      <patternFill patternType="solid">
        <fgColor rgb="FFFFC8B7"/>
        <bgColor rgb="FFFFC8B7"/>
      </patternFill>
    </fill>
    <fill>
      <patternFill patternType="solid">
        <fgColor rgb="FFFFFFC5"/>
        <bgColor rgb="FFFFFFC5"/>
      </patternFill>
    </fill>
    <fill>
      <patternFill patternType="solid">
        <fgColor theme="9" tint="-0.249977111117893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45B0E1"/>
        <bgColor rgb="FF45B0E1"/>
      </patternFill>
    </fill>
    <fill>
      <patternFill patternType="solid">
        <fgColor rgb="FF3A7D22"/>
        <bgColor rgb="FF3A7D22"/>
      </patternFill>
    </fill>
    <fill>
      <patternFill patternType="solid">
        <fgColor rgb="FFEE0000"/>
        <bgColor rgb="FFEE0000"/>
      </patternFill>
    </fill>
    <fill>
      <patternFill patternType="solid">
        <fgColor rgb="FFFFC000"/>
        <bgColor theme="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92D050"/>
      </patternFill>
    </fill>
    <fill>
      <patternFill patternType="solid">
        <fgColor rgb="FF92D050"/>
        <bgColor rgb="FFFF000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rgb="FF00B050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theme="0"/>
      </patternFill>
    </fill>
    <fill>
      <patternFill patternType="solid">
        <fgColor rgb="FFFFC000"/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0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rgb="FF008000"/>
      </patternFill>
    </fill>
    <fill>
      <patternFill patternType="solid">
        <fgColor rgb="FFC1E4F5"/>
        <bgColor rgb="FFC1E4F5"/>
      </patternFill>
    </fill>
    <fill>
      <patternFill patternType="solid">
        <fgColor rgb="FFB8D4EF"/>
        <bgColor rgb="FFB8D4EF"/>
      </patternFill>
    </fill>
    <fill>
      <patternFill patternType="solid">
        <fgColor rgb="FFD0D0D0"/>
        <bgColor rgb="FFD0D0D0"/>
      </patternFill>
    </fill>
    <fill>
      <patternFill patternType="solid">
        <fgColor rgb="FFD76DCC"/>
        <bgColor rgb="FFD76DCC"/>
      </patternFill>
    </fill>
    <fill>
      <patternFill patternType="solid">
        <fgColor rgb="FFF2F2F2"/>
        <bgColor rgb="FFF2F2F2"/>
      </patternFill>
    </fill>
    <fill>
      <patternFill patternType="solid">
        <fgColor rgb="FFF6C6AC"/>
        <bgColor rgb="FFF6C6AC"/>
      </patternFill>
    </fill>
    <fill>
      <patternFill patternType="solid">
        <fgColor rgb="FF60CBF3"/>
        <bgColor rgb="FF60CBF3"/>
      </patternFill>
    </fill>
    <fill>
      <patternFill patternType="solid">
        <fgColor rgb="FF8ED873"/>
        <bgColor rgb="FF8ED873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EE0000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CC0000"/>
      </patternFill>
    </fill>
    <fill>
      <patternFill patternType="solid">
        <fgColor theme="0"/>
        <bgColor rgb="FF008000"/>
      </patternFill>
    </fill>
    <fill>
      <patternFill patternType="solid">
        <fgColor rgb="FFFF0000"/>
        <bgColor rgb="FFFFFF00"/>
      </patternFill>
    </fill>
    <fill>
      <patternFill patternType="solid">
        <fgColor theme="0"/>
        <bgColor rgb="FF00B050"/>
      </patternFill>
    </fill>
    <fill>
      <patternFill patternType="solid">
        <fgColor theme="0"/>
        <bgColor rgb="FFA6C9EB"/>
      </patternFill>
    </fill>
    <fill>
      <patternFill patternType="solid">
        <fgColor rgb="FF92D05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0"/>
      </patternFill>
    </fill>
    <fill>
      <patternFill patternType="solid">
        <fgColor rgb="FF00B050"/>
        <bgColor rgb="FFFFC000"/>
      </patternFill>
    </fill>
    <fill>
      <patternFill patternType="solid">
        <fgColor rgb="FFFFC000"/>
        <bgColor rgb="FFD9F2D0"/>
      </patternFill>
    </fill>
    <fill>
      <patternFill patternType="solid">
        <fgColor theme="3" tint="0.749992370372631"/>
        <bgColor rgb="FF45B0E1"/>
      </patternFill>
    </fill>
    <fill>
      <patternFill patternType="solid">
        <fgColor theme="3" tint="0.749992370372631"/>
        <bgColor theme="0"/>
      </patternFill>
    </fill>
    <fill>
      <patternFill patternType="solid">
        <fgColor theme="3" tint="0.749992370372631"/>
        <bgColor rgb="FF3A7D22"/>
      </patternFill>
    </fill>
    <fill>
      <patternFill patternType="solid">
        <fgColor theme="3" tint="0.749992370372631"/>
        <bgColor rgb="FF00B05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-0.249977111117893"/>
        <bgColor rgb="FFDBE9F7"/>
      </patternFill>
    </fill>
    <fill>
      <patternFill patternType="solid">
        <fgColor theme="5" tint="-0.249977111117893"/>
        <bgColor theme="0"/>
      </patternFill>
    </fill>
    <fill>
      <patternFill patternType="solid">
        <fgColor theme="5" tint="-0.249977111117893"/>
        <bgColor rgb="FF45B0E1"/>
      </patternFill>
    </fill>
    <fill>
      <patternFill patternType="solid">
        <fgColor theme="5" tint="-0.249977111117893"/>
        <bgColor rgb="FF00B050"/>
      </patternFill>
    </fill>
    <fill>
      <patternFill patternType="solid">
        <fgColor rgb="FFFFFF00"/>
        <bgColor rgb="FFFFC000"/>
      </patternFill>
    </fill>
    <fill>
      <patternFill patternType="solid">
        <fgColor theme="1" tint="0.249977111117893"/>
        <bgColor theme="0"/>
      </patternFill>
    </fill>
    <fill>
      <patternFill patternType="solid">
        <fgColor theme="1" tint="0.249977111117893"/>
        <bgColor rgb="FF4D94D8"/>
      </patternFill>
    </fill>
    <fill>
      <patternFill patternType="solid">
        <fgColor rgb="FF7030A0"/>
        <bgColor indexed="64"/>
      </patternFill>
    </fill>
    <fill>
      <patternFill patternType="solid">
        <fgColor rgb="FF7030A0"/>
        <bgColor theme="0"/>
      </patternFill>
    </fill>
  </fills>
  <borders count="4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597C83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F6F8F9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CCCCCC"/>
      </bottom>
      <diagonal/>
    </border>
    <border>
      <left style="medium">
        <color rgb="FF442F65"/>
      </left>
      <right style="medium">
        <color rgb="FFFFFFFF"/>
      </right>
      <top style="medium">
        <color rgb="FF442F65"/>
      </top>
      <bottom style="medium">
        <color rgb="FFF6F8F9"/>
      </bottom>
      <diagonal/>
    </border>
    <border>
      <left style="medium">
        <color rgb="FFCCCCCC"/>
      </left>
      <right style="medium">
        <color rgb="FFCFE2F3"/>
      </right>
      <top style="medium">
        <color rgb="FF442F65"/>
      </top>
      <bottom style="medium">
        <color rgb="FFCFE2F3"/>
      </bottom>
      <diagonal/>
    </border>
    <border>
      <left style="medium">
        <color rgb="FFCCCCCC"/>
      </left>
      <right style="medium">
        <color rgb="FFFFFFFF"/>
      </right>
      <top style="medium">
        <color rgb="FF442F65"/>
      </top>
      <bottom style="medium">
        <color rgb="FFF6F8F9"/>
      </bottom>
      <diagonal/>
    </border>
    <border>
      <left style="medium">
        <color rgb="FFCCCCCC"/>
      </left>
      <right style="medium">
        <color rgb="FFF4CCCC"/>
      </right>
      <top style="medium">
        <color rgb="FF442F65"/>
      </top>
      <bottom style="medium">
        <color rgb="FFF6F8F9"/>
      </bottom>
      <diagonal/>
    </border>
    <border>
      <left style="medium">
        <color rgb="FFCCCCCC"/>
      </left>
      <right style="medium">
        <color rgb="FFF4CCCC"/>
      </right>
      <top style="medium">
        <color rgb="FF442F65"/>
      </top>
      <bottom style="medium">
        <color rgb="FFF4CCCC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F6F8F9"/>
      </bottom>
      <diagonal/>
    </border>
    <border>
      <left style="medium">
        <color rgb="FF442F65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CFE2F3"/>
      </right>
      <top style="medium">
        <color rgb="FFCCCCCC"/>
      </top>
      <bottom style="medium">
        <color rgb="FFCFE2F3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4CCCC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D9D2E9"/>
      </right>
      <top style="medium">
        <color rgb="FFCCCCCC"/>
      </top>
      <bottom style="medium">
        <color rgb="FFB7E1CD"/>
      </bottom>
      <diagonal/>
    </border>
    <border>
      <left style="medium">
        <color rgb="FFCCCCCC"/>
      </left>
      <right style="medium">
        <color rgb="FFF4CCCC"/>
      </right>
      <top style="medium">
        <color rgb="FFCCCCCC"/>
      </top>
      <bottom style="medium">
        <color rgb="FFF4CCCC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6F8F9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D9D2E9"/>
      </right>
      <top style="medium">
        <color rgb="FFCCCCCC"/>
      </top>
      <bottom style="medium">
        <color rgb="FFF4CCC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CE5CD"/>
      </bottom>
      <diagonal/>
    </border>
    <border>
      <left style="medium">
        <color rgb="FFCCCCCC"/>
      </left>
      <right style="medium">
        <color rgb="FFFFF2CC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D9D2E9"/>
      </right>
      <top style="medium">
        <color rgb="FFCCCCCC"/>
      </top>
      <bottom style="medium">
        <color rgb="FFFFF2CC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CFE2F3"/>
      </bottom>
      <diagonal/>
    </border>
    <border>
      <left style="medium">
        <color rgb="FFCCCCCC"/>
      </left>
      <right style="medium">
        <color rgb="FFD9EAD3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B7E1CD"/>
      </right>
      <top style="medium">
        <color rgb="FFCCCCCC"/>
      </top>
      <bottom style="medium">
        <color rgb="FFF4CCCC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CE5CD"/>
      </bottom>
      <diagonal/>
    </border>
    <border>
      <left style="medium">
        <color rgb="FFCCCCCC"/>
      </left>
      <right style="medium">
        <color rgb="FFFFF2CC"/>
      </right>
      <top style="medium">
        <color rgb="FFCCCCCC"/>
      </top>
      <bottom style="medium">
        <color rgb="FFF4CCCC"/>
      </bottom>
      <diagonal/>
    </border>
    <border>
      <left style="medium">
        <color rgb="FFCCCCCC"/>
      </left>
      <right style="medium">
        <color rgb="FFB7E1CD"/>
      </right>
      <top style="medium">
        <color rgb="FFCCCCCC"/>
      </top>
      <bottom style="medium">
        <color rgb="FFD9EAD3"/>
      </bottom>
      <diagonal/>
    </border>
    <border>
      <left style="medium">
        <color rgb="FFCCCCCC"/>
      </left>
      <right style="medium">
        <color rgb="FFFCE5CD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CFE2F3"/>
      </bottom>
      <diagonal/>
    </border>
    <border>
      <left style="medium">
        <color rgb="FFCCCCCC"/>
      </left>
      <right style="medium">
        <color rgb="FFCFE2F3"/>
      </right>
      <top style="medium">
        <color rgb="FFCCCCCC"/>
      </top>
      <bottom style="medium">
        <color rgb="FFF6F8F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442F65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1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164" fontId="3" fillId="8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2" fontId="3" fillId="5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164" fontId="3" fillId="5" borderId="0" xfId="0" applyNumberFormat="1" applyFont="1" applyFill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4" fillId="12" borderId="0" xfId="0" applyFont="1" applyFill="1" applyAlignment="1">
      <alignment horizontal="center" vertical="center" wrapText="1"/>
    </xf>
    <xf numFmtId="14" fontId="4" fillId="7" borderId="1" xfId="0" applyNumberFormat="1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2" fontId="3" fillId="17" borderId="1" xfId="0" applyNumberFormat="1" applyFont="1" applyFill="1" applyBorder="1" applyAlignment="1">
      <alignment horizontal="center" vertical="center"/>
    </xf>
    <xf numFmtId="164" fontId="3" fillId="17" borderId="1" xfId="0" applyNumberFormat="1" applyFont="1" applyFill="1" applyBorder="1" applyAlignment="1">
      <alignment horizontal="center" vertical="center"/>
    </xf>
    <xf numFmtId="165" fontId="3" fillId="8" borderId="0" xfId="0" applyNumberFormat="1" applyFont="1" applyFill="1" applyAlignment="1">
      <alignment horizontal="center" vertical="center"/>
    </xf>
    <xf numFmtId="2" fontId="3" fillId="8" borderId="1" xfId="0" applyNumberFormat="1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5" fontId="6" fillId="18" borderId="0" xfId="0" applyNumberFormat="1" applyFont="1" applyFill="1" applyAlignment="1">
      <alignment horizontal="center" vertical="center"/>
    </xf>
    <xf numFmtId="2" fontId="3" fillId="18" borderId="1" xfId="0" applyNumberFormat="1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65" fontId="3" fillId="18" borderId="0" xfId="0" applyNumberFormat="1" applyFont="1" applyFill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4" fontId="4" fillId="7" borderId="0" xfId="0" applyNumberFormat="1" applyFont="1" applyFill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/>
    </xf>
    <xf numFmtId="14" fontId="4" fillId="4" borderId="0" xfId="0" applyNumberFormat="1" applyFont="1" applyFill="1" applyAlignment="1">
      <alignment horizontal="center" vertical="center" wrapText="1"/>
    </xf>
    <xf numFmtId="0" fontId="4" fillId="11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15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49" fontId="3" fillId="18" borderId="2" xfId="0" applyNumberFormat="1" applyFont="1" applyFill="1" applyBorder="1" applyAlignment="1">
      <alignment horizontal="center" vertical="center"/>
    </xf>
    <xf numFmtId="49" fontId="3" fillId="19" borderId="2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/>
    </xf>
    <xf numFmtId="14" fontId="4" fillId="7" borderId="3" xfId="0" applyNumberFormat="1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2" fontId="3" fillId="18" borderId="0" xfId="0" applyNumberFormat="1" applyFont="1" applyFill="1" applyAlignment="1">
      <alignment horizontal="center" vertical="center"/>
    </xf>
    <xf numFmtId="49" fontId="3" fillId="20" borderId="2" xfId="0" applyNumberFormat="1" applyFont="1" applyFill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3" fillId="8" borderId="0" xfId="0" applyNumberFormat="1" applyFont="1" applyFill="1" applyAlignment="1">
      <alignment horizontal="center" vertical="center"/>
    </xf>
    <xf numFmtId="0" fontId="3" fillId="20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4" fontId="4" fillId="4" borderId="3" xfId="0" applyNumberFormat="1" applyFont="1" applyFill="1" applyBorder="1" applyAlignment="1">
      <alignment horizontal="center" vertical="center" wrapText="1"/>
    </xf>
    <xf numFmtId="0" fontId="3" fillId="21" borderId="2" xfId="0" applyFont="1" applyFill="1" applyBorder="1" applyAlignment="1">
      <alignment horizontal="center" vertical="center"/>
    </xf>
    <xf numFmtId="0" fontId="3" fillId="20" borderId="0" xfId="0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49" fontId="3" fillId="18" borderId="0" xfId="0" applyNumberFormat="1" applyFont="1" applyFill="1" applyAlignment="1">
      <alignment horizontal="center" vertical="center"/>
    </xf>
    <xf numFmtId="49" fontId="3" fillId="20" borderId="0" xfId="0" applyNumberFormat="1" applyFont="1" applyFill="1" applyAlignment="1">
      <alignment horizontal="center" vertical="center"/>
    </xf>
    <xf numFmtId="49" fontId="3" fillId="20" borderId="1" xfId="0" applyNumberFormat="1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 wrapText="1"/>
    </xf>
    <xf numFmtId="0" fontId="3" fillId="19" borderId="0" xfId="0" applyFont="1" applyFill="1" applyAlignment="1">
      <alignment horizontal="center" vertical="center"/>
    </xf>
    <xf numFmtId="49" fontId="3" fillId="8" borderId="0" xfId="0" applyNumberFormat="1" applyFont="1" applyFill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8" borderId="1" xfId="0" applyNumberFormat="1" applyFont="1" applyFill="1" applyBorder="1" applyAlignment="1">
      <alignment horizontal="center" vertical="center"/>
    </xf>
    <xf numFmtId="49" fontId="3" fillId="18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/>
    </xf>
    <xf numFmtId="165" fontId="6" fillId="18" borderId="1" xfId="0" applyNumberFormat="1" applyFont="1" applyFill="1" applyBorder="1" applyAlignment="1">
      <alignment horizontal="center" vertical="center"/>
    </xf>
    <xf numFmtId="165" fontId="3" fillId="18" borderId="1" xfId="0" applyNumberFormat="1" applyFont="1" applyFill="1" applyBorder="1" applyAlignment="1">
      <alignment horizontal="center" vertical="center"/>
    </xf>
    <xf numFmtId="49" fontId="3" fillId="5" borderId="0" xfId="0" applyNumberFormat="1" applyFont="1" applyFill="1" applyAlignment="1">
      <alignment horizontal="center" vertical="center"/>
    </xf>
    <xf numFmtId="2" fontId="3" fillId="3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164" fontId="3" fillId="5" borderId="0" xfId="0" applyNumberFormat="1" applyFont="1" applyFill="1" applyAlignment="1">
      <alignment horizontal="center" vertical="center" wrapText="1"/>
    </xf>
    <xf numFmtId="0" fontId="3" fillId="12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164" fontId="3" fillId="5" borderId="3" xfId="0" applyNumberFormat="1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 wrapText="1"/>
    </xf>
    <xf numFmtId="164" fontId="3" fillId="5" borderId="3" xfId="0" applyNumberFormat="1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14" fontId="7" fillId="0" borderId="3" xfId="0" applyNumberFormat="1" applyFont="1" applyBorder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49" fontId="3" fillId="5" borderId="3" xfId="0" applyNumberFormat="1" applyFont="1" applyFill="1" applyBorder="1" applyAlignment="1">
      <alignment horizontal="center" vertical="center"/>
    </xf>
    <xf numFmtId="165" fontId="3" fillId="5" borderId="3" xfId="0" applyNumberFormat="1" applyFont="1" applyFill="1" applyBorder="1" applyAlignment="1">
      <alignment horizontal="center" vertical="center"/>
    </xf>
    <xf numFmtId="2" fontId="3" fillId="5" borderId="3" xfId="0" applyNumberFormat="1" applyFont="1" applyFill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14" fontId="8" fillId="4" borderId="5" xfId="0" applyNumberFormat="1" applyFont="1" applyFill="1" applyBorder="1" applyAlignment="1">
      <alignment horizontal="center" vertical="center" wrapText="1"/>
    </xf>
    <xf numFmtId="14" fontId="8" fillId="15" borderId="6" xfId="0" applyNumberFormat="1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14" fontId="8" fillId="16" borderId="6" xfId="0" applyNumberFormat="1" applyFont="1" applyFill="1" applyBorder="1" applyAlignment="1">
      <alignment horizontal="center" vertical="center" wrapText="1"/>
    </xf>
    <xf numFmtId="14" fontId="8" fillId="4" borderId="6" xfId="0" applyNumberFormat="1" applyFont="1" applyFill="1" applyBorder="1" applyAlignment="1">
      <alignment horizontal="center" vertical="center" wrapText="1"/>
    </xf>
    <xf numFmtId="14" fontId="8" fillId="15" borderId="5" xfId="0" applyNumberFormat="1" applyFont="1" applyFill="1" applyBorder="1" applyAlignment="1">
      <alignment horizontal="center" vertical="center" wrapText="1"/>
    </xf>
    <xf numFmtId="14" fontId="8" fillId="16" borderId="5" xfId="0" applyNumberFormat="1" applyFont="1" applyFill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/>
    </xf>
    <xf numFmtId="14" fontId="8" fillId="4" borderId="8" xfId="0" applyNumberFormat="1" applyFont="1" applyFill="1" applyBorder="1" applyAlignment="1">
      <alignment horizontal="center" vertical="center" wrapText="1"/>
    </xf>
    <xf numFmtId="14" fontId="8" fillId="15" borderId="8" xfId="0" applyNumberFormat="1" applyFont="1" applyFill="1" applyBorder="1" applyAlignment="1">
      <alignment horizontal="center" vertical="center" wrapText="1"/>
    </xf>
    <xf numFmtId="14" fontId="8" fillId="16" borderId="9" xfId="0" applyNumberFormat="1" applyFont="1" applyFill="1" applyBorder="1" applyAlignment="1">
      <alignment horizontal="center" vertical="center" wrapText="1"/>
    </xf>
    <xf numFmtId="14" fontId="3" fillId="0" borderId="10" xfId="0" applyNumberFormat="1" applyFont="1" applyBorder="1" applyAlignment="1">
      <alignment horizontal="center" vertical="center"/>
    </xf>
    <xf numFmtId="14" fontId="7" fillId="0" borderId="10" xfId="0" applyNumberFormat="1" applyFont="1" applyBorder="1" applyAlignment="1">
      <alignment horizontal="center" vertical="center"/>
    </xf>
    <xf numFmtId="164" fontId="3" fillId="5" borderId="10" xfId="0" applyNumberFormat="1" applyFont="1" applyFill="1" applyBorder="1" applyAlignment="1">
      <alignment horizontal="center" vertical="center"/>
    </xf>
    <xf numFmtId="14" fontId="7" fillId="0" borderId="11" xfId="0" applyNumberFormat="1" applyFont="1" applyBorder="1" applyAlignment="1">
      <alignment horizontal="center" vertical="center"/>
    </xf>
    <xf numFmtId="166" fontId="3" fillId="5" borderId="1" xfId="0" applyNumberFormat="1" applyFont="1" applyFill="1" applyBorder="1" applyAlignment="1">
      <alignment horizontal="center" vertical="center"/>
    </xf>
    <xf numFmtId="14" fontId="8" fillId="4" borderId="12" xfId="0" applyNumberFormat="1" applyFont="1" applyFill="1" applyBorder="1" applyAlignment="1">
      <alignment horizontal="center" vertical="center" wrapText="1"/>
    </xf>
    <xf numFmtId="14" fontId="8" fillId="15" borderId="12" xfId="0" applyNumberFormat="1" applyFont="1" applyFill="1" applyBorder="1" applyAlignment="1">
      <alignment horizontal="center" vertical="center" wrapText="1"/>
    </xf>
    <xf numFmtId="14" fontId="8" fillId="16" borderId="12" xfId="0" applyNumberFormat="1" applyFont="1" applyFill="1" applyBorder="1" applyAlignment="1">
      <alignment horizontal="center" vertical="center" wrapText="1"/>
    </xf>
    <xf numFmtId="14" fontId="8" fillId="0" borderId="12" xfId="0" applyNumberFormat="1" applyFont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164" fontId="3" fillId="8" borderId="14" xfId="0" applyNumberFormat="1" applyFont="1" applyFill="1" applyBorder="1" applyAlignment="1">
      <alignment horizontal="center" vertical="center"/>
    </xf>
    <xf numFmtId="164" fontId="3" fillId="8" borderId="15" xfId="0" applyNumberFormat="1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2" fontId="3" fillId="17" borderId="20" xfId="0" applyNumberFormat="1" applyFont="1" applyFill="1" applyBorder="1" applyAlignment="1">
      <alignment horizontal="center" vertical="center"/>
    </xf>
    <xf numFmtId="164" fontId="3" fillId="17" borderId="21" xfId="0" applyNumberFormat="1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24" xfId="0" applyFont="1" applyFill="1" applyBorder="1" applyAlignment="1">
      <alignment horizontal="center" vertical="center"/>
    </xf>
    <xf numFmtId="0" fontId="3" fillId="5" borderId="25" xfId="0" applyFont="1" applyFill="1" applyBorder="1" applyAlignment="1">
      <alignment horizontal="center" vertical="center"/>
    </xf>
    <xf numFmtId="0" fontId="3" fillId="5" borderId="26" xfId="0" applyFont="1" applyFill="1" applyBorder="1" applyAlignment="1">
      <alignment horizontal="center" vertical="center" wrapText="1"/>
    </xf>
    <xf numFmtId="164" fontId="3" fillId="17" borderId="27" xfId="0" applyNumberFormat="1" applyFont="1" applyFill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 wrapText="1"/>
    </xf>
    <xf numFmtId="164" fontId="3" fillId="8" borderId="20" xfId="0" applyNumberFormat="1" applyFont="1" applyFill="1" applyBorder="1" applyAlignment="1">
      <alignment horizontal="center" vertical="center"/>
    </xf>
    <xf numFmtId="164" fontId="3" fillId="8" borderId="21" xfId="0" applyNumberFormat="1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 wrapText="1"/>
    </xf>
    <xf numFmtId="0" fontId="3" fillId="5" borderId="24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/>
    </xf>
    <xf numFmtId="2" fontId="3" fillId="17" borderId="29" xfId="0" applyNumberFormat="1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164" fontId="3" fillId="5" borderId="11" xfId="0" applyNumberFormat="1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164" fontId="3" fillId="8" borderId="27" xfId="0" applyNumberFormat="1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 wrapText="1"/>
    </xf>
    <xf numFmtId="0" fontId="3" fillId="5" borderId="26" xfId="0" applyFont="1" applyFill="1" applyBorder="1" applyAlignment="1">
      <alignment horizontal="center" vertical="center"/>
    </xf>
    <xf numFmtId="165" fontId="3" fillId="5" borderId="27" xfId="0" applyNumberFormat="1" applyFont="1" applyFill="1" applyBorder="1" applyAlignment="1">
      <alignment horizontal="center" vertical="center"/>
    </xf>
    <xf numFmtId="2" fontId="3" fillId="5" borderId="24" xfId="0" applyNumberFormat="1" applyFont="1" applyFill="1" applyBorder="1" applyAlignment="1">
      <alignment horizontal="center" vertical="center"/>
    </xf>
    <xf numFmtId="165" fontId="3" fillId="5" borderId="21" xfId="0" applyNumberFormat="1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164" fontId="3" fillId="5" borderId="27" xfId="0" applyNumberFormat="1" applyFont="1" applyFill="1" applyBorder="1" applyAlignment="1">
      <alignment horizontal="center" vertical="center" wrapText="1"/>
    </xf>
    <xf numFmtId="14" fontId="3" fillId="0" borderId="21" xfId="0" applyNumberFormat="1" applyFont="1" applyBorder="1" applyAlignment="1">
      <alignment horizontal="center" vertical="center"/>
    </xf>
    <xf numFmtId="49" fontId="3" fillId="5" borderId="19" xfId="0" applyNumberFormat="1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 wrapText="1"/>
    </xf>
    <xf numFmtId="164" fontId="3" fillId="5" borderId="21" xfId="0" applyNumberFormat="1" applyFont="1" applyFill="1" applyBorder="1" applyAlignment="1">
      <alignment horizontal="center" vertical="center" wrapText="1"/>
    </xf>
    <xf numFmtId="0" fontId="3" fillId="5" borderId="23" xfId="0" applyFont="1" applyFill="1" applyBorder="1" applyAlignment="1">
      <alignment horizontal="center" vertical="center" wrapText="1"/>
    </xf>
    <xf numFmtId="0" fontId="3" fillId="5" borderId="31" xfId="0" applyFont="1" applyFill="1" applyBorder="1" applyAlignment="1">
      <alignment horizontal="center" vertical="center"/>
    </xf>
    <xf numFmtId="2" fontId="3" fillId="5" borderId="27" xfId="0" applyNumberFormat="1" applyFont="1" applyFill="1" applyBorder="1" applyAlignment="1">
      <alignment horizontal="center" vertical="center"/>
    </xf>
    <xf numFmtId="2" fontId="3" fillId="5" borderId="21" xfId="0" applyNumberFormat="1" applyFont="1" applyFill="1" applyBorder="1" applyAlignment="1">
      <alignment horizontal="center" vertical="center"/>
    </xf>
    <xf numFmtId="164" fontId="3" fillId="8" borderId="29" xfId="0" applyNumberFormat="1" applyFont="1" applyFill="1" applyBorder="1" applyAlignment="1">
      <alignment horizontal="center" vertical="center"/>
    </xf>
    <xf numFmtId="2" fontId="3" fillId="17" borderId="27" xfId="0" applyNumberFormat="1" applyFont="1" applyFill="1" applyBorder="1" applyAlignment="1">
      <alignment horizontal="center" vertical="center"/>
    </xf>
    <xf numFmtId="164" fontId="3" fillId="8" borderId="32" xfId="0" applyNumberFormat="1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164" fontId="3" fillId="8" borderId="35" xfId="0" applyNumberFormat="1" applyFont="1" applyFill="1" applyBorder="1" applyAlignment="1">
      <alignment horizontal="center" vertical="center"/>
    </xf>
    <xf numFmtId="164" fontId="3" fillId="5" borderId="27" xfId="0" applyNumberFormat="1" applyFont="1" applyFill="1" applyBorder="1" applyAlignment="1">
      <alignment horizontal="center" vertical="center"/>
    </xf>
    <xf numFmtId="14" fontId="7" fillId="0" borderId="27" xfId="0" applyNumberFormat="1" applyFont="1" applyBorder="1" applyAlignment="1">
      <alignment horizontal="center" vertical="center"/>
    </xf>
    <xf numFmtId="0" fontId="3" fillId="5" borderId="24" xfId="0" quotePrefix="1" applyFont="1" applyFill="1" applyBorder="1" applyAlignment="1">
      <alignment horizontal="center" vertical="center" wrapText="1"/>
    </xf>
    <xf numFmtId="2" fontId="3" fillId="5" borderId="31" xfId="0" applyNumberFormat="1" applyFont="1" applyFill="1" applyBorder="1" applyAlignment="1">
      <alignment horizontal="center" vertical="center"/>
    </xf>
    <xf numFmtId="49" fontId="3" fillId="5" borderId="26" xfId="0" applyNumberFormat="1" applyFont="1" applyFill="1" applyBorder="1" applyAlignment="1">
      <alignment horizontal="center" vertical="center"/>
    </xf>
    <xf numFmtId="2" fontId="3" fillId="5" borderId="28" xfId="0" applyNumberFormat="1" applyFont="1" applyFill="1" applyBorder="1" applyAlignment="1">
      <alignment horizontal="center" vertical="center"/>
    </xf>
    <xf numFmtId="2" fontId="3" fillId="5" borderId="23" xfId="0" applyNumberFormat="1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2" fontId="3" fillId="17" borderId="21" xfId="0" applyNumberFormat="1" applyFont="1" applyFill="1" applyBorder="1" applyAlignment="1">
      <alignment horizontal="center" vertical="center"/>
    </xf>
    <xf numFmtId="2" fontId="3" fillId="5" borderId="37" xfId="0" applyNumberFormat="1" applyFont="1" applyFill="1" applyBorder="1" applyAlignment="1">
      <alignment horizontal="center" vertical="center"/>
    </xf>
    <xf numFmtId="2" fontId="3" fillId="5" borderId="34" xfId="0" applyNumberFormat="1" applyFont="1" applyFill="1" applyBorder="1" applyAlignment="1">
      <alignment horizontal="center" vertical="center"/>
    </xf>
    <xf numFmtId="2" fontId="3" fillId="5" borderId="38" xfId="0" applyNumberFormat="1" applyFont="1" applyFill="1" applyBorder="1" applyAlignment="1">
      <alignment horizontal="center" vertical="center"/>
    </xf>
    <xf numFmtId="2" fontId="3" fillId="17" borderId="39" xfId="0" applyNumberFormat="1" applyFont="1" applyFill="1" applyBorder="1" applyAlignment="1">
      <alignment horizontal="center" vertical="center"/>
    </xf>
    <xf numFmtId="0" fontId="3" fillId="5" borderId="31" xfId="0" applyFont="1" applyFill="1" applyBorder="1" applyAlignment="1">
      <alignment horizontal="center" vertical="center" wrapText="1"/>
    </xf>
    <xf numFmtId="0" fontId="3" fillId="14" borderId="25" xfId="0" applyFont="1" applyFill="1" applyBorder="1" applyAlignment="1">
      <alignment horizontal="center" vertical="center"/>
    </xf>
    <xf numFmtId="14" fontId="3" fillId="0" borderId="27" xfId="0" applyNumberFormat="1" applyFont="1" applyBorder="1" applyAlignment="1">
      <alignment horizontal="center" vertical="center"/>
    </xf>
    <xf numFmtId="14" fontId="4" fillId="4" borderId="21" xfId="0" applyNumberFormat="1" applyFont="1" applyFill="1" applyBorder="1" applyAlignment="1">
      <alignment horizontal="center" vertical="center" wrapText="1"/>
    </xf>
    <xf numFmtId="14" fontId="4" fillId="4" borderId="27" xfId="0" applyNumberFormat="1" applyFont="1" applyFill="1" applyBorder="1" applyAlignment="1">
      <alignment horizontal="center" vertical="center" wrapText="1"/>
    </xf>
    <xf numFmtId="2" fontId="3" fillId="5" borderId="40" xfId="0" applyNumberFormat="1" applyFont="1" applyFill="1" applyBorder="1" applyAlignment="1">
      <alignment horizontal="center" vertical="center"/>
    </xf>
    <xf numFmtId="0" fontId="3" fillId="5" borderId="40" xfId="0" applyFont="1" applyFill="1" applyBorder="1" applyAlignment="1">
      <alignment horizontal="center" vertical="center" wrapText="1"/>
    </xf>
    <xf numFmtId="14" fontId="4" fillId="7" borderId="21" xfId="0" applyNumberFormat="1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 wrapText="1"/>
    </xf>
    <xf numFmtId="14" fontId="4" fillId="0" borderId="27" xfId="0" applyNumberFormat="1" applyFont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 wrapText="1"/>
    </xf>
    <xf numFmtId="0" fontId="3" fillId="4" borderId="27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4" fillId="4" borderId="27" xfId="0" applyFont="1" applyFill="1" applyBorder="1" applyAlignment="1">
      <alignment horizontal="center" vertical="center" wrapText="1"/>
    </xf>
    <xf numFmtId="0" fontId="4" fillId="11" borderId="24" xfId="0" applyFont="1" applyFill="1" applyBorder="1" applyAlignment="1">
      <alignment horizontal="center" vertical="center" wrapText="1"/>
    </xf>
    <xf numFmtId="0" fontId="4" fillId="6" borderId="24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3" fillId="7" borderId="27" xfId="0" applyFont="1" applyFill="1" applyBorder="1" applyAlignment="1">
      <alignment horizontal="center" vertical="center" wrapText="1"/>
    </xf>
    <xf numFmtId="0" fontId="4" fillId="11" borderId="28" xfId="0" applyFont="1" applyFill="1" applyBorder="1" applyAlignment="1">
      <alignment horizontal="center" vertical="center" wrapText="1"/>
    </xf>
    <xf numFmtId="0" fontId="4" fillId="10" borderId="24" xfId="0" applyFont="1" applyFill="1" applyBorder="1" applyAlignment="1">
      <alignment horizontal="center" vertical="center" wrapText="1"/>
    </xf>
    <xf numFmtId="14" fontId="7" fillId="0" borderId="21" xfId="0" applyNumberFormat="1" applyFont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 wrapText="1"/>
    </xf>
    <xf numFmtId="14" fontId="4" fillId="7" borderId="27" xfId="0" applyNumberFormat="1" applyFont="1" applyFill="1" applyBorder="1" applyAlignment="1">
      <alignment horizontal="center" vertical="center" wrapText="1"/>
    </xf>
    <xf numFmtId="0" fontId="4" fillId="7" borderId="20" xfId="0" applyFont="1" applyFill="1" applyBorder="1" applyAlignment="1">
      <alignment horizontal="center" vertical="center" wrapText="1"/>
    </xf>
    <xf numFmtId="0" fontId="4" fillId="7" borderId="22" xfId="0" applyFont="1" applyFill="1" applyBorder="1" applyAlignment="1">
      <alignment horizontal="center" vertical="center" wrapText="1"/>
    </xf>
    <xf numFmtId="0" fontId="4" fillId="6" borderId="27" xfId="0" applyFont="1" applyFill="1" applyBorder="1" applyAlignment="1">
      <alignment horizontal="center" vertical="center" wrapText="1"/>
    </xf>
    <xf numFmtId="0" fontId="4" fillId="7" borderId="27" xfId="0" applyFont="1" applyFill="1" applyBorder="1" applyAlignment="1">
      <alignment horizontal="center" vertical="center" wrapText="1"/>
    </xf>
    <xf numFmtId="0" fontId="3" fillId="7" borderId="25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3" fillId="7" borderId="21" xfId="0" applyFont="1" applyFill="1" applyBorder="1" applyAlignment="1">
      <alignment horizontal="center" vertical="center" wrapText="1"/>
    </xf>
    <xf numFmtId="0" fontId="4" fillId="6" borderId="21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/>
    </xf>
    <xf numFmtId="165" fontId="3" fillId="5" borderId="0" xfId="0" applyNumberFormat="1" applyFont="1" applyFill="1" applyAlignment="1">
      <alignment horizontal="center" vertical="center"/>
    </xf>
    <xf numFmtId="0" fontId="3" fillId="8" borderId="19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2" fontId="3" fillId="8" borderId="24" xfId="0" applyNumberFormat="1" applyFont="1" applyFill="1" applyBorder="1" applyAlignment="1">
      <alignment horizontal="center" vertical="center"/>
    </xf>
    <xf numFmtId="2" fontId="3" fillId="8" borderId="21" xfId="0" applyNumberFormat="1" applyFont="1" applyFill="1" applyBorder="1" applyAlignment="1">
      <alignment horizontal="center" vertical="center"/>
    </xf>
    <xf numFmtId="0" fontId="3" fillId="8" borderId="26" xfId="0" applyFont="1" applyFill="1" applyBorder="1" applyAlignment="1">
      <alignment horizontal="center" vertical="center"/>
    </xf>
    <xf numFmtId="2" fontId="3" fillId="8" borderId="27" xfId="0" applyNumberFormat="1" applyFont="1" applyFill="1" applyBorder="1" applyAlignment="1">
      <alignment horizontal="center" vertical="center"/>
    </xf>
    <xf numFmtId="0" fontId="4" fillId="7" borderId="19" xfId="0" applyFont="1" applyFill="1" applyBorder="1" applyAlignment="1">
      <alignment horizontal="center" vertical="center" wrapText="1"/>
    </xf>
    <xf numFmtId="0" fontId="5" fillId="16" borderId="20" xfId="0" applyFont="1" applyFill="1" applyBorder="1" applyAlignment="1">
      <alignment horizontal="center" vertical="center" wrapText="1"/>
    </xf>
    <xf numFmtId="0" fontId="4" fillId="7" borderId="21" xfId="0" applyFont="1" applyFill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/>
    </xf>
    <xf numFmtId="14" fontId="4" fillId="0" borderId="21" xfId="0" applyNumberFormat="1" applyFont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 wrapText="1"/>
    </xf>
    <xf numFmtId="0" fontId="4" fillId="4" borderId="32" xfId="0" applyFont="1" applyFill="1" applyBorder="1" applyAlignment="1">
      <alignment horizontal="center" vertical="center" wrapText="1"/>
    </xf>
    <xf numFmtId="0" fontId="4" fillId="10" borderId="21" xfId="0" applyFont="1" applyFill="1" applyBorder="1" applyAlignment="1">
      <alignment horizontal="center" vertical="center" wrapText="1"/>
    </xf>
    <xf numFmtId="0" fontId="9" fillId="24" borderId="0" xfId="0" applyFont="1" applyFill="1" applyAlignment="1">
      <alignment horizontal="left" vertical="center"/>
    </xf>
    <xf numFmtId="0" fontId="9" fillId="24" borderId="0" xfId="0" applyFont="1" applyFill="1" applyAlignment="1">
      <alignment horizontal="center" vertical="center" wrapText="1"/>
    </xf>
    <xf numFmtId="0" fontId="2" fillId="0" borderId="0" xfId="0" applyFont="1"/>
    <xf numFmtId="0" fontId="1" fillId="0" borderId="0" xfId="0" applyFont="1"/>
    <xf numFmtId="0" fontId="10" fillId="5" borderId="1" xfId="0" applyFont="1" applyFill="1" applyBorder="1" applyAlignment="1">
      <alignment horizontal="left" vertical="center"/>
    </xf>
    <xf numFmtId="0" fontId="10" fillId="32" borderId="41" xfId="0" applyFont="1" applyFill="1" applyBorder="1"/>
    <xf numFmtId="0" fontId="0" fillId="37" borderId="41" xfId="0" applyFill="1" applyBorder="1"/>
    <xf numFmtId="0" fontId="0" fillId="33" borderId="41" xfId="0" applyFill="1" applyBorder="1"/>
    <xf numFmtId="14" fontId="0" fillId="37" borderId="41" xfId="0" applyNumberFormat="1" applyFill="1" applyBorder="1"/>
    <xf numFmtId="0" fontId="2" fillId="44" borderId="41" xfId="0" applyFont="1" applyFill="1" applyBorder="1"/>
    <xf numFmtId="0" fontId="2" fillId="36" borderId="41" xfId="0" applyFont="1" applyFill="1" applyBorder="1"/>
    <xf numFmtId="0" fontId="1" fillId="37" borderId="41" xfId="0" applyFont="1" applyFill="1" applyBorder="1"/>
    <xf numFmtId="0" fontId="1" fillId="36" borderId="41" xfId="0" applyFont="1" applyFill="1" applyBorder="1"/>
    <xf numFmtId="0" fontId="17" fillId="32" borderId="41" xfId="0" applyFont="1" applyFill="1" applyBorder="1" applyAlignment="1">
      <alignment vertical="center" wrapText="1"/>
    </xf>
    <xf numFmtId="0" fontId="10" fillId="34" borderId="41" xfId="0" applyFont="1" applyFill="1" applyBorder="1" applyAlignment="1">
      <alignment horizontal="left" vertical="center" wrapText="1"/>
    </xf>
    <xf numFmtId="0" fontId="10" fillId="32" borderId="41" xfId="0" applyFont="1" applyFill="1" applyBorder="1" applyAlignment="1">
      <alignment horizontal="left"/>
    </xf>
    <xf numFmtId="49" fontId="16" fillId="43" borderId="41" xfId="0" applyNumberFormat="1" applyFont="1" applyFill="1" applyBorder="1" applyAlignment="1">
      <alignment horizontal="left"/>
    </xf>
    <xf numFmtId="0" fontId="18" fillId="36" borderId="41" xfId="0" applyFont="1" applyFill="1" applyBorder="1"/>
    <xf numFmtId="49" fontId="16" fillId="46" borderId="41" xfId="0" applyNumberFormat="1" applyFont="1" applyFill="1" applyBorder="1" applyAlignment="1">
      <alignment horizontal="left"/>
    </xf>
    <xf numFmtId="49" fontId="16" fillId="32" borderId="41" xfId="0" applyNumberFormat="1" applyFont="1" applyFill="1" applyBorder="1" applyAlignment="1">
      <alignment horizontal="left"/>
    </xf>
    <xf numFmtId="49" fontId="1" fillId="36" borderId="41" xfId="0" applyNumberFormat="1" applyFont="1" applyFill="1" applyBorder="1" applyAlignment="1">
      <alignment horizontal="left"/>
    </xf>
    <xf numFmtId="0" fontId="11" fillId="47" borderId="41" xfId="0" applyFont="1" applyFill="1" applyBorder="1" applyAlignment="1">
      <alignment horizontal="center"/>
    </xf>
    <xf numFmtId="0" fontId="11" fillId="47" borderId="41" xfId="0" applyFont="1" applyFill="1" applyBorder="1"/>
    <xf numFmtId="0" fontId="10" fillId="47" borderId="41" xfId="0" applyFont="1" applyFill="1" applyBorder="1"/>
    <xf numFmtId="0" fontId="10" fillId="0" borderId="41" xfId="0" applyFont="1" applyBorder="1"/>
    <xf numFmtId="0" fontId="0" fillId="0" borderId="41" xfId="0" applyBorder="1"/>
    <xf numFmtId="0" fontId="10" fillId="48" borderId="41" xfId="0" applyFont="1" applyFill="1" applyBorder="1" applyAlignment="1">
      <alignment horizontal="center"/>
    </xf>
    <xf numFmtId="0" fontId="10" fillId="0" borderId="41" xfId="0" applyFont="1" applyBorder="1" applyAlignment="1">
      <alignment vertical="center"/>
    </xf>
    <xf numFmtId="164" fontId="10" fillId="0" borderId="41" xfId="0" applyNumberFormat="1" applyFont="1" applyBorder="1" applyAlignment="1">
      <alignment vertical="center"/>
    </xf>
    <xf numFmtId="0" fontId="13" fillId="30" borderId="41" xfId="0" applyFont="1" applyFill="1" applyBorder="1" applyAlignment="1">
      <alignment horizontal="center" vertical="center" wrapText="1"/>
    </xf>
    <xf numFmtId="0" fontId="10" fillId="14" borderId="41" xfId="0" applyFont="1" applyFill="1" applyBorder="1"/>
    <xf numFmtId="164" fontId="10" fillId="0" borderId="41" xfId="0" applyNumberFormat="1" applyFont="1" applyBorder="1"/>
    <xf numFmtId="0" fontId="10" fillId="25" borderId="41" xfId="0" applyFont="1" applyFill="1" applyBorder="1"/>
    <xf numFmtId="49" fontId="10" fillId="48" borderId="41" xfId="0" applyNumberFormat="1" applyFont="1" applyFill="1" applyBorder="1" applyAlignment="1">
      <alignment horizontal="center" vertical="top"/>
    </xf>
    <xf numFmtId="0" fontId="10" fillId="28" borderId="41" xfId="0" applyFont="1" applyFill="1" applyBorder="1" applyAlignment="1">
      <alignment vertical="center"/>
    </xf>
    <xf numFmtId="0" fontId="10" fillId="49" borderId="41" xfId="0" applyFont="1" applyFill="1" applyBorder="1" applyAlignment="1">
      <alignment horizontal="center"/>
    </xf>
    <xf numFmtId="49" fontId="19" fillId="49" borderId="41" xfId="0" applyNumberFormat="1" applyFont="1" applyFill="1" applyBorder="1" applyAlignment="1">
      <alignment horizontal="center" vertical="top"/>
    </xf>
    <xf numFmtId="49" fontId="10" fillId="49" borderId="41" xfId="0" applyNumberFormat="1" applyFont="1" applyFill="1" applyBorder="1" applyAlignment="1">
      <alignment horizontal="center" vertical="top"/>
    </xf>
    <xf numFmtId="0" fontId="10" fillId="26" borderId="41" xfId="0" applyFont="1" applyFill="1" applyBorder="1"/>
    <xf numFmtId="0" fontId="10" fillId="0" borderId="41" xfId="0" applyFont="1" applyBorder="1" applyAlignment="1">
      <alignment wrapText="1"/>
    </xf>
    <xf numFmtId="0" fontId="20" fillId="22" borderId="41" xfId="0" applyFont="1" applyFill="1" applyBorder="1" applyAlignment="1">
      <alignment horizontal="center"/>
    </xf>
    <xf numFmtId="0" fontId="10" fillId="22" borderId="41" xfId="0" applyFont="1" applyFill="1" applyBorder="1" applyAlignment="1">
      <alignment vertical="center"/>
    </xf>
    <xf numFmtId="0" fontId="20" fillId="50" borderId="41" xfId="0" applyFont="1" applyFill="1" applyBorder="1" applyAlignment="1">
      <alignment horizontal="center"/>
    </xf>
    <xf numFmtId="0" fontId="10" fillId="50" borderId="41" xfId="0" applyFont="1" applyFill="1" applyBorder="1" applyAlignment="1">
      <alignment vertical="center"/>
    </xf>
    <xf numFmtId="49" fontId="20" fillId="50" borderId="41" xfId="0" applyNumberFormat="1" applyFont="1" applyFill="1" applyBorder="1" applyAlignment="1">
      <alignment horizontal="center" vertical="top"/>
    </xf>
    <xf numFmtId="0" fontId="11" fillId="26" borderId="41" xfId="0" applyFont="1" applyFill="1" applyBorder="1" applyAlignment="1">
      <alignment horizontal="center" vertical="center" wrapText="1"/>
    </xf>
    <xf numFmtId="0" fontId="11" fillId="19" borderId="41" xfId="0" applyFont="1" applyFill="1" applyBorder="1" applyAlignment="1">
      <alignment horizontal="center" vertical="center" wrapText="1"/>
    </xf>
    <xf numFmtId="0" fontId="20" fillId="22" borderId="41" xfId="0" applyFont="1" applyFill="1" applyBorder="1" applyAlignment="1">
      <alignment horizontal="center" wrapText="1"/>
    </xf>
    <xf numFmtId="0" fontId="10" fillId="0" borderId="41" xfId="0" applyFont="1" applyBorder="1" applyAlignment="1">
      <alignment vertical="center" wrapText="1"/>
    </xf>
    <xf numFmtId="0" fontId="10" fillId="22" borderId="41" xfId="0" applyFont="1" applyFill="1" applyBorder="1" applyAlignment="1">
      <alignment vertical="center" wrapText="1"/>
    </xf>
    <xf numFmtId="164" fontId="10" fillId="0" borderId="41" xfId="0" applyNumberFormat="1" applyFont="1" applyBorder="1" applyAlignment="1">
      <alignment wrapText="1"/>
    </xf>
    <xf numFmtId="0" fontId="20" fillId="8" borderId="41" xfId="0" applyFont="1" applyFill="1" applyBorder="1" applyAlignment="1">
      <alignment horizontal="center"/>
    </xf>
    <xf numFmtId="0" fontId="10" fillId="30" borderId="41" xfId="0" applyFont="1" applyFill="1" applyBorder="1" applyAlignment="1">
      <alignment vertical="center"/>
    </xf>
    <xf numFmtId="0" fontId="11" fillId="50" borderId="41" xfId="0" applyFont="1" applyFill="1" applyBorder="1" applyAlignment="1">
      <alignment horizontal="center"/>
    </xf>
    <xf numFmtId="0" fontId="10" fillId="8" borderId="41" xfId="0" applyFont="1" applyFill="1" applyBorder="1" applyAlignment="1">
      <alignment horizontal="center"/>
    </xf>
    <xf numFmtId="0" fontId="10" fillId="0" borderId="41" xfId="0" applyFont="1" applyBorder="1" applyAlignment="1">
      <alignment horizontal="center"/>
    </xf>
    <xf numFmtId="0" fontId="10" fillId="5" borderId="41" xfId="0" applyFont="1" applyFill="1" applyBorder="1" applyAlignment="1">
      <alignment horizontal="left"/>
    </xf>
    <xf numFmtId="0" fontId="12" fillId="0" borderId="41" xfId="0" applyFont="1" applyBorder="1" applyAlignment="1">
      <alignment vertical="center"/>
    </xf>
    <xf numFmtId="0" fontId="13" fillId="2" borderId="41" xfId="0" applyFont="1" applyFill="1" applyBorder="1" applyAlignment="1">
      <alignment horizontal="center" vertical="center" wrapText="1"/>
    </xf>
    <xf numFmtId="0" fontId="12" fillId="5" borderId="41" xfId="0" applyFont="1" applyFill="1" applyBorder="1" applyAlignment="1">
      <alignment vertical="center"/>
    </xf>
    <xf numFmtId="0" fontId="11" fillId="5" borderId="41" xfId="0" applyFont="1" applyFill="1" applyBorder="1"/>
    <xf numFmtId="0" fontId="10" fillId="5" borderId="41" xfId="0" applyFont="1" applyFill="1" applyBorder="1"/>
    <xf numFmtId="0" fontId="15" fillId="5" borderId="41" xfId="0" applyFont="1" applyFill="1" applyBorder="1" applyAlignment="1">
      <alignment horizontal="left"/>
    </xf>
    <xf numFmtId="0" fontId="10" fillId="2" borderId="41" xfId="0" applyFont="1" applyFill="1" applyBorder="1" applyAlignment="1">
      <alignment vertical="center"/>
    </xf>
    <xf numFmtId="0" fontId="13" fillId="14" borderId="41" xfId="0" applyFont="1" applyFill="1" applyBorder="1" applyAlignment="1">
      <alignment horizontal="center" vertical="center" wrapText="1"/>
    </xf>
    <xf numFmtId="0" fontId="10" fillId="26" borderId="41" xfId="0" applyFont="1" applyFill="1" applyBorder="1" applyAlignment="1">
      <alignment horizontal="left"/>
    </xf>
    <xf numFmtId="164" fontId="10" fillId="26" borderId="41" xfId="0" applyNumberFormat="1" applyFont="1" applyFill="1" applyBorder="1"/>
    <xf numFmtId="0" fontId="10" fillId="26" borderId="41" xfId="0" applyFont="1" applyFill="1" applyBorder="1" applyAlignment="1">
      <alignment vertical="center"/>
    </xf>
    <xf numFmtId="0" fontId="12" fillId="26" borderId="41" xfId="0" applyFont="1" applyFill="1" applyBorder="1" applyAlignment="1">
      <alignment vertical="center"/>
    </xf>
    <xf numFmtId="0" fontId="13" fillId="26" borderId="41" xfId="0" applyFont="1" applyFill="1" applyBorder="1" applyAlignment="1">
      <alignment horizontal="center" vertical="center" wrapText="1"/>
    </xf>
    <xf numFmtId="0" fontId="15" fillId="5" borderId="41" xfId="0" applyFont="1" applyFill="1" applyBorder="1"/>
    <xf numFmtId="0" fontId="11" fillId="29" borderId="41" xfId="0" applyFont="1" applyFill="1" applyBorder="1"/>
    <xf numFmtId="0" fontId="12" fillId="0" borderId="41" xfId="0" applyFont="1" applyBorder="1"/>
    <xf numFmtId="0" fontId="10" fillId="29" borderId="41" xfId="0" applyFont="1" applyFill="1" applyBorder="1" applyAlignment="1">
      <alignment vertical="center"/>
    </xf>
    <xf numFmtId="0" fontId="10" fillId="14" borderId="41" xfId="0" applyFont="1" applyFill="1" applyBorder="1" applyAlignment="1">
      <alignment horizontal="left" vertical="center"/>
    </xf>
    <xf numFmtId="0" fontId="11" fillId="51" borderId="41" xfId="0" applyFont="1" applyFill="1" applyBorder="1"/>
    <xf numFmtId="0" fontId="10" fillId="8" borderId="41" xfId="0" applyFont="1" applyFill="1" applyBorder="1"/>
    <xf numFmtId="0" fontId="11" fillId="52" borderId="41" xfId="0" applyFont="1" applyFill="1" applyBorder="1"/>
    <xf numFmtId="0" fontId="11" fillId="53" borderId="41" xfId="0" applyFont="1" applyFill="1" applyBorder="1"/>
    <xf numFmtId="0" fontId="10" fillId="24" borderId="41" xfId="0" applyFont="1" applyFill="1" applyBorder="1" applyAlignment="1">
      <alignment vertical="center"/>
    </xf>
    <xf numFmtId="0" fontId="10" fillId="25" borderId="41" xfId="0" applyFont="1" applyFill="1" applyBorder="1" applyAlignment="1">
      <alignment horizontal="left" vertical="center"/>
    </xf>
    <xf numFmtId="0" fontId="11" fillId="53" borderId="41" xfId="0" applyFont="1" applyFill="1" applyBorder="1" applyAlignment="1">
      <alignment horizontal="left"/>
    </xf>
    <xf numFmtId="0" fontId="11" fillId="8" borderId="41" xfId="0" applyFont="1" applyFill="1" applyBorder="1"/>
    <xf numFmtId="0" fontId="11" fillId="52" borderId="41" xfId="0" applyFont="1" applyFill="1" applyBorder="1" applyAlignment="1">
      <alignment vertical="center"/>
    </xf>
    <xf numFmtId="0" fontId="11" fillId="53" borderId="41" xfId="0" applyFont="1" applyFill="1" applyBorder="1" applyAlignment="1">
      <alignment vertical="center"/>
    </xf>
    <xf numFmtId="0" fontId="10" fillId="5" borderId="41" xfId="0" applyFont="1" applyFill="1" applyBorder="1" applyAlignment="1">
      <alignment vertical="center"/>
    </xf>
    <xf numFmtId="0" fontId="11" fillId="8" borderId="41" xfId="0" applyFont="1" applyFill="1" applyBorder="1" applyAlignment="1">
      <alignment vertical="center"/>
    </xf>
    <xf numFmtId="0" fontId="10" fillId="2" borderId="41" xfId="0" applyFont="1" applyFill="1" applyBorder="1"/>
    <xf numFmtId="0" fontId="10" fillId="31" borderId="41" xfId="0" applyFont="1" applyFill="1" applyBorder="1"/>
    <xf numFmtId="164" fontId="10" fillId="5" borderId="41" xfId="0" applyNumberFormat="1" applyFont="1" applyFill="1" applyBorder="1" applyAlignment="1">
      <alignment vertical="center"/>
    </xf>
    <xf numFmtId="0" fontId="11" fillId="5" borderId="41" xfId="0" applyFont="1" applyFill="1" applyBorder="1" applyAlignment="1">
      <alignment horizontal="center"/>
    </xf>
    <xf numFmtId="0" fontId="13" fillId="29" borderId="41" xfId="0" applyFont="1" applyFill="1" applyBorder="1" applyAlignment="1">
      <alignment horizontal="center" vertical="center" wrapText="1"/>
    </xf>
    <xf numFmtId="0" fontId="11" fillId="5" borderId="41" xfId="0" applyFont="1" applyFill="1" applyBorder="1" applyAlignment="1">
      <alignment wrapText="1"/>
    </xf>
    <xf numFmtId="0" fontId="14" fillId="5" borderId="41" xfId="0" applyFont="1" applyFill="1" applyBorder="1"/>
    <xf numFmtId="0" fontId="11" fillId="23" borderId="41" xfId="0" applyFont="1" applyFill="1" applyBorder="1"/>
    <xf numFmtId="0" fontId="10" fillId="3" borderId="41" xfId="0" applyFont="1" applyFill="1" applyBorder="1"/>
    <xf numFmtId="0" fontId="10" fillId="3" borderId="41" xfId="0" applyFont="1" applyFill="1" applyBorder="1" applyAlignment="1">
      <alignment vertical="center"/>
    </xf>
    <xf numFmtId="0" fontId="13" fillId="3" borderId="41" xfId="0" applyFont="1" applyFill="1" applyBorder="1" applyAlignment="1">
      <alignment horizontal="center" vertical="center" wrapText="1"/>
    </xf>
    <xf numFmtId="164" fontId="10" fillId="3" borderId="41" xfId="0" applyNumberFormat="1" applyFont="1" applyFill="1" applyBorder="1" applyAlignment="1">
      <alignment vertical="center"/>
    </xf>
    <xf numFmtId="0" fontId="10" fillId="3" borderId="41" xfId="0" applyFont="1" applyFill="1" applyBorder="1" applyAlignment="1">
      <alignment wrapText="1"/>
    </xf>
    <xf numFmtId="0" fontId="10" fillId="5" borderId="41" xfId="0" applyFont="1" applyFill="1" applyBorder="1" applyAlignment="1">
      <alignment horizontal="left" vertical="center"/>
    </xf>
    <xf numFmtId="0" fontId="12" fillId="3" borderId="41" xfId="0" applyFont="1" applyFill="1" applyBorder="1" applyAlignment="1">
      <alignment vertical="center"/>
    </xf>
    <xf numFmtId="164" fontId="10" fillId="3" borderId="41" xfId="0" applyNumberFormat="1" applyFont="1" applyFill="1" applyBorder="1"/>
    <xf numFmtId="0" fontId="14" fillId="0" borderId="41" xfId="0" applyFont="1" applyBorder="1"/>
    <xf numFmtId="0" fontId="10" fillId="23" borderId="41" xfId="0" applyFont="1" applyFill="1" applyBorder="1" applyAlignment="1">
      <alignment vertical="center"/>
    </xf>
    <xf numFmtId="0" fontId="10" fillId="14" borderId="41" xfId="0" applyFont="1" applyFill="1" applyBorder="1" applyAlignment="1">
      <alignment vertical="center"/>
    </xf>
    <xf numFmtId="0" fontId="14" fillId="31" borderId="41" xfId="0" applyFont="1" applyFill="1" applyBorder="1"/>
    <xf numFmtId="0" fontId="14" fillId="0" borderId="41" xfId="0" applyFont="1" applyBorder="1" applyAlignment="1">
      <alignment vertical="center"/>
    </xf>
    <xf numFmtId="0" fontId="10" fillId="23" borderId="41" xfId="0" applyFont="1" applyFill="1" applyBorder="1"/>
    <xf numFmtId="49" fontId="10" fillId="20" borderId="41" xfId="0" applyNumberFormat="1" applyFont="1" applyFill="1" applyBorder="1" applyAlignment="1">
      <alignment horizontal="left"/>
    </xf>
    <xf numFmtId="164" fontId="10" fillId="5" borderId="41" xfId="0" applyNumberFormat="1" applyFont="1" applyFill="1" applyBorder="1"/>
    <xf numFmtId="0" fontId="17" fillId="20" borderId="41" xfId="0" applyFont="1" applyFill="1" applyBorder="1" applyAlignment="1">
      <alignment wrapText="1"/>
    </xf>
    <xf numFmtId="0" fontId="17" fillId="20" borderId="41" xfId="0" applyFont="1" applyFill="1" applyBorder="1" applyAlignment="1">
      <alignment vertical="center" wrapText="1"/>
    </xf>
    <xf numFmtId="0" fontId="10" fillId="17" borderId="41" xfId="0" applyFont="1" applyFill="1" applyBorder="1" applyAlignment="1">
      <alignment vertical="center"/>
    </xf>
    <xf numFmtId="0" fontId="13" fillId="17" borderId="41" xfId="0" applyFont="1" applyFill="1" applyBorder="1" applyAlignment="1">
      <alignment horizontal="center" vertical="center" wrapText="1"/>
    </xf>
    <xf numFmtId="49" fontId="10" fillId="54" borderId="41" xfId="0" applyNumberFormat="1" applyFont="1" applyFill="1" applyBorder="1" applyAlignment="1">
      <alignment horizontal="left"/>
    </xf>
    <xf numFmtId="0" fontId="13" fillId="8" borderId="41" xfId="0" applyFont="1" applyFill="1" applyBorder="1" applyAlignment="1">
      <alignment horizontal="center" vertical="center" wrapText="1"/>
    </xf>
    <xf numFmtId="0" fontId="10" fillId="54" borderId="41" xfId="0" applyFont="1" applyFill="1" applyBorder="1" applyAlignment="1">
      <alignment vertical="center"/>
    </xf>
    <xf numFmtId="0" fontId="10" fillId="54" borderId="41" xfId="0" applyFont="1" applyFill="1" applyBorder="1"/>
    <xf numFmtId="0" fontId="17" fillId="54" borderId="41" xfId="0" applyFont="1" applyFill="1" applyBorder="1" applyAlignment="1">
      <alignment vertical="center" wrapText="1"/>
    </xf>
    <xf numFmtId="0" fontId="17" fillId="54" borderId="41" xfId="0" applyFont="1" applyFill="1" applyBorder="1" applyAlignment="1">
      <alignment wrapText="1"/>
    </xf>
    <xf numFmtId="0" fontId="10" fillId="54" borderId="41" xfId="0" applyFont="1" applyFill="1" applyBorder="1" applyAlignment="1">
      <alignment horizontal="left" vertical="center" wrapText="1"/>
    </xf>
    <xf numFmtId="0" fontId="10" fillId="53" borderId="41" xfId="0" applyFont="1" applyFill="1" applyBorder="1"/>
    <xf numFmtId="0" fontId="13" fillId="20" borderId="41" xfId="0" applyFont="1" applyFill="1" applyBorder="1" applyAlignment="1">
      <alignment horizontal="center" vertical="center" wrapText="1"/>
    </xf>
    <xf numFmtId="0" fontId="17" fillId="53" borderId="41" xfId="0" applyFont="1" applyFill="1" applyBorder="1" applyAlignment="1">
      <alignment vertical="center" wrapText="1"/>
    </xf>
    <xf numFmtId="0" fontId="16" fillId="35" borderId="41" xfId="0" applyFont="1" applyFill="1" applyBorder="1"/>
    <xf numFmtId="14" fontId="10" fillId="0" borderId="41" xfId="0" applyNumberFormat="1" applyFont="1" applyBorder="1"/>
    <xf numFmtId="0" fontId="0" fillId="0" borderId="41" xfId="0" applyBorder="1" applyAlignment="1">
      <alignment wrapText="1"/>
    </xf>
    <xf numFmtId="0" fontId="1" fillId="44" borderId="41" xfId="0" applyFont="1" applyFill="1" applyBorder="1"/>
    <xf numFmtId="0" fontId="1" fillId="0" borderId="41" xfId="0" applyFont="1" applyBorder="1"/>
    <xf numFmtId="0" fontId="18" fillId="44" borderId="41" xfId="0" applyFont="1" applyFill="1" applyBorder="1"/>
    <xf numFmtId="0" fontId="16" fillId="32" borderId="41" xfId="0" applyFont="1" applyFill="1" applyBorder="1"/>
    <xf numFmtId="14" fontId="0" fillId="33" borderId="41" xfId="0" applyNumberFormat="1" applyFill="1" applyBorder="1"/>
    <xf numFmtId="14" fontId="0" fillId="0" borderId="41" xfId="0" applyNumberFormat="1" applyBorder="1"/>
    <xf numFmtId="49" fontId="10" fillId="34" borderId="41" xfId="0" applyNumberFormat="1" applyFont="1" applyFill="1" applyBorder="1" applyAlignment="1">
      <alignment horizontal="left"/>
    </xf>
    <xf numFmtId="164" fontId="10" fillId="32" borderId="41" xfId="0" applyNumberFormat="1" applyFont="1" applyFill="1" applyBorder="1"/>
    <xf numFmtId="49" fontId="10" fillId="38" borderId="41" xfId="0" applyNumberFormat="1" applyFont="1" applyFill="1" applyBorder="1" applyAlignment="1">
      <alignment horizontal="left"/>
    </xf>
    <xf numFmtId="0" fontId="10" fillId="38" borderId="41" xfId="0" applyFont="1" applyFill="1" applyBorder="1" applyAlignment="1">
      <alignment horizontal="left" vertical="center" wrapText="1"/>
    </xf>
    <xf numFmtId="0" fontId="10" fillId="32" borderId="41" xfId="0" applyFont="1" applyFill="1" applyBorder="1" applyAlignment="1">
      <alignment horizontal="left" vertical="center"/>
    </xf>
    <xf numFmtId="0" fontId="10" fillId="33" borderId="41" xfId="0" applyFont="1" applyFill="1" applyBorder="1" applyAlignment="1">
      <alignment vertical="center"/>
    </xf>
    <xf numFmtId="0" fontId="1" fillId="33" borderId="41" xfId="0" applyFont="1" applyFill="1" applyBorder="1"/>
    <xf numFmtId="0" fontId="10" fillId="38" borderId="41" xfId="0" applyFont="1" applyFill="1" applyBorder="1"/>
    <xf numFmtId="164" fontId="10" fillId="33" borderId="41" xfId="0" applyNumberFormat="1" applyFont="1" applyFill="1" applyBorder="1"/>
    <xf numFmtId="49" fontId="10" fillId="41" borderId="41" xfId="0" applyNumberFormat="1" applyFont="1" applyFill="1" applyBorder="1" applyAlignment="1">
      <alignment horizontal="left"/>
    </xf>
    <xf numFmtId="0" fontId="10" fillId="34" borderId="41" xfId="0" applyFont="1" applyFill="1" applyBorder="1" applyAlignment="1">
      <alignment vertical="center"/>
    </xf>
    <xf numFmtId="0" fontId="17" fillId="34" borderId="41" xfId="0" applyFont="1" applyFill="1" applyBorder="1" applyAlignment="1">
      <alignment wrapText="1"/>
    </xf>
    <xf numFmtId="0" fontId="10" fillId="0" borderId="41" xfId="0" applyFont="1" applyBorder="1" applyAlignment="1">
      <alignment horizontal="left" wrapText="1" indent="1"/>
    </xf>
    <xf numFmtId="0" fontId="12" fillId="32" borderId="41" xfId="0" applyFont="1" applyFill="1" applyBorder="1" applyAlignment="1">
      <alignment vertical="center"/>
    </xf>
    <xf numFmtId="0" fontId="13" fillId="38" borderId="41" xfId="0" applyFont="1" applyFill="1" applyBorder="1" applyAlignment="1">
      <alignment horizontal="center" vertical="center" wrapText="1"/>
    </xf>
    <xf numFmtId="164" fontId="10" fillId="32" borderId="41" xfId="0" applyNumberFormat="1" applyFont="1" applyFill="1" applyBorder="1" applyAlignment="1">
      <alignment vertical="center"/>
    </xf>
    <xf numFmtId="0" fontId="17" fillId="34" borderId="41" xfId="0" applyFont="1" applyFill="1" applyBorder="1" applyAlignment="1">
      <alignment vertical="center" wrapText="1"/>
    </xf>
    <xf numFmtId="0" fontId="16" fillId="32" borderId="41" xfId="0" applyFont="1" applyFill="1" applyBorder="1" applyAlignment="1">
      <alignment horizontal="left" vertical="center" wrapText="1"/>
    </xf>
    <xf numFmtId="0" fontId="16" fillId="46" borderId="41" xfId="0" applyFont="1" applyFill="1" applyBorder="1" applyAlignment="1">
      <alignment horizontal="left" vertical="center" wrapText="1"/>
    </xf>
    <xf numFmtId="0" fontId="17" fillId="32" borderId="41" xfId="0" applyFont="1" applyFill="1" applyBorder="1" applyAlignment="1">
      <alignment wrapText="1"/>
    </xf>
    <xf numFmtId="0" fontId="18" fillId="55" borderId="0" xfId="0" applyFont="1" applyFill="1" applyAlignment="1">
      <alignment vertical="center" wrapText="1"/>
    </xf>
    <xf numFmtId="0" fontId="18" fillId="56" borderId="0" xfId="0" applyFont="1" applyFill="1" applyAlignment="1">
      <alignment vertical="center" wrapText="1"/>
    </xf>
    <xf numFmtId="0" fontId="0" fillId="57" borderId="0" xfId="0" applyFill="1"/>
    <xf numFmtId="0" fontId="0" fillId="58" borderId="0" xfId="0" applyFill="1"/>
    <xf numFmtId="0" fontId="10" fillId="5" borderId="0" xfId="0" applyFont="1" applyFill="1" applyAlignment="1">
      <alignment horizontal="left" vertical="center"/>
    </xf>
    <xf numFmtId="49" fontId="10" fillId="23" borderId="41" xfId="0" applyNumberFormat="1" applyFont="1" applyFill="1" applyBorder="1" applyAlignment="1">
      <alignment horizontal="left"/>
    </xf>
    <xf numFmtId="0" fontId="0" fillId="59" borderId="0" xfId="0" applyFill="1"/>
    <xf numFmtId="0" fontId="0" fillId="60" borderId="0" xfId="0" applyFill="1"/>
    <xf numFmtId="0" fontId="0" fillId="61" borderId="0" xfId="0" applyFill="1"/>
    <xf numFmtId="0" fontId="15" fillId="5" borderId="41" xfId="0" applyFont="1" applyFill="1" applyBorder="1" applyAlignment="1">
      <alignment horizontal="left" vertical="center"/>
    </xf>
    <xf numFmtId="49" fontId="10" fillId="5" borderId="41" xfId="0" applyNumberFormat="1" applyFont="1" applyFill="1" applyBorder="1" applyAlignment="1">
      <alignment horizontal="left" vertical="center"/>
    </xf>
    <xf numFmtId="0" fontId="10" fillId="13" borderId="41" xfId="0" applyFont="1" applyFill="1" applyBorder="1" applyAlignment="1">
      <alignment horizontal="left"/>
    </xf>
    <xf numFmtId="49" fontId="0" fillId="42" borderId="41" xfId="0" applyNumberFormat="1" applyFill="1" applyBorder="1" applyAlignment="1">
      <alignment horizontal="left"/>
    </xf>
    <xf numFmtId="49" fontId="0" fillId="36" borderId="41" xfId="0" applyNumberFormat="1" applyFill="1" applyBorder="1" applyAlignment="1">
      <alignment horizontal="left"/>
    </xf>
    <xf numFmtId="0" fontId="0" fillId="0" borderId="41" xfId="0" applyBorder="1" applyAlignment="1">
      <alignment horizontal="left" vertical="center"/>
    </xf>
    <xf numFmtId="0" fontId="11" fillId="5" borderId="41" xfId="0" applyFont="1" applyFill="1" applyBorder="1" applyAlignment="1">
      <alignment horizontal="left" vertical="center"/>
    </xf>
    <xf numFmtId="0" fontId="11" fillId="5" borderId="41" xfId="0" applyFont="1" applyFill="1" applyBorder="1" applyAlignment="1">
      <alignment horizontal="left"/>
    </xf>
    <xf numFmtId="0" fontId="0" fillId="0" borderId="41" xfId="0" applyBorder="1" applyAlignment="1">
      <alignment horizontal="left"/>
    </xf>
    <xf numFmtId="0" fontId="10" fillId="23" borderId="41" xfId="0" applyFont="1" applyFill="1" applyBorder="1" applyAlignment="1">
      <alignment horizontal="left"/>
    </xf>
    <xf numFmtId="0" fontId="10" fillId="0" borderId="41" xfId="0" applyFont="1" applyBorder="1" applyAlignment="1">
      <alignment horizontal="left" vertical="center"/>
    </xf>
    <xf numFmtId="0" fontId="10" fillId="24" borderId="41" xfId="0" applyFont="1" applyFill="1" applyBorder="1" applyAlignment="1">
      <alignment horizontal="left" vertical="center"/>
    </xf>
    <xf numFmtId="0" fontId="12" fillId="0" borderId="41" xfId="0" applyFont="1" applyBorder="1" applyAlignment="1">
      <alignment horizontal="left" vertical="center"/>
    </xf>
    <xf numFmtId="164" fontId="10" fillId="0" borderId="41" xfId="0" applyNumberFormat="1" applyFont="1" applyBorder="1" applyAlignment="1">
      <alignment horizontal="left"/>
    </xf>
    <xf numFmtId="0" fontId="10" fillId="0" borderId="41" xfId="0" applyFont="1" applyBorder="1" applyAlignment="1">
      <alignment horizontal="left"/>
    </xf>
    <xf numFmtId="0" fontId="10" fillId="23" borderId="41" xfId="0" applyFont="1" applyFill="1" applyBorder="1" applyAlignment="1">
      <alignment horizontal="left" vertical="center"/>
    </xf>
    <xf numFmtId="164" fontId="10" fillId="5" borderId="41" xfId="0" applyNumberFormat="1" applyFont="1" applyFill="1" applyBorder="1" applyAlignment="1">
      <alignment horizontal="left"/>
    </xf>
    <xf numFmtId="0" fontId="10" fillId="27" borderId="41" xfId="0" applyFont="1" applyFill="1" applyBorder="1" applyAlignment="1">
      <alignment horizontal="left"/>
    </xf>
    <xf numFmtId="0" fontId="10" fillId="8" borderId="41" xfId="0" applyFont="1" applyFill="1" applyBorder="1" applyAlignment="1">
      <alignment horizontal="left"/>
    </xf>
    <xf numFmtId="0" fontId="10" fillId="28" borderId="41" xfId="0" applyFont="1" applyFill="1" applyBorder="1" applyAlignment="1">
      <alignment horizontal="left" vertical="center"/>
    </xf>
    <xf numFmtId="164" fontId="10" fillId="8" borderId="41" xfId="0" applyNumberFormat="1" applyFont="1" applyFill="1" applyBorder="1" applyAlignment="1">
      <alignment horizontal="left"/>
    </xf>
    <xf numFmtId="0" fontId="10" fillId="8" borderId="41" xfId="0" applyFont="1" applyFill="1" applyBorder="1" applyAlignment="1">
      <alignment horizontal="left" vertical="center"/>
    </xf>
    <xf numFmtId="0" fontId="10" fillId="17" borderId="41" xfId="0" applyFont="1" applyFill="1" applyBorder="1" applyAlignment="1">
      <alignment horizontal="left"/>
    </xf>
    <xf numFmtId="0" fontId="22" fillId="29" borderId="41" xfId="0" applyFont="1" applyFill="1" applyBorder="1" applyAlignment="1">
      <alignment horizontal="left" vertical="center" wrapText="1"/>
    </xf>
    <xf numFmtId="0" fontId="12" fillId="0" borderId="41" xfId="0" applyFont="1" applyBorder="1" applyAlignment="1">
      <alignment horizontal="left"/>
    </xf>
    <xf numFmtId="164" fontId="10" fillId="0" borderId="41" xfId="0" applyNumberFormat="1" applyFont="1" applyBorder="1" applyAlignment="1">
      <alignment horizontal="left" vertical="center"/>
    </xf>
    <xf numFmtId="0" fontId="22" fillId="30" borderId="41" xfId="0" applyFont="1" applyFill="1" applyBorder="1" applyAlignment="1">
      <alignment horizontal="left" vertical="center" wrapText="1"/>
    </xf>
    <xf numFmtId="0" fontId="22" fillId="2" borderId="41" xfId="0" applyFont="1" applyFill="1" applyBorder="1" applyAlignment="1">
      <alignment horizontal="left" vertical="center" wrapText="1"/>
    </xf>
    <xf numFmtId="164" fontId="10" fillId="8" borderId="41" xfId="0" applyNumberFormat="1" applyFont="1" applyFill="1" applyBorder="1" applyAlignment="1">
      <alignment horizontal="left" vertical="center"/>
    </xf>
    <xf numFmtId="0" fontId="10" fillId="3" borderId="41" xfId="0" applyFont="1" applyFill="1" applyBorder="1" applyAlignment="1">
      <alignment horizontal="left"/>
    </xf>
    <xf numFmtId="0" fontId="0" fillId="33" borderId="41" xfId="0" applyFill="1" applyBorder="1" applyAlignment="1">
      <alignment horizontal="left"/>
    </xf>
    <xf numFmtId="14" fontId="0" fillId="33" borderId="41" xfId="0" applyNumberFormat="1" applyFill="1" applyBorder="1" applyAlignment="1">
      <alignment horizontal="left"/>
    </xf>
    <xf numFmtId="0" fontId="0" fillId="37" borderId="41" xfId="0" applyFill="1" applyBorder="1" applyAlignment="1">
      <alignment horizontal="left"/>
    </xf>
    <xf numFmtId="14" fontId="0" fillId="37" borderId="41" xfId="0" applyNumberFormat="1" applyFill="1" applyBorder="1" applyAlignment="1">
      <alignment horizontal="left"/>
    </xf>
    <xf numFmtId="0" fontId="2" fillId="36" borderId="41" xfId="0" applyFont="1" applyFill="1" applyBorder="1" applyAlignment="1">
      <alignment horizontal="left"/>
    </xf>
    <xf numFmtId="0" fontId="12" fillId="5" borderId="41" xfId="0" applyFont="1" applyFill="1" applyBorder="1" applyAlignment="1">
      <alignment horizontal="left" vertical="center"/>
    </xf>
    <xf numFmtId="164" fontId="10" fillId="5" borderId="41" xfId="0" applyNumberFormat="1" applyFont="1" applyFill="1" applyBorder="1" applyAlignment="1">
      <alignment horizontal="left" vertical="center"/>
    </xf>
    <xf numFmtId="0" fontId="14" fillId="5" borderId="41" xfId="0" applyFont="1" applyFill="1" applyBorder="1" applyAlignment="1">
      <alignment horizontal="left"/>
    </xf>
    <xf numFmtId="0" fontId="12" fillId="5" borderId="41" xfId="0" applyFont="1" applyFill="1" applyBorder="1" applyAlignment="1">
      <alignment horizontal="left"/>
    </xf>
    <xf numFmtId="0" fontId="22" fillId="5" borderId="41" xfId="0" applyFont="1" applyFill="1" applyBorder="1" applyAlignment="1">
      <alignment horizontal="left" vertical="center" wrapText="1"/>
    </xf>
    <xf numFmtId="0" fontId="10" fillId="3" borderId="41" xfId="0" applyFont="1" applyFill="1" applyBorder="1" applyAlignment="1">
      <alignment horizontal="left" vertical="center"/>
    </xf>
    <xf numFmtId="0" fontId="22" fillId="3" borderId="41" xfId="0" applyFont="1" applyFill="1" applyBorder="1" applyAlignment="1">
      <alignment horizontal="left" vertical="center" wrapText="1"/>
    </xf>
    <xf numFmtId="164" fontId="10" fillId="3" borderId="41" xfId="0" applyNumberFormat="1" applyFont="1" applyFill="1" applyBorder="1" applyAlignment="1">
      <alignment horizontal="left" vertical="center"/>
    </xf>
    <xf numFmtId="164" fontId="10" fillId="32" borderId="41" xfId="0" applyNumberFormat="1" applyFont="1" applyFill="1" applyBorder="1" applyAlignment="1">
      <alignment horizontal="left"/>
    </xf>
    <xf numFmtId="0" fontId="0" fillId="42" borderId="41" xfId="0" applyFill="1" applyBorder="1" applyAlignment="1">
      <alignment horizontal="left"/>
    </xf>
    <xf numFmtId="0" fontId="0" fillId="36" borderId="41" xfId="0" applyFill="1" applyBorder="1" applyAlignment="1">
      <alignment horizontal="left"/>
    </xf>
    <xf numFmtId="164" fontId="10" fillId="28" borderId="41" xfId="0" applyNumberFormat="1" applyFont="1" applyFill="1" applyBorder="1" applyAlignment="1">
      <alignment horizontal="left" vertical="center"/>
    </xf>
    <xf numFmtId="164" fontId="10" fillId="28" borderId="41" xfId="0" applyNumberFormat="1" applyFont="1" applyFill="1" applyBorder="1" applyAlignment="1">
      <alignment horizontal="left"/>
    </xf>
    <xf numFmtId="0" fontId="10" fillId="30" borderId="41" xfId="0" applyFont="1" applyFill="1" applyBorder="1" applyAlignment="1">
      <alignment horizontal="left" vertical="center"/>
    </xf>
    <xf numFmtId="164" fontId="10" fillId="33" borderId="41" xfId="0" applyNumberFormat="1" applyFont="1" applyFill="1" applyBorder="1" applyAlignment="1">
      <alignment horizontal="left"/>
    </xf>
    <xf numFmtId="0" fontId="10" fillId="33" borderId="41" xfId="0" applyFont="1" applyFill="1" applyBorder="1" applyAlignment="1">
      <alignment horizontal="left"/>
    </xf>
    <xf numFmtId="0" fontId="14" fillId="5" borderId="41" xfId="0" applyFont="1" applyFill="1" applyBorder="1" applyAlignment="1">
      <alignment horizontal="left" vertical="center"/>
    </xf>
    <xf numFmtId="0" fontId="14" fillId="8" borderId="41" xfId="0" applyFont="1" applyFill="1" applyBorder="1" applyAlignment="1">
      <alignment horizontal="left"/>
    </xf>
    <xf numFmtId="0" fontId="14" fillId="0" borderId="41" xfId="0" applyFont="1" applyBorder="1" applyAlignment="1">
      <alignment horizontal="left" vertical="center"/>
    </xf>
    <xf numFmtId="0" fontId="14" fillId="23" borderId="41" xfId="0" applyFont="1" applyFill="1" applyBorder="1" applyAlignment="1">
      <alignment horizontal="left"/>
    </xf>
    <xf numFmtId="0" fontId="12" fillId="32" borderId="41" xfId="0" applyFont="1" applyFill="1" applyBorder="1" applyAlignment="1">
      <alignment horizontal="left" vertical="center"/>
    </xf>
    <xf numFmtId="164" fontId="10" fillId="32" borderId="41" xfId="0" applyNumberFormat="1" applyFont="1" applyFill="1" applyBorder="1" applyAlignment="1">
      <alignment horizontal="left" vertical="center"/>
    </xf>
    <xf numFmtId="0" fontId="0" fillId="39" borderId="41" xfId="0" applyFill="1" applyBorder="1" applyAlignment="1">
      <alignment horizontal="left"/>
    </xf>
    <xf numFmtId="0" fontId="0" fillId="45" borderId="41" xfId="0" applyFill="1" applyBorder="1" applyAlignment="1">
      <alignment horizontal="left"/>
    </xf>
    <xf numFmtId="0" fontId="0" fillId="37" borderId="41" xfId="0" applyFill="1" applyBorder="1" applyAlignment="1">
      <alignment horizontal="left" vertical="center"/>
    </xf>
    <xf numFmtId="0" fontId="10" fillId="62" borderId="41" xfId="0" applyFont="1" applyFill="1" applyBorder="1" applyAlignment="1">
      <alignment horizontal="left" vertical="center"/>
    </xf>
    <xf numFmtId="49" fontId="10" fillId="62" borderId="41" xfId="0" applyNumberFormat="1" applyFont="1" applyFill="1" applyBorder="1" applyAlignment="1">
      <alignment horizontal="left" vertical="center"/>
    </xf>
    <xf numFmtId="0" fontId="16" fillId="62" borderId="41" xfId="0" applyFont="1" applyFill="1" applyBorder="1" applyAlignment="1">
      <alignment horizontal="left" vertical="center"/>
    </xf>
    <xf numFmtId="0" fontId="16" fillId="5" borderId="41" xfId="0" applyFont="1" applyFill="1" applyBorder="1" applyAlignment="1">
      <alignment horizontal="left" vertical="center"/>
    </xf>
    <xf numFmtId="0" fontId="2" fillId="37" borderId="41" xfId="0" applyFont="1" applyFill="1" applyBorder="1" applyAlignment="1">
      <alignment horizontal="left" vertical="center"/>
    </xf>
    <xf numFmtId="0" fontId="10" fillId="63" borderId="41" xfId="0" applyFont="1" applyFill="1" applyBorder="1" applyAlignment="1">
      <alignment horizontal="left" vertical="center"/>
    </xf>
    <xf numFmtId="0" fontId="10" fillId="64" borderId="41" xfId="0" applyFont="1" applyFill="1" applyBorder="1" applyAlignment="1">
      <alignment horizontal="left" vertical="center"/>
    </xf>
    <xf numFmtId="0" fontId="11" fillId="62" borderId="41" xfId="0" applyFont="1" applyFill="1" applyBorder="1" applyAlignment="1">
      <alignment horizontal="left" vertical="center"/>
    </xf>
    <xf numFmtId="0" fontId="10" fillId="65" borderId="41" xfId="0" applyFont="1" applyFill="1" applyBorder="1" applyAlignment="1">
      <alignment horizontal="left" vertical="center"/>
    </xf>
    <xf numFmtId="49" fontId="16" fillId="5" borderId="41" xfId="0" applyNumberFormat="1" applyFont="1" applyFill="1" applyBorder="1" applyAlignment="1">
      <alignment horizontal="left" vertical="center"/>
    </xf>
    <xf numFmtId="0" fontId="22" fillId="62" borderId="41" xfId="0" applyFont="1" applyFill="1" applyBorder="1" applyAlignment="1">
      <alignment horizontal="left" vertical="center" wrapText="1"/>
    </xf>
    <xf numFmtId="0" fontId="10" fillId="62" borderId="41" xfId="0" applyFont="1" applyFill="1" applyBorder="1" applyAlignment="1">
      <alignment horizontal="left" vertical="center" wrapText="1"/>
    </xf>
    <xf numFmtId="0" fontId="14" fillId="63" borderId="41" xfId="0" applyFont="1" applyFill="1" applyBorder="1" applyAlignment="1">
      <alignment horizontal="left" vertical="center"/>
    </xf>
    <xf numFmtId="0" fontId="11" fillId="64" borderId="41" xfId="0" applyFont="1" applyFill="1" applyBorder="1" applyAlignment="1">
      <alignment horizontal="left" vertical="center"/>
    </xf>
    <xf numFmtId="0" fontId="10" fillId="66" borderId="41" xfId="0" applyFont="1" applyFill="1" applyBorder="1" applyAlignment="1">
      <alignment horizontal="left" vertical="center"/>
    </xf>
    <xf numFmtId="0" fontId="22" fillId="67" borderId="41" xfId="0" applyFont="1" applyFill="1" applyBorder="1" applyAlignment="1">
      <alignment horizontal="left" vertical="center" wrapText="1"/>
    </xf>
    <xf numFmtId="0" fontId="16" fillId="5" borderId="41" xfId="0" applyFont="1" applyFill="1" applyBorder="1" applyAlignment="1">
      <alignment horizontal="left" vertical="center" wrapText="1"/>
    </xf>
    <xf numFmtId="0" fontId="16" fillId="62" borderId="41" xfId="0" applyFont="1" applyFill="1" applyBorder="1" applyAlignment="1">
      <alignment horizontal="left" vertical="center" wrapText="1"/>
    </xf>
    <xf numFmtId="49" fontId="16" fillId="68" borderId="41" xfId="0" applyNumberFormat="1" applyFont="1" applyFill="1" applyBorder="1" applyAlignment="1">
      <alignment horizontal="left" vertical="center"/>
    </xf>
    <xf numFmtId="49" fontId="16" fillId="62" borderId="41" xfId="0" applyNumberFormat="1" applyFont="1" applyFill="1" applyBorder="1" applyAlignment="1">
      <alignment horizontal="left" vertical="center"/>
    </xf>
    <xf numFmtId="49" fontId="16" fillId="67" borderId="41" xfId="0" applyNumberFormat="1" applyFont="1" applyFill="1" applyBorder="1" applyAlignment="1">
      <alignment horizontal="left" vertical="center"/>
    </xf>
    <xf numFmtId="0" fontId="16" fillId="68" borderId="41" xfId="0" applyFont="1" applyFill="1" applyBorder="1" applyAlignment="1">
      <alignment horizontal="left" vertical="center" wrapText="1"/>
    </xf>
    <xf numFmtId="0" fontId="10" fillId="66" borderId="41" xfId="0" applyFont="1" applyFill="1" applyBorder="1" applyAlignment="1">
      <alignment horizontal="left" vertical="center" wrapText="1"/>
    </xf>
    <xf numFmtId="0" fontId="22" fillId="66" borderId="41" xfId="0" applyFont="1" applyFill="1" applyBorder="1" applyAlignment="1">
      <alignment horizontal="left" vertical="center" wrapText="1"/>
    </xf>
    <xf numFmtId="49" fontId="10" fillId="66" borderId="41" xfId="0" applyNumberFormat="1" applyFont="1" applyFill="1" applyBorder="1" applyAlignment="1">
      <alignment horizontal="left" vertical="center"/>
    </xf>
    <xf numFmtId="0" fontId="16" fillId="67" borderId="41" xfId="0" applyFont="1" applyFill="1" applyBorder="1" applyAlignment="1">
      <alignment horizontal="left" vertical="center" wrapText="1"/>
    </xf>
    <xf numFmtId="0" fontId="10" fillId="69" borderId="41" xfId="0" applyFont="1" applyFill="1" applyBorder="1" applyAlignment="1">
      <alignment horizontal="left"/>
    </xf>
    <xf numFmtId="49" fontId="10" fillId="64" borderId="41" xfId="0" applyNumberFormat="1" applyFont="1" applyFill="1" applyBorder="1" applyAlignment="1">
      <alignment horizontal="left" vertical="center"/>
    </xf>
    <xf numFmtId="49" fontId="10" fillId="70" borderId="41" xfId="0" applyNumberFormat="1" applyFont="1" applyFill="1" applyBorder="1" applyAlignment="1">
      <alignment horizontal="left" vertical="center"/>
    </xf>
    <xf numFmtId="0" fontId="10" fillId="70" borderId="41" xfId="0" applyFont="1" applyFill="1" applyBorder="1" applyAlignment="1">
      <alignment horizontal="left" vertical="center" wrapText="1"/>
    </xf>
    <xf numFmtId="49" fontId="10" fillId="65" borderId="41" xfId="0" applyNumberFormat="1" applyFont="1" applyFill="1" applyBorder="1" applyAlignment="1">
      <alignment horizontal="left" vertical="center"/>
    </xf>
    <xf numFmtId="0" fontId="10" fillId="64" borderId="41" xfId="0" applyFont="1" applyFill="1" applyBorder="1" applyAlignment="1">
      <alignment horizontal="left" vertical="center" wrapText="1"/>
    </xf>
    <xf numFmtId="0" fontId="22" fillId="64" borderId="41" xfId="0" applyFont="1" applyFill="1" applyBorder="1" applyAlignment="1">
      <alignment horizontal="left" vertical="center" wrapText="1"/>
    </xf>
    <xf numFmtId="0" fontId="11" fillId="71" borderId="41" xfId="0" applyFont="1" applyFill="1" applyBorder="1" applyAlignment="1">
      <alignment horizontal="left" vertical="center"/>
    </xf>
    <xf numFmtId="49" fontId="11" fillId="71" borderId="41" xfId="0" applyNumberFormat="1" applyFont="1" applyFill="1" applyBorder="1" applyAlignment="1">
      <alignment horizontal="left" vertical="center"/>
    </xf>
    <xf numFmtId="0" fontId="10" fillId="72" borderId="41" xfId="0" applyFont="1" applyFill="1" applyBorder="1" applyAlignment="1">
      <alignment horizontal="left"/>
    </xf>
    <xf numFmtId="0" fontId="10" fillId="37" borderId="41" xfId="0" applyFont="1" applyFill="1" applyBorder="1" applyAlignment="1">
      <alignment horizontal="left" vertical="center"/>
    </xf>
    <xf numFmtId="0" fontId="0" fillId="73" borderId="41" xfId="0" applyFill="1" applyBorder="1" applyAlignment="1">
      <alignment horizontal="left"/>
    </xf>
    <xf numFmtId="14" fontId="0" fillId="73" borderId="41" xfId="0" applyNumberFormat="1" applyFill="1" applyBorder="1" applyAlignment="1">
      <alignment horizontal="left"/>
    </xf>
    <xf numFmtId="0" fontId="10" fillId="74" borderId="41" xfId="0" applyFont="1" applyFill="1" applyBorder="1" applyAlignment="1">
      <alignment horizontal="left"/>
    </xf>
    <xf numFmtId="0" fontId="11" fillId="40" borderId="41" xfId="0" applyFont="1" applyFill="1" applyBorder="1" applyAlignment="1">
      <alignment horizontal="left"/>
    </xf>
    <xf numFmtId="0" fontId="11" fillId="75" borderId="41" xfId="0" applyFont="1" applyFill="1" applyBorder="1" applyAlignment="1">
      <alignment horizontal="left" vertical="center"/>
    </xf>
    <xf numFmtId="0" fontId="11" fillId="2" borderId="41" xfId="0" applyFont="1" applyFill="1" applyBorder="1" applyAlignment="1">
      <alignment horizontal="left" vertical="center"/>
    </xf>
    <xf numFmtId="0" fontId="11" fillId="2" borderId="41" xfId="0" applyFont="1" applyFill="1" applyBorder="1" applyAlignment="1">
      <alignment horizontal="left"/>
    </xf>
    <xf numFmtId="0" fontId="11" fillId="40" borderId="41" xfId="0" applyFont="1" applyFill="1" applyBorder="1" applyAlignment="1">
      <alignment horizontal="left" vertical="center"/>
    </xf>
    <xf numFmtId="0" fontId="2" fillId="0" borderId="41" xfId="0" applyFont="1" applyBorder="1" applyAlignment="1">
      <alignment horizontal="left"/>
    </xf>
    <xf numFmtId="0" fontId="0" fillId="58" borderId="41" xfId="0" applyFill="1" applyBorder="1" applyAlignment="1">
      <alignment horizontal="left"/>
    </xf>
    <xf numFmtId="0" fontId="22" fillId="76" borderId="41" xfId="0" applyFont="1" applyFill="1" applyBorder="1" applyAlignment="1">
      <alignment horizontal="left" vertical="center" wrapText="1"/>
    </xf>
    <xf numFmtId="0" fontId="14" fillId="37" borderId="41" xfId="0" applyFont="1" applyFill="1" applyBorder="1" applyAlignment="1">
      <alignment horizontal="left" vertical="center"/>
    </xf>
    <xf numFmtId="164" fontId="10" fillId="37" borderId="41" xfId="0" applyNumberFormat="1" applyFont="1" applyFill="1" applyBorder="1" applyAlignment="1">
      <alignment horizontal="left"/>
    </xf>
    <xf numFmtId="0" fontId="12" fillId="37" borderId="41" xfId="0" applyFont="1" applyFill="1" applyBorder="1" applyAlignment="1">
      <alignment horizontal="left" vertical="center"/>
    </xf>
    <xf numFmtId="0" fontId="12" fillId="65" borderId="41" xfId="0" applyFont="1" applyFill="1" applyBorder="1" applyAlignment="1">
      <alignment horizontal="left" vertical="center"/>
    </xf>
    <xf numFmtId="164" fontId="10" fillId="65" borderId="41" xfId="0" applyNumberFormat="1" applyFont="1" applyFill="1" applyBorder="1" applyAlignment="1">
      <alignment horizontal="left"/>
    </xf>
    <xf numFmtId="0" fontId="11" fillId="32" borderId="41" xfId="0" applyFont="1" applyFill="1" applyBorder="1" applyAlignment="1">
      <alignment horizontal="left"/>
    </xf>
    <xf numFmtId="0" fontId="22" fillId="77" borderId="41" xfId="0" applyFont="1" applyFill="1" applyBorder="1" applyAlignment="1">
      <alignment horizontal="left" vertical="center" wrapText="1"/>
    </xf>
    <xf numFmtId="0" fontId="22" fillId="78" borderId="41" xfId="0" applyFont="1" applyFill="1" applyBorder="1" applyAlignment="1">
      <alignment horizontal="left" vertical="center" wrapText="1"/>
    </xf>
    <xf numFmtId="0" fontId="10" fillId="78" borderId="41" xfId="0" applyFont="1" applyFill="1" applyBorder="1" applyAlignment="1">
      <alignment horizontal="left" vertical="center"/>
    </xf>
    <xf numFmtId="0" fontId="10" fillId="79" borderId="41" xfId="0" applyFont="1" applyFill="1" applyBorder="1" applyAlignment="1">
      <alignment horizontal="left" vertical="center"/>
    </xf>
    <xf numFmtId="0" fontId="22" fillId="80" borderId="41" xfId="0" applyFont="1" applyFill="1" applyBorder="1" applyAlignment="1">
      <alignment horizontal="left" vertical="center" wrapText="1"/>
    </xf>
    <xf numFmtId="0" fontId="10" fillId="81" borderId="41" xfId="0" applyFont="1" applyFill="1" applyBorder="1" applyAlignment="1">
      <alignment horizontal="left" vertical="center"/>
    </xf>
    <xf numFmtId="0" fontId="0" fillId="81" borderId="41" xfId="0" applyFill="1" applyBorder="1" applyAlignment="1">
      <alignment horizontal="left"/>
    </xf>
    <xf numFmtId="0" fontId="10" fillId="78" borderId="41" xfId="0" applyFont="1" applyFill="1" applyBorder="1" applyAlignment="1">
      <alignment horizontal="left"/>
    </xf>
    <xf numFmtId="0" fontId="12" fillId="37" borderId="41" xfId="0" applyFont="1" applyFill="1" applyBorder="1" applyAlignment="1">
      <alignment horizontal="left"/>
    </xf>
    <xf numFmtId="164" fontId="10" fillId="37" borderId="41" xfId="0" applyNumberFormat="1" applyFont="1" applyFill="1" applyBorder="1" applyAlignment="1">
      <alignment horizontal="left" vertical="center"/>
    </xf>
    <xf numFmtId="0" fontId="10" fillId="37" borderId="41" xfId="0" applyFont="1" applyFill="1" applyBorder="1" applyAlignment="1">
      <alignment horizontal="left"/>
    </xf>
    <xf numFmtId="0" fontId="10" fillId="82" borderId="41" xfId="0" applyFont="1" applyFill="1" applyBorder="1" applyAlignment="1">
      <alignment horizontal="left" vertical="center"/>
    </xf>
    <xf numFmtId="0" fontId="10" fillId="83" borderId="41" xfId="0" applyFont="1" applyFill="1" applyBorder="1" applyAlignment="1">
      <alignment horizontal="left" vertical="center"/>
    </xf>
    <xf numFmtId="0" fontId="10" fillId="84" borderId="41" xfId="0" applyFont="1" applyFill="1" applyBorder="1" applyAlignment="1">
      <alignment horizontal="left" vertical="center"/>
    </xf>
    <xf numFmtId="0" fontId="10" fillId="85" borderId="41" xfId="0" applyFont="1" applyFill="1" applyBorder="1" applyAlignment="1">
      <alignment horizontal="left" vertical="center"/>
    </xf>
    <xf numFmtId="0" fontId="10" fillId="86" borderId="41" xfId="0" applyFont="1" applyFill="1" applyBorder="1" applyAlignment="1">
      <alignment horizontal="left" vertical="center"/>
    </xf>
    <xf numFmtId="0" fontId="10" fillId="87" borderId="41" xfId="0" applyFont="1" applyFill="1" applyBorder="1" applyAlignment="1">
      <alignment horizontal="left"/>
    </xf>
    <xf numFmtId="0" fontId="10" fillId="88" borderId="41" xfId="0" applyFont="1" applyFill="1" applyBorder="1" applyAlignment="1">
      <alignment horizontal="left"/>
    </xf>
    <xf numFmtId="0" fontId="0" fillId="89" borderId="41" xfId="0" applyFill="1" applyBorder="1" applyAlignment="1">
      <alignment horizontal="left"/>
    </xf>
    <xf numFmtId="0" fontId="10" fillId="90" borderId="41" xfId="0" applyFont="1" applyFill="1" applyBorder="1" applyAlignment="1">
      <alignment horizontal="left"/>
    </xf>
    <xf numFmtId="0" fontId="10" fillId="26" borderId="41" xfId="0" applyFont="1" applyFill="1" applyBorder="1" applyAlignment="1">
      <alignment wrapText="1"/>
    </xf>
    <xf numFmtId="0" fontId="10" fillId="5" borderId="41" xfId="0" applyFont="1" applyFill="1" applyBorder="1" applyAlignment="1">
      <alignment wrapText="1"/>
    </xf>
    <xf numFmtId="164" fontId="10" fillId="0" borderId="41" xfId="0" applyNumberFormat="1" applyFont="1" applyBorder="1" applyAlignment="1">
      <alignment vertical="center" wrapText="1"/>
    </xf>
    <xf numFmtId="164" fontId="10" fillId="5" borderId="41" xfId="0" applyNumberFormat="1" applyFont="1" applyFill="1" applyBorder="1" applyAlignment="1">
      <alignment vertical="center" wrapText="1"/>
    </xf>
    <xf numFmtId="0" fontId="18" fillId="0" borderId="0" xfId="0" applyFont="1"/>
    <xf numFmtId="0" fontId="10" fillId="63" borderId="0" xfId="0" applyFont="1" applyFill="1" applyAlignment="1">
      <alignment horizontal="left" vertical="center"/>
    </xf>
    <xf numFmtId="0" fontId="10" fillId="5" borderId="19" xfId="0" applyFont="1" applyFill="1" applyBorder="1" applyAlignment="1">
      <alignment horizontal="left" vertical="center"/>
    </xf>
    <xf numFmtId="0" fontId="10" fillId="5" borderId="26" xfId="0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left" vertical="center"/>
    </xf>
    <xf numFmtId="0" fontId="0" fillId="37" borderId="26" xfId="0" applyFill="1" applyBorder="1" applyAlignment="1">
      <alignment horizontal="left" vertical="center"/>
    </xf>
    <xf numFmtId="0" fontId="2" fillId="37" borderId="0" xfId="0" applyFont="1" applyFill="1" applyAlignment="1">
      <alignment horizontal="left" vertical="center"/>
    </xf>
    <xf numFmtId="49" fontId="16" fillId="5" borderId="1" xfId="0" applyNumberFormat="1" applyFont="1" applyFill="1" applyBorder="1" applyAlignment="1">
      <alignment horizontal="left" vertical="center"/>
    </xf>
    <xf numFmtId="0" fontId="0" fillId="37" borderId="19" xfId="0" applyFill="1" applyBorder="1" applyAlignment="1">
      <alignment horizontal="left" vertical="center"/>
    </xf>
    <xf numFmtId="0" fontId="2" fillId="37" borderId="1" xfId="0" applyFont="1" applyFill="1" applyBorder="1" applyAlignment="1">
      <alignment horizontal="left" vertical="center"/>
    </xf>
    <xf numFmtId="0" fontId="10" fillId="63" borderId="1" xfId="0" applyFont="1" applyFill="1" applyBorder="1" applyAlignment="1">
      <alignment horizontal="left" vertical="center"/>
    </xf>
    <xf numFmtId="49" fontId="10" fillId="62" borderId="26" xfId="0" applyNumberFormat="1" applyFont="1" applyFill="1" applyBorder="1" applyAlignment="1">
      <alignment horizontal="left" vertical="center"/>
    </xf>
    <xf numFmtId="0" fontId="2" fillId="37" borderId="2" xfId="0" applyFont="1" applyFill="1" applyBorder="1" applyAlignment="1">
      <alignment horizontal="left" vertical="center"/>
    </xf>
    <xf numFmtId="0" fontId="10" fillId="63" borderId="2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left" vertical="center"/>
    </xf>
    <xf numFmtId="0" fontId="10" fillId="62" borderId="1" xfId="0" applyFont="1" applyFill="1" applyBorder="1" applyAlignment="1">
      <alignment horizontal="left" vertical="center"/>
    </xf>
    <xf numFmtId="0" fontId="10" fillId="62" borderId="26" xfId="0" applyFont="1" applyFill="1" applyBorder="1" applyAlignment="1">
      <alignment horizontal="left" vertical="center"/>
    </xf>
    <xf numFmtId="0" fontId="11" fillId="5" borderId="2" xfId="0" applyFont="1" applyFill="1" applyBorder="1" applyAlignment="1">
      <alignment horizontal="left" vertical="center"/>
    </xf>
    <xf numFmtId="0" fontId="11" fillId="5" borderId="19" xfId="0" applyFont="1" applyFill="1" applyBorder="1" applyAlignment="1">
      <alignment horizontal="left" vertical="center"/>
    </xf>
    <xf numFmtId="14" fontId="8" fillId="15" borderId="21" xfId="0" applyNumberFormat="1" applyFont="1" applyFill="1" applyBorder="1" applyAlignment="1">
      <alignment horizontal="center" vertical="center" wrapText="1"/>
    </xf>
    <xf numFmtId="164" fontId="3" fillId="5" borderId="6" xfId="0" applyNumberFormat="1" applyFont="1" applyFill="1" applyBorder="1" applyAlignment="1">
      <alignment horizontal="center" vertical="center"/>
    </xf>
    <xf numFmtId="0" fontId="0" fillId="0" borderId="1" xfId="0" applyBorder="1"/>
    <xf numFmtId="14" fontId="8" fillId="16" borderId="0" xfId="0" applyNumberFormat="1" applyFont="1" applyFill="1" applyAlignment="1">
      <alignment horizontal="center" vertical="center" wrapText="1"/>
    </xf>
    <xf numFmtId="0" fontId="0" fillId="0" borderId="12" xfId="0" applyBorder="1"/>
    <xf numFmtId="0" fontId="0" fillId="0" borderId="27" xfId="0" applyBorder="1"/>
    <xf numFmtId="14" fontId="7" fillId="0" borderId="12" xfId="0" applyNumberFormat="1" applyFont="1" applyBorder="1" applyAlignment="1">
      <alignment horizontal="center" vertical="center"/>
    </xf>
    <xf numFmtId="14" fontId="8" fillId="4" borderId="0" xfId="0" applyNumberFormat="1" applyFont="1" applyFill="1" applyAlignment="1">
      <alignment horizontal="center" vertical="center" wrapText="1"/>
    </xf>
    <xf numFmtId="0" fontId="0" fillId="0" borderId="6" xfId="0" applyBorder="1"/>
    <xf numFmtId="164" fontId="3" fillId="5" borderId="21" xfId="0" applyNumberFormat="1" applyFont="1" applyFill="1" applyBorder="1" applyAlignment="1">
      <alignment horizontal="center" vertical="center"/>
    </xf>
    <xf numFmtId="0" fontId="0" fillId="0" borderId="3" xfId="0" applyBorder="1"/>
    <xf numFmtId="14" fontId="8" fillId="15" borderId="0" xfId="0" applyNumberFormat="1" applyFont="1" applyFill="1" applyAlignment="1">
      <alignment horizontal="center" vertical="center" wrapText="1"/>
    </xf>
    <xf numFmtId="0" fontId="0" fillId="0" borderId="5" xfId="0" applyBorder="1"/>
    <xf numFmtId="0" fontId="0" fillId="0" borderId="21" xfId="0" applyBorder="1"/>
    <xf numFmtId="14" fontId="8" fillId="0" borderId="0" xfId="0" applyNumberFormat="1" applyFont="1" applyAlignment="1">
      <alignment horizontal="center" vertical="center" wrapText="1"/>
    </xf>
    <xf numFmtId="164" fontId="3" fillId="5" borderId="12" xfId="0" applyNumberFormat="1" applyFont="1" applyFill="1" applyBorder="1" applyAlignment="1">
      <alignment horizontal="center" vertical="center"/>
    </xf>
    <xf numFmtId="14" fontId="8" fillId="15" borderId="27" xfId="0" applyNumberFormat="1" applyFont="1" applyFill="1" applyBorder="1" applyAlignment="1">
      <alignment horizontal="center" vertical="center" wrapText="1"/>
    </xf>
    <xf numFmtId="0" fontId="0" fillId="0" borderId="8" xfId="0" applyBorder="1"/>
    <xf numFmtId="14" fontId="3" fillId="0" borderId="5" xfId="0" applyNumberFormat="1" applyFont="1" applyBorder="1" applyAlignment="1">
      <alignment horizontal="center" vertical="center"/>
    </xf>
    <xf numFmtId="14" fontId="8" fillId="16" borderId="21" xfId="0" applyNumberFormat="1" applyFont="1" applyFill="1" applyBorder="1" applyAlignment="1">
      <alignment horizontal="center" vertical="center" wrapText="1"/>
    </xf>
    <xf numFmtId="14" fontId="8" fillId="4" borderId="1" xfId="0" applyNumberFormat="1" applyFont="1" applyFill="1" applyBorder="1" applyAlignment="1">
      <alignment horizontal="center" vertical="center" wrapText="1"/>
    </xf>
    <xf numFmtId="14" fontId="3" fillId="0" borderId="12" xfId="0" applyNumberFormat="1" applyFont="1" applyBorder="1" applyAlignment="1">
      <alignment horizontal="center" vertical="center"/>
    </xf>
    <xf numFmtId="0" fontId="0" fillId="0" borderId="10" xfId="0" applyBorder="1"/>
    <xf numFmtId="14" fontId="7" fillId="0" borderId="6" xfId="0" applyNumberFormat="1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14" fontId="8" fillId="4" borderId="27" xfId="0" applyNumberFormat="1" applyFont="1" applyFill="1" applyBorder="1" applyAlignment="1">
      <alignment horizontal="center" vertical="center" wrapText="1"/>
    </xf>
    <xf numFmtId="14" fontId="8" fillId="16" borderId="27" xfId="0" applyNumberFormat="1" applyFont="1" applyFill="1" applyBorder="1" applyAlignment="1">
      <alignment horizontal="center" vertical="center" wrapText="1"/>
    </xf>
    <xf numFmtId="14" fontId="3" fillId="0" borderId="11" xfId="0" applyNumberFormat="1" applyFont="1" applyBorder="1" applyAlignment="1">
      <alignment horizontal="center" vertical="center"/>
    </xf>
    <xf numFmtId="14" fontId="8" fillId="4" borderId="21" xfId="0" applyNumberFormat="1" applyFont="1" applyFill="1" applyBorder="1" applyAlignment="1">
      <alignment horizontal="center" vertical="center" wrapText="1"/>
    </xf>
    <xf numFmtId="0" fontId="0" fillId="0" borderId="11" xfId="0" applyBorder="1"/>
    <xf numFmtId="0" fontId="10" fillId="64" borderId="2" xfId="0" applyFont="1" applyFill="1" applyBorder="1" applyAlignment="1">
      <alignment horizontal="left" vertical="center"/>
    </xf>
    <xf numFmtId="0" fontId="0" fillId="37" borderId="0" xfId="0" applyFill="1" applyAlignment="1">
      <alignment horizontal="left" vertical="center"/>
    </xf>
    <xf numFmtId="0" fontId="11" fillId="5" borderId="26" xfId="0" applyFont="1" applyFill="1" applyBorder="1" applyAlignment="1">
      <alignment horizontal="left" vertical="center"/>
    </xf>
    <xf numFmtId="0" fontId="10" fillId="66" borderId="19" xfId="0" applyFont="1" applyFill="1" applyBorder="1" applyAlignment="1">
      <alignment horizontal="left" vertical="center"/>
    </xf>
    <xf numFmtId="0" fontId="10" fillId="63" borderId="19" xfId="0" applyFont="1" applyFill="1" applyBorder="1" applyAlignment="1">
      <alignment horizontal="left" vertical="center"/>
    </xf>
    <xf numFmtId="0" fontId="15" fillId="5" borderId="0" xfId="0" applyFont="1" applyFill="1" applyAlignment="1">
      <alignment horizontal="left" vertical="center"/>
    </xf>
    <xf numFmtId="0" fontId="10" fillId="64" borderId="26" xfId="0" applyFont="1" applyFill="1" applyBorder="1" applyAlignment="1">
      <alignment horizontal="left" vertical="center"/>
    </xf>
    <xf numFmtId="0" fontId="22" fillId="67" borderId="19" xfId="0" applyFont="1" applyFill="1" applyBorder="1" applyAlignment="1">
      <alignment horizontal="left" vertical="center" wrapText="1"/>
    </xf>
    <xf numFmtId="49" fontId="10" fillId="62" borderId="19" xfId="0" applyNumberFormat="1" applyFont="1" applyFill="1" applyBorder="1" applyAlignment="1">
      <alignment horizontal="left" vertical="center"/>
    </xf>
    <xf numFmtId="0" fontId="11" fillId="64" borderId="26" xfId="0" applyFont="1" applyFill="1" applyBorder="1" applyAlignment="1">
      <alignment horizontal="left" vertical="center"/>
    </xf>
    <xf numFmtId="0" fontId="10" fillId="64" borderId="26" xfId="0" applyFont="1" applyFill="1" applyBorder="1" applyAlignment="1">
      <alignment horizontal="left" vertical="center" wrapText="1"/>
    </xf>
    <xf numFmtId="0" fontId="11" fillId="71" borderId="26" xfId="0" applyFont="1" applyFill="1" applyBorder="1" applyAlignment="1">
      <alignment horizontal="left" vertical="center"/>
    </xf>
    <xf numFmtId="49" fontId="16" fillId="5" borderId="0" xfId="0" applyNumberFormat="1" applyFont="1" applyFill="1" applyAlignment="1">
      <alignment horizontal="left" vertical="center"/>
    </xf>
    <xf numFmtId="0" fontId="10" fillId="64" borderId="19" xfId="0" applyFont="1" applyFill="1" applyBorder="1" applyAlignment="1">
      <alignment horizontal="left" vertical="center" wrapText="1"/>
    </xf>
    <xf numFmtId="49" fontId="10" fillId="64" borderId="19" xfId="0" applyNumberFormat="1" applyFont="1" applyFill="1" applyBorder="1" applyAlignment="1">
      <alignment horizontal="left" vertical="center"/>
    </xf>
    <xf numFmtId="0" fontId="22" fillId="64" borderId="26" xfId="0" applyFont="1" applyFill="1" applyBorder="1" applyAlignment="1">
      <alignment horizontal="left" vertical="center" wrapText="1"/>
    </xf>
    <xf numFmtId="0" fontId="14" fillId="5" borderId="26" xfId="0" applyFont="1" applyFill="1" applyBorder="1" applyAlignment="1">
      <alignment horizontal="left" vertical="center"/>
    </xf>
    <xf numFmtId="164" fontId="3" fillId="5" borderId="12" xfId="0" applyNumberFormat="1" applyFont="1" applyFill="1" applyBorder="1" applyAlignment="1">
      <alignment horizontal="center" vertical="center" wrapText="1"/>
    </xf>
    <xf numFmtId="164" fontId="3" fillId="5" borderId="8" xfId="0" applyNumberFormat="1" applyFont="1" applyFill="1" applyBorder="1" applyAlignment="1">
      <alignment horizontal="center" vertical="center"/>
    </xf>
    <xf numFmtId="164" fontId="3" fillId="5" borderId="5" xfId="0" applyNumberFormat="1" applyFont="1" applyFill="1" applyBorder="1" applyAlignment="1">
      <alignment horizontal="center" vertical="center"/>
    </xf>
    <xf numFmtId="14" fontId="8" fillId="4" borderId="9" xfId="0" applyNumberFormat="1" applyFont="1" applyFill="1" applyBorder="1" applyAlignment="1">
      <alignment horizontal="center" vertical="center" wrapText="1"/>
    </xf>
    <xf numFmtId="14" fontId="8" fillId="4" borderId="10" xfId="0" applyNumberFormat="1" applyFont="1" applyFill="1" applyBorder="1" applyAlignment="1">
      <alignment horizontal="center" vertical="center" wrapText="1"/>
    </xf>
    <xf numFmtId="14" fontId="8" fillId="16" borderId="1" xfId="0" applyNumberFormat="1" applyFont="1" applyFill="1" applyBorder="1" applyAlignment="1">
      <alignment horizontal="center" vertical="center" wrapText="1"/>
    </xf>
    <xf numFmtId="14" fontId="7" fillId="0" borderId="8" xfId="0" applyNumberFormat="1" applyFont="1" applyBorder="1" applyAlignment="1">
      <alignment horizontal="center" vertical="center"/>
    </xf>
    <xf numFmtId="14" fontId="8" fillId="4" borderId="3" xfId="0" applyNumberFormat="1" applyFont="1" applyFill="1" applyBorder="1" applyAlignment="1">
      <alignment horizontal="center" vertical="center" wrapText="1"/>
    </xf>
    <xf numFmtId="14" fontId="8" fillId="16" borderId="10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49" fontId="3" fillId="5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4" fillId="7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49" fontId="3" fillId="5" borderId="0" xfId="0" applyNumberFormat="1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49" fontId="3" fillId="5" borderId="2" xfId="0" applyNumberFormat="1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3" fillId="5" borderId="7" xfId="0" applyFont="1" applyFill="1" applyBorder="1" applyAlignment="1">
      <alignment horizontal="left" vertical="center" wrapText="1"/>
    </xf>
    <xf numFmtId="0" fontId="3" fillId="5" borderId="13" xfId="0" applyFont="1" applyFill="1" applyBorder="1" applyAlignment="1">
      <alignment horizontal="left" vertical="center" wrapText="1"/>
    </xf>
    <xf numFmtId="0" fontId="3" fillId="5" borderId="19" xfId="0" applyFont="1" applyFill="1" applyBorder="1" applyAlignment="1">
      <alignment horizontal="left" vertical="center" wrapText="1"/>
    </xf>
    <xf numFmtId="0" fontId="3" fillId="5" borderId="26" xfId="0" applyFont="1" applyFill="1" applyBorder="1" applyAlignment="1">
      <alignment horizontal="left" vertical="center" wrapText="1"/>
    </xf>
    <xf numFmtId="0" fontId="3" fillId="5" borderId="26" xfId="0" applyFont="1" applyFill="1" applyBorder="1" applyAlignment="1">
      <alignment horizontal="left" vertical="center"/>
    </xf>
    <xf numFmtId="0" fontId="3" fillId="5" borderId="19" xfId="0" applyFont="1" applyFill="1" applyBorder="1" applyAlignment="1">
      <alignment horizontal="left" vertical="center"/>
    </xf>
    <xf numFmtId="49" fontId="3" fillId="5" borderId="26" xfId="0" applyNumberFormat="1" applyFont="1" applyFill="1" applyBorder="1" applyAlignment="1">
      <alignment horizontal="left" vertical="center"/>
    </xf>
    <xf numFmtId="49" fontId="3" fillId="5" borderId="19" xfId="0" applyNumberFormat="1" applyFont="1" applyFill="1" applyBorder="1" applyAlignment="1">
      <alignment horizontal="left" vertical="center"/>
    </xf>
    <xf numFmtId="0" fontId="3" fillId="5" borderId="42" xfId="0" applyFont="1" applyFill="1" applyBorder="1" applyAlignment="1">
      <alignment horizontal="left" vertical="center"/>
    </xf>
    <xf numFmtId="0" fontId="3" fillId="5" borderId="41" xfId="0" applyFont="1" applyFill="1" applyBorder="1" applyAlignment="1">
      <alignment horizontal="left" vertical="center" wrapText="1"/>
    </xf>
    <xf numFmtId="49" fontId="3" fillId="5" borderId="41" xfId="0" applyNumberFormat="1" applyFont="1" applyFill="1" applyBorder="1" applyAlignment="1">
      <alignment horizontal="left" vertical="center"/>
    </xf>
    <xf numFmtId="0" fontId="3" fillId="5" borderId="41" xfId="0" applyFont="1" applyFill="1" applyBorder="1" applyAlignment="1">
      <alignment horizontal="left" vertical="center"/>
    </xf>
    <xf numFmtId="0" fontId="4" fillId="4" borderId="41" xfId="0" applyFont="1" applyFill="1" applyBorder="1" applyAlignment="1">
      <alignment horizontal="left" vertical="center" wrapText="1"/>
    </xf>
    <xf numFmtId="0" fontId="4" fillId="7" borderId="4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23" fillId="0" borderId="43" xfId="0" applyFont="1" applyBorder="1" applyAlignment="1">
      <alignment wrapText="1"/>
    </xf>
    <xf numFmtId="0" fontId="23" fillId="4" borderId="43" xfId="0" applyFont="1" applyFill="1" applyBorder="1" applyAlignment="1">
      <alignment wrapText="1"/>
    </xf>
    <xf numFmtId="0" fontId="23" fillId="7" borderId="43" xfId="0" applyFont="1" applyFill="1" applyBorder="1" applyAlignment="1">
      <alignment wrapText="1"/>
    </xf>
    <xf numFmtId="0" fontId="3" fillId="5" borderId="0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/>
    </xf>
    <xf numFmtId="49" fontId="3" fillId="5" borderId="0" xfId="0" applyNumberFormat="1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 wrapText="1"/>
    </xf>
    <xf numFmtId="164" fontId="3" fillId="5" borderId="0" xfId="0" applyNumberFormat="1" applyFont="1" applyFill="1" applyBorder="1" applyAlignment="1">
      <alignment horizontal="center" vertical="center" wrapText="1"/>
    </xf>
    <xf numFmtId="164" fontId="3" fillId="5" borderId="0" xfId="0" applyNumberFormat="1" applyFont="1" applyFill="1" applyBorder="1" applyAlignment="1">
      <alignment horizontal="center" vertical="center"/>
    </xf>
    <xf numFmtId="14" fontId="8" fillId="4" borderId="0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 wrapText="1"/>
    </xf>
    <xf numFmtId="2" fontId="3" fillId="5" borderId="0" xfId="0" applyNumberFormat="1" applyFont="1" applyFill="1" applyBorder="1" applyAlignment="1">
      <alignment horizontal="center" vertical="center"/>
    </xf>
    <xf numFmtId="165" fontId="3" fillId="5" borderId="0" xfId="0" applyNumberFormat="1" applyFont="1" applyFill="1" applyBorder="1" applyAlignment="1">
      <alignment horizontal="center" vertical="center"/>
    </xf>
    <xf numFmtId="2" fontId="3" fillId="3" borderId="0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9" borderId="0" xfId="0" applyFont="1" applyFill="1" applyBorder="1" applyAlignment="1">
      <alignment horizontal="center" vertical="center" wrapText="1"/>
    </xf>
    <xf numFmtId="0" fontId="3" fillId="12" borderId="0" xfId="0" applyFont="1" applyFill="1" applyBorder="1" applyAlignment="1">
      <alignment horizontal="center" vertical="center" wrapText="1"/>
    </xf>
    <xf numFmtId="0" fontId="4" fillId="9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8" borderId="0" xfId="0" applyFont="1" applyFill="1" applyBorder="1" applyAlignment="1">
      <alignment horizontal="center" vertical="center"/>
    </xf>
    <xf numFmtId="0" fontId="3" fillId="20" borderId="0" xfId="0" applyFont="1" applyFill="1" applyBorder="1" applyAlignment="1">
      <alignment horizontal="center" vertical="center"/>
    </xf>
    <xf numFmtId="0" fontId="3" fillId="18" borderId="0" xfId="0" applyFont="1" applyFill="1" applyBorder="1" applyAlignment="1">
      <alignment horizontal="center" vertical="center"/>
    </xf>
    <xf numFmtId="49" fontId="3" fillId="8" borderId="0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Border="1" applyAlignment="1">
      <alignment horizontal="center" vertical="center"/>
    </xf>
    <xf numFmtId="49" fontId="3" fillId="18" borderId="0" xfId="0" applyNumberFormat="1" applyFont="1" applyFill="1" applyBorder="1" applyAlignment="1">
      <alignment horizontal="center" vertical="center"/>
    </xf>
    <xf numFmtId="49" fontId="3" fillId="20" borderId="0" xfId="0" applyNumberFormat="1" applyFont="1" applyFill="1" applyBorder="1" applyAlignment="1">
      <alignment horizontal="center" vertical="center"/>
    </xf>
    <xf numFmtId="14" fontId="8" fillId="15" borderId="0" xfId="0" applyNumberFormat="1" applyFont="1" applyFill="1" applyBorder="1" applyAlignment="1">
      <alignment horizontal="center" vertical="center" wrapText="1"/>
    </xf>
    <xf numFmtId="14" fontId="4" fillId="4" borderId="0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Border="1" applyAlignment="1">
      <alignment horizontal="center" vertical="center"/>
    </xf>
    <xf numFmtId="14" fontId="3" fillId="0" borderId="0" xfId="0" applyNumberFormat="1" applyFont="1" applyBorder="1" applyAlignment="1">
      <alignment horizontal="center" vertical="center"/>
    </xf>
    <xf numFmtId="14" fontId="4" fillId="7" borderId="0" xfId="0" applyNumberFormat="1" applyFont="1" applyFill="1" applyBorder="1" applyAlignment="1">
      <alignment horizontal="center" vertical="center" wrapText="1"/>
    </xf>
    <xf numFmtId="14" fontId="7" fillId="0" borderId="0" xfId="0" applyNumberFormat="1" applyFont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 wrapText="1"/>
    </xf>
    <xf numFmtId="2" fontId="3" fillId="18" borderId="0" xfId="0" applyNumberFormat="1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 wrapText="1"/>
    </xf>
    <xf numFmtId="2" fontId="3" fillId="8" borderId="0" xfId="0" applyNumberFormat="1" applyFont="1" applyFill="1" applyBorder="1" applyAlignment="1">
      <alignment horizontal="center" vertical="center"/>
    </xf>
    <xf numFmtId="0" fontId="4" fillId="15" borderId="0" xfId="0" applyFont="1" applyFill="1" applyBorder="1" applyAlignment="1">
      <alignment horizontal="center" vertical="center" wrapText="1"/>
    </xf>
    <xf numFmtId="2" fontId="3" fillId="0" borderId="0" xfId="0" applyNumberFormat="1" applyFont="1" applyBorder="1" applyAlignment="1">
      <alignment horizontal="center" vertical="center"/>
    </xf>
    <xf numFmtId="0" fontId="4" fillId="11" borderId="0" xfId="0" applyFont="1" applyFill="1" applyBorder="1" applyAlignment="1">
      <alignment horizontal="center" vertical="center" wrapText="1"/>
    </xf>
    <xf numFmtId="165" fontId="3" fillId="18" borderId="0" xfId="0" applyNumberFormat="1" applyFont="1" applyFill="1" applyBorder="1" applyAlignment="1">
      <alignment horizontal="center" vertical="center"/>
    </xf>
    <xf numFmtId="165" fontId="6" fillId="18" borderId="0" xfId="0" applyNumberFormat="1" applyFont="1" applyFill="1" applyBorder="1" applyAlignment="1">
      <alignment horizontal="center" vertical="center"/>
    </xf>
    <xf numFmtId="0" fontId="4" fillId="10" borderId="0" xfId="0" applyFont="1" applyFill="1" applyBorder="1" applyAlignment="1">
      <alignment horizontal="center" vertical="center" wrapText="1"/>
    </xf>
    <xf numFmtId="49" fontId="3" fillId="0" borderId="0" xfId="0" applyNumberFormat="1" applyFont="1" applyBorder="1" applyAlignment="1">
      <alignment horizontal="center" vertical="center"/>
    </xf>
    <xf numFmtId="0" fontId="4" fillId="12" borderId="0" xfId="0" applyFont="1" applyFill="1" applyBorder="1" applyAlignment="1">
      <alignment horizontal="center" vertical="center" wrapText="1"/>
    </xf>
    <xf numFmtId="0" fontId="3" fillId="22" borderId="0" xfId="0" applyFont="1" applyFill="1" applyBorder="1" applyAlignment="1">
      <alignment horizontal="center" vertical="center"/>
    </xf>
    <xf numFmtId="164" fontId="3" fillId="17" borderId="0" xfId="0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 wrapText="1"/>
    </xf>
    <xf numFmtId="2" fontId="3" fillId="20" borderId="0" xfId="0" applyNumberFormat="1" applyFont="1" applyFill="1" applyBorder="1" applyAlignment="1">
      <alignment horizontal="center" vertical="center"/>
    </xf>
    <xf numFmtId="165" fontId="3" fillId="0" borderId="0" xfId="0" applyNumberFormat="1" applyFont="1" applyBorder="1" applyAlignment="1">
      <alignment horizontal="center" vertical="center"/>
    </xf>
    <xf numFmtId="165" fontId="3" fillId="8" borderId="0" xfId="0" applyNumberFormat="1" applyFont="1" applyFill="1" applyBorder="1" applyAlignment="1">
      <alignment horizontal="center" vertical="center"/>
    </xf>
    <xf numFmtId="165" fontId="3" fillId="20" borderId="0" xfId="0" applyNumberFormat="1" applyFont="1" applyFill="1" applyBorder="1" applyAlignment="1">
      <alignment horizontal="center" vertical="center"/>
    </xf>
    <xf numFmtId="0" fontId="3" fillId="14" borderId="0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3E5A1"/>
          <bgColor rgb="FFB3E5A1"/>
        </patternFill>
      </fill>
    </dxf>
    <dxf>
      <fill>
        <patternFill patternType="solid">
          <fgColor rgb="FFFFC8B7"/>
          <bgColor rgb="FFFFC8B7"/>
        </patternFill>
      </fill>
    </dxf>
    <dxf>
      <fill>
        <patternFill patternType="solid">
          <fgColor rgb="FFB3E5A1"/>
          <bgColor rgb="FFB3E5A1"/>
        </patternFill>
      </fill>
    </dxf>
    <dxf>
      <fill>
        <patternFill patternType="solid">
          <fgColor rgb="FFFFFFC5"/>
          <bgColor rgb="FFFFFFC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247650</xdr:colOff>
      <xdr:row>3</xdr:row>
      <xdr:rowOff>76200</xdr:rowOff>
    </xdr:from>
    <xdr:ext cx="7800975" cy="4467225"/>
    <xdr:pic>
      <xdr:nvPicPr>
        <xdr:cNvPr id="2" name="image3.png">
          <a:extLst>
            <a:ext uri="{FF2B5EF4-FFF2-40B4-BE49-F238E27FC236}">
              <a16:creationId xmlns:a16="http://schemas.microsoft.com/office/drawing/2014/main" id="{FCFC391B-291C-45D4-AB2E-55BF6B9F2C7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242530" y="601980"/>
          <a:ext cx="7800975" cy="4467225"/>
        </a:xfrm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213360</xdr:colOff>
      <xdr:row>1</xdr:row>
      <xdr:rowOff>152400</xdr:rowOff>
    </xdr:from>
    <xdr:ext cx="9505950" cy="5534025"/>
    <xdr:pic>
      <xdr:nvPicPr>
        <xdr:cNvPr id="3" name="image2.png">
          <a:extLst>
            <a:ext uri="{FF2B5EF4-FFF2-40B4-BE49-F238E27FC236}">
              <a16:creationId xmlns:a16="http://schemas.microsoft.com/office/drawing/2014/main" id="{E6B43D99-E8C5-4877-8575-32D2BA68D45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8224480" y="335280"/>
          <a:ext cx="9505950" cy="55340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elen\Downloads\BASE_DATOS_GEN&#201;TICA_BEA_04_12_2025.xlsx" TargetMode="External"/><Relationship Id="rId1" Type="http://schemas.openxmlformats.org/officeDocument/2006/relationships/externalLinkPath" Target="/Users/belen/Downloads/BASE_DATOS_GEN&#201;TICA_BEA_04_12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gistro"/>
      <sheetName val="Congelador"/>
      <sheetName val="Estado_cepas"/>
      <sheetName val="Extraídas"/>
      <sheetName val="PCRs"/>
      <sheetName val="Identificación_genética"/>
      <sheetName val="PCR_ALGASAL"/>
      <sheetName val="PCR_ITS"/>
      <sheetName val="GENOMA_NOVOGEN"/>
      <sheetName val="Dinophyceae"/>
      <sheetName val="genoma"/>
    </sheetNames>
    <sheetDataSet>
      <sheetData sheetId="0"/>
      <sheetData sheetId="1"/>
      <sheetData sheetId="2"/>
      <sheetData sheetId="3">
        <row r="1">
          <cell r="A1" t="str">
            <v>Cepas</v>
          </cell>
          <cell r="B1" t="str">
            <v>Estado</v>
          </cell>
        </row>
        <row r="2">
          <cell r="A2" t="str">
            <v>1 Tif DNAa 16S 1/3</v>
          </cell>
          <cell r="B2" t="str">
            <v>EXTRAÍDAS</v>
          </cell>
        </row>
        <row r="3">
          <cell r="A3" t="str">
            <v>1 Tif DNAa 16S 2/3</v>
          </cell>
          <cell r="B3" t="str">
            <v>EXTRAÍDAS</v>
          </cell>
        </row>
        <row r="4">
          <cell r="A4" t="str">
            <v>1 Tif DNAa 16S 3/3</v>
          </cell>
          <cell r="B4" t="str">
            <v>EXTRAÍDAS</v>
          </cell>
        </row>
        <row r="5">
          <cell r="A5" t="str">
            <v>1.1_MARZO_ALGASAL</v>
          </cell>
          <cell r="B5" t="str">
            <v>Extraídas</v>
          </cell>
        </row>
        <row r="6">
          <cell r="A6" t="str">
            <v>1.1RP7</v>
          </cell>
          <cell r="B6" t="str">
            <v>Extraídas</v>
          </cell>
        </row>
        <row r="7">
          <cell r="A7" t="str">
            <v>1.2_MARZO_ALGASAL</v>
          </cell>
          <cell r="B7" t="str">
            <v>Extraídas</v>
          </cell>
        </row>
        <row r="8">
          <cell r="A8" t="str">
            <v>1.3_MARZO_ALGASAL</v>
          </cell>
          <cell r="B8" t="str">
            <v>Extraídas</v>
          </cell>
        </row>
        <row r="9">
          <cell r="A9" t="str">
            <v>2 Tif DNAa 16S 1/3</v>
          </cell>
          <cell r="B9" t="str">
            <v>EXTRAÍDAS</v>
          </cell>
        </row>
        <row r="10">
          <cell r="A10" t="str">
            <v>2 Tif DNAa 16S 2/3</v>
          </cell>
          <cell r="B10" t="str">
            <v>EXTRAÍDAS</v>
          </cell>
        </row>
        <row r="11">
          <cell r="A11" t="str">
            <v>2 Tif DNAa 16S 3/3</v>
          </cell>
          <cell r="B11" t="str">
            <v>EXTRAÍDAS</v>
          </cell>
        </row>
        <row r="12">
          <cell r="A12" t="str">
            <v>2.1 RP9</v>
          </cell>
          <cell r="B12" t="str">
            <v>EXTRAÍDAS</v>
          </cell>
        </row>
        <row r="13">
          <cell r="A13" t="str">
            <v>2.1_MARZO_ALGASAL</v>
          </cell>
          <cell r="B13" t="str">
            <v>Extraídas</v>
          </cell>
        </row>
        <row r="14">
          <cell r="A14" t="str">
            <v>2.2 RP9</v>
          </cell>
          <cell r="B14" t="str">
            <v>EXTRAÍDAS</v>
          </cell>
        </row>
        <row r="15">
          <cell r="A15" t="str">
            <v>2.2_MARZO_ALGASAL</v>
          </cell>
          <cell r="B15" t="str">
            <v>Extraídas</v>
          </cell>
        </row>
        <row r="16">
          <cell r="A16" t="str">
            <v>2.2RP7</v>
          </cell>
          <cell r="B16" t="str">
            <v>Extraídas</v>
          </cell>
        </row>
        <row r="17">
          <cell r="A17" t="str">
            <v>2.3 RP9</v>
          </cell>
          <cell r="B17" t="str">
            <v>EXTRAÍDAS</v>
          </cell>
        </row>
        <row r="18">
          <cell r="A18" t="str">
            <v>2.3_MARZO_ALGASAL</v>
          </cell>
          <cell r="B18" t="str">
            <v>Extraídas</v>
          </cell>
        </row>
        <row r="19">
          <cell r="A19" t="str">
            <v>2.3RP7</v>
          </cell>
          <cell r="B19" t="str">
            <v>Extraídas</v>
          </cell>
        </row>
        <row r="20">
          <cell r="A20" t="str">
            <v>2.4 RP9</v>
          </cell>
          <cell r="B20" t="str">
            <v>EXTRAÍDAS</v>
          </cell>
        </row>
        <row r="21">
          <cell r="A21" t="str">
            <v>2.4RP7</v>
          </cell>
          <cell r="B21" t="str">
            <v>Extraídas</v>
          </cell>
        </row>
        <row r="22">
          <cell r="A22" t="str">
            <v>2.5RP7</v>
          </cell>
          <cell r="B22" t="str">
            <v>Extraídas</v>
          </cell>
        </row>
        <row r="23">
          <cell r="A23" t="str">
            <v>3.1 RP9</v>
          </cell>
          <cell r="B23" t="str">
            <v>EXTRAÍDAS</v>
          </cell>
        </row>
        <row r="24">
          <cell r="A24" t="str">
            <v>3.1_MARZO_ALGASAL</v>
          </cell>
          <cell r="B24" t="str">
            <v>Extraídas</v>
          </cell>
        </row>
        <row r="25">
          <cell r="A25" t="str">
            <v>3.2 RP9</v>
          </cell>
          <cell r="B25" t="str">
            <v>EXTRAÍDAS</v>
          </cell>
        </row>
        <row r="26">
          <cell r="A26" t="str">
            <v>3.2_MARZO_ALGASAL</v>
          </cell>
          <cell r="B26" t="str">
            <v>Extraídas</v>
          </cell>
        </row>
        <row r="27">
          <cell r="A27" t="str">
            <v>3.2RP7</v>
          </cell>
          <cell r="B27" t="str">
            <v>Extraídas</v>
          </cell>
        </row>
        <row r="28">
          <cell r="A28" t="str">
            <v>3.3 RP9</v>
          </cell>
          <cell r="B28" t="str">
            <v>EXTRAÍDAS</v>
          </cell>
        </row>
        <row r="29">
          <cell r="A29" t="str">
            <v>3.4 RP9</v>
          </cell>
          <cell r="B29" t="str">
            <v>EXTRAÍDAS</v>
          </cell>
        </row>
        <row r="30">
          <cell r="A30" t="str">
            <v>3.5 RP9</v>
          </cell>
          <cell r="B30" t="str">
            <v>EXTRAÍDAS</v>
          </cell>
        </row>
        <row r="31">
          <cell r="A31" t="str">
            <v>3.6 RP9</v>
          </cell>
          <cell r="B31" t="str">
            <v>EXTRAÍDAS</v>
          </cell>
        </row>
        <row r="32">
          <cell r="A32" t="str">
            <v>3.6RP7</v>
          </cell>
          <cell r="B32" t="str">
            <v>Extraídas</v>
          </cell>
        </row>
        <row r="33">
          <cell r="A33" t="str">
            <v>A1.1_EUKA</v>
          </cell>
          <cell r="B33" t="str">
            <v>Extraídas</v>
          </cell>
        </row>
        <row r="34">
          <cell r="A34" t="str">
            <v>A1.2_EUKA</v>
          </cell>
          <cell r="B34" t="str">
            <v>Extraídas</v>
          </cell>
        </row>
        <row r="35">
          <cell r="A35" t="str">
            <v>A1.3_EUKA</v>
          </cell>
          <cell r="B35" t="str">
            <v>Extraídas</v>
          </cell>
        </row>
        <row r="36">
          <cell r="A36" t="str">
            <v>A2.1_EUKA</v>
          </cell>
          <cell r="B36" t="str">
            <v>Extraídas</v>
          </cell>
        </row>
        <row r="37">
          <cell r="A37" t="str">
            <v>A2.2_EUKA</v>
          </cell>
          <cell r="B37" t="str">
            <v>Extraídas</v>
          </cell>
        </row>
        <row r="38">
          <cell r="A38" t="str">
            <v>A3.1_EUKA</v>
          </cell>
          <cell r="B38" t="str">
            <v>Extraídas</v>
          </cell>
        </row>
        <row r="39">
          <cell r="A39" t="str">
            <v>A3.2_EUKA</v>
          </cell>
          <cell r="B39" t="str">
            <v>Extraídas</v>
          </cell>
        </row>
        <row r="40">
          <cell r="A40" t="str">
            <v>Agüimes 1</v>
          </cell>
          <cell r="B40" t="str">
            <v>EXTRAÍDAS</v>
          </cell>
        </row>
        <row r="41">
          <cell r="A41" t="str">
            <v>Agüimes 2</v>
          </cell>
          <cell r="B41" t="str">
            <v>EXTRAÍDAS</v>
          </cell>
        </row>
        <row r="42">
          <cell r="A42" t="str">
            <v>Agüimes 3</v>
          </cell>
          <cell r="B42" t="str">
            <v>EXTRAÍDAS</v>
          </cell>
        </row>
        <row r="43">
          <cell r="A43" t="str">
            <v>AH1A10_EUKB</v>
          </cell>
          <cell r="B43" t="str">
            <v>Extraídas</v>
          </cell>
        </row>
        <row r="44">
          <cell r="A44" t="str">
            <v>AH1H12_EUKA</v>
          </cell>
          <cell r="B44" t="str">
            <v>Extraídas</v>
          </cell>
        </row>
        <row r="45">
          <cell r="A45" t="str">
            <v>AL1_DS</v>
          </cell>
          <cell r="B45" t="str">
            <v>Extraídas</v>
          </cell>
        </row>
        <row r="46">
          <cell r="A46" t="str">
            <v>AL1_EUKA</v>
          </cell>
          <cell r="B46" t="str">
            <v>Extraídas</v>
          </cell>
        </row>
        <row r="47">
          <cell r="A47" t="str">
            <v>AL1_ITS1</v>
          </cell>
          <cell r="B47" t="str">
            <v>Extraídas</v>
          </cell>
        </row>
        <row r="48">
          <cell r="A48" t="str">
            <v>AL1_rbcLaF</v>
          </cell>
          <cell r="B48" t="str">
            <v>Extraídas</v>
          </cell>
        </row>
        <row r="49">
          <cell r="A49" t="str">
            <v>AL1D_EUKA</v>
          </cell>
          <cell r="B49" t="str">
            <v>Extraídas</v>
          </cell>
        </row>
        <row r="50">
          <cell r="A50" t="str">
            <v>AL2DS</v>
          </cell>
          <cell r="B50" t="str">
            <v>Extraídas</v>
          </cell>
        </row>
        <row r="51">
          <cell r="A51" t="str">
            <v>AL2ULVA</v>
          </cell>
          <cell r="B51" t="str">
            <v>Extraídas</v>
          </cell>
        </row>
        <row r="52">
          <cell r="A52" t="str">
            <v>AL2ULVAX2</v>
          </cell>
          <cell r="B52" t="str">
            <v>Extraídas</v>
          </cell>
        </row>
        <row r="53">
          <cell r="A53" t="str">
            <v>AL5 A11</v>
          </cell>
          <cell r="B53" t="str">
            <v>EXTRAÍDAS</v>
          </cell>
        </row>
        <row r="54">
          <cell r="A54" t="str">
            <v>ALGASAL Punto 9 Oct</v>
          </cell>
          <cell r="B54" t="str">
            <v>EXTRAÍDAS</v>
          </cell>
        </row>
        <row r="55">
          <cell r="A55" t="str">
            <v>BEA 0018</v>
          </cell>
          <cell r="B55" t="str">
            <v>EXTRAÍDAS</v>
          </cell>
        </row>
        <row r="56">
          <cell r="A56" t="str">
            <v>BEA 0021</v>
          </cell>
          <cell r="B56" t="str">
            <v>Extraídas</v>
          </cell>
        </row>
        <row r="57">
          <cell r="A57" t="str">
            <v>BEA 0024</v>
          </cell>
          <cell r="B57" t="str">
            <v>Extraídas</v>
          </cell>
        </row>
        <row r="58">
          <cell r="A58" t="str">
            <v>BEA 0028</v>
          </cell>
          <cell r="B58" t="str">
            <v>Extraídas</v>
          </cell>
        </row>
        <row r="59">
          <cell r="A59" t="str">
            <v>BEA 0044B</v>
          </cell>
          <cell r="B59" t="str">
            <v>RECIBIDAS</v>
          </cell>
        </row>
        <row r="60">
          <cell r="A60" t="str">
            <v>BEA 0061</v>
          </cell>
          <cell r="B60" t="str">
            <v>RECIBIDAS</v>
          </cell>
        </row>
        <row r="61">
          <cell r="A61" t="str">
            <v>BEA 0076</v>
          </cell>
          <cell r="B61" t="str">
            <v>Extraídas</v>
          </cell>
        </row>
        <row r="62">
          <cell r="A62" t="str">
            <v>BEA 0079/1</v>
          </cell>
          <cell r="B62" t="str">
            <v>EXTRAÍDAS</v>
          </cell>
        </row>
        <row r="63">
          <cell r="A63" t="str">
            <v>BEA 0084</v>
          </cell>
          <cell r="B63" t="str">
            <v>Extraídas</v>
          </cell>
        </row>
        <row r="64">
          <cell r="A64" t="str">
            <v>BEA 0084/3 2/4</v>
          </cell>
          <cell r="B64" t="str">
            <v>EXTRAÍDAS</v>
          </cell>
        </row>
        <row r="65">
          <cell r="A65" t="str">
            <v>BEA 0129B</v>
          </cell>
          <cell r="B65" t="str">
            <v>RECIBIDAS</v>
          </cell>
        </row>
        <row r="66">
          <cell r="A66" t="str">
            <v>BEA 0139</v>
          </cell>
          <cell r="B66" t="str">
            <v>RECIBIDAS</v>
          </cell>
        </row>
        <row r="67">
          <cell r="A67" t="str">
            <v>BEA 0143/1</v>
          </cell>
          <cell r="B67" t="str">
            <v>RECIBIDAS</v>
          </cell>
        </row>
        <row r="68">
          <cell r="A68" t="str">
            <v>BEA 0148B</v>
          </cell>
          <cell r="B68" t="str">
            <v>EXTRAÍDAS</v>
          </cell>
        </row>
        <row r="69">
          <cell r="A69" t="str">
            <v>BEA 0170B</v>
          </cell>
          <cell r="B69" t="str">
            <v>RECIBIDAS</v>
          </cell>
        </row>
        <row r="70">
          <cell r="A70" t="str">
            <v>BEA 0171B</v>
          </cell>
          <cell r="B70" t="str">
            <v>RECIBIDAS</v>
          </cell>
        </row>
        <row r="71">
          <cell r="A71" t="str">
            <v>BEA 0172B</v>
          </cell>
          <cell r="B71" t="str">
            <v>RECIBIDAS</v>
          </cell>
        </row>
        <row r="72">
          <cell r="A72" t="str">
            <v>BEA 0176</v>
          </cell>
          <cell r="B72" t="str">
            <v>EXTRAÍDAS</v>
          </cell>
        </row>
        <row r="73">
          <cell r="A73" t="str">
            <v>BEA 0176/1</v>
          </cell>
          <cell r="B73" t="str">
            <v>EXTRAÍDAS</v>
          </cell>
        </row>
        <row r="74">
          <cell r="A74" t="str">
            <v>BEA 0176/2</v>
          </cell>
          <cell r="B74" t="str">
            <v>EXTRAÍDAS</v>
          </cell>
        </row>
        <row r="75">
          <cell r="A75" t="str">
            <v>BEA 0278B</v>
          </cell>
          <cell r="B75" t="str">
            <v>EXTRAÍDAS</v>
          </cell>
        </row>
        <row r="76">
          <cell r="A76" t="str">
            <v>BEA 0283</v>
          </cell>
          <cell r="B76" t="str">
            <v>EXTRAÍDAS</v>
          </cell>
        </row>
        <row r="77">
          <cell r="A77" t="str">
            <v>BEA 0297B</v>
          </cell>
          <cell r="B77" t="str">
            <v>RECIBIDAS</v>
          </cell>
        </row>
        <row r="78">
          <cell r="A78" t="str">
            <v>BEA 0301B</v>
          </cell>
          <cell r="B78" t="str">
            <v>EXTRAÍDAS</v>
          </cell>
        </row>
        <row r="79">
          <cell r="A79" t="str">
            <v>BEA 0328</v>
          </cell>
          <cell r="B79" t="str">
            <v>RECIBIDAS</v>
          </cell>
        </row>
        <row r="80">
          <cell r="A80" t="str">
            <v>BEA 0331</v>
          </cell>
          <cell r="B80" t="str">
            <v>RECIBIDAS</v>
          </cell>
        </row>
        <row r="81">
          <cell r="A81" t="str">
            <v>BEA 0334</v>
          </cell>
          <cell r="B81" t="str">
            <v>RECIBIDAS</v>
          </cell>
        </row>
        <row r="82">
          <cell r="A82" t="str">
            <v>BEA 0335</v>
          </cell>
          <cell r="B82" t="str">
            <v>RECIBIDAS</v>
          </cell>
        </row>
        <row r="83">
          <cell r="A83" t="str">
            <v>BEA 0338</v>
          </cell>
          <cell r="B83" t="str">
            <v>EXTRAÍDAS</v>
          </cell>
        </row>
        <row r="84">
          <cell r="A84" t="str">
            <v>BEA 0343B</v>
          </cell>
          <cell r="B84" t="str">
            <v>EXTRAÍDAS</v>
          </cell>
        </row>
        <row r="85">
          <cell r="A85" t="str">
            <v>BEA 0349B</v>
          </cell>
          <cell r="B85" t="str">
            <v>EXTRAÍDAS</v>
          </cell>
        </row>
        <row r="86">
          <cell r="A86" t="str">
            <v>BEA 0360B</v>
          </cell>
          <cell r="B86" t="str">
            <v>EXTRAÍDAS</v>
          </cell>
        </row>
        <row r="87">
          <cell r="A87" t="str">
            <v>BEA 0363</v>
          </cell>
          <cell r="B87" t="str">
            <v>EXTRAÍDAS</v>
          </cell>
        </row>
        <row r="88">
          <cell r="A88" t="str">
            <v>BEA 0383</v>
          </cell>
          <cell r="B88" t="str">
            <v>RECIBIDAS</v>
          </cell>
        </row>
        <row r="89">
          <cell r="A89" t="str">
            <v>BEA 0384</v>
          </cell>
          <cell r="B89" t="str">
            <v>RECIBIDAS</v>
          </cell>
        </row>
        <row r="90">
          <cell r="A90" t="str">
            <v>BEA 0409B</v>
          </cell>
          <cell r="B90" t="str">
            <v>EXTRAÍDAS</v>
          </cell>
        </row>
        <row r="91">
          <cell r="A91" t="str">
            <v>BEA 0411</v>
          </cell>
          <cell r="B91" t="str">
            <v>EXTRAÍDAS</v>
          </cell>
        </row>
        <row r="92">
          <cell r="A92" t="str">
            <v>BEA 0413</v>
          </cell>
          <cell r="B92" t="str">
            <v>RECIBIDAS</v>
          </cell>
        </row>
        <row r="93">
          <cell r="A93" t="str">
            <v>BEA 0443</v>
          </cell>
          <cell r="B93" t="str">
            <v>EXTRAÍDAS</v>
          </cell>
        </row>
        <row r="94">
          <cell r="A94" t="str">
            <v>BEA 0443</v>
          </cell>
          <cell r="B94" t="str">
            <v>RECIBIDAS</v>
          </cell>
        </row>
        <row r="95">
          <cell r="A95" t="str">
            <v>BEA 0448</v>
          </cell>
          <cell r="B95" t="str">
            <v>RECIBIDAS</v>
          </cell>
        </row>
        <row r="96">
          <cell r="A96" t="str">
            <v>BEA 0536</v>
          </cell>
          <cell r="B96" t="str">
            <v>EXTRAÍDAS</v>
          </cell>
        </row>
        <row r="97">
          <cell r="A97" t="str">
            <v>BEA 0536B</v>
          </cell>
          <cell r="B97" t="str">
            <v>RECIBIDAS</v>
          </cell>
        </row>
        <row r="98">
          <cell r="A98" t="str">
            <v>BEA 0540B</v>
          </cell>
          <cell r="B98" t="str">
            <v>Extraídas</v>
          </cell>
        </row>
        <row r="99">
          <cell r="A99" t="str">
            <v>BEA 0556</v>
          </cell>
          <cell r="B99" t="str">
            <v>RECIBIDAS</v>
          </cell>
        </row>
        <row r="100">
          <cell r="A100" t="str">
            <v>BEA 0559</v>
          </cell>
          <cell r="B100" t="str">
            <v>RECIBIDAS</v>
          </cell>
        </row>
        <row r="101">
          <cell r="A101" t="str">
            <v>BEA 0562</v>
          </cell>
          <cell r="B101" t="str">
            <v>EXTRAÍDAS</v>
          </cell>
        </row>
        <row r="102">
          <cell r="A102" t="str">
            <v>BEA 0584B</v>
          </cell>
          <cell r="B102" t="str">
            <v>RECIBIDAS</v>
          </cell>
        </row>
        <row r="103">
          <cell r="A103" t="str">
            <v>BEA 0647B</v>
          </cell>
          <cell r="B103" t="str">
            <v>EXTRAÍDAS</v>
          </cell>
        </row>
        <row r="104">
          <cell r="A104" t="str">
            <v>BEA 0742B</v>
          </cell>
          <cell r="B104" t="str">
            <v>EXTRAÍDAS</v>
          </cell>
        </row>
        <row r="105">
          <cell r="A105" t="str">
            <v>BEA 0747B</v>
          </cell>
          <cell r="B105" t="str">
            <v>EXTRAÍDAS</v>
          </cell>
        </row>
        <row r="106">
          <cell r="A106" t="str">
            <v>BEA 0759B</v>
          </cell>
          <cell r="B106" t="str">
            <v>RECIBIDAS</v>
          </cell>
        </row>
        <row r="107">
          <cell r="A107" t="str">
            <v>BEA 0760</v>
          </cell>
          <cell r="B107" t="str">
            <v>Extraídas</v>
          </cell>
        </row>
        <row r="108">
          <cell r="A108" t="str">
            <v>BEA 0761</v>
          </cell>
          <cell r="B108" t="str">
            <v>Extraídas</v>
          </cell>
        </row>
        <row r="109">
          <cell r="A109" t="str">
            <v>BEA 0767</v>
          </cell>
          <cell r="B109" t="str">
            <v>Extraídas</v>
          </cell>
        </row>
        <row r="110">
          <cell r="A110" t="str">
            <v>BEA 0767B</v>
          </cell>
          <cell r="B110" t="str">
            <v>EXTRAÍDAS</v>
          </cell>
        </row>
        <row r="111">
          <cell r="A111" t="str">
            <v>BEA 0772</v>
          </cell>
          <cell r="B111" t="str">
            <v>Extraídas</v>
          </cell>
        </row>
        <row r="112">
          <cell r="A112" t="str">
            <v>BEA 0774</v>
          </cell>
          <cell r="B112" t="str">
            <v>Extraídas</v>
          </cell>
        </row>
        <row r="113">
          <cell r="A113" t="str">
            <v>BEA 0774B</v>
          </cell>
          <cell r="B113" t="str">
            <v>EXTRAÍDAS</v>
          </cell>
        </row>
        <row r="114">
          <cell r="A114" t="str">
            <v>BEA 0775B</v>
          </cell>
          <cell r="B114" t="str">
            <v>Extraídas</v>
          </cell>
        </row>
        <row r="115">
          <cell r="A115" t="str">
            <v>BEA 0777B</v>
          </cell>
          <cell r="B115" t="str">
            <v>Extraídas</v>
          </cell>
        </row>
        <row r="116">
          <cell r="A116" t="str">
            <v>BEA 0782</v>
          </cell>
          <cell r="B116" t="str">
            <v>Extraídas</v>
          </cell>
        </row>
        <row r="117">
          <cell r="A117" t="str">
            <v>BEA 0784</v>
          </cell>
          <cell r="B117" t="str">
            <v>Extraídas</v>
          </cell>
        </row>
        <row r="118">
          <cell r="A118" t="str">
            <v>BEA 0784B</v>
          </cell>
          <cell r="B118" t="str">
            <v>EXTRAÍDAS</v>
          </cell>
        </row>
        <row r="119">
          <cell r="A119" t="str">
            <v>BEA 0789B</v>
          </cell>
          <cell r="B119" t="str">
            <v>Extraídas</v>
          </cell>
        </row>
        <row r="120">
          <cell r="A120" t="str">
            <v>BEA 0828</v>
          </cell>
          <cell r="B120" t="str">
            <v>RECIBIDAS</v>
          </cell>
        </row>
        <row r="121">
          <cell r="A121" t="str">
            <v>BEA 0847</v>
          </cell>
          <cell r="B121" t="str">
            <v>Extraídas</v>
          </cell>
        </row>
        <row r="122">
          <cell r="A122" t="str">
            <v>BEA 0854B R</v>
          </cell>
          <cell r="B122" t="str">
            <v>EXTRAÍDAS</v>
          </cell>
        </row>
        <row r="123">
          <cell r="A123" t="str">
            <v>BEA 0858B</v>
          </cell>
          <cell r="B123" t="str">
            <v>Extraídas</v>
          </cell>
        </row>
        <row r="124">
          <cell r="A124" t="str">
            <v>BEA 0861B</v>
          </cell>
          <cell r="B124" t="str">
            <v>Extraídas</v>
          </cell>
        </row>
        <row r="125">
          <cell r="A125" t="str">
            <v>BEA 0861B</v>
          </cell>
          <cell r="B125" t="str">
            <v>Extraídas</v>
          </cell>
        </row>
        <row r="126">
          <cell r="A126" t="str">
            <v>BEA 0867B</v>
          </cell>
          <cell r="B126" t="str">
            <v>Extraídas</v>
          </cell>
        </row>
        <row r="127">
          <cell r="A127" t="str">
            <v>BEA 0877</v>
          </cell>
          <cell r="B127" t="str">
            <v>Extraídas</v>
          </cell>
        </row>
        <row r="128">
          <cell r="A128" t="str">
            <v>BEA 0890</v>
          </cell>
          <cell r="B128" t="str">
            <v>Extraídas</v>
          </cell>
        </row>
        <row r="129">
          <cell r="A129" t="str">
            <v>BEA 0913</v>
          </cell>
          <cell r="B129" t="str">
            <v>Extraídas</v>
          </cell>
        </row>
        <row r="130">
          <cell r="A130" t="str">
            <v>BEA 0915B</v>
          </cell>
          <cell r="B130" t="str">
            <v>Extraídas</v>
          </cell>
        </row>
        <row r="131">
          <cell r="A131" t="str">
            <v>BEA 0942B</v>
          </cell>
          <cell r="B131" t="str">
            <v>Extraídas</v>
          </cell>
        </row>
        <row r="132">
          <cell r="A132" t="str">
            <v>BEA 0944B</v>
          </cell>
          <cell r="B132" t="str">
            <v>Extraídas</v>
          </cell>
        </row>
        <row r="133">
          <cell r="A133" t="str">
            <v>BEA 0944B X2</v>
          </cell>
          <cell r="B133" t="str">
            <v>Extraídas</v>
          </cell>
        </row>
        <row r="134">
          <cell r="A134" t="str">
            <v>BEA 0946B</v>
          </cell>
          <cell r="B134" t="str">
            <v>Extraídas</v>
          </cell>
        </row>
        <row r="135">
          <cell r="A135" t="str">
            <v>BEA 0975</v>
          </cell>
          <cell r="B135" t="str">
            <v>Extraídas</v>
          </cell>
        </row>
        <row r="136">
          <cell r="A136" t="str">
            <v>BEA 0980B</v>
          </cell>
          <cell r="B136" t="str">
            <v>EXTRAÍDAS</v>
          </cell>
        </row>
        <row r="137">
          <cell r="A137" t="str">
            <v>BEA 0980B 3/4</v>
          </cell>
          <cell r="B137" t="str">
            <v>EXTRAÍDAS</v>
          </cell>
        </row>
        <row r="138">
          <cell r="A138" t="str">
            <v>BEA 0986</v>
          </cell>
          <cell r="B138" t="str">
            <v>Extraídas</v>
          </cell>
        </row>
        <row r="139">
          <cell r="A139" t="str">
            <v>BEA 0987</v>
          </cell>
          <cell r="B139" t="str">
            <v>Extraídas</v>
          </cell>
        </row>
        <row r="140">
          <cell r="A140" t="str">
            <v>BEA 0991B</v>
          </cell>
          <cell r="B140" t="str">
            <v>EXTRAÍDAS</v>
          </cell>
        </row>
        <row r="141">
          <cell r="A141" t="str">
            <v>BEA 0994B</v>
          </cell>
          <cell r="B141" t="str">
            <v>EXTRAÍDAS</v>
          </cell>
        </row>
        <row r="142">
          <cell r="A142" t="str">
            <v>BEA 0994B</v>
          </cell>
          <cell r="B142" t="str">
            <v>RECIBIDAS</v>
          </cell>
        </row>
        <row r="143">
          <cell r="A143" t="str">
            <v>BEA 1000B</v>
          </cell>
          <cell r="B143" t="str">
            <v>EXTRAÍDAS</v>
          </cell>
        </row>
        <row r="144">
          <cell r="A144" t="str">
            <v>BEA 1001B</v>
          </cell>
          <cell r="B144" t="str">
            <v>EXTRAÍDAS</v>
          </cell>
        </row>
        <row r="145">
          <cell r="A145" t="str">
            <v>BEA 1001Ba</v>
          </cell>
          <cell r="B145" t="str">
            <v>EXTRAÍDAS</v>
          </cell>
        </row>
        <row r="146">
          <cell r="A146" t="str">
            <v>BEA 1011 X2</v>
          </cell>
          <cell r="B146" t="str">
            <v>Extraídas</v>
          </cell>
        </row>
        <row r="147">
          <cell r="A147" t="str">
            <v>BEA 1011B</v>
          </cell>
          <cell r="B147" t="str">
            <v>Extraídas</v>
          </cell>
        </row>
        <row r="148">
          <cell r="A148" t="str">
            <v>BEA 1016</v>
          </cell>
          <cell r="B148" t="str">
            <v>Extraídas</v>
          </cell>
        </row>
        <row r="149">
          <cell r="A149" t="str">
            <v>BEA 1017B</v>
          </cell>
          <cell r="B149" t="str">
            <v>EXTRAÍDAS</v>
          </cell>
        </row>
        <row r="150">
          <cell r="A150" t="str">
            <v>BEA 1022</v>
          </cell>
          <cell r="B150" t="str">
            <v>Extraídas</v>
          </cell>
        </row>
        <row r="151">
          <cell r="A151" t="str">
            <v>BEA 1024</v>
          </cell>
          <cell r="B151" t="str">
            <v>Extraídas</v>
          </cell>
        </row>
        <row r="152">
          <cell r="A152" t="str">
            <v>BEA 1031B</v>
          </cell>
          <cell r="B152" t="str">
            <v>EXTRAÍDAS</v>
          </cell>
        </row>
        <row r="153">
          <cell r="A153" t="str">
            <v>BEA 1031Ba</v>
          </cell>
          <cell r="B153" t="str">
            <v>EXTRAÍDAS</v>
          </cell>
        </row>
        <row r="154">
          <cell r="A154" t="str">
            <v>BEA 1050</v>
          </cell>
          <cell r="B154" t="str">
            <v>Extraídas</v>
          </cell>
        </row>
        <row r="155">
          <cell r="A155" t="str">
            <v>BEA 1051</v>
          </cell>
          <cell r="B155" t="str">
            <v>Extraídas</v>
          </cell>
        </row>
        <row r="156">
          <cell r="A156" t="str">
            <v>BEA 1062B</v>
          </cell>
          <cell r="B156" t="str">
            <v>Extraídas</v>
          </cell>
        </row>
        <row r="157">
          <cell r="A157" t="str">
            <v>BEA 1065</v>
          </cell>
          <cell r="B157" t="str">
            <v>Extraídas</v>
          </cell>
        </row>
        <row r="158">
          <cell r="A158" t="str">
            <v>BEA 1070</v>
          </cell>
          <cell r="B158" t="str">
            <v>Extraídas</v>
          </cell>
        </row>
        <row r="159">
          <cell r="A159" t="str">
            <v>BEA 1110B</v>
          </cell>
          <cell r="B159" t="str">
            <v>EXTRAÍDAS</v>
          </cell>
        </row>
        <row r="160">
          <cell r="A160" t="str">
            <v>BEA 1117B</v>
          </cell>
          <cell r="B160" t="str">
            <v>EXTRAÍDAS</v>
          </cell>
        </row>
        <row r="161">
          <cell r="A161" t="str">
            <v>BEA 1119B</v>
          </cell>
          <cell r="B161" t="str">
            <v>EXTRAÍDAS</v>
          </cell>
        </row>
        <row r="162">
          <cell r="A162" t="str">
            <v>BEA 1131B</v>
          </cell>
          <cell r="B162" t="str">
            <v>EXTRAÍDAS</v>
          </cell>
        </row>
        <row r="163">
          <cell r="A163" t="str">
            <v>BEA 1144</v>
          </cell>
          <cell r="B163" t="str">
            <v>Extraídas</v>
          </cell>
        </row>
        <row r="164">
          <cell r="A164" t="str">
            <v>BEA 1146B</v>
          </cell>
          <cell r="B164" t="str">
            <v>Extraídas</v>
          </cell>
        </row>
        <row r="165">
          <cell r="A165" t="str">
            <v>BEA 1153B</v>
          </cell>
          <cell r="B165" t="str">
            <v>EXTRAÍDAS</v>
          </cell>
        </row>
        <row r="166">
          <cell r="A166" t="str">
            <v>BEA 1153Ba</v>
          </cell>
          <cell r="B166" t="str">
            <v>EXTRAÍDAS</v>
          </cell>
        </row>
        <row r="167">
          <cell r="A167" t="str">
            <v>BEA 1153Bb</v>
          </cell>
          <cell r="B167" t="str">
            <v>EXTRAÍDAS</v>
          </cell>
        </row>
        <row r="168">
          <cell r="A168" t="str">
            <v>BEA 1153Bc</v>
          </cell>
          <cell r="B168" t="str">
            <v>EXTRAÍDAS</v>
          </cell>
        </row>
        <row r="169">
          <cell r="A169" t="str">
            <v>BEA 1154B</v>
          </cell>
          <cell r="B169" t="str">
            <v>EXTRAÍDAS</v>
          </cell>
        </row>
        <row r="170">
          <cell r="A170" t="str">
            <v>BEA 1170B</v>
          </cell>
          <cell r="B170" t="str">
            <v>EXTRAÍDAS</v>
          </cell>
        </row>
        <row r="171">
          <cell r="A171" t="str">
            <v>BEA 1176</v>
          </cell>
          <cell r="B171" t="str">
            <v>Extraídas</v>
          </cell>
        </row>
        <row r="172">
          <cell r="A172" t="str">
            <v>BEA 1200B</v>
          </cell>
          <cell r="B172" t="str">
            <v>Extraídas</v>
          </cell>
        </row>
        <row r="173">
          <cell r="A173" t="str">
            <v>BEA 1200B</v>
          </cell>
          <cell r="B173" t="str">
            <v>RECIBIDAS</v>
          </cell>
        </row>
        <row r="174">
          <cell r="A174" t="str">
            <v>BEA 1211B</v>
          </cell>
          <cell r="B174" t="str">
            <v>RECIBIDAS</v>
          </cell>
        </row>
        <row r="175">
          <cell r="A175" t="str">
            <v>BEA 1214B</v>
          </cell>
          <cell r="B175" t="str">
            <v>Extraídas</v>
          </cell>
        </row>
        <row r="176">
          <cell r="A176" t="str">
            <v>BEA 1217B</v>
          </cell>
          <cell r="B176" t="str">
            <v>Extraídas</v>
          </cell>
        </row>
        <row r="177">
          <cell r="A177" t="str">
            <v>BEA 1218B</v>
          </cell>
          <cell r="B177" t="str">
            <v>Extraídas</v>
          </cell>
        </row>
        <row r="178">
          <cell r="A178" t="str">
            <v>BEA 1228B</v>
          </cell>
          <cell r="B178" t="str">
            <v>Extraídas</v>
          </cell>
        </row>
        <row r="179">
          <cell r="A179" t="str">
            <v>BEA 1230B</v>
          </cell>
          <cell r="B179" t="str">
            <v>Extraídas</v>
          </cell>
        </row>
        <row r="180">
          <cell r="A180" t="str">
            <v>BEA 1233B</v>
          </cell>
          <cell r="B180" t="str">
            <v>RECIBIDAS</v>
          </cell>
        </row>
        <row r="181">
          <cell r="A181" t="str">
            <v>BEA 1234</v>
          </cell>
          <cell r="B181" t="str">
            <v>Extraídas</v>
          </cell>
        </row>
        <row r="182">
          <cell r="A182" t="str">
            <v>BEA 1235B</v>
          </cell>
          <cell r="B182" t="str">
            <v>EXTRAÍDAS</v>
          </cell>
        </row>
        <row r="183">
          <cell r="A183" t="str">
            <v>BEA 1239B</v>
          </cell>
          <cell r="B183" t="str">
            <v>Extraídas</v>
          </cell>
        </row>
        <row r="184">
          <cell r="A184" t="str">
            <v>BEA 1246</v>
          </cell>
          <cell r="B184" t="str">
            <v>Extraídas</v>
          </cell>
        </row>
        <row r="185">
          <cell r="A185" t="str">
            <v>BEA 1249B</v>
          </cell>
          <cell r="B185" t="str">
            <v>Extraídas</v>
          </cell>
        </row>
        <row r="186">
          <cell r="A186" t="str">
            <v>BEA 1251</v>
          </cell>
          <cell r="B186" t="str">
            <v>Extraídas</v>
          </cell>
        </row>
        <row r="187">
          <cell r="A187" t="str">
            <v>BEA 1251B</v>
          </cell>
          <cell r="B187" t="str">
            <v>EXTRAÍDAS</v>
          </cell>
        </row>
        <row r="188">
          <cell r="A188" t="str">
            <v>BEA 1254B</v>
          </cell>
          <cell r="B188" t="str">
            <v>Extraídas</v>
          </cell>
        </row>
        <row r="189">
          <cell r="A189" t="str">
            <v>BEA 1267B</v>
          </cell>
          <cell r="B189" t="str">
            <v>Extraídas</v>
          </cell>
        </row>
        <row r="190">
          <cell r="A190" t="str">
            <v>BEA 1272</v>
          </cell>
          <cell r="B190" t="str">
            <v>Extraídas</v>
          </cell>
        </row>
        <row r="191">
          <cell r="A191" t="str">
            <v>BEA 1276B</v>
          </cell>
          <cell r="B191" t="str">
            <v>EXTRAÍDAS</v>
          </cell>
        </row>
        <row r="192">
          <cell r="A192" t="str">
            <v>BEA 1276B</v>
          </cell>
          <cell r="B192" t="str">
            <v>EXTRAÍDAS</v>
          </cell>
        </row>
        <row r="193">
          <cell r="A193" t="str">
            <v>BEA 1277</v>
          </cell>
          <cell r="B193" t="str">
            <v>Extraídas</v>
          </cell>
        </row>
        <row r="194">
          <cell r="A194" t="str">
            <v>BEA 1279B</v>
          </cell>
          <cell r="B194" t="str">
            <v>RECIBIDAS</v>
          </cell>
        </row>
        <row r="195">
          <cell r="A195" t="str">
            <v>BEA 1302</v>
          </cell>
          <cell r="B195" t="str">
            <v>Extraídas</v>
          </cell>
        </row>
        <row r="196">
          <cell r="A196" t="str">
            <v>BEA 1302 X2</v>
          </cell>
          <cell r="B196" t="str">
            <v>Extraídas</v>
          </cell>
        </row>
        <row r="197">
          <cell r="A197" t="str">
            <v>BEA 1305B</v>
          </cell>
          <cell r="B197" t="str">
            <v>EXTRAÍDAS</v>
          </cell>
        </row>
        <row r="198">
          <cell r="A198" t="str">
            <v>BEA 1323 X1</v>
          </cell>
          <cell r="B198" t="str">
            <v>Extraídas</v>
          </cell>
        </row>
        <row r="199">
          <cell r="A199" t="str">
            <v>BEA 1323 X2</v>
          </cell>
          <cell r="B199" t="str">
            <v>Extraídas</v>
          </cell>
        </row>
        <row r="200">
          <cell r="A200" t="str">
            <v>BEA 1326B</v>
          </cell>
          <cell r="B200" t="str">
            <v>EXTRAÍDAS</v>
          </cell>
        </row>
        <row r="201">
          <cell r="A201" t="str">
            <v>BEA 1328B</v>
          </cell>
          <cell r="B201" t="str">
            <v>Extraídas</v>
          </cell>
        </row>
        <row r="202">
          <cell r="A202" t="str">
            <v>BEA 1334B</v>
          </cell>
          <cell r="B202" t="str">
            <v>RECIBIDAS</v>
          </cell>
        </row>
        <row r="203">
          <cell r="A203" t="str">
            <v>BEA 1350B</v>
          </cell>
          <cell r="B203" t="str">
            <v>RECIBIDAS</v>
          </cell>
        </row>
        <row r="204">
          <cell r="A204" t="str">
            <v>BEA 1353B</v>
          </cell>
          <cell r="B204" t="str">
            <v>Extraídas</v>
          </cell>
        </row>
        <row r="205">
          <cell r="A205" t="str">
            <v>BEA 1355B</v>
          </cell>
          <cell r="B205" t="str">
            <v>Extraídas</v>
          </cell>
        </row>
        <row r="206">
          <cell r="A206" t="str">
            <v>BEA 1357</v>
          </cell>
          <cell r="B206" t="str">
            <v>Extraídas</v>
          </cell>
        </row>
        <row r="207">
          <cell r="A207" t="str">
            <v>BEA 1374B</v>
          </cell>
          <cell r="B207" t="str">
            <v>RECIBIDAS</v>
          </cell>
        </row>
        <row r="208">
          <cell r="A208" t="str">
            <v>BEA 1403B</v>
          </cell>
          <cell r="B208" t="str">
            <v>EXTRAÍDAS</v>
          </cell>
        </row>
        <row r="209">
          <cell r="A209" t="str">
            <v>BEA 1404B</v>
          </cell>
          <cell r="B209" t="str">
            <v>EXTRAÍDAS</v>
          </cell>
        </row>
        <row r="210">
          <cell r="A210" t="str">
            <v>BEA 1414B</v>
          </cell>
          <cell r="B210" t="str">
            <v>EXTRAÍDAS</v>
          </cell>
        </row>
        <row r="211">
          <cell r="A211" t="str">
            <v>BEA 1428B</v>
          </cell>
          <cell r="B211" t="str">
            <v>Extraídas</v>
          </cell>
        </row>
        <row r="212">
          <cell r="A212" t="str">
            <v>BEA 1429B</v>
          </cell>
          <cell r="B212" t="str">
            <v>Extraídas</v>
          </cell>
        </row>
        <row r="213">
          <cell r="A213" t="str">
            <v>BEA 1433</v>
          </cell>
          <cell r="B213" t="str">
            <v>Extraídas</v>
          </cell>
        </row>
        <row r="214">
          <cell r="A214" t="str">
            <v>BEA 1436B</v>
          </cell>
          <cell r="B214" t="str">
            <v>Extraídas</v>
          </cell>
        </row>
        <row r="215">
          <cell r="A215" t="str">
            <v>BEA 1442B</v>
          </cell>
          <cell r="B215" t="str">
            <v>EXTRAÍDAS</v>
          </cell>
        </row>
        <row r="216">
          <cell r="A216" t="str">
            <v>BEA 1445B</v>
          </cell>
          <cell r="B216" t="str">
            <v>Extraídas</v>
          </cell>
        </row>
        <row r="217">
          <cell r="A217" t="str">
            <v>BEA 1445B</v>
          </cell>
          <cell r="B217" t="str">
            <v>RECIBIDAS</v>
          </cell>
        </row>
        <row r="218">
          <cell r="A218" t="str">
            <v>BEA 1455B</v>
          </cell>
          <cell r="B218" t="str">
            <v>Extraídas</v>
          </cell>
        </row>
        <row r="219">
          <cell r="A219" t="str">
            <v>BEA 1457B</v>
          </cell>
          <cell r="B219" t="str">
            <v>Extraídas</v>
          </cell>
        </row>
        <row r="220">
          <cell r="A220" t="str">
            <v>BEA 1461</v>
          </cell>
          <cell r="B220" t="str">
            <v>Extraídas</v>
          </cell>
        </row>
        <row r="221">
          <cell r="A221" t="str">
            <v>BEA 1461B R</v>
          </cell>
          <cell r="B221" t="str">
            <v>EXTRAÍDAS</v>
          </cell>
        </row>
        <row r="222">
          <cell r="A222" t="str">
            <v>BEA 1462B</v>
          </cell>
          <cell r="B222" t="str">
            <v>Extraídas</v>
          </cell>
        </row>
        <row r="223">
          <cell r="A223" t="str">
            <v>BEA 1462B</v>
          </cell>
          <cell r="B223" t="str">
            <v>RECIBIDAS</v>
          </cell>
        </row>
        <row r="224">
          <cell r="A224" t="str">
            <v>BEA 1469</v>
          </cell>
          <cell r="B224" t="str">
            <v>Extraídas</v>
          </cell>
        </row>
        <row r="225">
          <cell r="A225" t="str">
            <v>BEA 1471 X1</v>
          </cell>
          <cell r="B225" t="str">
            <v>Extraídas</v>
          </cell>
        </row>
        <row r="226">
          <cell r="A226" t="str">
            <v>BEA 1471 X2</v>
          </cell>
          <cell r="B226" t="str">
            <v>Extraídas</v>
          </cell>
        </row>
        <row r="227">
          <cell r="A227" t="str">
            <v>BEA 1472B R</v>
          </cell>
          <cell r="B227" t="str">
            <v>EXTRAÍDAS</v>
          </cell>
        </row>
        <row r="228">
          <cell r="A228" t="str">
            <v>BEA 1482B</v>
          </cell>
          <cell r="B228" t="str">
            <v>Extraídas</v>
          </cell>
        </row>
        <row r="229">
          <cell r="A229" t="str">
            <v>BEA 1484 X1</v>
          </cell>
          <cell r="B229" t="str">
            <v>Extraídas</v>
          </cell>
        </row>
        <row r="230">
          <cell r="A230" t="str">
            <v>BEA 1484 X2</v>
          </cell>
          <cell r="B230" t="str">
            <v>Extraídas</v>
          </cell>
        </row>
        <row r="231">
          <cell r="A231" t="str">
            <v>BEA 1503B</v>
          </cell>
          <cell r="B231" t="str">
            <v>EXTRAÍDAS</v>
          </cell>
        </row>
        <row r="232">
          <cell r="A232" t="str">
            <v>BEA 1506B</v>
          </cell>
          <cell r="B232" t="str">
            <v>EXTRAÍDAS</v>
          </cell>
        </row>
        <row r="233">
          <cell r="A233" t="str">
            <v>BEA 1512B</v>
          </cell>
          <cell r="B233" t="str">
            <v>Extraídas</v>
          </cell>
        </row>
        <row r="234">
          <cell r="A234" t="str">
            <v>BEA 1514B</v>
          </cell>
          <cell r="B234" t="str">
            <v>RECIBIDAS</v>
          </cell>
        </row>
        <row r="235">
          <cell r="A235" t="str">
            <v>BEA 1517B</v>
          </cell>
          <cell r="B235" t="str">
            <v>EXTRAÍDAS</v>
          </cell>
        </row>
        <row r="236">
          <cell r="A236" t="str">
            <v>BEA 1521B</v>
          </cell>
          <cell r="B236" t="str">
            <v>RECIBIDAS</v>
          </cell>
        </row>
        <row r="237">
          <cell r="A237" t="str">
            <v>BEA 1525B</v>
          </cell>
          <cell r="B237" t="str">
            <v>EXTRAÍDAS</v>
          </cell>
        </row>
        <row r="238">
          <cell r="A238" t="str">
            <v>BEA 1525B a</v>
          </cell>
          <cell r="B238" t="str">
            <v>EXTRAÍDAS</v>
          </cell>
        </row>
        <row r="239">
          <cell r="A239" t="str">
            <v>BEA 1526</v>
          </cell>
          <cell r="B239" t="str">
            <v>Extraídas</v>
          </cell>
        </row>
        <row r="240">
          <cell r="A240" t="str">
            <v>BEA 1526B</v>
          </cell>
          <cell r="B240" t="str">
            <v>EXTRAÍDAS</v>
          </cell>
        </row>
        <row r="241">
          <cell r="A241" t="str">
            <v>BEA 1526Ba</v>
          </cell>
          <cell r="B241" t="str">
            <v>EXTRAÍDAS</v>
          </cell>
        </row>
        <row r="242">
          <cell r="A242" t="str">
            <v>BEA 1533 X2</v>
          </cell>
          <cell r="B242" t="str">
            <v>Extraídas</v>
          </cell>
        </row>
        <row r="243">
          <cell r="A243" t="str">
            <v>BEA 1533B</v>
          </cell>
          <cell r="B243" t="str">
            <v>Extraídas</v>
          </cell>
        </row>
        <row r="244">
          <cell r="A244" t="str">
            <v>BEA 1535</v>
          </cell>
          <cell r="B244" t="str">
            <v>Extraídas</v>
          </cell>
        </row>
        <row r="245">
          <cell r="A245" t="str">
            <v>BEA 1538 X1</v>
          </cell>
          <cell r="B245" t="str">
            <v>Extraídas</v>
          </cell>
        </row>
        <row r="246">
          <cell r="A246" t="str">
            <v>BEA 1538 X2</v>
          </cell>
          <cell r="B246" t="str">
            <v>Extraídas</v>
          </cell>
        </row>
        <row r="247">
          <cell r="A247" t="str">
            <v>BEA 1550B</v>
          </cell>
          <cell r="B247" t="str">
            <v>Extraídas</v>
          </cell>
        </row>
        <row r="248">
          <cell r="A248" t="str">
            <v>BEA 1550B</v>
          </cell>
          <cell r="B248" t="str">
            <v>EXTRAÍDAS</v>
          </cell>
        </row>
        <row r="249">
          <cell r="A249" t="str">
            <v>BEA 1551B</v>
          </cell>
          <cell r="B249" t="str">
            <v>Extraídas</v>
          </cell>
        </row>
        <row r="250">
          <cell r="A250" t="str">
            <v>BEA 1555B</v>
          </cell>
          <cell r="B250" t="str">
            <v>EXTRAÍDAS</v>
          </cell>
        </row>
        <row r="251">
          <cell r="A251" t="str">
            <v>BEA 1560 X2</v>
          </cell>
          <cell r="B251" t="str">
            <v>Extraídas</v>
          </cell>
        </row>
        <row r="252">
          <cell r="A252" t="str">
            <v>BEA 1560B</v>
          </cell>
          <cell r="B252" t="str">
            <v>Extraídas</v>
          </cell>
        </row>
        <row r="253">
          <cell r="A253" t="str">
            <v>BEA 1561B</v>
          </cell>
          <cell r="B253" t="str">
            <v>Extraídas</v>
          </cell>
        </row>
        <row r="254">
          <cell r="A254" t="str">
            <v>BEA 1562B</v>
          </cell>
          <cell r="B254" t="str">
            <v>Extraídas</v>
          </cell>
        </row>
        <row r="255">
          <cell r="A255" t="str">
            <v>BEA 1562B</v>
          </cell>
          <cell r="B255" t="str">
            <v>EXTRAÍDAS</v>
          </cell>
        </row>
        <row r="256">
          <cell r="A256" t="str">
            <v>BEA 1562B R</v>
          </cell>
          <cell r="B256" t="str">
            <v>EXTRAÍDAS</v>
          </cell>
        </row>
        <row r="257">
          <cell r="A257" t="str">
            <v>BEA 1563B</v>
          </cell>
          <cell r="B257" t="str">
            <v>Extraídas</v>
          </cell>
        </row>
        <row r="258">
          <cell r="A258" t="str">
            <v>BEA 1567B</v>
          </cell>
          <cell r="B258" t="str">
            <v>Extraídas</v>
          </cell>
        </row>
        <row r="259">
          <cell r="A259" t="str">
            <v>BEA 1570</v>
          </cell>
          <cell r="B259" t="str">
            <v>Extraídas</v>
          </cell>
        </row>
        <row r="260">
          <cell r="A260" t="str">
            <v>BEA 1570B R</v>
          </cell>
          <cell r="B260" t="str">
            <v>EXTRAÍDAS</v>
          </cell>
        </row>
        <row r="261">
          <cell r="A261" t="str">
            <v>BEA 1571B</v>
          </cell>
          <cell r="B261" t="str">
            <v>EXTRAÍDAS</v>
          </cell>
        </row>
        <row r="262">
          <cell r="A262" t="str">
            <v>BEA 1575B</v>
          </cell>
          <cell r="B262" t="str">
            <v>Extraídas</v>
          </cell>
        </row>
        <row r="263">
          <cell r="A263" t="str">
            <v>BEA 1575B</v>
          </cell>
          <cell r="B263" t="str">
            <v>EXTRAÍDAS</v>
          </cell>
        </row>
        <row r="264">
          <cell r="A264" t="str">
            <v>BEA 1579B</v>
          </cell>
          <cell r="B264" t="str">
            <v>Extraídas</v>
          </cell>
        </row>
        <row r="265">
          <cell r="A265" t="str">
            <v>BEA 1580B R</v>
          </cell>
          <cell r="B265" t="str">
            <v>EXTRAÍDAS</v>
          </cell>
        </row>
        <row r="266">
          <cell r="A266" t="str">
            <v>BEA 1585B</v>
          </cell>
          <cell r="B266" t="str">
            <v>Extraídas</v>
          </cell>
        </row>
        <row r="267">
          <cell r="A267" t="str">
            <v>BEA 1585B</v>
          </cell>
          <cell r="B267" t="str">
            <v>EXTRAÍDAS</v>
          </cell>
        </row>
        <row r="268">
          <cell r="A268" t="str">
            <v>BEA 1587B</v>
          </cell>
          <cell r="B268" t="str">
            <v>RECIBIDAS</v>
          </cell>
        </row>
        <row r="269">
          <cell r="A269" t="str">
            <v>BEA 1589B</v>
          </cell>
          <cell r="B269" t="str">
            <v>Extraídas</v>
          </cell>
        </row>
        <row r="270">
          <cell r="A270" t="str">
            <v>BEA 1595B</v>
          </cell>
          <cell r="B270" t="str">
            <v>Extraídas</v>
          </cell>
        </row>
        <row r="271">
          <cell r="A271" t="str">
            <v>BEA 1596B</v>
          </cell>
          <cell r="B271" t="str">
            <v>Extraídas</v>
          </cell>
        </row>
        <row r="272">
          <cell r="A272" t="str">
            <v>BEA 1602B</v>
          </cell>
          <cell r="B272" t="str">
            <v>Extraídas</v>
          </cell>
        </row>
        <row r="273">
          <cell r="A273" t="str">
            <v>BEA 1603B</v>
          </cell>
          <cell r="B273" t="str">
            <v>Extraídas</v>
          </cell>
        </row>
        <row r="274">
          <cell r="A274" t="str">
            <v>BEA 1635B</v>
          </cell>
          <cell r="B274" t="str">
            <v>RECIBIDAS</v>
          </cell>
        </row>
        <row r="275">
          <cell r="A275" t="str">
            <v>BEA 1636B</v>
          </cell>
          <cell r="B275" t="str">
            <v>RECIBIDAS</v>
          </cell>
        </row>
        <row r="276">
          <cell r="A276" t="str">
            <v>BEA 1637B</v>
          </cell>
          <cell r="B276" t="str">
            <v>RECIBIDAS</v>
          </cell>
        </row>
        <row r="277">
          <cell r="A277" t="str">
            <v>BEA 1638B</v>
          </cell>
          <cell r="B277" t="str">
            <v>RECIBIDAS</v>
          </cell>
        </row>
        <row r="278">
          <cell r="A278" t="str">
            <v>BEA 1647</v>
          </cell>
          <cell r="B278" t="str">
            <v>Extraídas</v>
          </cell>
        </row>
        <row r="279">
          <cell r="A279" t="str">
            <v>BEA 1658B</v>
          </cell>
          <cell r="B279" t="str">
            <v>EXTRAÍDAS</v>
          </cell>
        </row>
        <row r="280">
          <cell r="A280" t="str">
            <v>BEA 1661B</v>
          </cell>
          <cell r="B280" t="str">
            <v>RECIBIDAS</v>
          </cell>
        </row>
        <row r="281">
          <cell r="A281" t="str">
            <v>BEA 1662B</v>
          </cell>
          <cell r="B281" t="str">
            <v>EXTRAÍDAS</v>
          </cell>
        </row>
        <row r="282">
          <cell r="A282" t="str">
            <v>BEA 1665B</v>
          </cell>
          <cell r="B282" t="str">
            <v>RECIBIDAS</v>
          </cell>
        </row>
        <row r="283">
          <cell r="A283" t="str">
            <v>BEA 1678B</v>
          </cell>
          <cell r="B283" t="str">
            <v>EXTRAÍDAS</v>
          </cell>
        </row>
        <row r="284">
          <cell r="A284" t="str">
            <v>BEA 1680B</v>
          </cell>
          <cell r="B284" t="str">
            <v>RECIBIDAS</v>
          </cell>
        </row>
        <row r="285">
          <cell r="A285" t="str">
            <v>BEA 1694B</v>
          </cell>
          <cell r="B285" t="str">
            <v>EXTRAÍDAS</v>
          </cell>
        </row>
        <row r="286">
          <cell r="A286" t="str">
            <v>BEA 1701B</v>
          </cell>
          <cell r="B286" t="str">
            <v>EXTRAÍDAS</v>
          </cell>
        </row>
        <row r="287">
          <cell r="A287" t="str">
            <v>BEA 1702B</v>
          </cell>
          <cell r="B287" t="str">
            <v>EXTRAÍDAS</v>
          </cell>
        </row>
        <row r="288">
          <cell r="A288" t="str">
            <v>BEA 1784B</v>
          </cell>
          <cell r="B288" t="str">
            <v>Extraídas</v>
          </cell>
        </row>
        <row r="289">
          <cell r="A289" t="str">
            <v>BEA 1807B</v>
          </cell>
          <cell r="B289" t="str">
            <v>EXTRAÍDAS</v>
          </cell>
        </row>
        <row r="290">
          <cell r="A290" t="str">
            <v>BEA 1824B</v>
          </cell>
          <cell r="B290" t="str">
            <v>EXTRAÍDAS</v>
          </cell>
        </row>
        <row r="291">
          <cell r="A291" t="str">
            <v>BEA 1827B</v>
          </cell>
          <cell r="B291" t="str">
            <v>EXTRAÍDAS</v>
          </cell>
        </row>
        <row r="292">
          <cell r="A292" t="str">
            <v>BEA 1828</v>
          </cell>
          <cell r="B292" t="str">
            <v>Extraídas</v>
          </cell>
        </row>
        <row r="293">
          <cell r="A293" t="str">
            <v>BEA 1829B</v>
          </cell>
          <cell r="B293" t="str">
            <v>Extraídas</v>
          </cell>
        </row>
        <row r="294">
          <cell r="A294" t="str">
            <v>BEA 1830B</v>
          </cell>
          <cell r="B294" t="str">
            <v>Extraídas</v>
          </cell>
        </row>
        <row r="295">
          <cell r="A295" t="str">
            <v>BEA 1833B</v>
          </cell>
          <cell r="B295" t="str">
            <v>Extraídas</v>
          </cell>
        </row>
        <row r="296">
          <cell r="A296" t="str">
            <v>BEA 1835B</v>
          </cell>
          <cell r="B296" t="str">
            <v>Extraídas</v>
          </cell>
        </row>
        <row r="297">
          <cell r="A297" t="str">
            <v>BEA 1838B</v>
          </cell>
          <cell r="B297" t="str">
            <v>Extraídas</v>
          </cell>
        </row>
        <row r="298">
          <cell r="A298" t="str">
            <v>BEA 1839B</v>
          </cell>
          <cell r="B298" t="str">
            <v>Extraídas</v>
          </cell>
        </row>
        <row r="299">
          <cell r="A299" t="str">
            <v>BEA 1841B</v>
          </cell>
          <cell r="B299" t="str">
            <v>Extraídas</v>
          </cell>
        </row>
        <row r="300">
          <cell r="A300" t="str">
            <v>BEA 1842B</v>
          </cell>
          <cell r="B300" t="str">
            <v>Extraídas</v>
          </cell>
        </row>
        <row r="301">
          <cell r="A301" t="str">
            <v>BEA 1842B</v>
          </cell>
          <cell r="B301" t="str">
            <v>EXTRAÍDAS</v>
          </cell>
        </row>
        <row r="302">
          <cell r="A302" t="str">
            <v>BEA 1843B R</v>
          </cell>
          <cell r="B302" t="str">
            <v>EXTRAÍDAS</v>
          </cell>
        </row>
        <row r="303">
          <cell r="A303" t="str">
            <v>BEA 1844B</v>
          </cell>
          <cell r="B303" t="str">
            <v>Extraídas</v>
          </cell>
        </row>
        <row r="304">
          <cell r="A304" t="str">
            <v>BEA 1846B</v>
          </cell>
          <cell r="B304" t="str">
            <v>EXTRAÍDAS</v>
          </cell>
        </row>
        <row r="305">
          <cell r="A305" t="str">
            <v>BEA 1849B</v>
          </cell>
          <cell r="B305" t="str">
            <v>Extraídas</v>
          </cell>
        </row>
        <row r="306">
          <cell r="A306" t="str">
            <v>BEA 1860B</v>
          </cell>
          <cell r="B306" t="str">
            <v>EXTRAÍDAS</v>
          </cell>
        </row>
        <row r="307">
          <cell r="A307" t="str">
            <v>BEA 1861B</v>
          </cell>
          <cell r="B307" t="str">
            <v>EXTRAÍDAS</v>
          </cell>
        </row>
        <row r="308">
          <cell r="A308" t="str">
            <v>BEA 1862B</v>
          </cell>
          <cell r="B308" t="str">
            <v>EXTRAÍDAS</v>
          </cell>
        </row>
        <row r="309">
          <cell r="A309" t="str">
            <v>BEA 1863B</v>
          </cell>
          <cell r="B309" t="str">
            <v>EXTRAÍDAS</v>
          </cell>
        </row>
        <row r="310">
          <cell r="A310" t="str">
            <v>BEA 1864B</v>
          </cell>
          <cell r="B310" t="str">
            <v>EXTRAÍDAS</v>
          </cell>
        </row>
        <row r="311">
          <cell r="A311" t="str">
            <v>BEA 1868B</v>
          </cell>
          <cell r="B311" t="str">
            <v>EXTRAÍDAS</v>
          </cell>
        </row>
        <row r="312">
          <cell r="A312" t="str">
            <v>BEA 1874B</v>
          </cell>
          <cell r="B312" t="str">
            <v>EXTRAÍDAS</v>
          </cell>
        </row>
        <row r="313">
          <cell r="A313" t="str">
            <v>BEA 1876  2</v>
          </cell>
          <cell r="B313" t="str">
            <v>Extraídas</v>
          </cell>
        </row>
        <row r="314">
          <cell r="A314" t="str">
            <v>BEA 1876B 1</v>
          </cell>
          <cell r="B314" t="str">
            <v>Extraídas</v>
          </cell>
        </row>
        <row r="315">
          <cell r="A315" t="str">
            <v>BEA 1876B R</v>
          </cell>
          <cell r="B315" t="str">
            <v>EXTRAÍDAS</v>
          </cell>
        </row>
        <row r="316">
          <cell r="A316" t="str">
            <v>BEA 1889B</v>
          </cell>
          <cell r="B316" t="str">
            <v>EXTRAÍDAS</v>
          </cell>
        </row>
        <row r="317">
          <cell r="A317" t="str">
            <v>BEA 1890B</v>
          </cell>
          <cell r="B317" t="str">
            <v>EXTRAÍDAS</v>
          </cell>
        </row>
        <row r="318">
          <cell r="A318" t="str">
            <v>BEA 1891B</v>
          </cell>
          <cell r="B318" t="str">
            <v>EXTRAÍDAS</v>
          </cell>
        </row>
        <row r="319">
          <cell r="A319" t="str">
            <v>BEA 1892B</v>
          </cell>
          <cell r="B319" t="str">
            <v>EXTRAÍDAS</v>
          </cell>
        </row>
        <row r="320">
          <cell r="A320" t="str">
            <v>BEA 1899B</v>
          </cell>
          <cell r="B320" t="str">
            <v>RECIBIDAS</v>
          </cell>
        </row>
        <row r="321">
          <cell r="A321" t="str">
            <v>BEA 1901B</v>
          </cell>
          <cell r="B321" t="str">
            <v>Extraídas</v>
          </cell>
        </row>
        <row r="322">
          <cell r="A322" t="str">
            <v>BEA 1907B</v>
          </cell>
          <cell r="B322" t="str">
            <v>EXTRAÍDAS</v>
          </cell>
        </row>
        <row r="323">
          <cell r="A323" t="str">
            <v>BEA 1908B</v>
          </cell>
          <cell r="B323" t="str">
            <v>EXTRAÍDAS</v>
          </cell>
        </row>
        <row r="324">
          <cell r="A324" t="str">
            <v>BEA 1911B</v>
          </cell>
          <cell r="B324" t="str">
            <v>EXTRAÍDAS</v>
          </cell>
        </row>
        <row r="325">
          <cell r="A325" t="str">
            <v>BEA 1912B</v>
          </cell>
          <cell r="B325" t="str">
            <v>EXTRAÍDAS</v>
          </cell>
        </row>
        <row r="326">
          <cell r="A326" t="str">
            <v>BEA 1913B</v>
          </cell>
          <cell r="B326" t="str">
            <v>EXTRAÍDAS</v>
          </cell>
        </row>
        <row r="327">
          <cell r="A327" t="str">
            <v>BEA 1916B</v>
          </cell>
          <cell r="B327" t="str">
            <v>Extraídas</v>
          </cell>
        </row>
        <row r="328">
          <cell r="A328" t="str">
            <v>BEA 1916B</v>
          </cell>
          <cell r="B328" t="str">
            <v>RECIBIDAS</v>
          </cell>
        </row>
        <row r="329">
          <cell r="A329" t="str">
            <v>BEA 1925B</v>
          </cell>
          <cell r="B329" t="str">
            <v>EXTRAÍDAS</v>
          </cell>
        </row>
        <row r="330">
          <cell r="A330" t="str">
            <v>BEA 1943B</v>
          </cell>
          <cell r="B330" t="str">
            <v>EXTRAÍDAS</v>
          </cell>
        </row>
        <row r="331">
          <cell r="A331" t="str">
            <v>BEA 1944B</v>
          </cell>
          <cell r="B331" t="str">
            <v>EXTRAÍDAS</v>
          </cell>
        </row>
        <row r="332">
          <cell r="A332" t="str">
            <v>BEA 1945B</v>
          </cell>
          <cell r="B332" t="str">
            <v>EXTRAÍDAS</v>
          </cell>
        </row>
        <row r="333">
          <cell r="A333" t="str">
            <v>BEA 1947B</v>
          </cell>
          <cell r="B333" t="str">
            <v>EXTRAÍDAS</v>
          </cell>
        </row>
        <row r="334">
          <cell r="A334" t="str">
            <v>BEA 1950B</v>
          </cell>
          <cell r="B334" t="str">
            <v>EXTRAÍDAS</v>
          </cell>
        </row>
        <row r="335">
          <cell r="A335" t="str">
            <v>BEA 1951B</v>
          </cell>
          <cell r="B335" t="str">
            <v>RECIBIDAS</v>
          </cell>
        </row>
        <row r="336">
          <cell r="A336" t="str">
            <v>BEA 1952B</v>
          </cell>
          <cell r="B336" t="str">
            <v>EXTRAÍDAS</v>
          </cell>
        </row>
        <row r="337">
          <cell r="A337" t="str">
            <v>BEA 1953B</v>
          </cell>
          <cell r="B337" t="str">
            <v>EXTRAÍDAS</v>
          </cell>
        </row>
        <row r="338">
          <cell r="A338" t="str">
            <v>BEA 1954B</v>
          </cell>
          <cell r="B338" t="str">
            <v>EXTRAÍDAS</v>
          </cell>
        </row>
        <row r="339">
          <cell r="A339" t="str">
            <v>BEA 1955B</v>
          </cell>
          <cell r="B339" t="str">
            <v>EXTRAÍDAS</v>
          </cell>
        </row>
        <row r="340">
          <cell r="A340" t="str">
            <v>BEA 1956B</v>
          </cell>
          <cell r="B340" t="str">
            <v>EXTRAÍDAS</v>
          </cell>
        </row>
        <row r="341">
          <cell r="A341" t="str">
            <v>BEA 1956B</v>
          </cell>
          <cell r="B341" t="str">
            <v>RECIBIDAS</v>
          </cell>
        </row>
        <row r="342">
          <cell r="A342" t="str">
            <v>BEA 1957B</v>
          </cell>
          <cell r="B342" t="str">
            <v>EXTRAÍDAS</v>
          </cell>
        </row>
        <row r="343">
          <cell r="A343" t="str">
            <v>BEA 1959B</v>
          </cell>
          <cell r="B343" t="str">
            <v>EXTRAÍDAS</v>
          </cell>
        </row>
        <row r="344">
          <cell r="A344" t="str">
            <v>BEA 1960B</v>
          </cell>
          <cell r="B344" t="str">
            <v>EXTRAÍDAS</v>
          </cell>
        </row>
        <row r="345">
          <cell r="A345" t="str">
            <v>BEA 1960B</v>
          </cell>
          <cell r="B345" t="str">
            <v>RECIBIDAS</v>
          </cell>
        </row>
        <row r="346">
          <cell r="A346" t="str">
            <v>BEA 1961B</v>
          </cell>
          <cell r="B346" t="str">
            <v>EXTRAÍDAS</v>
          </cell>
        </row>
        <row r="347">
          <cell r="A347" t="str">
            <v>BEA 1961B</v>
          </cell>
          <cell r="B347" t="str">
            <v>RECIBIDAS</v>
          </cell>
        </row>
        <row r="348">
          <cell r="A348" t="str">
            <v>BEA 1962B</v>
          </cell>
          <cell r="B348" t="str">
            <v>EXTRAÍDAS</v>
          </cell>
        </row>
        <row r="349">
          <cell r="A349" t="str">
            <v>BEA 1964B</v>
          </cell>
          <cell r="B349" t="str">
            <v>EXTRAÍDAS</v>
          </cell>
        </row>
        <row r="350">
          <cell r="A350" t="str">
            <v>BEA 1966B</v>
          </cell>
          <cell r="B350" t="str">
            <v>EXTRAÍDAS</v>
          </cell>
        </row>
        <row r="351">
          <cell r="A351" t="str">
            <v>BEA 1966B</v>
          </cell>
          <cell r="B351" t="str">
            <v>RECIBIDAS</v>
          </cell>
        </row>
        <row r="352">
          <cell r="A352" t="str">
            <v>BEA 1967B</v>
          </cell>
          <cell r="B352" t="str">
            <v>EXTRAÍDAS</v>
          </cell>
        </row>
        <row r="353">
          <cell r="A353" t="str">
            <v>BEA 1967B</v>
          </cell>
          <cell r="B353" t="str">
            <v>RECIBIDAS</v>
          </cell>
        </row>
        <row r="354">
          <cell r="A354" t="str">
            <v>BEA 1968B</v>
          </cell>
          <cell r="B354" t="str">
            <v>EXTRAÍDAS</v>
          </cell>
        </row>
        <row r="355">
          <cell r="A355" t="str">
            <v>BEA 1969B</v>
          </cell>
          <cell r="B355" t="str">
            <v>EXTRAÍDAS</v>
          </cell>
        </row>
        <row r="356">
          <cell r="A356" t="str">
            <v>BEA 1969B</v>
          </cell>
          <cell r="B356" t="str">
            <v>RECIBIDAS</v>
          </cell>
        </row>
        <row r="357">
          <cell r="A357" t="str">
            <v>BEA 1974B</v>
          </cell>
          <cell r="B357" t="str">
            <v>EXTRAÍDAS</v>
          </cell>
        </row>
        <row r="358">
          <cell r="A358" t="str">
            <v>BEA 1974B</v>
          </cell>
          <cell r="B358" t="str">
            <v>RECIBIDAS</v>
          </cell>
        </row>
        <row r="359">
          <cell r="A359" t="str">
            <v>BEA 1978B</v>
          </cell>
          <cell r="B359" t="str">
            <v>EXTRAÍDAS</v>
          </cell>
        </row>
        <row r="360">
          <cell r="A360" t="str">
            <v>BEA 1983B</v>
          </cell>
          <cell r="B360" t="str">
            <v>EXTRAÍDAS</v>
          </cell>
        </row>
        <row r="361">
          <cell r="A361" t="str">
            <v>BEA 2003B</v>
          </cell>
          <cell r="B361" t="str">
            <v>EXTRAÍDAS</v>
          </cell>
        </row>
        <row r="362">
          <cell r="A362" t="str">
            <v>BEA 2012B</v>
          </cell>
          <cell r="B362" t="str">
            <v>EXTRAÍDAS</v>
          </cell>
        </row>
        <row r="363">
          <cell r="A363" t="str">
            <v>BEA 2014B</v>
          </cell>
          <cell r="B363" t="str">
            <v>EXTRAÍDAS</v>
          </cell>
        </row>
        <row r="364">
          <cell r="A364" t="str">
            <v>BEA 2021B</v>
          </cell>
          <cell r="B364" t="str">
            <v>EXTRAÍDAS</v>
          </cell>
        </row>
        <row r="365">
          <cell r="A365" t="str">
            <v>BEA 2025B</v>
          </cell>
          <cell r="B365" t="str">
            <v>Extraídas</v>
          </cell>
        </row>
        <row r="366">
          <cell r="A366" t="str">
            <v>BEA 2031B</v>
          </cell>
          <cell r="B366" t="str">
            <v>EXTRAÍDAS</v>
          </cell>
        </row>
        <row r="367">
          <cell r="A367" t="str">
            <v>BEA 2039B</v>
          </cell>
          <cell r="B367" t="str">
            <v>Extraídas</v>
          </cell>
        </row>
        <row r="368">
          <cell r="A368" t="str">
            <v>BEA 2045B</v>
          </cell>
          <cell r="B368" t="str">
            <v>EXTRAÍDAS</v>
          </cell>
        </row>
        <row r="369">
          <cell r="A369" t="str">
            <v>BEA 2046B</v>
          </cell>
          <cell r="B369" t="str">
            <v>EXTRAÍDAS</v>
          </cell>
        </row>
        <row r="370">
          <cell r="A370" t="str">
            <v>BEA 2064B</v>
          </cell>
          <cell r="B370" t="str">
            <v>RECIBIDAS</v>
          </cell>
        </row>
        <row r="371">
          <cell r="A371" t="str">
            <v>BEA 2073B</v>
          </cell>
          <cell r="B371" t="str">
            <v>EXTRAÍDAS</v>
          </cell>
        </row>
        <row r="372">
          <cell r="A372" t="str">
            <v>BEA 2074B</v>
          </cell>
          <cell r="B372" t="str">
            <v>EXTRAÍDAS</v>
          </cell>
        </row>
        <row r="373">
          <cell r="A373" t="str">
            <v>BEA 2077B</v>
          </cell>
          <cell r="B373" t="str">
            <v>EXTRAÍDAS</v>
          </cell>
        </row>
        <row r="374">
          <cell r="A374" t="str">
            <v>BEA 2081B</v>
          </cell>
          <cell r="B374" t="str">
            <v>RECIBIDAS</v>
          </cell>
        </row>
        <row r="375">
          <cell r="A375" t="str">
            <v>BEA 2091B</v>
          </cell>
          <cell r="B375" t="str">
            <v>EXTRAÍDAS</v>
          </cell>
        </row>
        <row r="376">
          <cell r="A376" t="str">
            <v>BEA 2092B</v>
          </cell>
          <cell r="B376" t="str">
            <v>EXTRAÍDAS</v>
          </cell>
        </row>
        <row r="377">
          <cell r="A377" t="str">
            <v>BEA 2093B</v>
          </cell>
          <cell r="B377" t="str">
            <v>EXTRAÍDAS</v>
          </cell>
        </row>
        <row r="378">
          <cell r="A378" t="str">
            <v>BEA 2097B</v>
          </cell>
          <cell r="B378" t="str">
            <v>EXTRAÍDAS</v>
          </cell>
        </row>
        <row r="379">
          <cell r="A379" t="str">
            <v>BEA 2135B</v>
          </cell>
          <cell r="B379" t="str">
            <v>EXTRAÍDAS</v>
          </cell>
        </row>
        <row r="380">
          <cell r="A380" t="str">
            <v>BEA 2136B</v>
          </cell>
          <cell r="B380" t="str">
            <v>EXTRAÍDAS</v>
          </cell>
        </row>
        <row r="381">
          <cell r="A381" t="str">
            <v>BEA 2136Ba</v>
          </cell>
          <cell r="B381" t="str">
            <v>EXTRAÍDAS</v>
          </cell>
        </row>
        <row r="382">
          <cell r="A382" t="str">
            <v>BEA 2138B</v>
          </cell>
          <cell r="B382" t="str">
            <v>RECIBIDAS</v>
          </cell>
        </row>
        <row r="383">
          <cell r="A383" t="str">
            <v>BEA 2142B</v>
          </cell>
          <cell r="B383" t="str">
            <v>RECIBIDAS</v>
          </cell>
        </row>
        <row r="384">
          <cell r="A384" t="str">
            <v>BEA 2166B</v>
          </cell>
          <cell r="B384" t="str">
            <v>EXTRAÍDAS</v>
          </cell>
        </row>
        <row r="385">
          <cell r="A385" t="str">
            <v>BEA 2168B</v>
          </cell>
          <cell r="B385" t="str">
            <v>EXTRAÍDAS</v>
          </cell>
        </row>
        <row r="386">
          <cell r="A386" t="str">
            <v>BEA 2175B</v>
          </cell>
          <cell r="B386" t="str">
            <v>EXTRAÍDAS</v>
          </cell>
        </row>
        <row r="387">
          <cell r="A387" t="str">
            <v>BEA 2176B</v>
          </cell>
          <cell r="B387" t="str">
            <v>EXTRAÍDAS</v>
          </cell>
        </row>
        <row r="388">
          <cell r="A388" t="str">
            <v>BEA 2177B</v>
          </cell>
          <cell r="B388" t="str">
            <v>EXTRAÍDAS</v>
          </cell>
        </row>
        <row r="389">
          <cell r="A389" t="str">
            <v>BEA 2178B</v>
          </cell>
          <cell r="B389" t="str">
            <v>EXTRAÍDAS</v>
          </cell>
        </row>
        <row r="390">
          <cell r="A390" t="str">
            <v>BEA 2179B</v>
          </cell>
          <cell r="B390" t="str">
            <v>EXTRAÍDAS</v>
          </cell>
        </row>
        <row r="391">
          <cell r="A391" t="str">
            <v>BEA 2184B</v>
          </cell>
          <cell r="B391" t="str">
            <v>EXTRAÍDAS</v>
          </cell>
        </row>
        <row r="392">
          <cell r="A392" t="str">
            <v>BEA 2185B</v>
          </cell>
          <cell r="B392" t="str">
            <v>EXTRAÍDAS</v>
          </cell>
        </row>
        <row r="393">
          <cell r="A393" t="str">
            <v>BEA 2186B</v>
          </cell>
          <cell r="B393" t="str">
            <v>EXTRAÍDAS</v>
          </cell>
        </row>
        <row r="394">
          <cell r="A394" t="str">
            <v>BEA 2187B</v>
          </cell>
          <cell r="B394" t="str">
            <v>EXTRAÍDAS</v>
          </cell>
        </row>
        <row r="395">
          <cell r="A395" t="str">
            <v>BEA0037a</v>
          </cell>
          <cell r="B395" t="str">
            <v>Extraídas</v>
          </cell>
        </row>
        <row r="396">
          <cell r="A396" t="str">
            <v>BEA0079/1a</v>
          </cell>
          <cell r="B396" t="str">
            <v>Extraídas</v>
          </cell>
        </row>
        <row r="397">
          <cell r="A397" t="str">
            <v>BEA0079/1b</v>
          </cell>
          <cell r="B397" t="str">
            <v>Extraídas</v>
          </cell>
        </row>
        <row r="398">
          <cell r="A398" t="str">
            <v>BEA0079/2</v>
          </cell>
          <cell r="B398" t="str">
            <v>Extraídas</v>
          </cell>
        </row>
        <row r="399">
          <cell r="A399" t="str">
            <v>BEA0084a</v>
          </cell>
          <cell r="B399" t="str">
            <v>Extraídas</v>
          </cell>
        </row>
        <row r="400">
          <cell r="A400" t="str">
            <v>BEA0084b</v>
          </cell>
          <cell r="B400" t="str">
            <v>Extraídas</v>
          </cell>
        </row>
        <row r="401">
          <cell r="A401" t="str">
            <v>BEA0088a</v>
          </cell>
          <cell r="B401" t="str">
            <v>Extraídas</v>
          </cell>
        </row>
        <row r="402">
          <cell r="A402" t="str">
            <v>BEA0088b</v>
          </cell>
          <cell r="B402" t="str">
            <v>Extraídas</v>
          </cell>
        </row>
        <row r="403">
          <cell r="A403" t="str">
            <v>BEA0088c</v>
          </cell>
          <cell r="B403" t="str">
            <v>Extraídas</v>
          </cell>
        </row>
        <row r="404">
          <cell r="A404" t="str">
            <v>BEA0088d</v>
          </cell>
          <cell r="B404" t="str">
            <v>Extraídas</v>
          </cell>
        </row>
        <row r="405">
          <cell r="A405" t="str">
            <v>BEA0089</v>
          </cell>
          <cell r="B405" t="str">
            <v>Extraídas</v>
          </cell>
        </row>
        <row r="406">
          <cell r="A406" t="str">
            <v>BEA0094</v>
          </cell>
          <cell r="B406" t="str">
            <v>Extraídas</v>
          </cell>
        </row>
        <row r="407">
          <cell r="A407" t="str">
            <v>BEA0095a</v>
          </cell>
          <cell r="B407" t="str">
            <v>Extraídas</v>
          </cell>
        </row>
        <row r="408">
          <cell r="A408" t="str">
            <v>BEA0095b</v>
          </cell>
          <cell r="B408" t="str">
            <v>Extraídas</v>
          </cell>
        </row>
        <row r="409">
          <cell r="A409" t="str">
            <v>BEA0148a</v>
          </cell>
          <cell r="B409" t="str">
            <v>Extraídas</v>
          </cell>
        </row>
        <row r="410">
          <cell r="A410" t="str">
            <v>BEA0148b</v>
          </cell>
          <cell r="B410" t="str">
            <v>Extraídas</v>
          </cell>
        </row>
        <row r="411">
          <cell r="A411" t="str">
            <v>BEA0149</v>
          </cell>
          <cell r="B411" t="str">
            <v>Extraídas</v>
          </cell>
        </row>
        <row r="412">
          <cell r="A412" t="str">
            <v>BEA0150</v>
          </cell>
          <cell r="B412" t="str">
            <v>Extraídas</v>
          </cell>
        </row>
        <row r="413">
          <cell r="A413" t="str">
            <v>BEA0151</v>
          </cell>
          <cell r="B413" t="str">
            <v>Extraídas</v>
          </cell>
        </row>
        <row r="414">
          <cell r="A414" t="str">
            <v>BEA0173</v>
          </cell>
          <cell r="B414" t="str">
            <v>Extraídas</v>
          </cell>
        </row>
        <row r="415">
          <cell r="A415" t="str">
            <v>BEA0176/1</v>
          </cell>
          <cell r="B415" t="str">
            <v>Extraídas</v>
          </cell>
        </row>
        <row r="416">
          <cell r="A416" t="str">
            <v>BEA0176/2</v>
          </cell>
          <cell r="B416" t="str">
            <v>Extraídas</v>
          </cell>
        </row>
        <row r="417">
          <cell r="A417" t="str">
            <v>BEA0176a</v>
          </cell>
          <cell r="B417" t="str">
            <v>Extraídas</v>
          </cell>
        </row>
        <row r="418">
          <cell r="A418" t="str">
            <v>BEA0197B</v>
          </cell>
          <cell r="B418" t="str">
            <v>Extraídas</v>
          </cell>
        </row>
        <row r="419">
          <cell r="A419" t="str">
            <v>BEA0247</v>
          </cell>
          <cell r="B419" t="str">
            <v>Extraídas</v>
          </cell>
        </row>
        <row r="420">
          <cell r="A420" t="str">
            <v>BEA0253</v>
          </cell>
          <cell r="B420" t="str">
            <v>Extraídas</v>
          </cell>
        </row>
        <row r="421">
          <cell r="A421" t="str">
            <v>BEA0278</v>
          </cell>
          <cell r="B421" t="str">
            <v>Extraídas</v>
          </cell>
        </row>
        <row r="422">
          <cell r="A422" t="str">
            <v>BEA0283</v>
          </cell>
          <cell r="B422" t="str">
            <v>Extraídas</v>
          </cell>
        </row>
        <row r="423">
          <cell r="A423" t="str">
            <v>BEA0287</v>
          </cell>
          <cell r="B423" t="str">
            <v>Extraídas</v>
          </cell>
        </row>
        <row r="424">
          <cell r="A424" t="str">
            <v>BEA0297</v>
          </cell>
          <cell r="B424" t="str">
            <v>Extraídas</v>
          </cell>
        </row>
        <row r="425">
          <cell r="A425" t="str">
            <v>BEA0300LIOF</v>
          </cell>
          <cell r="B425" t="str">
            <v>Extraídas</v>
          </cell>
        </row>
        <row r="426">
          <cell r="A426" t="str">
            <v>BEA0301B(1/4)</v>
          </cell>
          <cell r="B426" t="str">
            <v>Extraídas</v>
          </cell>
        </row>
        <row r="427">
          <cell r="A427" t="str">
            <v>BEA0325</v>
          </cell>
          <cell r="B427" t="str">
            <v>Extraídas</v>
          </cell>
        </row>
        <row r="428">
          <cell r="A428" t="str">
            <v>BEA0338</v>
          </cell>
          <cell r="B428" t="str">
            <v>Extraídas</v>
          </cell>
        </row>
        <row r="429">
          <cell r="A429" t="str">
            <v>BEA0343B</v>
          </cell>
          <cell r="B429" t="str">
            <v>Recibidas</v>
          </cell>
        </row>
        <row r="430">
          <cell r="A430" t="str">
            <v>BEA0349B</v>
          </cell>
          <cell r="B430" t="str">
            <v>Recibidas</v>
          </cell>
        </row>
        <row r="431">
          <cell r="A431" t="str">
            <v>BEA0355</v>
          </cell>
          <cell r="B431" t="str">
            <v>Extraídas</v>
          </cell>
        </row>
        <row r="432">
          <cell r="A432" t="str">
            <v>BEA0358</v>
          </cell>
          <cell r="B432" t="str">
            <v>Recibidas</v>
          </cell>
        </row>
        <row r="433">
          <cell r="A433" t="str">
            <v>BEA0360B</v>
          </cell>
          <cell r="B433" t="str">
            <v>Recibidas</v>
          </cell>
        </row>
        <row r="434">
          <cell r="A434" t="str">
            <v>BEA0363</v>
          </cell>
          <cell r="B434" t="str">
            <v>Extraídas</v>
          </cell>
        </row>
        <row r="435">
          <cell r="A435" t="str">
            <v>BEA0364</v>
          </cell>
          <cell r="B435" t="str">
            <v>Extraídas</v>
          </cell>
        </row>
        <row r="436">
          <cell r="A436" t="str">
            <v>BEA0365</v>
          </cell>
          <cell r="B436" t="str">
            <v>Extraídas</v>
          </cell>
        </row>
        <row r="437">
          <cell r="A437" t="str">
            <v>BEA0365</v>
          </cell>
          <cell r="B437" t="str">
            <v>Extraídas</v>
          </cell>
        </row>
        <row r="438">
          <cell r="A438" t="str">
            <v>BEA0379</v>
          </cell>
          <cell r="B438" t="str">
            <v>Extraídas</v>
          </cell>
        </row>
        <row r="439">
          <cell r="A439" t="str">
            <v>BEA0385</v>
          </cell>
          <cell r="B439" t="str">
            <v>Extraídas</v>
          </cell>
        </row>
        <row r="440">
          <cell r="A440" t="str">
            <v>BEA0409</v>
          </cell>
          <cell r="B440" t="str">
            <v>Recibidas</v>
          </cell>
        </row>
        <row r="441">
          <cell r="A441" t="str">
            <v>BEA0411</v>
          </cell>
          <cell r="B441" t="str">
            <v>Extraídas</v>
          </cell>
        </row>
        <row r="442">
          <cell r="A442" t="str">
            <v>BEA0431</v>
          </cell>
          <cell r="B442" t="str">
            <v>Extraídas</v>
          </cell>
        </row>
        <row r="443">
          <cell r="A443" t="str">
            <v>BEA0441B</v>
          </cell>
          <cell r="B443" t="str">
            <v>Recibidas</v>
          </cell>
        </row>
        <row r="444">
          <cell r="A444" t="str">
            <v>BEA0443</v>
          </cell>
          <cell r="B444" t="str">
            <v>Extraídas</v>
          </cell>
        </row>
        <row r="445">
          <cell r="A445" t="str">
            <v>BEA0456B_EUKA</v>
          </cell>
          <cell r="B445" t="str">
            <v>Extraídas</v>
          </cell>
        </row>
        <row r="446">
          <cell r="A446" t="str">
            <v>BEA0473_f</v>
          </cell>
          <cell r="B446" t="str">
            <v>Extraídas</v>
          </cell>
        </row>
        <row r="447">
          <cell r="A447" t="str">
            <v>BEA0473a</v>
          </cell>
          <cell r="B447" t="str">
            <v>Extraídas</v>
          </cell>
        </row>
        <row r="448">
          <cell r="A448" t="str">
            <v>BEA0473b</v>
          </cell>
          <cell r="B448" t="str">
            <v>Extraídas</v>
          </cell>
        </row>
        <row r="449">
          <cell r="A449" t="str">
            <v>BEA0473c</v>
          </cell>
          <cell r="B449" t="str">
            <v>Extraídas</v>
          </cell>
        </row>
        <row r="450">
          <cell r="A450" t="str">
            <v>BEA0473d</v>
          </cell>
          <cell r="B450" t="str">
            <v>Extraídas</v>
          </cell>
        </row>
        <row r="451">
          <cell r="A451" t="str">
            <v>BEA0473e</v>
          </cell>
          <cell r="B451" t="str">
            <v>Extraídas</v>
          </cell>
        </row>
        <row r="452">
          <cell r="A452" t="str">
            <v>BEA0478</v>
          </cell>
          <cell r="B452" t="str">
            <v>Extraídas</v>
          </cell>
        </row>
        <row r="453">
          <cell r="A453" t="str">
            <v>BEA0484</v>
          </cell>
          <cell r="B453" t="str">
            <v>Extraídas</v>
          </cell>
        </row>
        <row r="454">
          <cell r="A454" t="str">
            <v>BEA0532B</v>
          </cell>
          <cell r="B454" t="str">
            <v>Extraídas</v>
          </cell>
        </row>
        <row r="455">
          <cell r="A455" t="str">
            <v>BEA0536</v>
          </cell>
          <cell r="B455" t="str">
            <v>Extraídas</v>
          </cell>
        </row>
        <row r="456">
          <cell r="A456" t="str">
            <v>BEA0562</v>
          </cell>
          <cell r="B456" t="str">
            <v>Extraídas</v>
          </cell>
        </row>
        <row r="457">
          <cell r="A457" t="str">
            <v>BEA0571</v>
          </cell>
          <cell r="B457" t="str">
            <v>Extraídas</v>
          </cell>
        </row>
        <row r="458">
          <cell r="A458" t="str">
            <v>BEA0586</v>
          </cell>
          <cell r="B458" t="str">
            <v>Extraídas</v>
          </cell>
        </row>
        <row r="459">
          <cell r="A459" t="str">
            <v>BEA0589</v>
          </cell>
          <cell r="B459" t="str">
            <v>Extraídas</v>
          </cell>
        </row>
        <row r="460">
          <cell r="A460" t="str">
            <v>BEA0615</v>
          </cell>
          <cell r="B460" t="str">
            <v>Extraídas</v>
          </cell>
        </row>
        <row r="461">
          <cell r="A461" t="str">
            <v>BEA0647B</v>
          </cell>
          <cell r="B461" t="str">
            <v>Extraídas</v>
          </cell>
        </row>
        <row r="462">
          <cell r="A462" t="str">
            <v>BEA0659</v>
          </cell>
          <cell r="B462" t="str">
            <v>Extraídas</v>
          </cell>
        </row>
        <row r="463">
          <cell r="A463" t="str">
            <v>BEA0660B</v>
          </cell>
          <cell r="B463" t="str">
            <v>Extraídas</v>
          </cell>
        </row>
        <row r="464">
          <cell r="A464" t="str">
            <v>BEA0668B</v>
          </cell>
          <cell r="B464" t="str">
            <v>Extraídas</v>
          </cell>
        </row>
        <row r="465">
          <cell r="A465" t="str">
            <v>BEA0669</v>
          </cell>
          <cell r="B465" t="str">
            <v>Extraídas</v>
          </cell>
        </row>
        <row r="466">
          <cell r="A466" t="str">
            <v>BEA0742B</v>
          </cell>
          <cell r="B466" t="str">
            <v>Extraídas</v>
          </cell>
        </row>
        <row r="467">
          <cell r="A467" t="str">
            <v>BEA0747B</v>
          </cell>
          <cell r="B467" t="str">
            <v>Extraídas</v>
          </cell>
        </row>
        <row r="468">
          <cell r="A468" t="str">
            <v>BEA0749</v>
          </cell>
          <cell r="B468" t="str">
            <v>Extraídas</v>
          </cell>
        </row>
        <row r="469">
          <cell r="A469" t="str">
            <v>BEA0773</v>
          </cell>
          <cell r="B469" t="str">
            <v>Extraídas</v>
          </cell>
        </row>
        <row r="470">
          <cell r="A470" t="str">
            <v>BEA0850B_ITS</v>
          </cell>
          <cell r="B470" t="str">
            <v>Extraídas</v>
          </cell>
        </row>
        <row r="471">
          <cell r="A471" t="str">
            <v>BEA0852a</v>
          </cell>
          <cell r="B471" t="str">
            <v>Extraídas</v>
          </cell>
        </row>
        <row r="472">
          <cell r="A472" t="str">
            <v>BEA0852b</v>
          </cell>
          <cell r="B472" t="str">
            <v>Extraídas</v>
          </cell>
        </row>
        <row r="473">
          <cell r="A473" t="str">
            <v>BEA0906a</v>
          </cell>
          <cell r="B473" t="str">
            <v>Extraídas</v>
          </cell>
        </row>
        <row r="474">
          <cell r="A474" t="str">
            <v>BEA0906b</v>
          </cell>
          <cell r="B474" t="str">
            <v>Extraídas</v>
          </cell>
        </row>
        <row r="475">
          <cell r="A475" t="str">
            <v>BEA0918</v>
          </cell>
          <cell r="B475" t="str">
            <v>Extraídas</v>
          </cell>
        </row>
        <row r="476">
          <cell r="A476" t="str">
            <v>BEA0920B</v>
          </cell>
          <cell r="B476" t="str">
            <v>Extraídas</v>
          </cell>
        </row>
        <row r="477">
          <cell r="A477" t="str">
            <v>BEA0928</v>
          </cell>
          <cell r="B477" t="str">
            <v>Extraídas</v>
          </cell>
        </row>
        <row r="478">
          <cell r="A478" t="str">
            <v>BEA0952</v>
          </cell>
          <cell r="B478" t="str">
            <v>Extraídas</v>
          </cell>
        </row>
        <row r="479">
          <cell r="A479" t="str">
            <v>BEA0965</v>
          </cell>
          <cell r="B479" t="str">
            <v>Extraídas</v>
          </cell>
        </row>
        <row r="480">
          <cell r="A480" t="str">
            <v>BEA0980B(3/4)</v>
          </cell>
          <cell r="B480" t="str">
            <v>Extraídas</v>
          </cell>
        </row>
        <row r="481">
          <cell r="A481" t="str">
            <v>BEA0984</v>
          </cell>
          <cell r="B481" t="str">
            <v>Extraídas</v>
          </cell>
        </row>
        <row r="482">
          <cell r="A482" t="str">
            <v>BEA0991B</v>
          </cell>
          <cell r="B482" t="str">
            <v>Extraídas</v>
          </cell>
        </row>
        <row r="483">
          <cell r="A483" t="str">
            <v>BEA0994B</v>
          </cell>
          <cell r="B483" t="str">
            <v>Extraídas</v>
          </cell>
        </row>
        <row r="484">
          <cell r="A484" t="str">
            <v>BEA1008</v>
          </cell>
          <cell r="B484" t="str">
            <v>Extraídas</v>
          </cell>
        </row>
        <row r="485">
          <cell r="A485" t="str">
            <v>BEA1021</v>
          </cell>
          <cell r="B485" t="str">
            <v>Extraídas</v>
          </cell>
        </row>
        <row r="486">
          <cell r="A486" t="str">
            <v>BEA1025a</v>
          </cell>
          <cell r="B486" t="str">
            <v>Extraídas</v>
          </cell>
        </row>
        <row r="487">
          <cell r="A487" t="str">
            <v>BEA1025b</v>
          </cell>
          <cell r="B487" t="str">
            <v>Extraídas</v>
          </cell>
        </row>
        <row r="488">
          <cell r="A488" t="str">
            <v>BEA1031</v>
          </cell>
          <cell r="B488" t="str">
            <v>Extraídas</v>
          </cell>
        </row>
        <row r="489">
          <cell r="A489" t="str">
            <v>BEA1031B(2/4)</v>
          </cell>
          <cell r="B489" t="str">
            <v>Extraídas</v>
          </cell>
        </row>
        <row r="490">
          <cell r="A490" t="str">
            <v>BEA1041</v>
          </cell>
          <cell r="B490" t="str">
            <v>Extraídas</v>
          </cell>
        </row>
        <row r="491">
          <cell r="A491" t="str">
            <v>BEA1049_c</v>
          </cell>
          <cell r="B491" t="str">
            <v>Extraídas</v>
          </cell>
        </row>
        <row r="492">
          <cell r="A492" t="str">
            <v>BEA1049a</v>
          </cell>
          <cell r="B492" t="str">
            <v>Extraídas</v>
          </cell>
        </row>
        <row r="493">
          <cell r="A493" t="str">
            <v>BEA1049b</v>
          </cell>
          <cell r="B493" t="str">
            <v>Extraídas</v>
          </cell>
        </row>
        <row r="494">
          <cell r="A494" t="str">
            <v>BEA1054</v>
          </cell>
          <cell r="B494" t="str">
            <v>Extraídas</v>
          </cell>
        </row>
        <row r="495">
          <cell r="A495" t="str">
            <v>BEA1059</v>
          </cell>
          <cell r="B495" t="str">
            <v>Extraídas</v>
          </cell>
        </row>
        <row r="496">
          <cell r="A496" t="str">
            <v>BEA1067_27F</v>
          </cell>
          <cell r="B496" t="str">
            <v>Extraídas</v>
          </cell>
        </row>
        <row r="497">
          <cell r="A497" t="str">
            <v>BEA1069</v>
          </cell>
          <cell r="B497" t="str">
            <v>Extraídas</v>
          </cell>
        </row>
        <row r="498">
          <cell r="A498" t="str">
            <v>BEA1069_781F</v>
          </cell>
          <cell r="B498" t="str">
            <v>Extraídas</v>
          </cell>
        </row>
        <row r="499">
          <cell r="A499" t="str">
            <v>BEA1069_ITS</v>
          </cell>
          <cell r="B499" t="str">
            <v>Extraídas</v>
          </cell>
        </row>
        <row r="500">
          <cell r="A500" t="str">
            <v>BEA1077a</v>
          </cell>
          <cell r="B500" t="str">
            <v>Extraídas</v>
          </cell>
        </row>
        <row r="501">
          <cell r="A501" t="str">
            <v>BEA1077b</v>
          </cell>
          <cell r="B501" t="str">
            <v>Extraídas</v>
          </cell>
        </row>
        <row r="502">
          <cell r="A502" t="str">
            <v>BEA1081</v>
          </cell>
          <cell r="B502" t="str">
            <v>Extraídas</v>
          </cell>
        </row>
        <row r="503">
          <cell r="A503" t="str">
            <v>BEA1119B</v>
          </cell>
          <cell r="B503" t="str">
            <v>Extraídas</v>
          </cell>
        </row>
        <row r="504">
          <cell r="A504" t="str">
            <v>BEA1131B</v>
          </cell>
          <cell r="B504" t="str">
            <v>Extraídas</v>
          </cell>
        </row>
        <row r="505">
          <cell r="A505" t="str">
            <v>BEA1135</v>
          </cell>
          <cell r="B505" t="str">
            <v>Extraídas</v>
          </cell>
        </row>
        <row r="506">
          <cell r="A506" t="str">
            <v>BEA1138</v>
          </cell>
          <cell r="B506" t="str">
            <v>Extraídas</v>
          </cell>
        </row>
        <row r="507">
          <cell r="A507" t="str">
            <v>BEA1140</v>
          </cell>
          <cell r="B507" t="str">
            <v>Extraídas</v>
          </cell>
        </row>
        <row r="508">
          <cell r="A508" t="str">
            <v>BEA1140</v>
          </cell>
          <cell r="B508" t="str">
            <v>Extraídas</v>
          </cell>
        </row>
        <row r="509">
          <cell r="A509" t="str">
            <v>BEA1153B</v>
          </cell>
          <cell r="B509" t="str">
            <v>Extraídas</v>
          </cell>
        </row>
        <row r="510">
          <cell r="A510" t="str">
            <v>BEA1153B2</v>
          </cell>
          <cell r="B510" t="str">
            <v>Extraídas</v>
          </cell>
        </row>
        <row r="511">
          <cell r="A511" t="str">
            <v>BEA1153B3</v>
          </cell>
          <cell r="B511" t="str">
            <v>Extraídas</v>
          </cell>
        </row>
        <row r="512">
          <cell r="A512" t="str">
            <v>BEA1153B4</v>
          </cell>
          <cell r="B512" t="str">
            <v>Extraídas</v>
          </cell>
        </row>
        <row r="513">
          <cell r="A513" t="str">
            <v>BEA1154B</v>
          </cell>
          <cell r="B513" t="str">
            <v>Extraídas</v>
          </cell>
        </row>
        <row r="514">
          <cell r="A514" t="str">
            <v>BEA1170B</v>
          </cell>
          <cell r="B514" t="str">
            <v>Extraídas</v>
          </cell>
        </row>
        <row r="515">
          <cell r="A515" t="str">
            <v>BEA1175</v>
          </cell>
          <cell r="B515" t="str">
            <v>Extraídas</v>
          </cell>
        </row>
        <row r="516">
          <cell r="A516" t="str">
            <v>BEA1182B</v>
          </cell>
          <cell r="B516" t="str">
            <v>Extraídas</v>
          </cell>
        </row>
        <row r="517">
          <cell r="A517" t="str">
            <v>BEA1189_27F</v>
          </cell>
          <cell r="B517" t="str">
            <v>Extraídas</v>
          </cell>
        </row>
        <row r="518">
          <cell r="A518" t="str">
            <v>BEA1192</v>
          </cell>
          <cell r="B518" t="str">
            <v>Extraídas</v>
          </cell>
        </row>
        <row r="519">
          <cell r="A519" t="str">
            <v>BEA1198</v>
          </cell>
          <cell r="B519" t="str">
            <v>Extraídas</v>
          </cell>
        </row>
        <row r="520">
          <cell r="A520" t="str">
            <v>BEA1201_781F</v>
          </cell>
          <cell r="B520" t="str">
            <v>Extraídas</v>
          </cell>
        </row>
        <row r="521">
          <cell r="A521" t="str">
            <v>BEA1210</v>
          </cell>
          <cell r="B521" t="str">
            <v>Extraídas</v>
          </cell>
        </row>
        <row r="522">
          <cell r="A522" t="str">
            <v>BEA1218</v>
          </cell>
          <cell r="B522" t="str">
            <v>Extraídas</v>
          </cell>
        </row>
        <row r="523">
          <cell r="A523" t="str">
            <v>BEA1218</v>
          </cell>
          <cell r="B523" t="str">
            <v>Extraídas</v>
          </cell>
        </row>
        <row r="524">
          <cell r="A524" t="str">
            <v>BEA1224_27F</v>
          </cell>
          <cell r="B524" t="str">
            <v>Extraídas</v>
          </cell>
        </row>
        <row r="525">
          <cell r="A525" t="str">
            <v>BEA122927F</v>
          </cell>
          <cell r="B525" t="str">
            <v>Extraídas</v>
          </cell>
        </row>
        <row r="526">
          <cell r="A526" t="str">
            <v>BEA1230</v>
          </cell>
          <cell r="B526" t="str">
            <v>Extraídas</v>
          </cell>
        </row>
        <row r="527">
          <cell r="A527" t="str">
            <v>BEA1233</v>
          </cell>
          <cell r="B527" t="str">
            <v>Extraídas</v>
          </cell>
        </row>
        <row r="528">
          <cell r="A528" t="str">
            <v>BEA1237</v>
          </cell>
          <cell r="B528" t="str">
            <v>Extraídas</v>
          </cell>
        </row>
        <row r="529">
          <cell r="A529" t="str">
            <v>BEA1237</v>
          </cell>
          <cell r="B529" t="str">
            <v>Extraídas</v>
          </cell>
        </row>
        <row r="530">
          <cell r="A530" t="str">
            <v>BEA1251B</v>
          </cell>
          <cell r="B530" t="str">
            <v>Extraídas</v>
          </cell>
        </row>
        <row r="531">
          <cell r="A531" t="str">
            <v>BEA1253</v>
          </cell>
          <cell r="B531" t="str">
            <v>Extraídas</v>
          </cell>
        </row>
        <row r="532">
          <cell r="A532" t="str">
            <v>BEA1253_27F</v>
          </cell>
          <cell r="B532" t="str">
            <v>Extraídas</v>
          </cell>
        </row>
        <row r="533">
          <cell r="A533" t="str">
            <v>BEA1256</v>
          </cell>
          <cell r="B533" t="str">
            <v>Extraídas</v>
          </cell>
        </row>
        <row r="534">
          <cell r="A534" t="str">
            <v>BEA1256_27F</v>
          </cell>
          <cell r="B534" t="str">
            <v>Extraídas</v>
          </cell>
        </row>
        <row r="535">
          <cell r="A535" t="str">
            <v>BEA1258</v>
          </cell>
          <cell r="B535" t="str">
            <v>Extraídas</v>
          </cell>
        </row>
        <row r="536">
          <cell r="A536" t="str">
            <v>BEA1259B</v>
          </cell>
          <cell r="B536" t="str">
            <v>Extraídas</v>
          </cell>
        </row>
        <row r="537">
          <cell r="A537" t="str">
            <v>BEA1263B</v>
          </cell>
          <cell r="B537" t="str">
            <v>Extraídas</v>
          </cell>
        </row>
        <row r="538">
          <cell r="A538" t="str">
            <v>BEA1264B</v>
          </cell>
          <cell r="B538" t="str">
            <v>Extraídas</v>
          </cell>
        </row>
        <row r="539">
          <cell r="A539" t="str">
            <v>BEA1265B</v>
          </cell>
          <cell r="B539" t="str">
            <v>Extraídas</v>
          </cell>
        </row>
        <row r="540">
          <cell r="A540" t="str">
            <v>BEA1266B</v>
          </cell>
          <cell r="B540" t="str">
            <v>Extraídas</v>
          </cell>
        </row>
        <row r="541">
          <cell r="A541" t="str">
            <v>BEA1267_27F</v>
          </cell>
          <cell r="B541" t="str">
            <v>Extraídas</v>
          </cell>
        </row>
        <row r="542">
          <cell r="A542" t="str">
            <v>BEA1275_27F</v>
          </cell>
          <cell r="B542" t="str">
            <v>Extraídas</v>
          </cell>
        </row>
        <row r="543">
          <cell r="A543" t="str">
            <v>BEA1276</v>
          </cell>
          <cell r="B543" t="str">
            <v>Extraídas</v>
          </cell>
        </row>
        <row r="544">
          <cell r="A544" t="str">
            <v>BEA1277_27F</v>
          </cell>
          <cell r="B544" t="str">
            <v>Extraídas</v>
          </cell>
        </row>
        <row r="545">
          <cell r="A545" t="str">
            <v>BEA1278</v>
          </cell>
          <cell r="B545" t="str">
            <v>Extraídas</v>
          </cell>
        </row>
        <row r="546">
          <cell r="A546" t="str">
            <v>BEA1279_27F</v>
          </cell>
          <cell r="B546" t="str">
            <v>Extraídas</v>
          </cell>
        </row>
        <row r="547">
          <cell r="A547" t="str">
            <v>BEA1279B</v>
          </cell>
          <cell r="B547" t="str">
            <v>Extraídas</v>
          </cell>
        </row>
        <row r="548">
          <cell r="A548" t="str">
            <v>BEA1280</v>
          </cell>
          <cell r="B548" t="str">
            <v>Extraídas</v>
          </cell>
        </row>
        <row r="549">
          <cell r="A549" t="str">
            <v>BEA1280</v>
          </cell>
          <cell r="B549" t="str">
            <v>Extraídas</v>
          </cell>
        </row>
        <row r="550">
          <cell r="A550" t="str">
            <v>BEA1280_27F</v>
          </cell>
          <cell r="B550" t="str">
            <v>Extraídas</v>
          </cell>
        </row>
        <row r="551">
          <cell r="A551" t="str">
            <v>BEA1292_27F</v>
          </cell>
          <cell r="B551" t="str">
            <v>Extraídas</v>
          </cell>
        </row>
        <row r="552">
          <cell r="A552" t="str">
            <v>BEA1303a</v>
          </cell>
          <cell r="B552" t="str">
            <v>Extraídas</v>
          </cell>
        </row>
        <row r="553">
          <cell r="A553" t="str">
            <v>BEA1303b</v>
          </cell>
          <cell r="B553" t="str">
            <v>Extraídas</v>
          </cell>
        </row>
        <row r="554">
          <cell r="A554" t="str">
            <v>BEA1303c</v>
          </cell>
          <cell r="B554" t="str">
            <v>Extraídas</v>
          </cell>
        </row>
        <row r="555">
          <cell r="A555" t="str">
            <v>BEA1304</v>
          </cell>
          <cell r="B555" t="str">
            <v>Extraídas</v>
          </cell>
        </row>
        <row r="556">
          <cell r="A556" t="str">
            <v>BEA1305B</v>
          </cell>
          <cell r="B556" t="str">
            <v>Extraídas</v>
          </cell>
        </row>
        <row r="557">
          <cell r="A557" t="str">
            <v>BEA1312</v>
          </cell>
          <cell r="B557" t="str">
            <v>Extraídas</v>
          </cell>
        </row>
        <row r="558">
          <cell r="A558" t="str">
            <v>BEA1319B</v>
          </cell>
          <cell r="B558" t="str">
            <v>Extraídas</v>
          </cell>
        </row>
        <row r="559">
          <cell r="A559" t="str">
            <v>BEA1322</v>
          </cell>
          <cell r="B559" t="str">
            <v>Extraídas</v>
          </cell>
        </row>
        <row r="560">
          <cell r="A560" t="str">
            <v>BEA1322B</v>
          </cell>
          <cell r="B560" t="str">
            <v>Extraídas</v>
          </cell>
        </row>
        <row r="561">
          <cell r="A561" t="str">
            <v>BEA1323B</v>
          </cell>
          <cell r="B561" t="str">
            <v>Extraídas</v>
          </cell>
        </row>
        <row r="562">
          <cell r="A562" t="str">
            <v>BEA1325B</v>
          </cell>
          <cell r="B562" t="str">
            <v>Extraídas</v>
          </cell>
        </row>
        <row r="563">
          <cell r="A563" t="str">
            <v>BEA1326B</v>
          </cell>
          <cell r="B563" t="str">
            <v>Extraídas</v>
          </cell>
        </row>
        <row r="564">
          <cell r="A564" t="str">
            <v>BEA1327B</v>
          </cell>
          <cell r="B564" t="str">
            <v>Extraídas</v>
          </cell>
        </row>
        <row r="565">
          <cell r="A565" t="str">
            <v>BEA1329a</v>
          </cell>
          <cell r="B565" t="str">
            <v>Extraídas</v>
          </cell>
        </row>
        <row r="566">
          <cell r="A566" t="str">
            <v>BEA1329b</v>
          </cell>
          <cell r="B566" t="str">
            <v>Extraídas</v>
          </cell>
        </row>
        <row r="567">
          <cell r="A567" t="str">
            <v>BEA1329c</v>
          </cell>
          <cell r="B567" t="str">
            <v>Extraídas</v>
          </cell>
        </row>
        <row r="568">
          <cell r="A568" t="str">
            <v>BEA1329_781F</v>
          </cell>
          <cell r="B568" t="str">
            <v>Extraídas</v>
          </cell>
        </row>
        <row r="569">
          <cell r="A569" t="str">
            <v>BEA1329B</v>
          </cell>
          <cell r="B569" t="str">
            <v>Extraídas</v>
          </cell>
        </row>
        <row r="570">
          <cell r="A570" t="str">
            <v>BEA1335_781F</v>
          </cell>
          <cell r="B570" t="str">
            <v>Extraídas</v>
          </cell>
        </row>
        <row r="571">
          <cell r="A571" t="str">
            <v>BEA1336B</v>
          </cell>
          <cell r="B571" t="str">
            <v>Extraídas</v>
          </cell>
        </row>
        <row r="572">
          <cell r="A572" t="str">
            <v>BEA1340B</v>
          </cell>
          <cell r="B572" t="str">
            <v>Extraídas</v>
          </cell>
        </row>
        <row r="573">
          <cell r="A573" t="str">
            <v>BEA1341B</v>
          </cell>
          <cell r="B573" t="str">
            <v>Extraídas</v>
          </cell>
        </row>
        <row r="574">
          <cell r="A574" t="str">
            <v>BEA1350B</v>
          </cell>
          <cell r="B574" t="str">
            <v>Extraídas</v>
          </cell>
        </row>
        <row r="575">
          <cell r="A575" t="str">
            <v>BEA1350B</v>
          </cell>
          <cell r="B575" t="str">
            <v>Extraídas</v>
          </cell>
        </row>
        <row r="576">
          <cell r="A576" t="str">
            <v>BEA1351B</v>
          </cell>
          <cell r="B576" t="str">
            <v>Extraídas</v>
          </cell>
        </row>
        <row r="577">
          <cell r="A577" t="str">
            <v>BEA1358</v>
          </cell>
          <cell r="B577" t="str">
            <v>Extraídas</v>
          </cell>
        </row>
        <row r="578">
          <cell r="A578" t="str">
            <v>BEA1359a</v>
          </cell>
          <cell r="B578" t="str">
            <v>Extraídas</v>
          </cell>
        </row>
        <row r="579">
          <cell r="A579" t="str">
            <v>BEA1359b</v>
          </cell>
          <cell r="B579" t="str">
            <v>Extraídas</v>
          </cell>
        </row>
        <row r="580">
          <cell r="A580" t="str">
            <v>BEA1381</v>
          </cell>
          <cell r="B580" t="str">
            <v>Extraídas</v>
          </cell>
        </row>
        <row r="581">
          <cell r="A581" t="str">
            <v>BEA1381B</v>
          </cell>
          <cell r="B581" t="str">
            <v>Extraídas</v>
          </cell>
        </row>
        <row r="582">
          <cell r="A582" t="str">
            <v>BEA1382B</v>
          </cell>
          <cell r="B582" t="str">
            <v>Extraídas</v>
          </cell>
        </row>
        <row r="583">
          <cell r="A583" t="str">
            <v>BEA1382B</v>
          </cell>
          <cell r="B583" t="str">
            <v>Extraídas</v>
          </cell>
        </row>
        <row r="584">
          <cell r="A584" t="str">
            <v>BEA1383</v>
          </cell>
          <cell r="B584" t="str">
            <v>Extraídas</v>
          </cell>
        </row>
        <row r="585">
          <cell r="A585" t="str">
            <v>BEA1383B</v>
          </cell>
          <cell r="B585" t="str">
            <v>Extraídas</v>
          </cell>
        </row>
        <row r="586">
          <cell r="A586" t="str">
            <v>BEA1386a</v>
          </cell>
          <cell r="B586" t="str">
            <v>Extraídas</v>
          </cell>
        </row>
        <row r="587">
          <cell r="A587" t="str">
            <v>BEA1386B</v>
          </cell>
          <cell r="B587" t="str">
            <v>Extraídas</v>
          </cell>
        </row>
        <row r="588">
          <cell r="A588" t="str">
            <v>BEA1396B</v>
          </cell>
          <cell r="B588" t="str">
            <v>Extraídas</v>
          </cell>
        </row>
        <row r="589">
          <cell r="A589" t="str">
            <v>BEA1403B</v>
          </cell>
          <cell r="B589" t="str">
            <v>Extraídas</v>
          </cell>
        </row>
        <row r="590">
          <cell r="A590" t="str">
            <v>BEA1404</v>
          </cell>
          <cell r="B590" t="str">
            <v>Extraídas</v>
          </cell>
        </row>
        <row r="591">
          <cell r="A591" t="str">
            <v>BEA1411B</v>
          </cell>
          <cell r="B591" t="str">
            <v>Extraídas</v>
          </cell>
        </row>
        <row r="592">
          <cell r="A592" t="str">
            <v>BEA1413B</v>
          </cell>
          <cell r="B592" t="str">
            <v>Extraídas</v>
          </cell>
        </row>
        <row r="593">
          <cell r="A593" t="str">
            <v>BEA1414B</v>
          </cell>
          <cell r="B593" t="str">
            <v>Extraídas</v>
          </cell>
        </row>
        <row r="594">
          <cell r="A594" t="str">
            <v>BEA1427_27F</v>
          </cell>
          <cell r="B594" t="str">
            <v>Extraídas</v>
          </cell>
        </row>
        <row r="595">
          <cell r="A595" t="str">
            <v>BEA1430</v>
          </cell>
          <cell r="B595" t="str">
            <v>Extraídas</v>
          </cell>
        </row>
        <row r="596">
          <cell r="A596" t="str">
            <v>BEA1430</v>
          </cell>
          <cell r="B596" t="str">
            <v>Extraídas</v>
          </cell>
        </row>
        <row r="597">
          <cell r="A597" t="str">
            <v>BEA1456</v>
          </cell>
          <cell r="B597" t="str">
            <v>Extraídas</v>
          </cell>
        </row>
        <row r="598">
          <cell r="A598" t="str">
            <v>BEA1456</v>
          </cell>
          <cell r="B598" t="str">
            <v>Extraídas</v>
          </cell>
        </row>
        <row r="599">
          <cell r="A599" t="str">
            <v>BEA1456_781F</v>
          </cell>
          <cell r="B599" t="str">
            <v>Extraídas</v>
          </cell>
        </row>
        <row r="600">
          <cell r="A600" t="str">
            <v>BEA1456_its</v>
          </cell>
          <cell r="B600" t="str">
            <v>Extraídas</v>
          </cell>
        </row>
        <row r="601">
          <cell r="A601" t="str">
            <v>BEA1461</v>
          </cell>
          <cell r="B601" t="str">
            <v>Extraídas</v>
          </cell>
        </row>
        <row r="602">
          <cell r="A602" t="str">
            <v>BEA1461_27F</v>
          </cell>
          <cell r="B602" t="str">
            <v>Extraídas</v>
          </cell>
        </row>
        <row r="603">
          <cell r="A603" t="str">
            <v>BEA1469</v>
          </cell>
          <cell r="B603" t="str">
            <v>Extraídas</v>
          </cell>
        </row>
        <row r="604">
          <cell r="A604" t="str">
            <v>BEA1472</v>
          </cell>
          <cell r="B604" t="str">
            <v>Extraídas</v>
          </cell>
        </row>
        <row r="605">
          <cell r="A605" t="str">
            <v>BEA1472</v>
          </cell>
          <cell r="B605" t="str">
            <v>Extraídas</v>
          </cell>
        </row>
        <row r="606">
          <cell r="A606" t="str">
            <v>BEA1473_27F</v>
          </cell>
          <cell r="B606" t="str">
            <v>Extraídas</v>
          </cell>
        </row>
        <row r="607">
          <cell r="A607" t="str">
            <v>BEA1473B</v>
          </cell>
          <cell r="B607" t="str">
            <v>Extraídas</v>
          </cell>
        </row>
        <row r="608">
          <cell r="A608" t="str">
            <v>BEA1482</v>
          </cell>
          <cell r="B608" t="str">
            <v>Extraídas</v>
          </cell>
        </row>
        <row r="609">
          <cell r="A609" t="str">
            <v>BEA1483</v>
          </cell>
          <cell r="B609" t="str">
            <v>Extraídas</v>
          </cell>
        </row>
        <row r="610">
          <cell r="A610" t="str">
            <v>BEA1495B</v>
          </cell>
          <cell r="B610" t="str">
            <v>Extraídas</v>
          </cell>
        </row>
        <row r="611">
          <cell r="A611" t="str">
            <v>BEA1503B</v>
          </cell>
          <cell r="B611" t="str">
            <v>Extraídas</v>
          </cell>
        </row>
        <row r="612">
          <cell r="A612" t="str">
            <v>BEA1504a</v>
          </cell>
          <cell r="B612" t="str">
            <v>Extraídas</v>
          </cell>
        </row>
        <row r="613">
          <cell r="A613" t="str">
            <v>BEA1504B</v>
          </cell>
          <cell r="B613" t="str">
            <v>Extraídas</v>
          </cell>
        </row>
        <row r="614">
          <cell r="A614" t="str">
            <v>BEA1505</v>
          </cell>
          <cell r="B614" t="str">
            <v>Extraídas</v>
          </cell>
        </row>
        <row r="615">
          <cell r="A615" t="str">
            <v>BEA1505B</v>
          </cell>
          <cell r="B615" t="str">
            <v>Extraídas</v>
          </cell>
        </row>
        <row r="616">
          <cell r="A616" t="str">
            <v>BEA1506_781F</v>
          </cell>
          <cell r="B616" t="str">
            <v>Extraídas</v>
          </cell>
        </row>
        <row r="617">
          <cell r="A617" t="str">
            <v>BEA1506B</v>
          </cell>
          <cell r="B617" t="str">
            <v>Extraídas</v>
          </cell>
        </row>
        <row r="618">
          <cell r="A618" t="str">
            <v>BEA1509_781F</v>
          </cell>
          <cell r="B618" t="str">
            <v>Extraídas</v>
          </cell>
        </row>
        <row r="619">
          <cell r="A619" t="str">
            <v>BEA1516B</v>
          </cell>
          <cell r="B619" t="str">
            <v>Extraídas</v>
          </cell>
        </row>
        <row r="620">
          <cell r="A620" t="str">
            <v>BEA1517B</v>
          </cell>
          <cell r="B620" t="str">
            <v>Extraídas</v>
          </cell>
        </row>
        <row r="621">
          <cell r="A621" t="str">
            <v>BEA1526a</v>
          </cell>
          <cell r="B621" t="str">
            <v>Extraídas</v>
          </cell>
        </row>
        <row r="622">
          <cell r="A622" t="str">
            <v>BEA1526b</v>
          </cell>
          <cell r="B622" t="str">
            <v>Extraídas</v>
          </cell>
        </row>
        <row r="623">
          <cell r="A623" t="str">
            <v>BEA1528B</v>
          </cell>
          <cell r="B623" t="str">
            <v>Extraídas</v>
          </cell>
        </row>
        <row r="624">
          <cell r="A624" t="str">
            <v>BEA1529B</v>
          </cell>
          <cell r="B624" t="str">
            <v>Extraídas</v>
          </cell>
        </row>
        <row r="625">
          <cell r="A625" t="str">
            <v>BEA1532B</v>
          </cell>
          <cell r="B625" t="str">
            <v>Extraídas</v>
          </cell>
        </row>
        <row r="626">
          <cell r="A626" t="str">
            <v>BEA1533B</v>
          </cell>
          <cell r="B626" t="str">
            <v>Extraídas</v>
          </cell>
        </row>
        <row r="627">
          <cell r="A627" t="str">
            <v>BEA1534_27F</v>
          </cell>
          <cell r="B627" t="str">
            <v>Extraídas</v>
          </cell>
        </row>
        <row r="628">
          <cell r="A628" t="str">
            <v>BEA1534B</v>
          </cell>
          <cell r="B628" t="str">
            <v>Extraídas</v>
          </cell>
        </row>
        <row r="629">
          <cell r="A629" t="str">
            <v>BEA1535</v>
          </cell>
          <cell r="B629" t="str">
            <v>Extraídas</v>
          </cell>
        </row>
        <row r="630">
          <cell r="A630" t="str">
            <v>BEA1536B</v>
          </cell>
          <cell r="B630" t="str">
            <v>Extraídas</v>
          </cell>
        </row>
        <row r="631">
          <cell r="A631" t="str">
            <v>BEA1541B</v>
          </cell>
          <cell r="B631" t="str">
            <v>Extraídas</v>
          </cell>
        </row>
        <row r="632">
          <cell r="A632" t="str">
            <v>BEA1542</v>
          </cell>
          <cell r="B632" t="str">
            <v>Extraídas</v>
          </cell>
        </row>
        <row r="633">
          <cell r="A633" t="str">
            <v>BEA1543</v>
          </cell>
          <cell r="B633" t="str">
            <v>Extraídas</v>
          </cell>
        </row>
        <row r="634">
          <cell r="A634" t="str">
            <v>BEA1543a</v>
          </cell>
          <cell r="B634" t="str">
            <v>Extraídas</v>
          </cell>
        </row>
        <row r="635">
          <cell r="A635" t="str">
            <v>BEA1543b</v>
          </cell>
          <cell r="B635" t="str">
            <v>Extraídas</v>
          </cell>
        </row>
        <row r="636">
          <cell r="A636" t="str">
            <v>BEA1544a</v>
          </cell>
          <cell r="B636" t="str">
            <v>Extraídas</v>
          </cell>
        </row>
        <row r="637">
          <cell r="A637" t="str">
            <v>BEA1544b</v>
          </cell>
          <cell r="B637" t="str">
            <v>Extraídas</v>
          </cell>
        </row>
        <row r="638">
          <cell r="A638" t="str">
            <v>BEA1547_27Fa</v>
          </cell>
          <cell r="B638" t="str">
            <v>Extraídas</v>
          </cell>
        </row>
        <row r="639">
          <cell r="A639" t="str">
            <v>BEA1547b</v>
          </cell>
          <cell r="B639" t="str">
            <v>Extraídas</v>
          </cell>
        </row>
        <row r="640">
          <cell r="A640" t="str">
            <v>BEA1554B</v>
          </cell>
          <cell r="B640" t="str">
            <v>Extraídas</v>
          </cell>
        </row>
        <row r="641">
          <cell r="A641" t="str">
            <v>BEA1555B</v>
          </cell>
          <cell r="B641" t="str">
            <v>Extraídas</v>
          </cell>
        </row>
        <row r="642">
          <cell r="A642" t="str">
            <v>BEA1557_27Fa</v>
          </cell>
          <cell r="B642" t="str">
            <v>Extraídas</v>
          </cell>
        </row>
        <row r="643">
          <cell r="A643" t="str">
            <v>BEA1557b</v>
          </cell>
          <cell r="B643" t="str">
            <v>Extraídas</v>
          </cell>
        </row>
        <row r="644">
          <cell r="A644" t="str">
            <v>BEA1558B</v>
          </cell>
          <cell r="B644" t="str">
            <v>Extraídas</v>
          </cell>
        </row>
        <row r="645">
          <cell r="A645" t="str">
            <v>BEA1559B</v>
          </cell>
          <cell r="B645" t="str">
            <v>Extraídas</v>
          </cell>
        </row>
        <row r="646">
          <cell r="A646" t="str">
            <v>BEA1562B</v>
          </cell>
          <cell r="B646" t="str">
            <v>Extraídas</v>
          </cell>
        </row>
        <row r="647">
          <cell r="A647" t="str">
            <v>BEA1564</v>
          </cell>
          <cell r="B647" t="str">
            <v>Extraídas</v>
          </cell>
        </row>
        <row r="648">
          <cell r="A648" t="str">
            <v>BEA1564</v>
          </cell>
          <cell r="B648" t="str">
            <v>Extraídas</v>
          </cell>
        </row>
        <row r="649">
          <cell r="A649" t="str">
            <v>BEA1565</v>
          </cell>
          <cell r="B649" t="str">
            <v>Extraídas</v>
          </cell>
        </row>
        <row r="650">
          <cell r="A650" t="str">
            <v>BEA1565B</v>
          </cell>
          <cell r="B650" t="str">
            <v>Extraídas</v>
          </cell>
        </row>
        <row r="651">
          <cell r="A651" t="str">
            <v>BEA1565B</v>
          </cell>
          <cell r="B651" t="str">
            <v>Extraídas</v>
          </cell>
        </row>
        <row r="652">
          <cell r="A652" t="str">
            <v>BEA1566</v>
          </cell>
          <cell r="B652" t="str">
            <v>Extraídas</v>
          </cell>
        </row>
        <row r="653">
          <cell r="A653" t="str">
            <v>BEA1567</v>
          </cell>
          <cell r="B653" t="str">
            <v>Recibidas</v>
          </cell>
        </row>
        <row r="654">
          <cell r="A654" t="str">
            <v>BEA1567B</v>
          </cell>
          <cell r="B654" t="str">
            <v>Extraídas</v>
          </cell>
        </row>
        <row r="655">
          <cell r="A655" t="str">
            <v>BEA1568</v>
          </cell>
          <cell r="B655" t="str">
            <v>Extraídas</v>
          </cell>
        </row>
        <row r="656">
          <cell r="A656" t="str">
            <v>BEA1570</v>
          </cell>
          <cell r="B656" t="str">
            <v>Extraídas</v>
          </cell>
        </row>
        <row r="657">
          <cell r="A657" t="str">
            <v>BEA1570</v>
          </cell>
          <cell r="B657" t="str">
            <v>Extraídas</v>
          </cell>
        </row>
        <row r="658">
          <cell r="A658" t="str">
            <v>BEA1571B</v>
          </cell>
          <cell r="B658" t="str">
            <v>Extraídas</v>
          </cell>
        </row>
        <row r="659">
          <cell r="A659" t="str">
            <v>BEA1574</v>
          </cell>
          <cell r="B659" t="str">
            <v>Extraídas</v>
          </cell>
        </row>
        <row r="660">
          <cell r="A660" t="str">
            <v>BEA1574B</v>
          </cell>
          <cell r="B660" t="str">
            <v>Extraídas</v>
          </cell>
        </row>
        <row r="661">
          <cell r="A661" t="str">
            <v>BEA1574B</v>
          </cell>
          <cell r="B661" t="str">
            <v>Extraídas</v>
          </cell>
        </row>
        <row r="662">
          <cell r="A662" t="str">
            <v>BEA1575</v>
          </cell>
          <cell r="B662" t="str">
            <v>Recibidas</v>
          </cell>
        </row>
        <row r="663">
          <cell r="A663" t="str">
            <v>BEA1575B</v>
          </cell>
          <cell r="B663" t="str">
            <v>Extraídas</v>
          </cell>
        </row>
        <row r="664">
          <cell r="A664" t="str">
            <v>BEA1576</v>
          </cell>
          <cell r="B664" t="str">
            <v>Extraídas</v>
          </cell>
        </row>
        <row r="665">
          <cell r="A665" t="str">
            <v>BEA1577a</v>
          </cell>
          <cell r="B665" t="str">
            <v>Extraídas</v>
          </cell>
        </row>
        <row r="666">
          <cell r="A666" t="str">
            <v>BEA1577b</v>
          </cell>
          <cell r="B666" t="str">
            <v>Extraídas</v>
          </cell>
        </row>
        <row r="667">
          <cell r="A667" t="str">
            <v>BEA1577c</v>
          </cell>
          <cell r="B667" t="str">
            <v>Extraídas</v>
          </cell>
        </row>
        <row r="668">
          <cell r="A668" t="str">
            <v>BEA1578a</v>
          </cell>
          <cell r="B668" t="str">
            <v>Extraídas</v>
          </cell>
        </row>
        <row r="669">
          <cell r="A669" t="str">
            <v>BEA1578b</v>
          </cell>
          <cell r="B669" t="str">
            <v>Extraídas</v>
          </cell>
        </row>
        <row r="670">
          <cell r="A670" t="str">
            <v>BEA1580B(3/4)</v>
          </cell>
          <cell r="B670" t="str">
            <v>Extraídas</v>
          </cell>
        </row>
        <row r="671">
          <cell r="A671" t="str">
            <v>BEA1581a</v>
          </cell>
          <cell r="B671" t="str">
            <v>Recibidas</v>
          </cell>
        </row>
        <row r="672">
          <cell r="A672" t="str">
            <v>BEA1581b</v>
          </cell>
          <cell r="B672" t="str">
            <v>Recibidas</v>
          </cell>
        </row>
        <row r="673">
          <cell r="A673" t="str">
            <v>BEA1581B(2/3)</v>
          </cell>
          <cell r="B673" t="str">
            <v>Extraídas</v>
          </cell>
        </row>
        <row r="674">
          <cell r="A674" t="str">
            <v>BEA1582</v>
          </cell>
          <cell r="B674" t="str">
            <v>Recibidas</v>
          </cell>
        </row>
        <row r="675">
          <cell r="A675" t="str">
            <v>BEA1582B</v>
          </cell>
          <cell r="B675" t="str">
            <v>Extraídas</v>
          </cell>
        </row>
        <row r="676">
          <cell r="A676" t="str">
            <v>BEA1583a</v>
          </cell>
          <cell r="B676" t="str">
            <v>Extraídas</v>
          </cell>
        </row>
        <row r="677">
          <cell r="A677" t="str">
            <v>BEA1583b</v>
          </cell>
          <cell r="B677" t="str">
            <v>Extraídas</v>
          </cell>
        </row>
        <row r="678">
          <cell r="A678" t="str">
            <v>BEA1584</v>
          </cell>
          <cell r="B678" t="str">
            <v>Extraídas</v>
          </cell>
        </row>
        <row r="679">
          <cell r="A679" t="str">
            <v>BEA1587B</v>
          </cell>
          <cell r="B679" t="str">
            <v>Extraídas</v>
          </cell>
        </row>
        <row r="680">
          <cell r="A680" t="str">
            <v>BEA1588_27F</v>
          </cell>
          <cell r="B680" t="str">
            <v>Extraídas</v>
          </cell>
        </row>
        <row r="681">
          <cell r="A681" t="str">
            <v>BEA1596B</v>
          </cell>
          <cell r="B681" t="str">
            <v>Extraídas</v>
          </cell>
        </row>
        <row r="682">
          <cell r="A682" t="str">
            <v>BEA1597a</v>
          </cell>
          <cell r="B682" t="str">
            <v>Extraídas</v>
          </cell>
        </row>
        <row r="683">
          <cell r="A683" t="str">
            <v>BEA1597b</v>
          </cell>
          <cell r="B683" t="str">
            <v>Extraídas</v>
          </cell>
        </row>
        <row r="684">
          <cell r="A684" t="str">
            <v>BEA1597B</v>
          </cell>
          <cell r="B684" t="str">
            <v>Extraídas</v>
          </cell>
        </row>
        <row r="685">
          <cell r="A685" t="str">
            <v>BEA1598</v>
          </cell>
          <cell r="B685" t="str">
            <v>Recibidas</v>
          </cell>
        </row>
        <row r="686">
          <cell r="A686" t="str">
            <v>BEA1598B</v>
          </cell>
          <cell r="B686" t="str">
            <v>Extraídas</v>
          </cell>
        </row>
        <row r="687">
          <cell r="A687" t="str">
            <v>BEA1599a</v>
          </cell>
          <cell r="B687" t="str">
            <v>Recibidas</v>
          </cell>
        </row>
        <row r="688">
          <cell r="A688" t="str">
            <v>BEA1599b</v>
          </cell>
          <cell r="B688" t="str">
            <v>Extraídas</v>
          </cell>
        </row>
        <row r="689">
          <cell r="A689" t="str">
            <v>BEA1599c</v>
          </cell>
          <cell r="B689" t="str">
            <v>Extraídas</v>
          </cell>
        </row>
        <row r="690">
          <cell r="A690" t="str">
            <v>BEA1601a</v>
          </cell>
          <cell r="B690" t="str">
            <v>Extraídas</v>
          </cell>
        </row>
        <row r="691">
          <cell r="A691" t="str">
            <v>BEA1601b</v>
          </cell>
          <cell r="B691" t="str">
            <v>Extraídas</v>
          </cell>
        </row>
        <row r="692">
          <cell r="A692" t="str">
            <v>BEA1602</v>
          </cell>
          <cell r="B692" t="str">
            <v>Recibidas</v>
          </cell>
        </row>
        <row r="693">
          <cell r="A693" t="str">
            <v>BEA1602B</v>
          </cell>
          <cell r="B693" t="str">
            <v>Extraídas</v>
          </cell>
        </row>
        <row r="694">
          <cell r="A694" t="str">
            <v>BEA1605_27F</v>
          </cell>
          <cell r="B694" t="str">
            <v>Extraídas</v>
          </cell>
        </row>
        <row r="695">
          <cell r="A695" t="str">
            <v>BEA1637a</v>
          </cell>
          <cell r="B695" t="str">
            <v>Extraídas</v>
          </cell>
        </row>
        <row r="696">
          <cell r="A696" t="str">
            <v>BEA1638B</v>
          </cell>
          <cell r="B696" t="str">
            <v>Extraídas</v>
          </cell>
        </row>
        <row r="697">
          <cell r="A697" t="str">
            <v>BEA1639_27F</v>
          </cell>
          <cell r="B697" t="str">
            <v>Extraídas</v>
          </cell>
        </row>
        <row r="698">
          <cell r="A698" t="str">
            <v>BEA1639B</v>
          </cell>
          <cell r="B698" t="str">
            <v>Extraídas</v>
          </cell>
        </row>
        <row r="699">
          <cell r="A699" t="str">
            <v>BEA1639B</v>
          </cell>
          <cell r="B699" t="str">
            <v>Extraídas</v>
          </cell>
        </row>
        <row r="700">
          <cell r="A700" t="str">
            <v>BEA1646</v>
          </cell>
          <cell r="B700" t="str">
            <v>Extraídas</v>
          </cell>
        </row>
        <row r="701">
          <cell r="A701" t="str">
            <v>BEA1646B</v>
          </cell>
          <cell r="B701" t="str">
            <v>Extraídas</v>
          </cell>
        </row>
        <row r="702">
          <cell r="A702" t="str">
            <v>BEA1646B</v>
          </cell>
          <cell r="B702" t="str">
            <v>Extraídas</v>
          </cell>
        </row>
        <row r="703">
          <cell r="A703" t="str">
            <v>BEA1648</v>
          </cell>
          <cell r="B703" t="str">
            <v>Extraídas</v>
          </cell>
        </row>
        <row r="704">
          <cell r="A704" t="str">
            <v>BEA1649B</v>
          </cell>
          <cell r="B704" t="str">
            <v>Extraídas</v>
          </cell>
        </row>
        <row r="705">
          <cell r="A705" t="str">
            <v>BEA1650B</v>
          </cell>
          <cell r="B705" t="str">
            <v>Extraídas</v>
          </cell>
        </row>
        <row r="706">
          <cell r="A706" t="str">
            <v>BEA1651B</v>
          </cell>
          <cell r="B706" t="str">
            <v>Extraídas</v>
          </cell>
        </row>
        <row r="707">
          <cell r="A707" t="str">
            <v>BEA1654B</v>
          </cell>
          <cell r="B707" t="str">
            <v>Extraídas</v>
          </cell>
        </row>
        <row r="708">
          <cell r="A708" t="str">
            <v>BEA1654B</v>
          </cell>
          <cell r="B708" t="str">
            <v>Extraídas</v>
          </cell>
        </row>
        <row r="709">
          <cell r="A709" t="str">
            <v>BEA1655B</v>
          </cell>
          <cell r="B709" t="str">
            <v>Extraídas</v>
          </cell>
        </row>
        <row r="710">
          <cell r="A710" t="str">
            <v>BEA1656B</v>
          </cell>
          <cell r="B710" t="str">
            <v>Extraídas</v>
          </cell>
        </row>
        <row r="711">
          <cell r="A711" t="str">
            <v>BEA1657B</v>
          </cell>
          <cell r="B711" t="str">
            <v>Extraídas</v>
          </cell>
        </row>
        <row r="712">
          <cell r="A712" t="str">
            <v>BEA1659</v>
          </cell>
          <cell r="B712" t="str">
            <v>Extraídas</v>
          </cell>
        </row>
        <row r="713">
          <cell r="A713" t="str">
            <v>BEA1659</v>
          </cell>
          <cell r="B713" t="str">
            <v>Extraídas</v>
          </cell>
        </row>
        <row r="714">
          <cell r="A714" t="str">
            <v>BEA1659</v>
          </cell>
          <cell r="B714" t="str">
            <v>Extraídas</v>
          </cell>
        </row>
        <row r="715">
          <cell r="A715" t="str">
            <v>BEA1662B</v>
          </cell>
          <cell r="B715" t="str">
            <v>Extraídas</v>
          </cell>
        </row>
        <row r="716">
          <cell r="A716" t="str">
            <v>BEA1666</v>
          </cell>
          <cell r="B716" t="str">
            <v>Extraídas</v>
          </cell>
        </row>
        <row r="717">
          <cell r="A717" t="str">
            <v>BEA1666B</v>
          </cell>
          <cell r="B717" t="str">
            <v>Extraídas</v>
          </cell>
        </row>
        <row r="718">
          <cell r="A718" t="str">
            <v>BEA1666B</v>
          </cell>
          <cell r="B718" t="str">
            <v>Extraídas</v>
          </cell>
        </row>
        <row r="719">
          <cell r="A719" t="str">
            <v>BEA1678B</v>
          </cell>
          <cell r="B719" t="str">
            <v>Extraídas</v>
          </cell>
        </row>
        <row r="720">
          <cell r="A720" t="str">
            <v>BEA1694B</v>
          </cell>
          <cell r="B720" t="str">
            <v>Extraídas</v>
          </cell>
        </row>
        <row r="721">
          <cell r="A721" t="str">
            <v>BEA1695</v>
          </cell>
          <cell r="B721" t="str">
            <v>Extraídas</v>
          </cell>
        </row>
        <row r="722">
          <cell r="A722" t="str">
            <v>BEA1696</v>
          </cell>
          <cell r="B722" t="str">
            <v>Extraídas</v>
          </cell>
        </row>
        <row r="723">
          <cell r="A723" t="str">
            <v>BEA1701B</v>
          </cell>
          <cell r="B723" t="str">
            <v>Extraídas</v>
          </cell>
        </row>
        <row r="724">
          <cell r="A724" t="str">
            <v>BEA1702B</v>
          </cell>
          <cell r="B724" t="str">
            <v>Extraídas</v>
          </cell>
        </row>
        <row r="725">
          <cell r="A725" t="str">
            <v>BEA1740B</v>
          </cell>
          <cell r="B725" t="str">
            <v>Extraídas</v>
          </cell>
        </row>
        <row r="726">
          <cell r="A726" t="str">
            <v>BEA1741</v>
          </cell>
          <cell r="B726" t="str">
            <v>Extraídas</v>
          </cell>
        </row>
        <row r="727">
          <cell r="A727" t="str">
            <v>BEA1750</v>
          </cell>
          <cell r="B727" t="str">
            <v>Extraídas</v>
          </cell>
        </row>
        <row r="728">
          <cell r="A728" t="str">
            <v>BEA1807</v>
          </cell>
          <cell r="B728" t="str">
            <v>Extraídas</v>
          </cell>
        </row>
        <row r="729">
          <cell r="A729" t="str">
            <v>BEA1807B</v>
          </cell>
          <cell r="B729" t="str">
            <v>Extraídas</v>
          </cell>
        </row>
        <row r="730">
          <cell r="A730" t="str">
            <v>BEA1808B</v>
          </cell>
          <cell r="B730" t="str">
            <v>Extraídas</v>
          </cell>
        </row>
        <row r="731">
          <cell r="A731" t="str">
            <v>BEA1824B</v>
          </cell>
          <cell r="B731" t="str">
            <v>Extraídas</v>
          </cell>
        </row>
        <row r="732">
          <cell r="A732" t="str">
            <v>BEA1827</v>
          </cell>
          <cell r="B732" t="str">
            <v>Extraídas</v>
          </cell>
        </row>
        <row r="733">
          <cell r="A733" t="str">
            <v>BEA1827B</v>
          </cell>
          <cell r="B733" t="str">
            <v>Extraídas</v>
          </cell>
        </row>
        <row r="734">
          <cell r="A734" t="str">
            <v>BEA1827B</v>
          </cell>
          <cell r="B734" t="str">
            <v>Extraídas</v>
          </cell>
        </row>
        <row r="735">
          <cell r="A735" t="str">
            <v>BEA1828</v>
          </cell>
          <cell r="B735" t="str">
            <v>Recibidas</v>
          </cell>
        </row>
        <row r="736">
          <cell r="A736" t="str">
            <v>BEA1828B</v>
          </cell>
          <cell r="B736" t="str">
            <v>Extraídas</v>
          </cell>
        </row>
        <row r="737">
          <cell r="A737" t="str">
            <v>BEA1831</v>
          </cell>
          <cell r="B737" t="str">
            <v>Extraídas</v>
          </cell>
        </row>
        <row r="738">
          <cell r="A738" t="str">
            <v>BEA1832</v>
          </cell>
          <cell r="B738" t="str">
            <v>Recibidas</v>
          </cell>
        </row>
        <row r="739">
          <cell r="A739" t="str">
            <v>BEA1832B</v>
          </cell>
          <cell r="B739" t="str">
            <v>Extraídas</v>
          </cell>
        </row>
        <row r="740">
          <cell r="A740" t="str">
            <v>BEA1833a</v>
          </cell>
          <cell r="B740" t="str">
            <v>Recibidas</v>
          </cell>
        </row>
        <row r="741">
          <cell r="A741" t="str">
            <v>BEA1833b</v>
          </cell>
          <cell r="B741" t="str">
            <v>Extraídas</v>
          </cell>
        </row>
        <row r="742">
          <cell r="A742" t="str">
            <v>BEA1840</v>
          </cell>
          <cell r="B742" t="str">
            <v>Recibidas</v>
          </cell>
        </row>
        <row r="743">
          <cell r="A743" t="str">
            <v>BEA1840B</v>
          </cell>
          <cell r="B743" t="str">
            <v>Extraídas</v>
          </cell>
        </row>
        <row r="744">
          <cell r="A744" t="str">
            <v>BEA1841</v>
          </cell>
          <cell r="B744" t="str">
            <v>Recibidas</v>
          </cell>
        </row>
        <row r="745">
          <cell r="A745" t="str">
            <v>BEA1841B</v>
          </cell>
          <cell r="B745" t="str">
            <v>Extraídas</v>
          </cell>
        </row>
        <row r="746">
          <cell r="A746" t="str">
            <v>BEA1842</v>
          </cell>
          <cell r="B746" t="str">
            <v>Recibidas</v>
          </cell>
        </row>
        <row r="747">
          <cell r="A747" t="str">
            <v>BEA1842B</v>
          </cell>
          <cell r="B747" t="str">
            <v>Extraídas</v>
          </cell>
        </row>
        <row r="748">
          <cell r="A748" t="str">
            <v>BEA1843B</v>
          </cell>
          <cell r="B748" t="str">
            <v>Extraídas</v>
          </cell>
        </row>
        <row r="749">
          <cell r="A749" t="str">
            <v>BEA1843B/1</v>
          </cell>
          <cell r="B749" t="str">
            <v>Extraídas</v>
          </cell>
        </row>
        <row r="750">
          <cell r="A750" t="str">
            <v>BEA1845</v>
          </cell>
          <cell r="B750" t="str">
            <v>Extraídas</v>
          </cell>
        </row>
        <row r="751">
          <cell r="A751" t="str">
            <v>BEA1846</v>
          </cell>
          <cell r="B751" t="str">
            <v>Extraídas</v>
          </cell>
        </row>
        <row r="752">
          <cell r="A752" t="str">
            <v>BEA1846B</v>
          </cell>
          <cell r="B752" t="str">
            <v>Extraídas</v>
          </cell>
        </row>
        <row r="753">
          <cell r="A753" t="str">
            <v>BEA1847</v>
          </cell>
          <cell r="B753" t="str">
            <v>Extraídas</v>
          </cell>
        </row>
        <row r="754">
          <cell r="A754" t="str">
            <v>BEA1847</v>
          </cell>
          <cell r="B754" t="str">
            <v>Extraídas</v>
          </cell>
        </row>
        <row r="755">
          <cell r="A755" t="str">
            <v>BEA1849</v>
          </cell>
          <cell r="B755" t="str">
            <v>Recibidas</v>
          </cell>
        </row>
        <row r="756">
          <cell r="A756" t="str">
            <v>BEA1852</v>
          </cell>
          <cell r="B756" t="str">
            <v>Extraídas</v>
          </cell>
        </row>
        <row r="757">
          <cell r="A757" t="str">
            <v>BEA1858</v>
          </cell>
          <cell r="B757" t="str">
            <v>Extraídas</v>
          </cell>
        </row>
        <row r="758">
          <cell r="A758" t="str">
            <v>BEA1858B</v>
          </cell>
          <cell r="B758" t="str">
            <v>Recibidas</v>
          </cell>
        </row>
        <row r="759">
          <cell r="A759" t="str">
            <v>BEA1859B</v>
          </cell>
          <cell r="B759" t="str">
            <v>Recibidas</v>
          </cell>
        </row>
        <row r="760">
          <cell r="A760" t="str">
            <v>BEA1860B</v>
          </cell>
          <cell r="B760" t="str">
            <v>Recibidas</v>
          </cell>
        </row>
        <row r="761">
          <cell r="A761" t="str">
            <v>BEA1861B</v>
          </cell>
          <cell r="B761" t="str">
            <v>Recibidas</v>
          </cell>
        </row>
        <row r="762">
          <cell r="A762" t="str">
            <v>BEA1862</v>
          </cell>
          <cell r="B762" t="str">
            <v>Extraídas</v>
          </cell>
        </row>
        <row r="763">
          <cell r="A763" t="str">
            <v>BEA1862B</v>
          </cell>
          <cell r="B763" t="str">
            <v>Recibidas</v>
          </cell>
        </row>
        <row r="764">
          <cell r="A764" t="str">
            <v>BEA1862B</v>
          </cell>
          <cell r="B764" t="str">
            <v>Extraídas</v>
          </cell>
        </row>
        <row r="765">
          <cell r="A765" t="str">
            <v>BEA1863</v>
          </cell>
          <cell r="B765" t="str">
            <v>Extraídas</v>
          </cell>
        </row>
        <row r="766">
          <cell r="A766" t="str">
            <v>BEA1863B</v>
          </cell>
          <cell r="B766" t="str">
            <v>Recibidas</v>
          </cell>
        </row>
        <row r="767">
          <cell r="A767" t="str">
            <v>BEA1863B</v>
          </cell>
          <cell r="B767" t="str">
            <v>Extraídas</v>
          </cell>
        </row>
        <row r="768">
          <cell r="A768" t="str">
            <v>BEA1864</v>
          </cell>
          <cell r="B768" t="str">
            <v>Extraídas</v>
          </cell>
        </row>
        <row r="769">
          <cell r="A769" t="str">
            <v>BEA1864B</v>
          </cell>
          <cell r="B769" t="str">
            <v>Recibidas</v>
          </cell>
        </row>
        <row r="770">
          <cell r="A770" t="str">
            <v>BEA1864B</v>
          </cell>
          <cell r="B770" t="str">
            <v>Extraídas</v>
          </cell>
        </row>
        <row r="771">
          <cell r="A771" t="str">
            <v>BEA1865B</v>
          </cell>
          <cell r="B771" t="str">
            <v>Recibidas</v>
          </cell>
        </row>
        <row r="772">
          <cell r="A772" t="str">
            <v>BEA1876</v>
          </cell>
          <cell r="B772" t="str">
            <v>Extraídas</v>
          </cell>
        </row>
        <row r="773">
          <cell r="A773" t="str">
            <v>BEA1876</v>
          </cell>
          <cell r="B773" t="str">
            <v>Extraídas</v>
          </cell>
        </row>
        <row r="774">
          <cell r="A774" t="str">
            <v>BEA1877</v>
          </cell>
          <cell r="B774" t="str">
            <v>Extraídas</v>
          </cell>
        </row>
        <row r="775">
          <cell r="A775" t="str">
            <v>BEA1878</v>
          </cell>
          <cell r="B775" t="str">
            <v>Recibidas</v>
          </cell>
        </row>
        <row r="776">
          <cell r="A776" t="str">
            <v>BEA1878</v>
          </cell>
          <cell r="B776" t="str">
            <v>Extraídas</v>
          </cell>
        </row>
        <row r="777">
          <cell r="A777" t="str">
            <v>BEA1879</v>
          </cell>
          <cell r="B777" t="str">
            <v>Extraídas</v>
          </cell>
        </row>
        <row r="778">
          <cell r="A778" t="str">
            <v>BEA1879</v>
          </cell>
          <cell r="B778" t="str">
            <v>Recibidas</v>
          </cell>
        </row>
        <row r="779">
          <cell r="A779" t="str">
            <v>BEA1879B</v>
          </cell>
          <cell r="B779" t="str">
            <v>Extraídas</v>
          </cell>
        </row>
        <row r="780">
          <cell r="A780" t="str">
            <v>BEA1880</v>
          </cell>
          <cell r="B780" t="str">
            <v>Recibidas</v>
          </cell>
        </row>
        <row r="781">
          <cell r="A781" t="str">
            <v>BEA1880</v>
          </cell>
          <cell r="B781" t="str">
            <v>Extraídas</v>
          </cell>
        </row>
        <row r="782">
          <cell r="A782" t="str">
            <v>BEA1881B</v>
          </cell>
          <cell r="B782" t="str">
            <v>Extraídas</v>
          </cell>
        </row>
        <row r="783">
          <cell r="A783" t="str">
            <v>BEA1884</v>
          </cell>
          <cell r="B783" t="str">
            <v>Extraídas</v>
          </cell>
        </row>
        <row r="784">
          <cell r="A784" t="str">
            <v>BEA1884</v>
          </cell>
          <cell r="B784" t="str">
            <v>Recibidas</v>
          </cell>
        </row>
        <row r="785">
          <cell r="A785" t="str">
            <v>BEA1884B</v>
          </cell>
          <cell r="B785" t="str">
            <v>Extraídas</v>
          </cell>
        </row>
        <row r="786">
          <cell r="A786" t="str">
            <v>BEA1885</v>
          </cell>
          <cell r="B786" t="str">
            <v>Recibidas</v>
          </cell>
        </row>
        <row r="787">
          <cell r="A787" t="str">
            <v>BEA1885</v>
          </cell>
          <cell r="B787" t="str">
            <v>Extraídas</v>
          </cell>
        </row>
        <row r="788">
          <cell r="A788" t="str">
            <v>BEA1886a</v>
          </cell>
          <cell r="B788" t="str">
            <v>Recibidas</v>
          </cell>
        </row>
        <row r="789">
          <cell r="A789" t="str">
            <v>BEA1886b</v>
          </cell>
          <cell r="B789" t="str">
            <v>Extraídas</v>
          </cell>
        </row>
        <row r="790">
          <cell r="A790" t="str">
            <v>BEA1887</v>
          </cell>
          <cell r="B790" t="str">
            <v>Recibidas</v>
          </cell>
        </row>
        <row r="791">
          <cell r="A791" t="str">
            <v>BEA1887B</v>
          </cell>
          <cell r="B791" t="str">
            <v>Extraídas</v>
          </cell>
        </row>
        <row r="792">
          <cell r="A792" t="str">
            <v>BEA1888</v>
          </cell>
          <cell r="B792" t="str">
            <v>Recibidas</v>
          </cell>
        </row>
        <row r="793">
          <cell r="A793" t="str">
            <v>BEA1889B</v>
          </cell>
          <cell r="B793" t="str">
            <v>Recibidas</v>
          </cell>
        </row>
        <row r="794">
          <cell r="A794" t="str">
            <v>BEA1890B</v>
          </cell>
          <cell r="B794" t="str">
            <v>Recibidas</v>
          </cell>
        </row>
        <row r="795">
          <cell r="A795" t="str">
            <v>BEA1891B</v>
          </cell>
          <cell r="B795" t="str">
            <v>Recibidas</v>
          </cell>
        </row>
        <row r="796">
          <cell r="A796" t="str">
            <v>BEA1892B</v>
          </cell>
          <cell r="B796" t="str">
            <v>Recibidas</v>
          </cell>
        </row>
        <row r="797">
          <cell r="A797" t="str">
            <v>BEA1895_27F</v>
          </cell>
          <cell r="B797" t="str">
            <v>Extraídas</v>
          </cell>
        </row>
        <row r="798">
          <cell r="A798" t="str">
            <v>BEA1896_27F</v>
          </cell>
          <cell r="B798" t="str">
            <v>Extraídas</v>
          </cell>
        </row>
        <row r="799">
          <cell r="A799" t="str">
            <v>BEA1900_27F</v>
          </cell>
          <cell r="B799" t="str">
            <v>Extraídas</v>
          </cell>
        </row>
        <row r="800">
          <cell r="A800" t="str">
            <v>BEA1901B</v>
          </cell>
          <cell r="B800" t="str">
            <v>Extraídas</v>
          </cell>
        </row>
        <row r="801">
          <cell r="A801" t="str">
            <v>BEA1902</v>
          </cell>
          <cell r="B801" t="str">
            <v>Extraídas</v>
          </cell>
        </row>
        <row r="802">
          <cell r="A802" t="str">
            <v>BEA1905</v>
          </cell>
          <cell r="B802" t="str">
            <v>Extraídas</v>
          </cell>
        </row>
        <row r="803">
          <cell r="A803" t="str">
            <v>BEA1905B</v>
          </cell>
          <cell r="B803" t="str">
            <v>Recibidas</v>
          </cell>
        </row>
        <row r="804">
          <cell r="A804" t="str">
            <v>BEA1905B</v>
          </cell>
          <cell r="B804" t="str">
            <v>Extraídas</v>
          </cell>
        </row>
        <row r="805">
          <cell r="A805" t="str">
            <v>BEA1906</v>
          </cell>
          <cell r="B805" t="str">
            <v>Extraídas</v>
          </cell>
        </row>
        <row r="806">
          <cell r="A806" t="str">
            <v>BEA1907B</v>
          </cell>
          <cell r="B806" t="str">
            <v>Recibidas</v>
          </cell>
        </row>
        <row r="807">
          <cell r="A807" t="str">
            <v>BEA1908</v>
          </cell>
          <cell r="B807" t="str">
            <v>Extraídas</v>
          </cell>
        </row>
        <row r="808">
          <cell r="A808" t="str">
            <v>BEA1908B</v>
          </cell>
          <cell r="B808" t="str">
            <v>Recibidas</v>
          </cell>
        </row>
        <row r="809">
          <cell r="A809" t="str">
            <v>BEA1909B</v>
          </cell>
          <cell r="B809" t="str">
            <v>Recibidas</v>
          </cell>
        </row>
        <row r="810">
          <cell r="A810" t="str">
            <v>BEA1910</v>
          </cell>
          <cell r="B810" t="str">
            <v>Extraídas</v>
          </cell>
        </row>
        <row r="811">
          <cell r="A811" t="str">
            <v>BEA1912</v>
          </cell>
          <cell r="B811" t="str">
            <v>Extraídas</v>
          </cell>
        </row>
        <row r="812">
          <cell r="A812" t="str">
            <v>BEA1912B</v>
          </cell>
          <cell r="B812" t="str">
            <v>Recibidas</v>
          </cell>
        </row>
        <row r="813">
          <cell r="A813" t="str">
            <v>BEA1913</v>
          </cell>
          <cell r="B813" t="str">
            <v>Extraídas</v>
          </cell>
        </row>
        <row r="814">
          <cell r="A814" t="str">
            <v>BEA1914_27F</v>
          </cell>
          <cell r="B814" t="str">
            <v>Extraídas</v>
          </cell>
        </row>
        <row r="815">
          <cell r="A815" t="str">
            <v>BEA1915</v>
          </cell>
          <cell r="B815" t="str">
            <v>Extraídas</v>
          </cell>
        </row>
        <row r="816">
          <cell r="A816" t="str">
            <v>BEA1916a</v>
          </cell>
          <cell r="B816" t="str">
            <v>Extraídas</v>
          </cell>
        </row>
        <row r="817">
          <cell r="A817" t="str">
            <v>BEA1916b</v>
          </cell>
          <cell r="B817" t="str">
            <v>Extraídas</v>
          </cell>
        </row>
        <row r="818">
          <cell r="A818" t="str">
            <v>BEA1918</v>
          </cell>
          <cell r="B818" t="str">
            <v>Extraídas</v>
          </cell>
        </row>
        <row r="819">
          <cell r="A819" t="str">
            <v>BEA1924B</v>
          </cell>
          <cell r="B819" t="str">
            <v>Recibidas</v>
          </cell>
        </row>
        <row r="820">
          <cell r="A820" t="str">
            <v>BEA1925B</v>
          </cell>
          <cell r="B820" t="str">
            <v>Recibidas</v>
          </cell>
        </row>
        <row r="821">
          <cell r="A821" t="str">
            <v>BEA1927B</v>
          </cell>
          <cell r="B821" t="str">
            <v>Recibidas</v>
          </cell>
        </row>
        <row r="822">
          <cell r="A822" t="str">
            <v>BEA1938B</v>
          </cell>
          <cell r="B822" t="str">
            <v>Extraídas</v>
          </cell>
        </row>
        <row r="823">
          <cell r="A823" t="str">
            <v>BEA1941B</v>
          </cell>
          <cell r="B823" t="str">
            <v>Recibidas</v>
          </cell>
        </row>
        <row r="824">
          <cell r="A824" t="str">
            <v>BEA1942B</v>
          </cell>
          <cell r="B824" t="str">
            <v>Extraídas</v>
          </cell>
        </row>
        <row r="825">
          <cell r="A825" t="str">
            <v>BEA1945B</v>
          </cell>
          <cell r="B825" t="str">
            <v>Recibidas</v>
          </cell>
        </row>
        <row r="826">
          <cell r="A826" t="str">
            <v>BEA1946B</v>
          </cell>
          <cell r="B826" t="str">
            <v>Recibidas</v>
          </cell>
        </row>
        <row r="827">
          <cell r="A827" t="str">
            <v>BEA1948</v>
          </cell>
          <cell r="B827" t="str">
            <v>Extraídas</v>
          </cell>
        </row>
        <row r="828">
          <cell r="A828" t="str">
            <v>BEA1948B</v>
          </cell>
          <cell r="B828" t="str">
            <v>Recibidas</v>
          </cell>
        </row>
        <row r="829">
          <cell r="A829" t="str">
            <v>BEA1950B</v>
          </cell>
          <cell r="B829" t="str">
            <v>Recibidas</v>
          </cell>
        </row>
        <row r="830">
          <cell r="A830" t="str">
            <v>BEA1952B</v>
          </cell>
          <cell r="B830" t="str">
            <v>Recibidas</v>
          </cell>
        </row>
        <row r="831">
          <cell r="A831" t="str">
            <v>BEA1953B</v>
          </cell>
          <cell r="B831" t="str">
            <v>Recibidas</v>
          </cell>
        </row>
        <row r="832">
          <cell r="A832" t="str">
            <v>BEA1955B</v>
          </cell>
          <cell r="B832" t="str">
            <v>Recibidas</v>
          </cell>
        </row>
        <row r="833">
          <cell r="A833" t="str">
            <v>BEA1956B</v>
          </cell>
          <cell r="B833" t="str">
            <v>Recibidas</v>
          </cell>
        </row>
        <row r="834">
          <cell r="A834" t="str">
            <v>BEA1957B</v>
          </cell>
          <cell r="B834" t="str">
            <v>Recibidas</v>
          </cell>
        </row>
        <row r="835">
          <cell r="A835" t="str">
            <v>BEA1958B</v>
          </cell>
          <cell r="B835" t="str">
            <v>Recibidas</v>
          </cell>
        </row>
        <row r="836">
          <cell r="A836" t="str">
            <v>BEA1959B</v>
          </cell>
          <cell r="B836" t="str">
            <v>Recibidas</v>
          </cell>
        </row>
        <row r="837">
          <cell r="A837" t="str">
            <v>BEA1960B</v>
          </cell>
          <cell r="B837" t="str">
            <v>Recibidas</v>
          </cell>
        </row>
        <row r="838">
          <cell r="A838" t="str">
            <v>BEA1961B</v>
          </cell>
          <cell r="B838" t="str">
            <v>Recibidas</v>
          </cell>
        </row>
        <row r="839">
          <cell r="A839" t="str">
            <v>BEA1962B</v>
          </cell>
          <cell r="B839" t="str">
            <v>Recibidas</v>
          </cell>
        </row>
        <row r="840">
          <cell r="A840" t="str">
            <v>BEA1963B</v>
          </cell>
          <cell r="B840" t="str">
            <v>Recibidas</v>
          </cell>
        </row>
        <row r="841">
          <cell r="A841" t="str">
            <v>BEA1964B</v>
          </cell>
          <cell r="B841" t="str">
            <v>Recibidas</v>
          </cell>
        </row>
        <row r="842">
          <cell r="A842" t="str">
            <v>BEA1966B</v>
          </cell>
          <cell r="B842" t="str">
            <v>Recibidas</v>
          </cell>
        </row>
        <row r="843">
          <cell r="A843" t="str">
            <v>BEA1967B</v>
          </cell>
          <cell r="B843" t="str">
            <v>Recibidas</v>
          </cell>
        </row>
        <row r="844">
          <cell r="A844" t="str">
            <v>BEA1968B</v>
          </cell>
          <cell r="B844" t="str">
            <v>Recibidas</v>
          </cell>
        </row>
        <row r="845">
          <cell r="A845" t="str">
            <v>BEA1969B</v>
          </cell>
          <cell r="B845" t="str">
            <v>Recibidas</v>
          </cell>
        </row>
        <row r="846">
          <cell r="A846" t="str">
            <v>BEA1970B</v>
          </cell>
          <cell r="B846" t="str">
            <v>Recibidas</v>
          </cell>
        </row>
        <row r="847">
          <cell r="A847" t="str">
            <v>BEA1972B</v>
          </cell>
          <cell r="B847" t="str">
            <v>Recibidas</v>
          </cell>
        </row>
        <row r="848">
          <cell r="A848" t="str">
            <v>BEA1974B</v>
          </cell>
          <cell r="B848" t="str">
            <v>Recibidas</v>
          </cell>
        </row>
        <row r="849">
          <cell r="A849" t="str">
            <v>BEA1975B</v>
          </cell>
          <cell r="B849" t="str">
            <v>Recibidas</v>
          </cell>
        </row>
        <row r="850">
          <cell r="A850" t="str">
            <v>BEA1976B</v>
          </cell>
          <cell r="B850" t="str">
            <v>Recibidas</v>
          </cell>
        </row>
        <row r="851">
          <cell r="A851" t="str">
            <v>BEA1977B</v>
          </cell>
          <cell r="B851" t="str">
            <v>Recibidas</v>
          </cell>
        </row>
        <row r="852">
          <cell r="A852" t="str">
            <v>BEA1978B</v>
          </cell>
          <cell r="B852" t="str">
            <v>Recibidas</v>
          </cell>
        </row>
        <row r="853">
          <cell r="A853" t="str">
            <v>BEA1979B</v>
          </cell>
          <cell r="B853" t="str">
            <v>Recibidas</v>
          </cell>
        </row>
        <row r="854">
          <cell r="A854" t="str">
            <v>BEA1980B</v>
          </cell>
          <cell r="B854" t="str">
            <v>Recibidas</v>
          </cell>
        </row>
        <row r="855">
          <cell r="A855" t="str">
            <v>BEA1981B</v>
          </cell>
          <cell r="B855" t="str">
            <v>Recibidas</v>
          </cell>
        </row>
        <row r="856">
          <cell r="A856" t="str">
            <v>BEA1982B</v>
          </cell>
          <cell r="B856" t="str">
            <v>Recibidas</v>
          </cell>
        </row>
        <row r="857">
          <cell r="A857" t="str">
            <v>BEA1983B</v>
          </cell>
          <cell r="B857" t="str">
            <v>Recibidas</v>
          </cell>
        </row>
        <row r="858">
          <cell r="A858" t="str">
            <v>BEA1984B</v>
          </cell>
          <cell r="B858" t="str">
            <v>Recibidas</v>
          </cell>
        </row>
        <row r="859">
          <cell r="A859" t="str">
            <v>BEA1985B</v>
          </cell>
          <cell r="B859" t="str">
            <v>Recibidas</v>
          </cell>
        </row>
        <row r="860">
          <cell r="A860" t="str">
            <v>BEA1986B</v>
          </cell>
          <cell r="B860" t="str">
            <v>Recibidas</v>
          </cell>
        </row>
        <row r="861">
          <cell r="A861" t="str">
            <v>BEA1989</v>
          </cell>
          <cell r="B861" t="str">
            <v>Extraídas</v>
          </cell>
        </row>
        <row r="862">
          <cell r="A862" t="str">
            <v>BEA1989B</v>
          </cell>
          <cell r="B862" t="str">
            <v>Recibidas</v>
          </cell>
        </row>
        <row r="863">
          <cell r="A863" t="str">
            <v>BEA1990</v>
          </cell>
          <cell r="B863" t="str">
            <v>Extraídas</v>
          </cell>
        </row>
        <row r="864">
          <cell r="A864" t="str">
            <v>BEA1990B</v>
          </cell>
          <cell r="B864" t="str">
            <v>Extraídas</v>
          </cell>
        </row>
        <row r="865">
          <cell r="A865" t="str">
            <v>BEA1991B</v>
          </cell>
          <cell r="B865" t="str">
            <v>Recibidas</v>
          </cell>
        </row>
        <row r="866">
          <cell r="A866" t="str">
            <v>BEA1992</v>
          </cell>
          <cell r="B866" t="str">
            <v>Extraídas</v>
          </cell>
        </row>
        <row r="867">
          <cell r="A867" t="str">
            <v>BEA1992B</v>
          </cell>
          <cell r="B867" t="str">
            <v>Recibidas</v>
          </cell>
        </row>
        <row r="868">
          <cell r="A868" t="str">
            <v>BEA1993_EUKA</v>
          </cell>
          <cell r="B868" t="str">
            <v>Extraídas</v>
          </cell>
        </row>
        <row r="869">
          <cell r="A869" t="str">
            <v>BEA1994</v>
          </cell>
          <cell r="B869" t="str">
            <v>Extraídas</v>
          </cell>
        </row>
        <row r="870">
          <cell r="A870" t="str">
            <v>BEA1995B</v>
          </cell>
          <cell r="B870" t="str">
            <v>Recibidas</v>
          </cell>
        </row>
        <row r="871">
          <cell r="A871" t="str">
            <v>BEA1996a</v>
          </cell>
          <cell r="B871" t="str">
            <v>Extraídas</v>
          </cell>
        </row>
        <row r="872">
          <cell r="A872" t="str">
            <v>BEA1996b</v>
          </cell>
          <cell r="B872" t="str">
            <v>Extraídas</v>
          </cell>
        </row>
        <row r="873">
          <cell r="A873" t="str">
            <v>BEA1996d</v>
          </cell>
          <cell r="B873" t="str">
            <v>Extraídas</v>
          </cell>
        </row>
        <row r="874">
          <cell r="A874" t="str">
            <v>BEA1997</v>
          </cell>
          <cell r="B874" t="str">
            <v>Extraídas</v>
          </cell>
        </row>
        <row r="875">
          <cell r="A875" t="str">
            <v>BEA1997B</v>
          </cell>
          <cell r="B875" t="str">
            <v>Recibidas</v>
          </cell>
        </row>
        <row r="876">
          <cell r="A876" t="str">
            <v>BEA1998B</v>
          </cell>
          <cell r="B876" t="str">
            <v>Recibidas</v>
          </cell>
        </row>
        <row r="877">
          <cell r="A877" t="str">
            <v>BEA1999</v>
          </cell>
          <cell r="B877" t="str">
            <v>Extraídas</v>
          </cell>
        </row>
        <row r="878">
          <cell r="A878" t="str">
            <v>BEA1999</v>
          </cell>
          <cell r="B878" t="str">
            <v>Extraídas</v>
          </cell>
        </row>
        <row r="879">
          <cell r="A879" t="str">
            <v>BEA1999B</v>
          </cell>
          <cell r="B879" t="str">
            <v>Recibidas</v>
          </cell>
        </row>
        <row r="880">
          <cell r="A880" t="str">
            <v>BEA1999B</v>
          </cell>
          <cell r="B880" t="str">
            <v>Extraídas</v>
          </cell>
        </row>
        <row r="881">
          <cell r="A881" t="str">
            <v>BEA2000a</v>
          </cell>
          <cell r="B881" t="str">
            <v>Extraídas</v>
          </cell>
        </row>
        <row r="882">
          <cell r="A882" t="str">
            <v>BEA2000b</v>
          </cell>
          <cell r="B882" t="str">
            <v>Recibidas</v>
          </cell>
        </row>
        <row r="883">
          <cell r="A883" t="str">
            <v>BEA2001a</v>
          </cell>
          <cell r="B883" t="str">
            <v>Extraídas</v>
          </cell>
        </row>
        <row r="884">
          <cell r="A884" t="str">
            <v>BEA2001b</v>
          </cell>
          <cell r="B884" t="str">
            <v>Recibidas</v>
          </cell>
        </row>
        <row r="885">
          <cell r="A885" t="str">
            <v>BEA2002</v>
          </cell>
          <cell r="B885" t="str">
            <v>Extraídas</v>
          </cell>
        </row>
        <row r="886">
          <cell r="A886" t="str">
            <v>BEA2002B</v>
          </cell>
          <cell r="B886" t="str">
            <v>Extraídas</v>
          </cell>
        </row>
        <row r="887">
          <cell r="A887" t="str">
            <v>BEA2003B</v>
          </cell>
          <cell r="B887" t="str">
            <v>Recibidas</v>
          </cell>
        </row>
        <row r="888">
          <cell r="A888" t="str">
            <v>BEA2005</v>
          </cell>
          <cell r="B888" t="str">
            <v>Extraídas</v>
          </cell>
        </row>
        <row r="889">
          <cell r="A889" t="str">
            <v>BEA2005B</v>
          </cell>
          <cell r="B889" t="str">
            <v>Recibidas</v>
          </cell>
        </row>
        <row r="890">
          <cell r="A890" t="str">
            <v>BEA2017_rbcLaF</v>
          </cell>
          <cell r="B890" t="str">
            <v>Extraídas</v>
          </cell>
        </row>
        <row r="891">
          <cell r="A891" t="str">
            <v>BEA2021a</v>
          </cell>
          <cell r="B891" t="str">
            <v>Extraídas</v>
          </cell>
        </row>
        <row r="892">
          <cell r="A892" t="str">
            <v>BEA2021b</v>
          </cell>
          <cell r="B892" t="str">
            <v>Extraídas</v>
          </cell>
        </row>
        <row r="893">
          <cell r="A893" t="str">
            <v>BEA2022</v>
          </cell>
          <cell r="B893" t="str">
            <v>Extraídas</v>
          </cell>
        </row>
        <row r="894">
          <cell r="A894" t="str">
            <v>BEA2023</v>
          </cell>
          <cell r="B894" t="str">
            <v>Extraídas</v>
          </cell>
        </row>
        <row r="895">
          <cell r="A895" t="str">
            <v>BEA2023</v>
          </cell>
          <cell r="B895" t="str">
            <v>Extraídas</v>
          </cell>
        </row>
        <row r="896">
          <cell r="A896" t="str">
            <v>BEA2024a</v>
          </cell>
          <cell r="B896" t="str">
            <v>Extraídas</v>
          </cell>
        </row>
        <row r="897">
          <cell r="A897" t="str">
            <v>BEA2024b</v>
          </cell>
          <cell r="B897" t="str">
            <v>Extraídas</v>
          </cell>
        </row>
        <row r="898">
          <cell r="A898" t="str">
            <v>BEA2025a</v>
          </cell>
          <cell r="B898" t="str">
            <v>Extraídas</v>
          </cell>
        </row>
        <row r="899">
          <cell r="A899" t="str">
            <v>BEA2025b</v>
          </cell>
          <cell r="B899" t="str">
            <v>Extraídas</v>
          </cell>
        </row>
        <row r="900">
          <cell r="A900" t="str">
            <v>BEA2025c</v>
          </cell>
          <cell r="B900" t="str">
            <v>Extraídas</v>
          </cell>
        </row>
        <row r="901">
          <cell r="A901" t="str">
            <v>BEA2028</v>
          </cell>
          <cell r="B901" t="str">
            <v>Extraídas</v>
          </cell>
        </row>
        <row r="902">
          <cell r="A902" t="str">
            <v>BEA2031</v>
          </cell>
          <cell r="B902" t="str">
            <v>Recibidas</v>
          </cell>
        </row>
        <row r="903">
          <cell r="A903" t="str">
            <v>BEA2031_27F</v>
          </cell>
          <cell r="B903" t="str">
            <v>Extraídas</v>
          </cell>
        </row>
        <row r="904">
          <cell r="A904" t="str">
            <v>BEA2031B</v>
          </cell>
          <cell r="B904" t="str">
            <v>Recibidas</v>
          </cell>
        </row>
        <row r="905">
          <cell r="A905" t="str">
            <v>BEA2032</v>
          </cell>
          <cell r="B905" t="str">
            <v>Extraídas</v>
          </cell>
        </row>
        <row r="906">
          <cell r="A906" t="str">
            <v>BEA2034_27F</v>
          </cell>
          <cell r="B906" t="str">
            <v>Extraídas</v>
          </cell>
        </row>
        <row r="907">
          <cell r="A907" t="str">
            <v>BEA2035</v>
          </cell>
          <cell r="B907" t="str">
            <v>Extraídas</v>
          </cell>
        </row>
        <row r="908">
          <cell r="A908" t="str">
            <v>BEA2035</v>
          </cell>
          <cell r="B908" t="str">
            <v>Extraídas</v>
          </cell>
        </row>
        <row r="909">
          <cell r="A909" t="str">
            <v>BEA2039</v>
          </cell>
          <cell r="B909" t="str">
            <v>Extraídas</v>
          </cell>
        </row>
        <row r="910">
          <cell r="A910" t="str">
            <v>BEA2039a</v>
          </cell>
          <cell r="B910" t="str">
            <v>Extraídas</v>
          </cell>
        </row>
        <row r="911">
          <cell r="A911" t="str">
            <v>BEA2039b</v>
          </cell>
          <cell r="B911" t="str">
            <v>Extraídas</v>
          </cell>
        </row>
        <row r="912">
          <cell r="A912" t="str">
            <v>BEA2039c</v>
          </cell>
          <cell r="B912" t="str">
            <v>Extraídas</v>
          </cell>
        </row>
        <row r="913">
          <cell r="A913" t="str">
            <v>BEA2039d</v>
          </cell>
          <cell r="B913" t="str">
            <v>Extraídas</v>
          </cell>
        </row>
        <row r="914">
          <cell r="A914" t="str">
            <v>BEA2039e</v>
          </cell>
          <cell r="B914" t="str">
            <v>Extraídas</v>
          </cell>
        </row>
        <row r="915">
          <cell r="A915" t="str">
            <v>BEA2039X2</v>
          </cell>
          <cell r="B915" t="str">
            <v>Extraídas</v>
          </cell>
        </row>
        <row r="916">
          <cell r="A916" t="str">
            <v>BEA2043B</v>
          </cell>
          <cell r="B916" t="str">
            <v>Recibidas</v>
          </cell>
        </row>
        <row r="917">
          <cell r="A917" t="str">
            <v>BEA2045B</v>
          </cell>
          <cell r="B917" t="str">
            <v>Recibidas</v>
          </cell>
        </row>
        <row r="918">
          <cell r="A918" t="str">
            <v>BEA2046B</v>
          </cell>
          <cell r="B918" t="str">
            <v>Recibidas</v>
          </cell>
        </row>
        <row r="919">
          <cell r="A919" t="str">
            <v>BEA2056</v>
          </cell>
          <cell r="B919" t="str">
            <v>Extraídas</v>
          </cell>
        </row>
        <row r="920">
          <cell r="A920" t="str">
            <v>BEA2057</v>
          </cell>
          <cell r="B920" t="str">
            <v>Extraídas</v>
          </cell>
        </row>
        <row r="921">
          <cell r="A921" t="str">
            <v>BEA2073B</v>
          </cell>
          <cell r="B921" t="str">
            <v>Recibidas</v>
          </cell>
        </row>
        <row r="922">
          <cell r="A922" t="str">
            <v>BEA2074B</v>
          </cell>
          <cell r="B922" t="str">
            <v>Recibidas</v>
          </cell>
        </row>
        <row r="923">
          <cell r="A923" t="str">
            <v>BEA2077B</v>
          </cell>
          <cell r="B923" t="str">
            <v>Recibidas</v>
          </cell>
        </row>
        <row r="924">
          <cell r="A924" t="str">
            <v>BEA2078</v>
          </cell>
          <cell r="B924" t="str">
            <v>Extraídas</v>
          </cell>
        </row>
        <row r="925">
          <cell r="A925" t="str">
            <v>BEA2079B</v>
          </cell>
          <cell r="B925" t="str">
            <v>Recibidas</v>
          </cell>
        </row>
        <row r="926">
          <cell r="A926" t="str">
            <v>BEA2079B</v>
          </cell>
          <cell r="B926" t="str">
            <v>Recibidas</v>
          </cell>
        </row>
        <row r="927">
          <cell r="A927" t="str">
            <v>BEA2082B</v>
          </cell>
          <cell r="B927" t="str">
            <v>Recibidas</v>
          </cell>
        </row>
        <row r="928">
          <cell r="A928" t="str">
            <v>BEA2083B</v>
          </cell>
          <cell r="B928" t="str">
            <v>Recibidas</v>
          </cell>
        </row>
        <row r="929">
          <cell r="A929" t="str">
            <v>BEA2087</v>
          </cell>
          <cell r="B929" t="str">
            <v>Extraídas</v>
          </cell>
        </row>
        <row r="930">
          <cell r="A930" t="str">
            <v>BEA2088</v>
          </cell>
          <cell r="B930" t="str">
            <v>Extraídas</v>
          </cell>
        </row>
        <row r="931">
          <cell r="A931" t="str">
            <v>BEA2090</v>
          </cell>
          <cell r="B931" t="str">
            <v>Extraídas</v>
          </cell>
        </row>
        <row r="932">
          <cell r="A932" t="str">
            <v>BEA2092B</v>
          </cell>
          <cell r="B932" t="str">
            <v>Recibidas</v>
          </cell>
        </row>
        <row r="933">
          <cell r="A933" t="str">
            <v>BEA2093B</v>
          </cell>
          <cell r="B933" t="str">
            <v>Recibidas</v>
          </cell>
        </row>
        <row r="934">
          <cell r="A934" t="str">
            <v>BEA2097B</v>
          </cell>
          <cell r="B934" t="str">
            <v>Recibidas</v>
          </cell>
        </row>
        <row r="935">
          <cell r="A935" t="str">
            <v>BEA2101</v>
          </cell>
          <cell r="B935" t="str">
            <v>Extraídas</v>
          </cell>
        </row>
        <row r="936">
          <cell r="A936" t="str">
            <v>BEA2103_27F</v>
          </cell>
          <cell r="B936" t="str">
            <v>Extraídas</v>
          </cell>
        </row>
        <row r="937">
          <cell r="A937" t="str">
            <v>BEA2106</v>
          </cell>
          <cell r="B937" t="str">
            <v>Extraídas</v>
          </cell>
        </row>
        <row r="938">
          <cell r="A938" t="str">
            <v>BEA2109</v>
          </cell>
          <cell r="B938" t="str">
            <v>Extraídas</v>
          </cell>
        </row>
        <row r="939">
          <cell r="A939" t="str">
            <v>BEA2126_27F</v>
          </cell>
          <cell r="B939" t="str">
            <v>Extraídas</v>
          </cell>
        </row>
        <row r="940">
          <cell r="A940" t="str">
            <v>BEA2127_27F</v>
          </cell>
          <cell r="B940" t="str">
            <v>Extraídas</v>
          </cell>
        </row>
        <row r="941">
          <cell r="A941" t="str">
            <v>BEA2131_27F</v>
          </cell>
          <cell r="B941" t="str">
            <v>Extraídas</v>
          </cell>
        </row>
        <row r="942">
          <cell r="A942" t="str">
            <v>BEA2132</v>
          </cell>
          <cell r="B942" t="str">
            <v>Extraídas</v>
          </cell>
        </row>
        <row r="943">
          <cell r="A943" t="str">
            <v>BEA2135B1</v>
          </cell>
          <cell r="B943" t="str">
            <v>Extraídas</v>
          </cell>
        </row>
        <row r="944">
          <cell r="A944" t="str">
            <v>BEA2135B2</v>
          </cell>
          <cell r="B944" t="str">
            <v>Extraídas</v>
          </cell>
        </row>
        <row r="945">
          <cell r="A945" t="str">
            <v>BEA2136B1</v>
          </cell>
          <cell r="B945" t="str">
            <v>Extraídas</v>
          </cell>
        </row>
        <row r="946">
          <cell r="A946" t="str">
            <v>BEA2136B2</v>
          </cell>
          <cell r="B946" t="str">
            <v>Extraídas</v>
          </cell>
        </row>
        <row r="947">
          <cell r="A947" t="str">
            <v>BEA2141B</v>
          </cell>
          <cell r="B947" t="str">
            <v>Recibidas</v>
          </cell>
        </row>
        <row r="948">
          <cell r="A948" t="str">
            <v>BEA2144B</v>
          </cell>
          <cell r="B948" t="str">
            <v>Recibidas</v>
          </cell>
        </row>
        <row r="949">
          <cell r="A949" t="str">
            <v>BEA2145B</v>
          </cell>
          <cell r="B949" t="str">
            <v>Recibidas</v>
          </cell>
        </row>
        <row r="950">
          <cell r="A950" t="str">
            <v>BEA2146B</v>
          </cell>
          <cell r="B950" t="str">
            <v>Recibidas</v>
          </cell>
        </row>
        <row r="951">
          <cell r="A951" t="str">
            <v>BEA2175B</v>
          </cell>
          <cell r="B951" t="str">
            <v>Recibidas</v>
          </cell>
        </row>
        <row r="952">
          <cell r="A952" t="str">
            <v>BEA2175B</v>
          </cell>
          <cell r="B952" t="str">
            <v>Extraídas</v>
          </cell>
        </row>
        <row r="953">
          <cell r="A953" t="str">
            <v>BEA2177B</v>
          </cell>
          <cell r="B953" t="str">
            <v>Extraídas</v>
          </cell>
        </row>
        <row r="954">
          <cell r="A954" t="str">
            <v>BEA2178B</v>
          </cell>
          <cell r="B954" t="str">
            <v>Extraídas</v>
          </cell>
        </row>
        <row r="955">
          <cell r="A955" t="str">
            <v>BEA2187B</v>
          </cell>
          <cell r="B955" t="str">
            <v>Extraídas</v>
          </cell>
        </row>
        <row r="956">
          <cell r="A956" t="str">
            <v>ENTREPBR_rbcLaF</v>
          </cell>
          <cell r="B956" t="str">
            <v>Extraídas</v>
          </cell>
        </row>
        <row r="957">
          <cell r="A957" t="str">
            <v>GLA7_EUKA</v>
          </cell>
          <cell r="B957" t="str">
            <v>Extraídas</v>
          </cell>
        </row>
        <row r="958">
          <cell r="A958" t="str">
            <v>GLH3_EUKA</v>
          </cell>
          <cell r="B958" t="str">
            <v>Extraídas</v>
          </cell>
        </row>
        <row r="959">
          <cell r="A959" t="str">
            <v>HL2G5_EUKA</v>
          </cell>
          <cell r="B959" t="str">
            <v>Extraídas</v>
          </cell>
        </row>
        <row r="960">
          <cell r="A960" t="str">
            <v>JOHN_ULVA</v>
          </cell>
          <cell r="B960" t="str">
            <v>Extraídas</v>
          </cell>
        </row>
        <row r="961">
          <cell r="A961" t="str">
            <v>LARA_MUESTRA</v>
          </cell>
          <cell r="B961" t="str">
            <v>Extraídas</v>
          </cell>
        </row>
        <row r="962">
          <cell r="A962" t="str">
            <v>LK2E2_EUKA</v>
          </cell>
          <cell r="B962" t="str">
            <v>Extraídas</v>
          </cell>
        </row>
        <row r="963">
          <cell r="A963" t="str">
            <v>MUESTRAFILTROITC</v>
          </cell>
          <cell r="B963" t="str">
            <v>Extraídas</v>
          </cell>
        </row>
        <row r="964">
          <cell r="A964" t="str">
            <v>P1.1 RP7</v>
          </cell>
          <cell r="B964" t="str">
            <v>EXTRAÍDAS</v>
          </cell>
        </row>
        <row r="965">
          <cell r="A965" t="str">
            <v>P1.1RP7</v>
          </cell>
          <cell r="B965" t="str">
            <v>Extraídas</v>
          </cell>
        </row>
        <row r="966">
          <cell r="A966" t="str">
            <v>PL1B8</v>
          </cell>
          <cell r="B966" t="str">
            <v>Extraídas</v>
          </cell>
        </row>
        <row r="967">
          <cell r="A967" t="str">
            <v>PL2 G5</v>
          </cell>
          <cell r="B967" t="str">
            <v>EXTRAÍDAS</v>
          </cell>
        </row>
        <row r="968">
          <cell r="A968" t="str">
            <v>PL2B3</v>
          </cell>
          <cell r="B968" t="str">
            <v>Extraídas</v>
          </cell>
        </row>
        <row r="969">
          <cell r="A969" t="str">
            <v>PL3A10</v>
          </cell>
          <cell r="B969" t="str">
            <v>Extraídas</v>
          </cell>
        </row>
        <row r="970">
          <cell r="A970" t="str">
            <v>PL3B10</v>
          </cell>
          <cell r="B970" t="str">
            <v>Extraídas</v>
          </cell>
        </row>
        <row r="971">
          <cell r="A971" t="str">
            <v>PL3B5</v>
          </cell>
          <cell r="B971" t="str">
            <v>Extraídas</v>
          </cell>
        </row>
        <row r="972">
          <cell r="A972" t="str">
            <v>PL3C1</v>
          </cell>
          <cell r="B972" t="str">
            <v>Extraídas</v>
          </cell>
        </row>
        <row r="973">
          <cell r="A973" t="str">
            <v>PL3D8</v>
          </cell>
          <cell r="B973" t="str">
            <v>Extraídas</v>
          </cell>
        </row>
        <row r="974">
          <cell r="A974" t="str">
            <v>PL3D8_EUKA</v>
          </cell>
          <cell r="B974" t="str">
            <v>Extraídas</v>
          </cell>
        </row>
        <row r="975">
          <cell r="A975" t="str">
            <v>PL3G1</v>
          </cell>
          <cell r="B975" t="str">
            <v>Extraídas</v>
          </cell>
        </row>
        <row r="976">
          <cell r="A976" t="str">
            <v>PL3MNB11_EUKA</v>
          </cell>
          <cell r="B976" t="str">
            <v>Extraídas</v>
          </cell>
        </row>
        <row r="977">
          <cell r="A977" t="str">
            <v>PL4 D10</v>
          </cell>
          <cell r="B977" t="str">
            <v>EXTRAÍDAS</v>
          </cell>
        </row>
        <row r="978">
          <cell r="A978" t="str">
            <v>PL4 E6</v>
          </cell>
          <cell r="B978" t="str">
            <v>EXTRAÍDAS</v>
          </cell>
        </row>
        <row r="979">
          <cell r="A979" t="str">
            <v>PL4D10</v>
          </cell>
          <cell r="B979" t="str">
            <v>Extraídas</v>
          </cell>
        </row>
        <row r="980">
          <cell r="A980" t="str">
            <v>PL4E6</v>
          </cell>
          <cell r="B980" t="str">
            <v>Extraídas</v>
          </cell>
        </row>
        <row r="981">
          <cell r="A981" t="str">
            <v>PL6 B2</v>
          </cell>
          <cell r="B981" t="str">
            <v>EXTRAÍDAS</v>
          </cell>
        </row>
        <row r="982">
          <cell r="A982" t="str">
            <v>PL6 D1</v>
          </cell>
          <cell r="B982" t="str">
            <v>EXTRAÍDAS</v>
          </cell>
        </row>
        <row r="983">
          <cell r="A983" t="str">
            <v>PL6 H10</v>
          </cell>
          <cell r="B983" t="str">
            <v>EXTRAÍDAS</v>
          </cell>
        </row>
        <row r="984">
          <cell r="A984" t="str">
            <v>PL7 E9</v>
          </cell>
          <cell r="B984" t="str">
            <v>EXTRAÍDAS</v>
          </cell>
        </row>
        <row r="985">
          <cell r="A985" t="str">
            <v>PL8 A7</v>
          </cell>
          <cell r="B985" t="str">
            <v>EXTRAÍDAS</v>
          </cell>
        </row>
        <row r="986">
          <cell r="A986" t="str">
            <v>PL8 B1</v>
          </cell>
          <cell r="B986" t="str">
            <v>EXTRAÍDAS</v>
          </cell>
        </row>
        <row r="987">
          <cell r="A987" t="str">
            <v>Playa Embarcadero</v>
          </cell>
          <cell r="B987" t="str">
            <v>EXTRAÍDAS</v>
          </cell>
        </row>
        <row r="988">
          <cell r="A988" t="str">
            <v>PLAYA_MALAGA</v>
          </cell>
          <cell r="B988" t="str">
            <v>Extraídas</v>
          </cell>
        </row>
        <row r="989">
          <cell r="A989" t="str">
            <v>Punto 9 Octubre</v>
          </cell>
          <cell r="B989" t="str">
            <v>EXTRAÍDAS</v>
          </cell>
        </row>
        <row r="990">
          <cell r="A990" t="str">
            <v>RBCH10_EUKA</v>
          </cell>
          <cell r="B990" t="str">
            <v>Extraídas</v>
          </cell>
        </row>
        <row r="991">
          <cell r="A991" t="str">
            <v>RD1A8_EUKA</v>
          </cell>
          <cell r="B991" t="str">
            <v>Extraídas</v>
          </cell>
        </row>
        <row r="992">
          <cell r="A992" t="str">
            <v>RD1F9_EUKA</v>
          </cell>
          <cell r="B992" t="str">
            <v>Extraídas</v>
          </cell>
        </row>
        <row r="993">
          <cell r="A993" t="str">
            <v>RDCE1_EUKA</v>
          </cell>
          <cell r="B993" t="str">
            <v>Extraídas</v>
          </cell>
        </row>
        <row r="994">
          <cell r="A994" t="str">
            <v>REC 0022</v>
          </cell>
          <cell r="B994" t="str">
            <v>Extraídas</v>
          </cell>
        </row>
        <row r="995">
          <cell r="A995" t="str">
            <v>REC 0022B</v>
          </cell>
          <cell r="B995" t="str">
            <v>EXTRAÍDAS</v>
          </cell>
        </row>
        <row r="996">
          <cell r="A996" t="str">
            <v>REC 0024B</v>
          </cell>
          <cell r="B996" t="str">
            <v>EXTRAÍDAS</v>
          </cell>
        </row>
        <row r="997">
          <cell r="A997" t="str">
            <v>REC 0031</v>
          </cell>
          <cell r="B997" t="str">
            <v>Extraídas</v>
          </cell>
        </row>
        <row r="998">
          <cell r="A998" t="str">
            <v>REC 0066</v>
          </cell>
          <cell r="B998" t="str">
            <v>Extraídas</v>
          </cell>
        </row>
        <row r="999">
          <cell r="A999" t="str">
            <v>REC 0067B</v>
          </cell>
          <cell r="B999" t="str">
            <v>EXTRAÍDAS</v>
          </cell>
        </row>
        <row r="1000">
          <cell r="A1000" t="str">
            <v>REC 0196B</v>
          </cell>
          <cell r="B1000" t="str">
            <v>EXTRAÍDAS</v>
          </cell>
        </row>
        <row r="1001">
          <cell r="A1001" t="str">
            <v>REC 0197B</v>
          </cell>
          <cell r="B1001" t="str">
            <v>EXTRAÍDAS</v>
          </cell>
        </row>
        <row r="1002">
          <cell r="A1002" t="str">
            <v>REC0067B</v>
          </cell>
          <cell r="B1002" t="str">
            <v>Recibidas</v>
          </cell>
        </row>
        <row r="1003">
          <cell r="A1003" t="str">
            <v>REC0196B</v>
          </cell>
          <cell r="B1003" t="str">
            <v>Recibidas</v>
          </cell>
        </row>
        <row r="1004">
          <cell r="A1004" t="str">
            <v>RH1B12_EUKA</v>
          </cell>
          <cell r="B1004" t="str">
            <v>Extraídas</v>
          </cell>
        </row>
        <row r="1005">
          <cell r="A1005" t="str">
            <v>RJ1A12_EUKA</v>
          </cell>
          <cell r="B1005" t="str">
            <v>Extraídas</v>
          </cell>
        </row>
        <row r="1006">
          <cell r="A1006" t="str">
            <v>RJ2A12_EUKA</v>
          </cell>
          <cell r="B1006" t="str">
            <v>Extraídas</v>
          </cell>
        </row>
        <row r="1007">
          <cell r="A1007" t="str">
            <v>RJ2C2_EUKA</v>
          </cell>
          <cell r="B1007" t="str">
            <v>Extraídas</v>
          </cell>
        </row>
        <row r="1008">
          <cell r="A1008" t="str">
            <v>RJ2D12_EUKA</v>
          </cell>
          <cell r="B1008" t="str">
            <v>Extraídas</v>
          </cell>
        </row>
        <row r="1009">
          <cell r="A1009" t="str">
            <v>RP1G7</v>
          </cell>
          <cell r="B1009" t="str">
            <v>Extraídas</v>
          </cell>
        </row>
        <row r="1010">
          <cell r="A1010" t="str">
            <v>RP9 1.1</v>
          </cell>
          <cell r="B1010" t="str">
            <v>EXTRAÍDAS</v>
          </cell>
        </row>
        <row r="1011">
          <cell r="A1011" t="str">
            <v>RP9 1.1a</v>
          </cell>
          <cell r="B1011" t="str">
            <v>EXTRAÍDAS</v>
          </cell>
        </row>
        <row r="1012">
          <cell r="A1012" t="str">
            <v>Salmuera ITC</v>
          </cell>
          <cell r="B1012" t="str">
            <v>EXTRAÍDAS</v>
          </cell>
        </row>
        <row r="1013">
          <cell r="A1013" t="str">
            <v>Salmuera ITC 2</v>
          </cell>
          <cell r="B1013" t="str">
            <v>EXTRAÍDAS</v>
          </cell>
        </row>
        <row r="1014">
          <cell r="A1014" t="str">
            <v>Salmuera ITC 3</v>
          </cell>
          <cell r="B1014" t="str">
            <v>EXTRAÍDAS</v>
          </cell>
        </row>
        <row r="1015">
          <cell r="A1015" t="str">
            <v>SalmueraITC_AMB_X1</v>
          </cell>
          <cell r="B1015" t="str">
            <v>Extraídas</v>
          </cell>
        </row>
        <row r="1016">
          <cell r="A1016" t="str">
            <v>SalmueraITC_AMB_X2</v>
          </cell>
          <cell r="B1016" t="str">
            <v>Extraídas</v>
          </cell>
        </row>
        <row r="1017">
          <cell r="A1017" t="str">
            <v>SalmueraITC_AMB_X3</v>
          </cell>
          <cell r="B1017" t="str">
            <v>Extraídas</v>
          </cell>
        </row>
        <row r="1018">
          <cell r="A1018" t="str">
            <v>Ulva aguadulce 2</v>
          </cell>
          <cell r="B1018" t="str">
            <v>EXTRAÍDAS</v>
          </cell>
        </row>
        <row r="1019">
          <cell r="A1019" t="str">
            <v>Ulva Sara 1</v>
          </cell>
          <cell r="B1019" t="str">
            <v>EXTRAÍDAS</v>
          </cell>
        </row>
        <row r="1020">
          <cell r="A1020" t="str">
            <v>Ulva Sara 1a</v>
          </cell>
          <cell r="B1020" t="str">
            <v>EXTRAÍDAS</v>
          </cell>
        </row>
        <row r="1021">
          <cell r="A1021" t="str">
            <v>Ulva_marisma_cadiz</v>
          </cell>
          <cell r="B1021" t="str">
            <v>Extraídas</v>
          </cell>
        </row>
        <row r="1022">
          <cell r="A1022" t="str">
            <v>Ulva_marisma_cadizx2</v>
          </cell>
          <cell r="B1022" t="str">
            <v>Extraídas</v>
          </cell>
        </row>
        <row r="1023">
          <cell r="A1023" t="str">
            <v>Ulva_RP</v>
          </cell>
          <cell r="B1023" t="str">
            <v>Extraídas</v>
          </cell>
        </row>
        <row r="1024">
          <cell r="A1024" t="str">
            <v>Val 7.2</v>
          </cell>
          <cell r="B1024" t="str">
            <v>EXTRAÍDAS</v>
          </cell>
        </row>
        <row r="1025">
          <cell r="A1025" t="str">
            <v>VAL7.2</v>
          </cell>
          <cell r="B1025" t="str">
            <v>Extraídas</v>
          </cell>
        </row>
      </sheetData>
      <sheetData sheetId="4">
        <row r="1">
          <cell r="A1" t="str">
            <v>Código</v>
          </cell>
          <cell r="B1" t="str">
            <v>Resultado</v>
          </cell>
        </row>
        <row r="2">
          <cell r="A2" t="str">
            <v>1.1_MARZO_ALGASAL</v>
          </cell>
          <cell r="B2" t="str">
            <v>Negativo</v>
          </cell>
        </row>
        <row r="3">
          <cell r="A3" t="str">
            <v>1.1_ITS</v>
          </cell>
          <cell r="B3" t="str">
            <v>Negativo</v>
          </cell>
        </row>
        <row r="4">
          <cell r="A4" t="str">
            <v>1.1_MARZO_ALGASAL</v>
          </cell>
          <cell r="B4" t="str">
            <v>Negativo</v>
          </cell>
        </row>
        <row r="5">
          <cell r="A5" t="str">
            <v>1.1_rbcLaF/LaR</v>
          </cell>
          <cell r="B5" t="str">
            <v>Positivo</v>
          </cell>
        </row>
        <row r="6">
          <cell r="A6" t="str">
            <v>1.1x2_TufA4/R</v>
          </cell>
          <cell r="B6" t="str">
            <v>Positivo</v>
          </cell>
        </row>
        <row r="7">
          <cell r="A7" t="str">
            <v>1.1x2_rbcLaF/LaR</v>
          </cell>
          <cell r="B7" t="str">
            <v>Negativo</v>
          </cell>
        </row>
        <row r="8">
          <cell r="A8" t="str">
            <v>1.2_ITS1</v>
          </cell>
          <cell r="B8" t="str">
            <v>Positivo</v>
          </cell>
        </row>
        <row r="9">
          <cell r="A9" t="str">
            <v>1.2_rbcLaF/LaR</v>
          </cell>
          <cell r="B9" t="str">
            <v>Positivo</v>
          </cell>
        </row>
        <row r="10">
          <cell r="A10" t="str">
            <v>1.3_MARZO_TufA4/R</v>
          </cell>
          <cell r="B10" t="str">
            <v>Positivo</v>
          </cell>
        </row>
        <row r="11">
          <cell r="A11" t="str">
            <v>1.3_ITS</v>
          </cell>
          <cell r="B11" t="str">
            <v>Negativo</v>
          </cell>
        </row>
        <row r="12">
          <cell r="A12" t="str">
            <v>1.3_MARZO_ALGASAL</v>
          </cell>
          <cell r="B12" t="str">
            <v>Negativo</v>
          </cell>
        </row>
        <row r="13">
          <cell r="A13" t="str">
            <v>1.3_rbcLaF/LaR</v>
          </cell>
          <cell r="B13" t="str">
            <v>Positivo</v>
          </cell>
        </row>
        <row r="14">
          <cell r="A14" t="str">
            <v>2.1_ITS1</v>
          </cell>
          <cell r="B14" t="str">
            <v>Positivo</v>
          </cell>
        </row>
        <row r="15">
          <cell r="A15" t="str">
            <v>2.1_rbcLaF/LaR</v>
          </cell>
          <cell r="B15" t="str">
            <v>Positivo</v>
          </cell>
        </row>
        <row r="16">
          <cell r="A16" t="str">
            <v>2.2_MARZO_ALGASAL</v>
          </cell>
          <cell r="B16" t="str">
            <v>Negativo</v>
          </cell>
        </row>
        <row r="17">
          <cell r="A17" t="str">
            <v>2.2_ITS</v>
          </cell>
          <cell r="B17" t="str">
            <v>Negativo</v>
          </cell>
        </row>
        <row r="18">
          <cell r="A18" t="str">
            <v>2.2_MARZO_ALGASAL</v>
          </cell>
          <cell r="B18" t="str">
            <v>Negativo</v>
          </cell>
        </row>
        <row r="19">
          <cell r="A19" t="str">
            <v>2.2_rbcLaF/LaR</v>
          </cell>
          <cell r="B19" t="str">
            <v>Negativo</v>
          </cell>
        </row>
        <row r="20">
          <cell r="A20" t="str">
            <v>2.3_MARZO_ALGASAL</v>
          </cell>
          <cell r="B20" t="str">
            <v>Negativo</v>
          </cell>
        </row>
        <row r="21">
          <cell r="A21" t="str">
            <v>2.3_ITS</v>
          </cell>
          <cell r="B21" t="str">
            <v>Negativo</v>
          </cell>
        </row>
        <row r="22">
          <cell r="A22" t="str">
            <v>2.3_MARZO_ALGASAL</v>
          </cell>
          <cell r="B22" t="str">
            <v>Negativo</v>
          </cell>
        </row>
        <row r="23">
          <cell r="A23" t="str">
            <v>2.3_rbcLaF/LaR</v>
          </cell>
          <cell r="B23" t="str">
            <v>Negativo</v>
          </cell>
        </row>
        <row r="24">
          <cell r="A24" t="str">
            <v>3.1</v>
          </cell>
          <cell r="B24" t="str">
            <v>Negativo</v>
          </cell>
        </row>
        <row r="25">
          <cell r="A25" t="str">
            <v>3.1_MARZO_ALGASAL</v>
          </cell>
          <cell r="B25" t="str">
            <v>Negativo</v>
          </cell>
        </row>
        <row r="26">
          <cell r="A26" t="str">
            <v>3.1_MARZO_ALGASAL</v>
          </cell>
          <cell r="B26" t="str">
            <v>Negativo</v>
          </cell>
        </row>
        <row r="27">
          <cell r="A27" t="str">
            <v>3.2</v>
          </cell>
          <cell r="B27" t="str">
            <v>Negativo</v>
          </cell>
        </row>
        <row r="28">
          <cell r="A28" t="str">
            <v>3.2_rbcLaF/LaR</v>
          </cell>
          <cell r="B28" t="str">
            <v>Negativo</v>
          </cell>
        </row>
        <row r="29">
          <cell r="A29" t="str">
            <v>A1.1_EUKA/B</v>
          </cell>
          <cell r="B29" t="str">
            <v>Positivo</v>
          </cell>
        </row>
        <row r="30">
          <cell r="A30" t="str">
            <v>A1.2_EUKA/B</v>
          </cell>
          <cell r="B30" t="str">
            <v>Positivo</v>
          </cell>
        </row>
        <row r="31">
          <cell r="A31" t="str">
            <v>A1.3_EUKA/B</v>
          </cell>
          <cell r="B31" t="str">
            <v>Positivo</v>
          </cell>
        </row>
        <row r="32">
          <cell r="A32" t="str">
            <v>A2.1_EUKA/B</v>
          </cell>
          <cell r="B32" t="str">
            <v>Positivo</v>
          </cell>
        </row>
        <row r="33">
          <cell r="A33" t="str">
            <v>A2.2_EUKA/B</v>
          </cell>
          <cell r="B33" t="str">
            <v>Negativo</v>
          </cell>
        </row>
        <row r="34">
          <cell r="A34" t="str">
            <v>A2.3_EUKA/B</v>
          </cell>
          <cell r="B34" t="str">
            <v>Negativo</v>
          </cell>
        </row>
        <row r="35">
          <cell r="A35" t="str">
            <v>A3.1_EUKA/B</v>
          </cell>
          <cell r="B35" t="str">
            <v>Negativo</v>
          </cell>
        </row>
        <row r="36">
          <cell r="A36" t="str">
            <v>A3.2_EUKA/B</v>
          </cell>
          <cell r="B36" t="str">
            <v>Positivo</v>
          </cell>
        </row>
        <row r="37">
          <cell r="A37" t="str">
            <v>AH1A10_EUKA/B</v>
          </cell>
          <cell r="B37" t="str">
            <v>Positivo</v>
          </cell>
        </row>
        <row r="38">
          <cell r="A38" t="str">
            <v>AH1H12_EUKA/B</v>
          </cell>
          <cell r="B38" t="str">
            <v>Positivo</v>
          </cell>
        </row>
        <row r="39">
          <cell r="A39" t="str">
            <v>AL_12</v>
          </cell>
          <cell r="B39" t="str">
            <v>Positivo</v>
          </cell>
        </row>
        <row r="40">
          <cell r="A40" t="str">
            <v>AL1_1Dx2</v>
          </cell>
          <cell r="B40" t="str">
            <v>Positivo</v>
          </cell>
        </row>
        <row r="41">
          <cell r="A41" t="str">
            <v>AL1_EUKA</v>
          </cell>
          <cell r="B41" t="str">
            <v>Positivo</v>
          </cell>
        </row>
        <row r="42">
          <cell r="A42" t="str">
            <v>AL1_ITS1</v>
          </cell>
          <cell r="B42" t="str">
            <v>Positivo</v>
          </cell>
        </row>
        <row r="43">
          <cell r="A43" t="str">
            <v>AL1_rbcLaF</v>
          </cell>
          <cell r="B43" t="str">
            <v>Positivo</v>
          </cell>
        </row>
        <row r="44">
          <cell r="A44" t="str">
            <v>AL1D_EUKA</v>
          </cell>
          <cell r="B44" t="str">
            <v>Positivo</v>
          </cell>
        </row>
        <row r="45">
          <cell r="A45" t="str">
            <v>BEA0037</v>
          </cell>
          <cell r="B45" t="str">
            <v>Negativo</v>
          </cell>
        </row>
        <row r="46">
          <cell r="A46" t="str">
            <v>BEA0037_781F/23S03R</v>
          </cell>
          <cell r="B46" t="str">
            <v>Positivo</v>
          </cell>
        </row>
        <row r="47">
          <cell r="A47" t="str">
            <v>BEA0088</v>
          </cell>
          <cell r="B47" t="str">
            <v>Negativo</v>
          </cell>
        </row>
        <row r="48">
          <cell r="A48" t="str">
            <v>BEA0088</v>
          </cell>
          <cell r="B48" t="str">
            <v>Negativo</v>
          </cell>
        </row>
        <row r="49">
          <cell r="A49" t="str">
            <v>BEA0089_27F/1494R</v>
          </cell>
          <cell r="B49" t="str">
            <v>Positivo</v>
          </cell>
        </row>
        <row r="50">
          <cell r="A50" t="str">
            <v>BEA0095_781F/23S03R</v>
          </cell>
          <cell r="B50" t="str">
            <v>Positivo</v>
          </cell>
        </row>
        <row r="51">
          <cell r="A51" t="str">
            <v>BEA0247_781F/23S03R</v>
          </cell>
          <cell r="B51" t="str">
            <v>Positivo</v>
          </cell>
        </row>
        <row r="52">
          <cell r="A52" t="str">
            <v>BEA0297</v>
          </cell>
          <cell r="B52" t="str">
            <v>Positivo</v>
          </cell>
        </row>
        <row r="53">
          <cell r="A53" t="str">
            <v>BEA0297_2</v>
          </cell>
          <cell r="B53" t="str">
            <v>Positivo</v>
          </cell>
        </row>
        <row r="54">
          <cell r="A54" t="str">
            <v>BEA0300</v>
          </cell>
          <cell r="B54" t="str">
            <v>Positivo</v>
          </cell>
        </row>
        <row r="55">
          <cell r="A55" t="str">
            <v>BEA0300</v>
          </cell>
          <cell r="B55" t="str">
            <v>Negativo</v>
          </cell>
        </row>
        <row r="56">
          <cell r="A56" t="str">
            <v>BEA0300</v>
          </cell>
          <cell r="B56" t="str">
            <v>Negativo</v>
          </cell>
        </row>
        <row r="57">
          <cell r="A57" t="str">
            <v>BEA0300_27F</v>
          </cell>
          <cell r="B57" t="str">
            <v>Positivo</v>
          </cell>
        </row>
        <row r="58">
          <cell r="A58" t="str">
            <v>BEA0300_781F</v>
          </cell>
          <cell r="B58" t="str">
            <v>Positivo</v>
          </cell>
        </row>
        <row r="59">
          <cell r="A59" t="str">
            <v>BEA0300_781F/23S</v>
          </cell>
          <cell r="B59" t="str">
            <v>Positivo</v>
          </cell>
        </row>
        <row r="60">
          <cell r="A60" t="str">
            <v>BEA0300ITS</v>
          </cell>
          <cell r="B60" t="str">
            <v>Negativo</v>
          </cell>
        </row>
        <row r="61">
          <cell r="A61" t="str">
            <v>BEA0300X2_781/23S</v>
          </cell>
          <cell r="B61" t="str">
            <v>Positivo</v>
          </cell>
        </row>
        <row r="62">
          <cell r="A62" t="str">
            <v>BEA0300X4_781/23S</v>
          </cell>
          <cell r="B62" t="str">
            <v>Positivo</v>
          </cell>
        </row>
        <row r="63">
          <cell r="A63" t="str">
            <v>BEA0431_781F_23S03R</v>
          </cell>
          <cell r="B63" t="str">
            <v>Positivo</v>
          </cell>
        </row>
        <row r="64">
          <cell r="A64" t="str">
            <v>BEA0431_781F_23S03R</v>
          </cell>
          <cell r="B64" t="str">
            <v>Positivo</v>
          </cell>
        </row>
        <row r="65">
          <cell r="A65" t="str">
            <v>BEA0441</v>
          </cell>
          <cell r="B65" t="str">
            <v>Positivo</v>
          </cell>
        </row>
        <row r="66">
          <cell r="A66" t="str">
            <v>BEA0456B_EUKA</v>
          </cell>
          <cell r="B66" t="str">
            <v>Positivo</v>
          </cell>
        </row>
        <row r="67">
          <cell r="A67" t="str">
            <v>BEA0473</v>
          </cell>
          <cell r="B67" t="str">
            <v>Negativo</v>
          </cell>
        </row>
        <row r="68">
          <cell r="A68" t="str">
            <v>BEA0473</v>
          </cell>
          <cell r="B68" t="str">
            <v>Negativo</v>
          </cell>
        </row>
        <row r="69">
          <cell r="A69" t="str">
            <v>BEA0473_27F/1494R</v>
          </cell>
          <cell r="B69" t="str">
            <v>Positivo</v>
          </cell>
        </row>
        <row r="70">
          <cell r="A70" t="str">
            <v>BEA0473_781F/23S03R</v>
          </cell>
          <cell r="B70" t="str">
            <v>Positivo</v>
          </cell>
        </row>
        <row r="71">
          <cell r="A71" t="str">
            <v>BEA0473X2_781/23S</v>
          </cell>
          <cell r="B71" t="str">
            <v>Positivo</v>
          </cell>
        </row>
        <row r="72">
          <cell r="A72" t="str">
            <v>BEA0478_781F/23S03R</v>
          </cell>
          <cell r="B72" t="str">
            <v>Positivo</v>
          </cell>
        </row>
        <row r="73">
          <cell r="A73" t="str">
            <v>BEA0484</v>
          </cell>
          <cell r="B73" t="str">
            <v>Positivo</v>
          </cell>
        </row>
        <row r="74">
          <cell r="A74" t="str">
            <v>BEA0589</v>
          </cell>
          <cell r="B74" t="str">
            <v>Positivo</v>
          </cell>
        </row>
        <row r="75">
          <cell r="A75" t="str">
            <v>BEA0742B_EUKA/B</v>
          </cell>
          <cell r="B75" t="str">
            <v>Positivo</v>
          </cell>
        </row>
        <row r="76">
          <cell r="A76" t="str">
            <v>BEA0742B_ITS</v>
          </cell>
          <cell r="B76" t="str">
            <v>Positivo</v>
          </cell>
        </row>
        <row r="77">
          <cell r="A77" t="str">
            <v>BEA0837_EUKA</v>
          </cell>
          <cell r="B77" t="str">
            <v>Positivo</v>
          </cell>
        </row>
        <row r="78">
          <cell r="A78" t="str">
            <v>BEA0850</v>
          </cell>
          <cell r="B78" t="str">
            <v>Positivo</v>
          </cell>
        </row>
        <row r="79">
          <cell r="A79" t="str">
            <v>BEA0852_781F/23S03R</v>
          </cell>
          <cell r="B79" t="str">
            <v>Positivo</v>
          </cell>
        </row>
        <row r="80">
          <cell r="A80" t="str">
            <v>BEA0854_27F/1494R</v>
          </cell>
          <cell r="B80" t="str">
            <v>Positivo</v>
          </cell>
        </row>
        <row r="81">
          <cell r="A81" t="str">
            <v>BEA0906__781F/23S03R</v>
          </cell>
          <cell r="B81" t="str">
            <v>Positivo</v>
          </cell>
        </row>
        <row r="82">
          <cell r="A82" t="str">
            <v>BEA0918_27F/1494R</v>
          </cell>
          <cell r="B82" t="str">
            <v>Positivo</v>
          </cell>
        </row>
        <row r="83">
          <cell r="A83" t="str">
            <v>BEA0928</v>
          </cell>
          <cell r="B83" t="str">
            <v>Positivo</v>
          </cell>
        </row>
        <row r="84">
          <cell r="A84" t="str">
            <v>BEA0965__781F/23S03R</v>
          </cell>
          <cell r="B84" t="str">
            <v>Positivo</v>
          </cell>
        </row>
        <row r="85">
          <cell r="A85" t="str">
            <v>BEA0984_27F/1494R</v>
          </cell>
          <cell r="B85" t="str">
            <v>Positivo</v>
          </cell>
        </row>
        <row r="86">
          <cell r="A86" t="str">
            <v>BEA0998_rbcLaF/LaR</v>
          </cell>
          <cell r="B86" t="str">
            <v>Negativo</v>
          </cell>
        </row>
        <row r="87">
          <cell r="A87" t="str">
            <v>BEA1021_781F/23S03R</v>
          </cell>
          <cell r="B87" t="str">
            <v>Positivo</v>
          </cell>
        </row>
        <row r="88">
          <cell r="A88" t="str">
            <v>BEA1025</v>
          </cell>
          <cell r="B88" t="str">
            <v>Negativo</v>
          </cell>
        </row>
        <row r="89">
          <cell r="A89" t="str">
            <v>BEA1025_781/23S</v>
          </cell>
          <cell r="B89" t="str">
            <v>Negativo</v>
          </cell>
        </row>
        <row r="90">
          <cell r="A90" t="str">
            <v>BEA1041</v>
          </cell>
          <cell r="B90" t="str">
            <v>Negativo</v>
          </cell>
        </row>
        <row r="91">
          <cell r="A91" t="str">
            <v>BEA1041_23S</v>
          </cell>
          <cell r="B91" t="str">
            <v>Negativo</v>
          </cell>
        </row>
        <row r="92">
          <cell r="A92" t="str">
            <v>BEA1049_781/23S</v>
          </cell>
          <cell r="B92" t="str">
            <v>Positivo</v>
          </cell>
        </row>
        <row r="93">
          <cell r="A93" t="str">
            <v>BEA1049_781F/23S03R</v>
          </cell>
          <cell r="B93" t="str">
            <v>Positivo</v>
          </cell>
        </row>
        <row r="94">
          <cell r="A94" t="str">
            <v>BEA1054_27F/1494R</v>
          </cell>
          <cell r="B94" t="str">
            <v>Positivo</v>
          </cell>
        </row>
        <row r="95">
          <cell r="A95" t="str">
            <v>BEA1058</v>
          </cell>
          <cell r="B95" t="str">
            <v>Negativo</v>
          </cell>
        </row>
        <row r="96">
          <cell r="A96" t="str">
            <v>BEA1058_781/23S</v>
          </cell>
          <cell r="B96" t="str">
            <v>Positivo</v>
          </cell>
        </row>
        <row r="97">
          <cell r="A97" t="str">
            <v>BEA1059</v>
          </cell>
          <cell r="B97" t="str">
            <v>Negativo</v>
          </cell>
        </row>
        <row r="98">
          <cell r="A98" t="str">
            <v>BEA1059_27F/1494R</v>
          </cell>
          <cell r="B98" t="str">
            <v>Positivo</v>
          </cell>
        </row>
        <row r="99">
          <cell r="A99" t="str">
            <v>BEA1069_781F/23S03R</v>
          </cell>
          <cell r="B99" t="str">
            <v>Positivo</v>
          </cell>
        </row>
        <row r="100">
          <cell r="A100" t="str">
            <v>BEA1077</v>
          </cell>
          <cell r="B100" t="str">
            <v>Negativo</v>
          </cell>
        </row>
        <row r="101">
          <cell r="A101" t="str">
            <v>BEA1077_781/23S</v>
          </cell>
          <cell r="B101" t="str">
            <v>Negativo</v>
          </cell>
        </row>
        <row r="102">
          <cell r="A102" t="str">
            <v>BEA1150</v>
          </cell>
          <cell r="B102" t="str">
            <v>Negativo</v>
          </cell>
        </row>
        <row r="103">
          <cell r="A103" t="str">
            <v>BEA1175_781F/23S03R</v>
          </cell>
          <cell r="B103" t="str">
            <v>Positivo</v>
          </cell>
        </row>
        <row r="104">
          <cell r="A104" t="str">
            <v>BEA1180__781F/23S03R</v>
          </cell>
          <cell r="B104" t="str">
            <v>Positivo</v>
          </cell>
        </row>
        <row r="105">
          <cell r="A105" t="str">
            <v>BEA1190</v>
          </cell>
          <cell r="B105" t="str">
            <v>Negativo</v>
          </cell>
        </row>
        <row r="106">
          <cell r="A106" t="str">
            <v>BEA1192</v>
          </cell>
          <cell r="B106" t="str">
            <v>Positivo</v>
          </cell>
        </row>
        <row r="107">
          <cell r="A107" t="str">
            <v>BEA1195_rbcLaF/LaR</v>
          </cell>
          <cell r="B107" t="str">
            <v>Positivo</v>
          </cell>
        </row>
        <row r="108">
          <cell r="A108" t="str">
            <v>BEA1201_781F/23S03R</v>
          </cell>
          <cell r="B108" t="str">
            <v>Positivo</v>
          </cell>
        </row>
        <row r="109">
          <cell r="A109" t="str">
            <v>BEA1218_781/23S</v>
          </cell>
          <cell r="B109" t="str">
            <v>Negativo</v>
          </cell>
        </row>
        <row r="110">
          <cell r="A110" t="str">
            <v>BEA1218_781F/23S03R</v>
          </cell>
          <cell r="B110" t="str">
            <v>Positivo</v>
          </cell>
        </row>
        <row r="111">
          <cell r="A111" t="str">
            <v>BEA1224</v>
          </cell>
          <cell r="B111" t="str">
            <v>Positivo</v>
          </cell>
        </row>
        <row r="112">
          <cell r="A112" t="str">
            <v>BEA1228_27F/1494R</v>
          </cell>
          <cell r="B112" t="str">
            <v>Positivo</v>
          </cell>
        </row>
        <row r="113">
          <cell r="A113" t="str">
            <v>BEA1229</v>
          </cell>
          <cell r="B113" t="str">
            <v>Negativo</v>
          </cell>
        </row>
        <row r="114">
          <cell r="A114" t="str">
            <v>BEA1229_27F/1494R</v>
          </cell>
          <cell r="B114" t="str">
            <v>Positivo</v>
          </cell>
        </row>
        <row r="115">
          <cell r="A115" t="str">
            <v>BEA1237</v>
          </cell>
          <cell r="B115" t="str">
            <v>Negativo</v>
          </cell>
        </row>
        <row r="116">
          <cell r="A116" t="str">
            <v>BEA1237_781F/23S03R</v>
          </cell>
          <cell r="B116" t="str">
            <v>Positivo</v>
          </cell>
        </row>
        <row r="117">
          <cell r="A117" t="str">
            <v>BEA1241_27F/1494R</v>
          </cell>
          <cell r="B117" t="str">
            <v>Positivo</v>
          </cell>
        </row>
        <row r="118">
          <cell r="A118" t="str">
            <v>BEA1253</v>
          </cell>
          <cell r="B118" t="str">
            <v>Positivo</v>
          </cell>
        </row>
        <row r="119">
          <cell r="A119" t="str">
            <v>BEA1253_781/23S</v>
          </cell>
          <cell r="B119" t="str">
            <v>Positivo</v>
          </cell>
        </row>
        <row r="120">
          <cell r="A120" t="str">
            <v>BEA1256</v>
          </cell>
          <cell r="B120" t="str">
            <v>Negativo</v>
          </cell>
        </row>
        <row r="121">
          <cell r="A121" t="str">
            <v>BEA1275</v>
          </cell>
          <cell r="B121" t="str">
            <v>Positivo</v>
          </cell>
        </row>
        <row r="122">
          <cell r="A122" t="str">
            <v>BEA1277</v>
          </cell>
          <cell r="B122" t="str">
            <v>Positivo</v>
          </cell>
        </row>
        <row r="123">
          <cell r="A123" t="str">
            <v>BEA1279</v>
          </cell>
          <cell r="B123" t="str">
            <v>Positivo</v>
          </cell>
        </row>
        <row r="124">
          <cell r="A124" t="str">
            <v>BEA1280</v>
          </cell>
          <cell r="B124" t="str">
            <v>Positivo</v>
          </cell>
        </row>
        <row r="125">
          <cell r="A125" t="str">
            <v>BEA1280</v>
          </cell>
          <cell r="B125" t="str">
            <v>Negativo</v>
          </cell>
        </row>
        <row r="126">
          <cell r="A126" t="str">
            <v>BEA1280_781/23S</v>
          </cell>
          <cell r="B126" t="str">
            <v>Positivo</v>
          </cell>
        </row>
        <row r="127">
          <cell r="A127" t="str">
            <v>BEA1292_27F/1494R</v>
          </cell>
          <cell r="B127" t="str">
            <v>Positivo</v>
          </cell>
        </row>
        <row r="128">
          <cell r="A128" t="str">
            <v>BEA1303_27F/1494R</v>
          </cell>
          <cell r="B128" t="str">
            <v>Positivo</v>
          </cell>
        </row>
        <row r="129">
          <cell r="A129" t="str">
            <v>BEA1304_781/23S</v>
          </cell>
          <cell r="B129" t="str">
            <v>Positivo</v>
          </cell>
        </row>
        <row r="130">
          <cell r="A130" t="str">
            <v>BEA1312_27F/1494R</v>
          </cell>
          <cell r="B130" t="str">
            <v>Positivo</v>
          </cell>
        </row>
        <row r="131">
          <cell r="A131" t="str">
            <v>BEA1322</v>
          </cell>
          <cell r="B131" t="str">
            <v>Negativo</v>
          </cell>
        </row>
        <row r="132">
          <cell r="A132" t="str">
            <v>BEA1322</v>
          </cell>
          <cell r="B132" t="str">
            <v>Positivo</v>
          </cell>
        </row>
        <row r="133">
          <cell r="A133" t="str">
            <v>BEA1329_781/23S</v>
          </cell>
          <cell r="B133" t="str">
            <v>Positivo</v>
          </cell>
        </row>
        <row r="134">
          <cell r="A134" t="str">
            <v>BEA1329_781F/23S03R</v>
          </cell>
          <cell r="B134" t="str">
            <v>Positivo</v>
          </cell>
        </row>
        <row r="135">
          <cell r="A135" t="str">
            <v>BEA1335_781F/23S03R</v>
          </cell>
          <cell r="B135" t="str">
            <v>Positivo</v>
          </cell>
        </row>
        <row r="136">
          <cell r="A136" t="str">
            <v>BEA1341_781/23S</v>
          </cell>
          <cell r="B136" t="str">
            <v>Positivo</v>
          </cell>
        </row>
        <row r="137">
          <cell r="A137" t="str">
            <v>BEA1358_781/23S</v>
          </cell>
          <cell r="B137" t="str">
            <v>Positivo</v>
          </cell>
        </row>
        <row r="138">
          <cell r="A138" t="str">
            <v>BEA1378_781F/23S03R</v>
          </cell>
          <cell r="B138" t="str">
            <v>Positivo</v>
          </cell>
        </row>
        <row r="139">
          <cell r="A139" t="str">
            <v>BEA1383</v>
          </cell>
          <cell r="B139" t="str">
            <v>Negativo</v>
          </cell>
        </row>
        <row r="140">
          <cell r="A140" t="str">
            <v>BEA1383</v>
          </cell>
          <cell r="B140" t="str">
            <v>NEGATIVO</v>
          </cell>
        </row>
        <row r="141">
          <cell r="A141" t="str">
            <v>BEA1391</v>
          </cell>
          <cell r="B141" t="str">
            <v>Negativo</v>
          </cell>
        </row>
        <row r="142">
          <cell r="A142" t="str">
            <v>BEA1391_27F</v>
          </cell>
          <cell r="B142" t="str">
            <v>Positivo</v>
          </cell>
        </row>
        <row r="143">
          <cell r="A143" t="str">
            <v>BEA1391_rbcLaF</v>
          </cell>
          <cell r="B143" t="str">
            <v>Positivo</v>
          </cell>
        </row>
        <row r="144">
          <cell r="A144" t="str">
            <v>BEA1395</v>
          </cell>
          <cell r="B144" t="str">
            <v>Negativo</v>
          </cell>
        </row>
        <row r="145">
          <cell r="A145" t="str">
            <v>BEA1395_rbcLaF/LaR</v>
          </cell>
          <cell r="B145" t="str">
            <v>Positivo</v>
          </cell>
        </row>
        <row r="146">
          <cell r="A146" t="str">
            <v>BEA1427_27F/1494R</v>
          </cell>
          <cell r="B146" t="str">
            <v>Positivo</v>
          </cell>
        </row>
        <row r="147">
          <cell r="A147" t="str">
            <v>BEA1430</v>
          </cell>
          <cell r="B147" t="str">
            <v>Negativo</v>
          </cell>
        </row>
        <row r="148">
          <cell r="A148" t="str">
            <v>BEA1437_27F/1494R</v>
          </cell>
          <cell r="B148" t="str">
            <v>Positivo</v>
          </cell>
        </row>
        <row r="149">
          <cell r="A149" t="str">
            <v>BEA1438_27F/1494R</v>
          </cell>
          <cell r="B149" t="str">
            <v>Positivo</v>
          </cell>
        </row>
        <row r="150">
          <cell r="A150" t="str">
            <v>BEA1456_781F/23S03R</v>
          </cell>
          <cell r="B150" t="str">
            <v>Positivo</v>
          </cell>
        </row>
        <row r="151">
          <cell r="A151" t="str">
            <v>BEA1461_27F/1494R</v>
          </cell>
          <cell r="B151" t="str">
            <v>Negativo</v>
          </cell>
        </row>
        <row r="152">
          <cell r="A152" t="str">
            <v>BEA1463</v>
          </cell>
          <cell r="B152" t="str">
            <v>Negativo</v>
          </cell>
        </row>
        <row r="153">
          <cell r="A153" t="str">
            <v>BEA1463_27F/1494R</v>
          </cell>
          <cell r="B153" t="str">
            <v>Positivo</v>
          </cell>
        </row>
        <row r="154">
          <cell r="A154" t="str">
            <v>BEA1469_27F/1494R</v>
          </cell>
          <cell r="B154" t="str">
            <v>Positivo</v>
          </cell>
        </row>
        <row r="155">
          <cell r="A155" t="str">
            <v>BEA1472</v>
          </cell>
          <cell r="B155" t="str">
            <v>NEGATIVO</v>
          </cell>
        </row>
        <row r="156">
          <cell r="A156" t="str">
            <v>BEA1472_27F/1494R</v>
          </cell>
          <cell r="B156" t="str">
            <v>Negativo</v>
          </cell>
        </row>
        <row r="157">
          <cell r="A157" t="str">
            <v>BEA1473</v>
          </cell>
          <cell r="B157" t="str">
            <v>Positivo</v>
          </cell>
        </row>
        <row r="158">
          <cell r="A158" t="str">
            <v>BEA1482_781F/23S03R</v>
          </cell>
          <cell r="B158" t="str">
            <v>Positivo</v>
          </cell>
        </row>
        <row r="159">
          <cell r="A159" t="str">
            <v>BEA1483_27F/1494R</v>
          </cell>
          <cell r="B159" t="str">
            <v>Positivo</v>
          </cell>
        </row>
        <row r="160">
          <cell r="A160" t="str">
            <v>BEA1504</v>
          </cell>
          <cell r="B160" t="str">
            <v>Negativo</v>
          </cell>
        </row>
        <row r="161">
          <cell r="A161" t="str">
            <v>BEA1506</v>
          </cell>
          <cell r="B161" t="str">
            <v>Negativo</v>
          </cell>
        </row>
        <row r="162">
          <cell r="A162" t="str">
            <v>bea1506</v>
          </cell>
          <cell r="B162" t="str">
            <v>Negativo</v>
          </cell>
        </row>
        <row r="163">
          <cell r="A163" t="str">
            <v>BEA1506_781F/23S03R</v>
          </cell>
          <cell r="B163" t="str">
            <v>Positivo</v>
          </cell>
        </row>
        <row r="164">
          <cell r="A164" t="str">
            <v>BEA1509_781F/23S03R</v>
          </cell>
          <cell r="B164" t="str">
            <v>Positivo</v>
          </cell>
        </row>
        <row r="165">
          <cell r="A165" t="str">
            <v>BEA1516</v>
          </cell>
          <cell r="B165" t="str">
            <v>Negativo</v>
          </cell>
        </row>
        <row r="166">
          <cell r="A166" t="str">
            <v>BEA1517</v>
          </cell>
          <cell r="B166" t="str">
            <v>Positivo</v>
          </cell>
        </row>
        <row r="167">
          <cell r="A167" t="str">
            <v>BEA1526</v>
          </cell>
          <cell r="B167" t="str">
            <v>Negativo</v>
          </cell>
        </row>
        <row r="168">
          <cell r="A168" t="str">
            <v>BEA1533_27F_1494R</v>
          </cell>
          <cell r="B168" t="str">
            <v>Negativo</v>
          </cell>
        </row>
        <row r="169">
          <cell r="A169" t="str">
            <v>BEA1534</v>
          </cell>
          <cell r="B169" t="str">
            <v>Positivo</v>
          </cell>
        </row>
        <row r="170">
          <cell r="A170" t="str">
            <v>BEA1535_27F/1494R</v>
          </cell>
          <cell r="B170" t="str">
            <v>Positivo</v>
          </cell>
        </row>
        <row r="171">
          <cell r="A171" t="str">
            <v>BEA1535_27F/1494R</v>
          </cell>
          <cell r="B171" t="str">
            <v>Positivo</v>
          </cell>
        </row>
        <row r="172">
          <cell r="A172" t="str">
            <v>BEA1537_27F/1494R</v>
          </cell>
          <cell r="B172" t="str">
            <v>Positivo</v>
          </cell>
        </row>
        <row r="173">
          <cell r="A173" t="str">
            <v>BEA1542_27F/1494R</v>
          </cell>
          <cell r="B173" t="str">
            <v>Negativo</v>
          </cell>
        </row>
        <row r="174">
          <cell r="A174" t="str">
            <v>BEA1542_27F/1494R</v>
          </cell>
          <cell r="B174" t="str">
            <v>Positivo</v>
          </cell>
        </row>
        <row r="175">
          <cell r="A175" t="str">
            <v>BEA1543</v>
          </cell>
          <cell r="B175" t="str">
            <v>Negativo</v>
          </cell>
        </row>
        <row r="176">
          <cell r="A176" t="str">
            <v>BEA1543_27F/1494R</v>
          </cell>
          <cell r="B176" t="str">
            <v>NEGATIVO</v>
          </cell>
        </row>
        <row r="177">
          <cell r="A177" t="str">
            <v>BEA1544</v>
          </cell>
          <cell r="B177" t="str">
            <v>Negativo</v>
          </cell>
        </row>
        <row r="178">
          <cell r="A178" t="str">
            <v>BEA1547</v>
          </cell>
          <cell r="B178" t="str">
            <v>Positivo</v>
          </cell>
        </row>
        <row r="179">
          <cell r="A179" t="str">
            <v>BEA1554_27F_1494R</v>
          </cell>
          <cell r="B179" t="str">
            <v>Negativo</v>
          </cell>
        </row>
        <row r="180">
          <cell r="A180" t="str">
            <v>BEA1555_27F_1494R</v>
          </cell>
          <cell r="B180" t="str">
            <v>Negativo</v>
          </cell>
        </row>
        <row r="181">
          <cell r="A181" t="str">
            <v>BEA1557_27F/1494R</v>
          </cell>
          <cell r="B181" t="str">
            <v>Positivo</v>
          </cell>
        </row>
        <row r="182">
          <cell r="A182" t="str">
            <v>BEA1558_27F_1494R</v>
          </cell>
          <cell r="B182" t="str">
            <v>Negativo</v>
          </cell>
        </row>
        <row r="183">
          <cell r="A183" t="str">
            <v>BEA1559</v>
          </cell>
          <cell r="B183" t="str">
            <v>Positivo</v>
          </cell>
        </row>
        <row r="184">
          <cell r="A184" t="str">
            <v>AL5_A11_18S001F_13R</v>
          </cell>
          <cell r="B184" t="str">
            <v>Positivo</v>
          </cell>
        </row>
        <row r="185">
          <cell r="A185" t="str">
            <v>BEA1562_27F_1494R</v>
          </cell>
          <cell r="B185" t="str">
            <v>Positivo</v>
          </cell>
        </row>
        <row r="186">
          <cell r="A186" t="str">
            <v>BEA1564_27F/1494R</v>
          </cell>
          <cell r="B186" t="str">
            <v>Positivo</v>
          </cell>
        </row>
        <row r="187">
          <cell r="A187" t="str">
            <v>BEA1565</v>
          </cell>
          <cell r="B187" t="str">
            <v>Negativo</v>
          </cell>
        </row>
        <row r="188">
          <cell r="A188" t="str">
            <v>BEA1566</v>
          </cell>
          <cell r="B188" t="str">
            <v>Negativo</v>
          </cell>
        </row>
        <row r="189">
          <cell r="A189" t="str">
            <v>BEA1567_27F_1494R</v>
          </cell>
          <cell r="B189" t="str">
            <v>Positivo</v>
          </cell>
        </row>
        <row r="190">
          <cell r="A190" t="str">
            <v>BEA1568</v>
          </cell>
          <cell r="B190" t="str">
            <v>Negativo</v>
          </cell>
        </row>
        <row r="191">
          <cell r="A191" t="str">
            <v>BEA1568_27F/1494R</v>
          </cell>
          <cell r="B191" t="str">
            <v>Positivo</v>
          </cell>
        </row>
        <row r="192">
          <cell r="A192" t="str">
            <v>BEA1569_27F/1494R</v>
          </cell>
          <cell r="B192" t="str">
            <v>Positivo</v>
          </cell>
        </row>
        <row r="193">
          <cell r="A193" t="str">
            <v>BEA1570</v>
          </cell>
          <cell r="B193" t="str">
            <v>Negativo</v>
          </cell>
        </row>
        <row r="194">
          <cell r="A194" t="str">
            <v>BEA1571_27F_1494R</v>
          </cell>
          <cell r="B194" t="str">
            <v>Positivo</v>
          </cell>
        </row>
        <row r="195">
          <cell r="A195" t="str">
            <v>BEA1572_27F/1494R</v>
          </cell>
          <cell r="B195" t="str">
            <v>Positivo</v>
          </cell>
        </row>
        <row r="196">
          <cell r="A196" t="str">
            <v>BEA1574</v>
          </cell>
          <cell r="B196" t="str">
            <v>Negativo</v>
          </cell>
        </row>
        <row r="197">
          <cell r="A197" t="str">
            <v>AL5_A11_RBCLAF</v>
          </cell>
          <cell r="B197" t="str">
            <v>Positivo</v>
          </cell>
        </row>
        <row r="198">
          <cell r="A198" t="str">
            <v>BEA1575_27F_1494R</v>
          </cell>
          <cell r="B198" t="str">
            <v>Positivo</v>
          </cell>
        </row>
        <row r="199">
          <cell r="A199" t="str">
            <v>BEA1576_27F/1494R</v>
          </cell>
          <cell r="B199" t="str">
            <v>Positivo</v>
          </cell>
        </row>
        <row r="200">
          <cell r="A200" t="str">
            <v>BEA1577</v>
          </cell>
          <cell r="B200" t="str">
            <v>Negativo</v>
          </cell>
        </row>
        <row r="201">
          <cell r="A201" t="str">
            <v>BEA1579_27F_1494R</v>
          </cell>
          <cell r="B201" t="str">
            <v>Negativo</v>
          </cell>
        </row>
        <row r="202">
          <cell r="A202" t="str">
            <v>bea1580_27F</v>
          </cell>
          <cell r="B202" t="str">
            <v>POSITIVO</v>
          </cell>
        </row>
        <row r="203">
          <cell r="A203" t="str">
            <v>BEA1581_27F/1494R</v>
          </cell>
          <cell r="B203" t="str">
            <v>Positivo</v>
          </cell>
        </row>
        <row r="204">
          <cell r="A204" t="str">
            <v>BEA1581_27F_1494R</v>
          </cell>
          <cell r="B204" t="str">
            <v>Negativo</v>
          </cell>
        </row>
        <row r="205">
          <cell r="A205" t="str">
            <v>BEA1582_27F_1494R</v>
          </cell>
          <cell r="B205" t="str">
            <v>Negativo</v>
          </cell>
        </row>
        <row r="206">
          <cell r="A206" t="str">
            <v>BEA1583</v>
          </cell>
          <cell r="B206" t="str">
            <v>Negativo</v>
          </cell>
        </row>
        <row r="207">
          <cell r="A207" t="str">
            <v>BEA1583</v>
          </cell>
          <cell r="B207" t="str">
            <v>Negativo</v>
          </cell>
        </row>
        <row r="208">
          <cell r="A208" t="str">
            <v>BEA1189_781F/23S03R</v>
          </cell>
          <cell r="B208" t="str">
            <v>Positivo</v>
          </cell>
        </row>
        <row r="209">
          <cell r="A209" t="str">
            <v>BEA1584</v>
          </cell>
          <cell r="B209" t="str">
            <v>Positivo</v>
          </cell>
        </row>
        <row r="210">
          <cell r="A210" t="str">
            <v>BEA1587</v>
          </cell>
          <cell r="B210" t="str">
            <v>Negativo</v>
          </cell>
        </row>
        <row r="211">
          <cell r="A211" t="str">
            <v>BEA1587_27F/1494R</v>
          </cell>
          <cell r="B211" t="str">
            <v>Positivo</v>
          </cell>
        </row>
        <row r="212">
          <cell r="A212" t="str">
            <v>BEA1588_27F</v>
          </cell>
          <cell r="B212" t="str">
            <v>Positivo</v>
          </cell>
        </row>
        <row r="213">
          <cell r="A213" t="str">
            <v>BEA1596_27F_1494R</v>
          </cell>
          <cell r="B213" t="str">
            <v>Positivo</v>
          </cell>
        </row>
        <row r="214">
          <cell r="A214" t="str">
            <v>BEA1597</v>
          </cell>
          <cell r="B214" t="str">
            <v>Negativo</v>
          </cell>
        </row>
        <row r="215">
          <cell r="A215" t="str">
            <v>AL5_A11_RBCL</v>
          </cell>
          <cell r="B215" t="str">
            <v>positivo</v>
          </cell>
        </row>
        <row r="216">
          <cell r="A216" t="str">
            <v>BEA1598_27F_1494R</v>
          </cell>
          <cell r="B216" t="str">
            <v>Negativo</v>
          </cell>
        </row>
        <row r="217">
          <cell r="A217" t="str">
            <v>BEA1599_27F_1494R</v>
          </cell>
          <cell r="B217" t="str">
            <v>Positivo</v>
          </cell>
        </row>
        <row r="218">
          <cell r="A218" t="str">
            <v>BEA1601_27F/1494R</v>
          </cell>
          <cell r="B218" t="str">
            <v>Positivo</v>
          </cell>
        </row>
        <row r="219">
          <cell r="A219" t="str">
            <v>BEA1602_27F_1494R</v>
          </cell>
          <cell r="B219" t="str">
            <v>Negativo</v>
          </cell>
        </row>
        <row r="220">
          <cell r="A220" t="str">
            <v>BEA1605_27F</v>
          </cell>
          <cell r="B220" t="str">
            <v>Positivo</v>
          </cell>
        </row>
        <row r="221">
          <cell r="A221" t="str">
            <v>BEA1639</v>
          </cell>
          <cell r="B221" t="str">
            <v>Positivo</v>
          </cell>
        </row>
        <row r="222">
          <cell r="A222" t="str">
            <v>BEA1639_27F/1494R</v>
          </cell>
          <cell r="B222" t="str">
            <v>Positivo</v>
          </cell>
        </row>
        <row r="223">
          <cell r="A223" t="str">
            <v>BEA1639_781F/23S03R</v>
          </cell>
          <cell r="B223" t="str">
            <v>Positivo</v>
          </cell>
        </row>
        <row r="224">
          <cell r="A224" t="str">
            <v>BEA1644</v>
          </cell>
          <cell r="B224" t="str">
            <v>Negativo</v>
          </cell>
        </row>
        <row r="225">
          <cell r="A225" t="str">
            <v>BEA1644_27F/1494R</v>
          </cell>
          <cell r="B225" t="str">
            <v>Positivo</v>
          </cell>
        </row>
        <row r="226">
          <cell r="A226" t="str">
            <v>BEA1645</v>
          </cell>
          <cell r="B226" t="str">
            <v>Negativo</v>
          </cell>
        </row>
        <row r="227">
          <cell r="A227" t="str">
            <v>BEA1645</v>
          </cell>
          <cell r="B227" t="str">
            <v>Negativo</v>
          </cell>
        </row>
        <row r="228">
          <cell r="A228" t="str">
            <v>BEA1645</v>
          </cell>
          <cell r="B228" t="str">
            <v>NEGATIVO</v>
          </cell>
        </row>
        <row r="229">
          <cell r="A229" t="str">
            <v>BEA1646</v>
          </cell>
          <cell r="B229" t="str">
            <v>Negativo</v>
          </cell>
        </row>
        <row r="230">
          <cell r="A230" t="str">
            <v>BEA1659</v>
          </cell>
          <cell r="B230" t="str">
            <v>Positivo</v>
          </cell>
        </row>
        <row r="231">
          <cell r="A231" t="str">
            <v>BEA1659_27F/1494R</v>
          </cell>
          <cell r="B231" t="str">
            <v>Negativo</v>
          </cell>
        </row>
        <row r="232">
          <cell r="A232" t="str">
            <v>BEA1666</v>
          </cell>
          <cell r="B232" t="str">
            <v>Negativo</v>
          </cell>
        </row>
        <row r="233">
          <cell r="A233" t="str">
            <v>BEA1696_27F/1494R</v>
          </cell>
          <cell r="B233" t="str">
            <v>Positivo</v>
          </cell>
        </row>
        <row r="234">
          <cell r="A234" t="str">
            <v>BEA1807</v>
          </cell>
          <cell r="B234" t="str">
            <v>Negativo</v>
          </cell>
        </row>
        <row r="235">
          <cell r="A235" t="str">
            <v>bea1807</v>
          </cell>
          <cell r="B235" t="str">
            <v>Positivo</v>
          </cell>
        </row>
        <row r="236">
          <cell r="A236" t="str">
            <v>BEA1827</v>
          </cell>
          <cell r="B236" t="str">
            <v>Negativo</v>
          </cell>
        </row>
        <row r="237">
          <cell r="A237" t="str">
            <v>BEA1827_27F/1494R</v>
          </cell>
          <cell r="B237" t="str">
            <v>Positivo</v>
          </cell>
        </row>
        <row r="238">
          <cell r="A238" t="str">
            <v>BEA1828_27F_1494R</v>
          </cell>
          <cell r="B238" t="str">
            <v>Negativo</v>
          </cell>
        </row>
        <row r="239">
          <cell r="A239" t="str">
            <v>BEA1831_27F/1494R</v>
          </cell>
          <cell r="B239" t="str">
            <v>Positivo</v>
          </cell>
        </row>
        <row r="240">
          <cell r="A240" t="str">
            <v>BEA1832_27F_1494R</v>
          </cell>
          <cell r="B240" t="str">
            <v>Positivo</v>
          </cell>
        </row>
        <row r="241">
          <cell r="A241" t="str">
            <v>BEA1833_27F_1494R</v>
          </cell>
          <cell r="B241" t="str">
            <v>Positivo</v>
          </cell>
        </row>
        <row r="242">
          <cell r="A242" t="str">
            <v>BEA1840_27F_1494R</v>
          </cell>
          <cell r="B242" t="str">
            <v>Positivo</v>
          </cell>
        </row>
        <row r="243">
          <cell r="A243" t="str">
            <v>BEA1845_27F/1494R</v>
          </cell>
          <cell r="B243" t="str">
            <v>Positivo</v>
          </cell>
        </row>
        <row r="244">
          <cell r="A244" t="str">
            <v>BEA1846</v>
          </cell>
          <cell r="B244" t="str">
            <v>Negativo</v>
          </cell>
        </row>
        <row r="245">
          <cell r="A245" t="str">
            <v>BEA1847_27F/1494R</v>
          </cell>
          <cell r="B245" t="str">
            <v>Negativo</v>
          </cell>
        </row>
        <row r="246">
          <cell r="A246" t="str">
            <v>BEA1847_27F/1494R</v>
          </cell>
          <cell r="B246" t="str">
            <v>NEGATIVO</v>
          </cell>
        </row>
        <row r="247">
          <cell r="A247" t="str">
            <v>BEA1852_EUKA</v>
          </cell>
          <cell r="B247" t="str">
            <v>Negativo</v>
          </cell>
        </row>
        <row r="248">
          <cell r="A248" t="str">
            <v>BEA1858</v>
          </cell>
          <cell r="B248" t="str">
            <v>Positivo</v>
          </cell>
        </row>
        <row r="249">
          <cell r="A249" t="str">
            <v>BEA1865_EUKA</v>
          </cell>
          <cell r="B249" t="str">
            <v>Positivo</v>
          </cell>
        </row>
        <row r="250">
          <cell r="A250" t="str">
            <v>BEA1865_rbcLaF/R</v>
          </cell>
          <cell r="B250" t="str">
            <v>Positivo</v>
          </cell>
        </row>
        <row r="251">
          <cell r="A251" t="str">
            <v>BEA1876_781/23S</v>
          </cell>
          <cell r="B251" t="str">
            <v>Positivo</v>
          </cell>
        </row>
        <row r="252">
          <cell r="A252" t="str">
            <v>BEA1876_781/23S</v>
          </cell>
          <cell r="B252" t="str">
            <v>Positivo</v>
          </cell>
        </row>
        <row r="253">
          <cell r="A253" t="str">
            <v>BEA1877</v>
          </cell>
          <cell r="B253" t="str">
            <v>Negativo</v>
          </cell>
        </row>
        <row r="254">
          <cell r="A254" t="str">
            <v>BEA1878</v>
          </cell>
          <cell r="B254" t="str">
            <v>Positivo</v>
          </cell>
        </row>
        <row r="255">
          <cell r="A255" t="str">
            <v>BEA1880</v>
          </cell>
          <cell r="B255" t="str">
            <v>Positivo</v>
          </cell>
        </row>
        <row r="256">
          <cell r="A256" t="str">
            <v>BEA1885</v>
          </cell>
          <cell r="B256" t="str">
            <v>Positivo</v>
          </cell>
        </row>
        <row r="257">
          <cell r="A257" t="str">
            <v>BEA1886</v>
          </cell>
          <cell r="B257" t="str">
            <v>Positivo</v>
          </cell>
        </row>
        <row r="258">
          <cell r="A258" t="str">
            <v>BEA1887_EUKA</v>
          </cell>
          <cell r="B258" t="str">
            <v>Positivo</v>
          </cell>
        </row>
        <row r="259">
          <cell r="A259" t="str">
            <v>BEA1889</v>
          </cell>
          <cell r="B259" t="str">
            <v>Negativo</v>
          </cell>
        </row>
        <row r="260">
          <cell r="A260" t="str">
            <v>BEA1889_rbcLaF/LaR</v>
          </cell>
          <cell r="B260" t="str">
            <v>Positivo</v>
          </cell>
        </row>
        <row r="261">
          <cell r="A261" t="str">
            <v>BEA1890_EUKA</v>
          </cell>
          <cell r="B261" t="str">
            <v>Positivo</v>
          </cell>
        </row>
        <row r="262">
          <cell r="A262" t="str">
            <v>BEA1895</v>
          </cell>
          <cell r="B262" t="str">
            <v>Positivo</v>
          </cell>
        </row>
        <row r="263">
          <cell r="A263" t="str">
            <v>BEA1896_27F/1494R</v>
          </cell>
          <cell r="B263" t="str">
            <v>Positivo</v>
          </cell>
        </row>
        <row r="264">
          <cell r="A264" t="str">
            <v>BEA1900_27F/1494R</v>
          </cell>
          <cell r="B264" t="str">
            <v>Positivo</v>
          </cell>
        </row>
        <row r="265">
          <cell r="A265" t="str">
            <v>BEA1901_27F/1494R</v>
          </cell>
          <cell r="B265" t="str">
            <v>Positivo</v>
          </cell>
        </row>
        <row r="266">
          <cell r="A266" t="str">
            <v>BEA1902</v>
          </cell>
          <cell r="B266" t="str">
            <v>Negativo</v>
          </cell>
        </row>
        <row r="267">
          <cell r="A267" t="str">
            <v>BEA1906</v>
          </cell>
          <cell r="B267" t="str">
            <v>Positivo</v>
          </cell>
        </row>
        <row r="268">
          <cell r="A268" t="str">
            <v>BEA1908</v>
          </cell>
          <cell r="B268" t="str">
            <v>Negativo</v>
          </cell>
        </row>
        <row r="269">
          <cell r="A269" t="str">
            <v>BEA1908</v>
          </cell>
          <cell r="B269" t="str">
            <v>Positivo</v>
          </cell>
        </row>
        <row r="270">
          <cell r="A270" t="str">
            <v>BEA1909_EUKA</v>
          </cell>
          <cell r="B270" t="str">
            <v>Positivo</v>
          </cell>
        </row>
        <row r="271">
          <cell r="A271" t="str">
            <v>BEA1910_EUKA</v>
          </cell>
          <cell r="B271" t="str">
            <v>Negativo</v>
          </cell>
        </row>
        <row r="272">
          <cell r="A272" t="str">
            <v>BEA1911_EUKA</v>
          </cell>
          <cell r="B272" t="str">
            <v>Positivo</v>
          </cell>
        </row>
        <row r="273">
          <cell r="A273" t="str">
            <v>BEA1912</v>
          </cell>
          <cell r="B273" t="str">
            <v>Positivo</v>
          </cell>
        </row>
        <row r="274">
          <cell r="A274" t="str">
            <v>BEA1913</v>
          </cell>
          <cell r="B274" t="str">
            <v>Negativo</v>
          </cell>
        </row>
        <row r="275">
          <cell r="A275" t="str">
            <v>BEA1914_27F/1494R</v>
          </cell>
          <cell r="B275" t="str">
            <v>Positivo</v>
          </cell>
        </row>
        <row r="276">
          <cell r="A276" t="str">
            <v>BEA1915</v>
          </cell>
          <cell r="B276" t="str">
            <v>Negativo</v>
          </cell>
        </row>
        <row r="277">
          <cell r="A277" t="str">
            <v>BEA1916</v>
          </cell>
          <cell r="B277" t="str">
            <v>Negativo</v>
          </cell>
        </row>
        <row r="278">
          <cell r="A278" t="str">
            <v>BEA1948</v>
          </cell>
          <cell r="B278" t="str">
            <v>Positivo</v>
          </cell>
        </row>
        <row r="279">
          <cell r="A279" t="str">
            <v>BEA1190_781F/23S03R</v>
          </cell>
          <cell r="B279" t="str">
            <v>Positivo</v>
          </cell>
        </row>
        <row r="280">
          <cell r="A280" t="str">
            <v>BEA1982_EUKA</v>
          </cell>
          <cell r="B280" t="str">
            <v>Positivo</v>
          </cell>
        </row>
        <row r="281">
          <cell r="A281" t="str">
            <v>BEA1986</v>
          </cell>
          <cell r="B281" t="str">
            <v>Positivo</v>
          </cell>
        </row>
        <row r="282">
          <cell r="A282" t="str">
            <v>BEA1993</v>
          </cell>
          <cell r="B282" t="str">
            <v>Positivo</v>
          </cell>
        </row>
        <row r="283">
          <cell r="A283" t="str">
            <v>BEA1993_EUKA</v>
          </cell>
          <cell r="B283" t="str">
            <v>Positivo</v>
          </cell>
        </row>
        <row r="284">
          <cell r="A284" t="str">
            <v>BEA1994</v>
          </cell>
          <cell r="B284" t="str">
            <v>Positivo</v>
          </cell>
        </row>
        <row r="285">
          <cell r="A285" t="str">
            <v>BEA1996</v>
          </cell>
          <cell r="B285" t="str">
            <v>Negativo</v>
          </cell>
        </row>
        <row r="286">
          <cell r="A286" t="str">
            <v>BEA1997</v>
          </cell>
          <cell r="B286" t="str">
            <v>Negativo</v>
          </cell>
        </row>
        <row r="287">
          <cell r="A287" t="str">
            <v>bea1997</v>
          </cell>
          <cell r="B287" t="str">
            <v>Positivo</v>
          </cell>
        </row>
        <row r="288">
          <cell r="A288" t="str">
            <v>BEA1998</v>
          </cell>
          <cell r="B288" t="str">
            <v>Negativo</v>
          </cell>
        </row>
        <row r="289">
          <cell r="A289" t="str">
            <v>BEA1999</v>
          </cell>
          <cell r="B289" t="str">
            <v>Negativo</v>
          </cell>
        </row>
        <row r="290">
          <cell r="A290" t="str">
            <v>bea1999</v>
          </cell>
          <cell r="B290" t="str">
            <v>Positivo</v>
          </cell>
        </row>
        <row r="291">
          <cell r="A291" t="str">
            <v>BEA2000</v>
          </cell>
          <cell r="B291" t="str">
            <v>Negativo</v>
          </cell>
        </row>
        <row r="292">
          <cell r="A292" t="str">
            <v>bea2000</v>
          </cell>
          <cell r="B292" t="str">
            <v>Positivo</v>
          </cell>
        </row>
        <row r="293">
          <cell r="A293" t="str">
            <v>BEA2001_EUKA</v>
          </cell>
          <cell r="B293" t="str">
            <v>Negativo</v>
          </cell>
        </row>
        <row r="294">
          <cell r="A294" t="str">
            <v>BEA2002_EUKA</v>
          </cell>
          <cell r="B294" t="str">
            <v>Negativo</v>
          </cell>
        </row>
        <row r="295">
          <cell r="A295" t="str">
            <v>BEA2003</v>
          </cell>
          <cell r="B295" t="str">
            <v>Negativo</v>
          </cell>
        </row>
        <row r="296">
          <cell r="A296" t="str">
            <v>BEA2003_rbcLaF/LaR</v>
          </cell>
          <cell r="B296" t="str">
            <v>Positivo</v>
          </cell>
        </row>
        <row r="297">
          <cell r="A297" t="str">
            <v>BEA2014</v>
          </cell>
          <cell r="B297" t="str">
            <v>Negativo</v>
          </cell>
        </row>
        <row r="298">
          <cell r="A298" t="str">
            <v>BEA2017_rbcLaF/LaR</v>
          </cell>
          <cell r="B298" t="str">
            <v>Positivo</v>
          </cell>
        </row>
        <row r="299">
          <cell r="A299" t="str">
            <v>BEA2021</v>
          </cell>
          <cell r="B299" t="str">
            <v>Negativo</v>
          </cell>
        </row>
        <row r="300">
          <cell r="A300" t="str">
            <v>BEA2022</v>
          </cell>
          <cell r="B300" t="str">
            <v>Negativo</v>
          </cell>
        </row>
        <row r="301">
          <cell r="A301" t="str">
            <v>BEA2023</v>
          </cell>
          <cell r="B301" t="str">
            <v>Negativo</v>
          </cell>
        </row>
        <row r="302">
          <cell r="A302" t="str">
            <v>BEA2024</v>
          </cell>
          <cell r="B302" t="str">
            <v>Negativo</v>
          </cell>
        </row>
        <row r="303">
          <cell r="A303" t="str">
            <v>BEA2025_27F/1494R</v>
          </cell>
          <cell r="B303" t="str">
            <v>Positivo</v>
          </cell>
        </row>
        <row r="304">
          <cell r="A304" t="str">
            <v>BEA2025_781/23S</v>
          </cell>
          <cell r="B304" t="str">
            <v>Positivo</v>
          </cell>
        </row>
        <row r="305">
          <cell r="A305" t="str">
            <v>BEA2028_27F/1494R</v>
          </cell>
          <cell r="B305" t="str">
            <v>Positivo</v>
          </cell>
        </row>
        <row r="306">
          <cell r="A306" t="str">
            <v>BEA2031</v>
          </cell>
          <cell r="B306" t="str">
            <v>Negativo</v>
          </cell>
        </row>
        <row r="307">
          <cell r="A307" t="str">
            <v>BEA2031</v>
          </cell>
          <cell r="B307" t="str">
            <v>Positivo</v>
          </cell>
        </row>
        <row r="308">
          <cell r="A308" t="str">
            <v>bea2031_ITS</v>
          </cell>
          <cell r="B308" t="str">
            <v>Negativo</v>
          </cell>
        </row>
        <row r="309">
          <cell r="A309" t="str">
            <v>BEA2032_EUKA</v>
          </cell>
          <cell r="B309" t="str">
            <v>Positivo</v>
          </cell>
        </row>
        <row r="310">
          <cell r="A310" t="str">
            <v>BEA2034_27F/1494R</v>
          </cell>
          <cell r="B310" t="str">
            <v>Positivo</v>
          </cell>
        </row>
        <row r="311">
          <cell r="A311" t="str">
            <v>BEA2035</v>
          </cell>
          <cell r="B311" t="str">
            <v>Negativo</v>
          </cell>
        </row>
        <row r="312">
          <cell r="A312" t="str">
            <v>BEA2036</v>
          </cell>
          <cell r="B312" t="str">
            <v>Negativo</v>
          </cell>
        </row>
        <row r="313">
          <cell r="A313" t="str">
            <v>BEA2039_781F/23S03R</v>
          </cell>
          <cell r="B313" t="str">
            <v>Positivo</v>
          </cell>
        </row>
        <row r="314">
          <cell r="A314" t="str">
            <v>BEA2054</v>
          </cell>
          <cell r="B314" t="str">
            <v>Negativo</v>
          </cell>
        </row>
        <row r="315">
          <cell r="A315" t="str">
            <v>BEA2054</v>
          </cell>
          <cell r="B315" t="str">
            <v>Negativo</v>
          </cell>
        </row>
        <row r="316">
          <cell r="A316" t="str">
            <v>BEA2054_rbcLaF</v>
          </cell>
          <cell r="B316" t="str">
            <v>Positivo</v>
          </cell>
        </row>
        <row r="317">
          <cell r="A317" t="str">
            <v>BEA2055</v>
          </cell>
          <cell r="B317" t="str">
            <v>Negativo</v>
          </cell>
        </row>
        <row r="318">
          <cell r="A318" t="str">
            <v>BEA2055_ITS1</v>
          </cell>
          <cell r="B318" t="str">
            <v>Positivo</v>
          </cell>
        </row>
        <row r="319">
          <cell r="A319" t="str">
            <v>BEA2055_rbcLaF</v>
          </cell>
          <cell r="B319" t="str">
            <v>Positivo</v>
          </cell>
        </row>
        <row r="320">
          <cell r="A320" t="str">
            <v>BEA2056</v>
          </cell>
          <cell r="B320" t="str">
            <v>Negativo</v>
          </cell>
        </row>
        <row r="321">
          <cell r="A321" t="str">
            <v>BEA2056_EUKA</v>
          </cell>
          <cell r="B321" t="str">
            <v>Negativo</v>
          </cell>
        </row>
        <row r="322">
          <cell r="A322" t="str">
            <v>BEA2057</v>
          </cell>
          <cell r="B322" t="str">
            <v>Negativo</v>
          </cell>
        </row>
        <row r="323">
          <cell r="A323" t="str">
            <v>BEA2057</v>
          </cell>
          <cell r="B323" t="str">
            <v>Positivo</v>
          </cell>
        </row>
        <row r="324">
          <cell r="A324" t="str">
            <v>BEA2057_EUKA</v>
          </cell>
          <cell r="B324" t="str">
            <v>Negativo</v>
          </cell>
        </row>
        <row r="325">
          <cell r="A325" t="str">
            <v>BEA2057_rbcLaF/LaR</v>
          </cell>
          <cell r="B325" t="str">
            <v>Negativo</v>
          </cell>
        </row>
        <row r="326">
          <cell r="A326" t="str">
            <v>BEA2086</v>
          </cell>
          <cell r="B326" t="str">
            <v>Negativo</v>
          </cell>
        </row>
        <row r="327">
          <cell r="A327" t="str">
            <v>BEA2086_rbcLaF</v>
          </cell>
          <cell r="B327" t="str">
            <v>Positivo</v>
          </cell>
        </row>
        <row r="328">
          <cell r="A328" t="str">
            <v>BEA2086_rbcLaF/LaR</v>
          </cell>
          <cell r="B328" t="str">
            <v>Negativo</v>
          </cell>
        </row>
        <row r="329">
          <cell r="A329" t="str">
            <v>BEA2086_rbcLaF/LaR</v>
          </cell>
          <cell r="B329" t="str">
            <v>Positivo</v>
          </cell>
        </row>
        <row r="330">
          <cell r="A330" t="str">
            <v>BEA2087</v>
          </cell>
          <cell r="B330" t="str">
            <v>Negativo</v>
          </cell>
        </row>
        <row r="331">
          <cell r="A331" t="str">
            <v>BEA2087_ITS1</v>
          </cell>
          <cell r="B331" t="str">
            <v>Positivo</v>
          </cell>
        </row>
        <row r="332">
          <cell r="A332" t="str">
            <v>BEA2087_rbcLaF</v>
          </cell>
          <cell r="B332" t="str">
            <v>Positivo</v>
          </cell>
        </row>
        <row r="333">
          <cell r="A333" t="str">
            <v>BEA2088</v>
          </cell>
          <cell r="B333" t="str">
            <v>Negativo</v>
          </cell>
        </row>
        <row r="334">
          <cell r="A334" t="str">
            <v>BEA2096</v>
          </cell>
          <cell r="B334" t="str">
            <v>Negativo</v>
          </cell>
        </row>
        <row r="335">
          <cell r="A335" t="str">
            <v>BEA2098</v>
          </cell>
          <cell r="B335" t="str">
            <v>Negativo</v>
          </cell>
        </row>
        <row r="336">
          <cell r="A336" t="str">
            <v>BEA2098_ITS1/2098</v>
          </cell>
          <cell r="B336" t="str">
            <v>Positivo</v>
          </cell>
        </row>
        <row r="337">
          <cell r="A337" t="str">
            <v>BEA2098_rbcLaF</v>
          </cell>
          <cell r="B337" t="str">
            <v>Positivo</v>
          </cell>
        </row>
        <row r="338">
          <cell r="A338" t="str">
            <v>BEA1267_781F/23S03R</v>
          </cell>
          <cell r="B338" t="str">
            <v>Positivo</v>
          </cell>
        </row>
        <row r="339">
          <cell r="A339" t="str">
            <v>BEA2102_27F/1494R</v>
          </cell>
          <cell r="B339" t="str">
            <v>Positivo</v>
          </cell>
        </row>
        <row r="340">
          <cell r="A340" t="str">
            <v>BEA2103</v>
          </cell>
          <cell r="B340" t="str">
            <v>Positivo</v>
          </cell>
        </row>
        <row r="341">
          <cell r="A341" t="str">
            <v>BEA2103_27F/1494R</v>
          </cell>
          <cell r="B341" t="str">
            <v>Positivo</v>
          </cell>
        </row>
        <row r="342">
          <cell r="A342" t="str">
            <v>BEA2106_27F/1494R</v>
          </cell>
          <cell r="B342" t="str">
            <v>Positivo</v>
          </cell>
        </row>
        <row r="343">
          <cell r="A343" t="str">
            <v>BEA2107</v>
          </cell>
          <cell r="B343" t="str">
            <v>Negativo</v>
          </cell>
        </row>
        <row r="344">
          <cell r="A344" t="str">
            <v>BEA2107_rbcLaF/LaR</v>
          </cell>
          <cell r="B344" t="str">
            <v>Positivo</v>
          </cell>
        </row>
        <row r="345">
          <cell r="A345" t="str">
            <v>BEA2108</v>
          </cell>
          <cell r="B345" t="str">
            <v>Negativo</v>
          </cell>
        </row>
        <row r="346">
          <cell r="A346" t="str">
            <v>BEA2108</v>
          </cell>
          <cell r="B346" t="str">
            <v>Negativo</v>
          </cell>
        </row>
        <row r="347">
          <cell r="A347" t="str">
            <v>BEA2108_rbcLaF/LaR</v>
          </cell>
          <cell r="B347" t="str">
            <v>Positivo</v>
          </cell>
        </row>
        <row r="348">
          <cell r="A348" t="str">
            <v>BEA2109</v>
          </cell>
          <cell r="B348" t="str">
            <v>Negativo</v>
          </cell>
        </row>
        <row r="349">
          <cell r="A349" t="str">
            <v>BEA2109_rbcLaF/LaR</v>
          </cell>
          <cell r="B349" t="str">
            <v>Negativo</v>
          </cell>
        </row>
        <row r="350">
          <cell r="A350" t="str">
            <v>BEA2118_EUKA</v>
          </cell>
          <cell r="B350" t="str">
            <v>Positivo</v>
          </cell>
        </row>
        <row r="351">
          <cell r="A351" t="str">
            <v>BEA1279_781F/23S03R</v>
          </cell>
          <cell r="B351" t="str">
            <v>Positivo</v>
          </cell>
        </row>
        <row r="352">
          <cell r="A352" t="str">
            <v>BEA1383_781F/23S03R</v>
          </cell>
          <cell r="B352" t="str">
            <v>Positivo</v>
          </cell>
        </row>
        <row r="353">
          <cell r="A353" t="str">
            <v>BEA1534_781F/23S03R</v>
          </cell>
          <cell r="B353" t="str">
            <v>Positivo</v>
          </cell>
        </row>
        <row r="354">
          <cell r="A354" t="str">
            <v>BEA2132</v>
          </cell>
          <cell r="B354" t="str">
            <v>Negativo</v>
          </cell>
        </row>
        <row r="355">
          <cell r="A355" t="str">
            <v>BEA2178</v>
          </cell>
          <cell r="B355" t="str">
            <v>Negativo</v>
          </cell>
        </row>
        <row r="356">
          <cell r="A356" t="str">
            <v>BEA2187_SSU/ITS4</v>
          </cell>
          <cell r="B356" t="str">
            <v>Positivo</v>
          </cell>
        </row>
        <row r="357">
          <cell r="A357" t="str">
            <v>CADIZ_ITS</v>
          </cell>
          <cell r="B357" t="str">
            <v>Negativo</v>
          </cell>
        </row>
        <row r="358">
          <cell r="A358" t="str">
            <v>D9LK2_27F</v>
          </cell>
          <cell r="B358" t="str">
            <v>Positivo</v>
          </cell>
        </row>
        <row r="359">
          <cell r="A359" t="str">
            <v>1.3MARZO_SSU/ITS4</v>
          </cell>
          <cell r="B359" t="str">
            <v>Positivo</v>
          </cell>
        </row>
        <row r="360">
          <cell r="A360" t="str">
            <v>ENTREPBR_rbcLaF</v>
          </cell>
          <cell r="B360" t="str">
            <v>Positivo</v>
          </cell>
        </row>
        <row r="361">
          <cell r="A361" t="str">
            <v>ENTREPBR_rbcLaF/LaR</v>
          </cell>
          <cell r="B361" t="str">
            <v>Positivo</v>
          </cell>
        </row>
        <row r="362">
          <cell r="A362" t="str">
            <v>ENTREPBR5</v>
          </cell>
          <cell r="B362" t="str">
            <v>Negativo</v>
          </cell>
        </row>
        <row r="363">
          <cell r="A363" t="str">
            <v>GLA7</v>
          </cell>
          <cell r="B363" t="str">
            <v>Positivo</v>
          </cell>
        </row>
        <row r="364">
          <cell r="A364" t="str">
            <v>GLH3</v>
          </cell>
          <cell r="B364" t="str">
            <v>Positivo</v>
          </cell>
        </row>
        <row r="365">
          <cell r="A365" t="str">
            <v>HL2G5</v>
          </cell>
          <cell r="B365" t="str">
            <v>Positivo</v>
          </cell>
        </row>
        <row r="366">
          <cell r="A366" t="str">
            <v>J3_EUKA/EUKB</v>
          </cell>
          <cell r="B366" t="str">
            <v>Positivo</v>
          </cell>
        </row>
        <row r="367">
          <cell r="A367" t="str">
            <v>J3_ITS1</v>
          </cell>
          <cell r="B367" t="str">
            <v>Positivo</v>
          </cell>
        </row>
        <row r="368">
          <cell r="A368" t="str">
            <v>J3_rbcLaF/LaR</v>
          </cell>
          <cell r="B368" t="str">
            <v>Positivo</v>
          </cell>
        </row>
        <row r="369">
          <cell r="A369" t="str">
            <v>LARAMUESTRA</v>
          </cell>
          <cell r="B369" t="str">
            <v>Negativo</v>
          </cell>
        </row>
        <row r="370">
          <cell r="A370" t="str">
            <v>LK2D9_27F/1494R</v>
          </cell>
          <cell r="B370" t="str">
            <v>Positivo</v>
          </cell>
        </row>
        <row r="371">
          <cell r="A371" t="str">
            <v>LK2E2</v>
          </cell>
          <cell r="B371" t="str">
            <v>Positivo</v>
          </cell>
        </row>
        <row r="372">
          <cell r="A372" t="str">
            <v>M22.2</v>
          </cell>
          <cell r="B372" t="str">
            <v>Positivo</v>
          </cell>
        </row>
        <row r="373">
          <cell r="A373" t="str">
            <v>M22.3</v>
          </cell>
          <cell r="B373" t="str">
            <v>Positivo</v>
          </cell>
        </row>
        <row r="374">
          <cell r="A374" t="str">
            <v>BEA1535_781F/23S03R</v>
          </cell>
          <cell r="B374" t="str">
            <v>Positivo</v>
          </cell>
        </row>
        <row r="375">
          <cell r="A375" t="str">
            <v>MARISMA_CADIZ_EUKA/B</v>
          </cell>
          <cell r="B375" t="str">
            <v>NEGATIVO</v>
          </cell>
        </row>
        <row r="376">
          <cell r="A376" t="str">
            <v>MARISMA_CADIZ_ITS</v>
          </cell>
          <cell r="B376" t="str">
            <v>NEGATIVO</v>
          </cell>
        </row>
        <row r="377">
          <cell r="A377" t="str">
            <v>MARISMA_CADIZX2_EUKA/B</v>
          </cell>
          <cell r="B377" t="str">
            <v>NEGATIVO</v>
          </cell>
        </row>
        <row r="378">
          <cell r="A378" t="str">
            <v>MARISMA_CADIZX2_ITS</v>
          </cell>
          <cell r="B378" t="str">
            <v>NEGATIVO</v>
          </cell>
        </row>
        <row r="379">
          <cell r="A379" t="str">
            <v>PL1_B8/2_EUKA/B</v>
          </cell>
          <cell r="B379" t="str">
            <v>NEGATIVO</v>
          </cell>
        </row>
        <row r="380">
          <cell r="A380" t="str">
            <v>PL1_B8/2_EUKA/B</v>
          </cell>
          <cell r="B380" t="str">
            <v>NEGATIVO</v>
          </cell>
        </row>
        <row r="381">
          <cell r="A381" t="str">
            <v>PL1_B8/2_ITS</v>
          </cell>
          <cell r="B381" t="str">
            <v>Positivo</v>
          </cell>
        </row>
        <row r="382">
          <cell r="A382" t="str">
            <v>PL1_B8/2_ITS</v>
          </cell>
          <cell r="B382" t="str">
            <v>Positivo</v>
          </cell>
        </row>
        <row r="383">
          <cell r="A383" t="str">
            <v>PL1B8</v>
          </cell>
          <cell r="B383" t="str">
            <v>Negativo</v>
          </cell>
        </row>
        <row r="384">
          <cell r="A384" t="str">
            <v>PL1B8_rbcLaF</v>
          </cell>
          <cell r="B384" t="str">
            <v>Positivo</v>
          </cell>
        </row>
        <row r="385">
          <cell r="A385" t="str">
            <v>PL1D81_27F/1494R</v>
          </cell>
          <cell r="B385" t="str">
            <v>Positivo</v>
          </cell>
        </row>
        <row r="386">
          <cell r="A386" t="str">
            <v>PL1D8X2_27F/1494R</v>
          </cell>
          <cell r="B386" t="str">
            <v>Positivo</v>
          </cell>
        </row>
        <row r="387">
          <cell r="A387" t="str">
            <v>PL2_B3/2_EUKA/B</v>
          </cell>
          <cell r="B387" t="str">
            <v>NEGATIVO</v>
          </cell>
        </row>
        <row r="388">
          <cell r="A388" t="str">
            <v>PL2_B3/2_ITS</v>
          </cell>
          <cell r="B388" t="str">
            <v>Positivo</v>
          </cell>
        </row>
        <row r="389">
          <cell r="A389" t="str">
            <v>PL2_B3/3_EUKA/B</v>
          </cell>
          <cell r="B389" t="str">
            <v>NEGATIVO</v>
          </cell>
        </row>
        <row r="390">
          <cell r="A390" t="str">
            <v>PL2_B3/3_ITS</v>
          </cell>
          <cell r="B390" t="str">
            <v>Positivo</v>
          </cell>
        </row>
        <row r="391">
          <cell r="A391" t="str">
            <v>PL2_B3_EUKA/B</v>
          </cell>
          <cell r="B391" t="str">
            <v>NEGATIVO</v>
          </cell>
        </row>
        <row r="392">
          <cell r="A392" t="str">
            <v>PL2_B3_ITS</v>
          </cell>
          <cell r="B392" t="str">
            <v>NEGATIVO</v>
          </cell>
        </row>
        <row r="393">
          <cell r="A393" t="str">
            <v>PL2B3_EUKA</v>
          </cell>
          <cell r="B393" t="str">
            <v>Negativo</v>
          </cell>
        </row>
        <row r="394">
          <cell r="A394" t="str">
            <v>PL2B3_rbcLaF/LaR</v>
          </cell>
          <cell r="B394" t="str">
            <v>Negativo</v>
          </cell>
        </row>
        <row r="395">
          <cell r="A395" t="str">
            <v>PL2B3_rbcLaF/LaR</v>
          </cell>
          <cell r="B395" t="str">
            <v>Negativo</v>
          </cell>
        </row>
        <row r="396">
          <cell r="A396" t="str">
            <v>PL3_B10_EUKA/B</v>
          </cell>
          <cell r="B396" t="str">
            <v>NEGATIVO</v>
          </cell>
        </row>
        <row r="397">
          <cell r="A397" t="str">
            <v>PL3_B10_EUKA/B</v>
          </cell>
          <cell r="B397" t="str">
            <v>NEGATIVO</v>
          </cell>
        </row>
        <row r="398">
          <cell r="A398" t="str">
            <v>PL3_B10_ITS</v>
          </cell>
          <cell r="B398" t="str">
            <v>NEGATIVO</v>
          </cell>
        </row>
        <row r="399">
          <cell r="A399" t="str">
            <v>PL3_B10_ITS</v>
          </cell>
          <cell r="B399" t="str">
            <v>POSITIVO</v>
          </cell>
        </row>
        <row r="400">
          <cell r="A400" t="str">
            <v>PL3_B5_EUKA/B</v>
          </cell>
          <cell r="B400" t="str">
            <v>NEGATIVO</v>
          </cell>
        </row>
        <row r="401">
          <cell r="A401" t="str">
            <v>PL3_B5_EUKA/B</v>
          </cell>
          <cell r="B401" t="str">
            <v>NEGATIVO</v>
          </cell>
        </row>
        <row r="402">
          <cell r="A402" t="str">
            <v>PL3_B5_ITS</v>
          </cell>
          <cell r="B402" t="str">
            <v>NEGATIVO</v>
          </cell>
        </row>
        <row r="403">
          <cell r="A403" t="str">
            <v>PL3_B5_ITS</v>
          </cell>
          <cell r="B403" t="str">
            <v>NEGATIVO</v>
          </cell>
        </row>
        <row r="404">
          <cell r="A404" t="str">
            <v>PL3_C1_EUKA/B</v>
          </cell>
          <cell r="B404" t="str">
            <v>NEGATIVO</v>
          </cell>
        </row>
        <row r="405">
          <cell r="A405" t="str">
            <v>PL3_C1_ITS</v>
          </cell>
          <cell r="B405" t="str">
            <v>NEGATIVO</v>
          </cell>
        </row>
        <row r="406">
          <cell r="A406" t="str">
            <v>PL3_G1_EUKA/B</v>
          </cell>
          <cell r="B406" t="str">
            <v>NEGATIVO</v>
          </cell>
        </row>
        <row r="407">
          <cell r="A407" t="str">
            <v>PL3_G1_ITS</v>
          </cell>
          <cell r="B407" t="str">
            <v>Positivo</v>
          </cell>
        </row>
        <row r="408">
          <cell r="A408" t="str">
            <v>PL3B5</v>
          </cell>
          <cell r="B408" t="str">
            <v>Negativo</v>
          </cell>
        </row>
        <row r="409">
          <cell r="A409" t="str">
            <v>PL3B5</v>
          </cell>
          <cell r="B409" t="str">
            <v>Negativo</v>
          </cell>
        </row>
        <row r="410">
          <cell r="A410" t="str">
            <v>PL3B5_rbcLaF/LaR</v>
          </cell>
          <cell r="B410" t="str">
            <v>Negativo</v>
          </cell>
        </row>
        <row r="411">
          <cell r="A411" t="str">
            <v>PL3D8_EUKA</v>
          </cell>
          <cell r="B411" t="str">
            <v>Positivo</v>
          </cell>
        </row>
        <row r="412">
          <cell r="A412" t="str">
            <v>PL3MNB11_EUKA</v>
          </cell>
          <cell r="B412" t="str">
            <v>Positivo</v>
          </cell>
        </row>
        <row r="413">
          <cell r="A413" t="str">
            <v>PL4_D10_EUKA/B</v>
          </cell>
          <cell r="B413" t="str">
            <v>Positivo</v>
          </cell>
        </row>
        <row r="414">
          <cell r="A414" t="str">
            <v>PL4_D10_ITS</v>
          </cell>
          <cell r="B414" t="str">
            <v>Positivo</v>
          </cell>
        </row>
        <row r="415">
          <cell r="A415" t="str">
            <v>PL4_E6_EUKA/B</v>
          </cell>
          <cell r="B415" t="str">
            <v>Positivo</v>
          </cell>
        </row>
        <row r="416">
          <cell r="A416" t="str">
            <v>PL4_E6_ITS</v>
          </cell>
          <cell r="B416" t="str">
            <v>Positivo</v>
          </cell>
        </row>
        <row r="417">
          <cell r="A417" t="str">
            <v>PLAAMALAGA</v>
          </cell>
          <cell r="B417" t="str">
            <v>Negativo</v>
          </cell>
        </row>
        <row r="418">
          <cell r="A418" t="str">
            <v>PLAYA_MALAGA_EUKA/B</v>
          </cell>
          <cell r="B418" t="str">
            <v>NEGATIVO</v>
          </cell>
        </row>
        <row r="419">
          <cell r="A419" t="str">
            <v>PLAYA_MALAGA_ITS</v>
          </cell>
          <cell r="B419" t="str">
            <v>NEGATIVO</v>
          </cell>
        </row>
        <row r="420">
          <cell r="A420" t="str">
            <v>playamalaga</v>
          </cell>
          <cell r="B420" t="str">
            <v>Negativo</v>
          </cell>
        </row>
        <row r="421">
          <cell r="A421" t="str">
            <v>playamalaga_ITS</v>
          </cell>
          <cell r="B421" t="str">
            <v>Negativo</v>
          </cell>
        </row>
        <row r="422">
          <cell r="A422" t="str">
            <v>PLRD3_rbcLaF/LaR</v>
          </cell>
          <cell r="B422" t="str">
            <v>Positivo</v>
          </cell>
        </row>
        <row r="423">
          <cell r="A423" t="str">
            <v>RD1A8</v>
          </cell>
          <cell r="B423" t="str">
            <v>Positivo</v>
          </cell>
        </row>
        <row r="424">
          <cell r="A424" t="str">
            <v>RD1F9</v>
          </cell>
          <cell r="B424" t="str">
            <v>Positivo</v>
          </cell>
        </row>
        <row r="425">
          <cell r="A425" t="str">
            <v>rd2b3_27F</v>
          </cell>
          <cell r="B425" t="str">
            <v>Positivo</v>
          </cell>
        </row>
        <row r="426">
          <cell r="A426" t="str">
            <v>RD3B3</v>
          </cell>
          <cell r="B426" t="str">
            <v>Negativo</v>
          </cell>
        </row>
        <row r="427">
          <cell r="A427" t="str">
            <v>RD3B3_rbcLaF</v>
          </cell>
          <cell r="B427" t="str">
            <v>Positivo</v>
          </cell>
        </row>
        <row r="428">
          <cell r="A428" t="str">
            <v>RDCE1</v>
          </cell>
          <cell r="B428" t="str">
            <v>Positivo</v>
          </cell>
        </row>
        <row r="429">
          <cell r="A429" t="str">
            <v>RDCH10</v>
          </cell>
          <cell r="B429" t="str">
            <v>Positivo</v>
          </cell>
        </row>
        <row r="430">
          <cell r="A430" t="str">
            <v>RH1B12</v>
          </cell>
          <cell r="B430" t="str">
            <v>Positivo</v>
          </cell>
        </row>
        <row r="431">
          <cell r="A431" t="str">
            <v>RJ1A12</v>
          </cell>
          <cell r="B431" t="str">
            <v>Positivo</v>
          </cell>
        </row>
        <row r="432">
          <cell r="A432" t="str">
            <v>RJ2A12</v>
          </cell>
          <cell r="B432" t="str">
            <v>Positivo</v>
          </cell>
        </row>
        <row r="433">
          <cell r="A433" t="str">
            <v>RJ2D12</v>
          </cell>
          <cell r="B433" t="str">
            <v>Positivo</v>
          </cell>
        </row>
        <row r="434">
          <cell r="A434" t="str">
            <v>RJ2H4</v>
          </cell>
          <cell r="B434" t="str">
            <v>Negativo</v>
          </cell>
        </row>
        <row r="435">
          <cell r="A435" t="str">
            <v>RJ2H4__27F/1494R</v>
          </cell>
          <cell r="B435" t="str">
            <v>Positivo</v>
          </cell>
        </row>
        <row r="436">
          <cell r="A436" t="str">
            <v>BEA1543_781F/23S03R</v>
          </cell>
          <cell r="B436" t="str">
            <v>Positivo</v>
          </cell>
        </row>
        <row r="437">
          <cell r="A437" t="str">
            <v>RP1_G7/2_EUKA/B</v>
          </cell>
          <cell r="B437" t="str">
            <v>Positivo</v>
          </cell>
        </row>
        <row r="438">
          <cell r="A438" t="str">
            <v>RP1_G7/2_ITS</v>
          </cell>
          <cell r="B438" t="str">
            <v>Positivo</v>
          </cell>
        </row>
        <row r="439">
          <cell r="A439" t="str">
            <v>RP1_G7_EUKA/B</v>
          </cell>
          <cell r="B439" t="str">
            <v>Positivo</v>
          </cell>
        </row>
        <row r="440">
          <cell r="A440" t="str">
            <v>RP1_G7_ITS</v>
          </cell>
          <cell r="B440" t="str">
            <v>Positivo</v>
          </cell>
        </row>
        <row r="441">
          <cell r="A441" t="str">
            <v>RP2_MAYO_EUKA</v>
          </cell>
          <cell r="B441" t="str">
            <v>Negativo</v>
          </cell>
        </row>
        <row r="442">
          <cell r="A442" t="str">
            <v>RP2MAYO</v>
          </cell>
          <cell r="B442" t="str">
            <v>Negativo</v>
          </cell>
        </row>
        <row r="443">
          <cell r="A443" t="str">
            <v>BEA1559_27F/1494R</v>
          </cell>
          <cell r="B443" t="str">
            <v>Positivo</v>
          </cell>
        </row>
        <row r="444">
          <cell r="A444" t="str">
            <v>RP2MAYO_rbcLaF</v>
          </cell>
          <cell r="B444" t="str">
            <v>Positivo</v>
          </cell>
        </row>
        <row r="445">
          <cell r="A445" t="str">
            <v>RP2MAYO_rbcLaF/LaR</v>
          </cell>
          <cell r="B445" t="str">
            <v>Negativo</v>
          </cell>
        </row>
        <row r="446">
          <cell r="A446" t="str">
            <v>RP2MAYOx2_rbcLaF/LaR</v>
          </cell>
          <cell r="B446" t="str">
            <v>Positivo</v>
          </cell>
        </row>
        <row r="447">
          <cell r="A447" t="str">
            <v>RP3M1</v>
          </cell>
          <cell r="B447" t="str">
            <v>Negativo</v>
          </cell>
        </row>
        <row r="448">
          <cell r="A448" t="str">
            <v>RP3M2</v>
          </cell>
          <cell r="B448" t="str">
            <v>Negativo</v>
          </cell>
        </row>
        <row r="449">
          <cell r="A449" t="str">
            <v>BEA2017_EUKA/EUKB</v>
          </cell>
          <cell r="B449" t="str">
            <v>Positivo</v>
          </cell>
        </row>
        <row r="450">
          <cell r="A450" t="str">
            <v>RP3MAYO</v>
          </cell>
          <cell r="B450" t="str">
            <v>Negativo</v>
          </cell>
        </row>
        <row r="451">
          <cell r="A451" t="str">
            <v>RP7_1.1</v>
          </cell>
          <cell r="B451" t="str">
            <v>Positivo</v>
          </cell>
        </row>
        <row r="452">
          <cell r="A452" t="str">
            <v>RP7_1.1</v>
          </cell>
          <cell r="B452" t="str">
            <v>Negativo</v>
          </cell>
        </row>
        <row r="453">
          <cell r="A453" t="str">
            <v>RP7_2.2</v>
          </cell>
          <cell r="B453" t="str">
            <v>Positivo</v>
          </cell>
        </row>
        <row r="454">
          <cell r="A454" t="str">
            <v>RP7_2.2</v>
          </cell>
          <cell r="B454" t="str">
            <v>Negativo</v>
          </cell>
        </row>
        <row r="455">
          <cell r="A455" t="str">
            <v>RP7_2.2x2</v>
          </cell>
          <cell r="B455" t="str">
            <v>Negativo</v>
          </cell>
        </row>
        <row r="456">
          <cell r="A456" t="str">
            <v>RP7_2.3</v>
          </cell>
          <cell r="B456" t="str">
            <v>Negativo</v>
          </cell>
        </row>
        <row r="457">
          <cell r="A457" t="str">
            <v>RP7_2.3</v>
          </cell>
          <cell r="B457" t="str">
            <v>Negativo</v>
          </cell>
        </row>
        <row r="458">
          <cell r="A458" t="str">
            <v>RP7_2.3</v>
          </cell>
          <cell r="B458" t="str">
            <v>Negativo</v>
          </cell>
        </row>
        <row r="459">
          <cell r="A459" t="str">
            <v>RP7_2.3</v>
          </cell>
          <cell r="B459" t="str">
            <v>Negativo</v>
          </cell>
        </row>
        <row r="460">
          <cell r="A460" t="str">
            <v>RP7_2.3x2</v>
          </cell>
          <cell r="B460" t="str">
            <v>Negativo</v>
          </cell>
        </row>
        <row r="461">
          <cell r="A461" t="str">
            <v>RP7_2.3x2</v>
          </cell>
          <cell r="B461" t="str">
            <v>Negativo</v>
          </cell>
        </row>
        <row r="462">
          <cell r="A462" t="str">
            <v>RP7_2.3X2</v>
          </cell>
          <cell r="B462" t="str">
            <v>Negativo</v>
          </cell>
        </row>
        <row r="463">
          <cell r="A463" t="str">
            <v>RP7_2.3X3</v>
          </cell>
          <cell r="B463" t="str">
            <v>Negativo</v>
          </cell>
        </row>
        <row r="464">
          <cell r="A464" t="str">
            <v>RP7_2.4</v>
          </cell>
          <cell r="B464" t="str">
            <v>Positivo</v>
          </cell>
        </row>
        <row r="465">
          <cell r="A465" t="str">
            <v>BEA1574_27F/1494R</v>
          </cell>
          <cell r="B465" t="str">
            <v>Positivo</v>
          </cell>
        </row>
        <row r="466">
          <cell r="A466" t="str">
            <v>RP7_2.4x2</v>
          </cell>
          <cell r="B466" t="str">
            <v>Positivo</v>
          </cell>
        </row>
        <row r="467">
          <cell r="A467" t="str">
            <v>RP7_2.4x3</v>
          </cell>
          <cell r="B467" t="str">
            <v>Positivo</v>
          </cell>
        </row>
        <row r="468">
          <cell r="A468" t="str">
            <v>RP7_2.5</v>
          </cell>
          <cell r="B468" t="str">
            <v>Positivo</v>
          </cell>
        </row>
        <row r="469">
          <cell r="A469" t="str">
            <v>BEA2175_781F/23S03R</v>
          </cell>
          <cell r="B469" t="str">
            <v>Positivo</v>
          </cell>
        </row>
        <row r="470">
          <cell r="A470" t="str">
            <v>RP7_2.5x2</v>
          </cell>
          <cell r="B470" t="str">
            <v>Positivo</v>
          </cell>
        </row>
        <row r="471">
          <cell r="A471" t="str">
            <v>RP7_2.5x3</v>
          </cell>
          <cell r="B471" t="str">
            <v>Positivo</v>
          </cell>
        </row>
        <row r="472">
          <cell r="A472" t="str">
            <v>RP7_3.1</v>
          </cell>
          <cell r="B472" t="str">
            <v>Negativo</v>
          </cell>
        </row>
        <row r="473">
          <cell r="A473" t="str">
            <v>RP7_3.1</v>
          </cell>
          <cell r="B473" t="str">
            <v>Negativo</v>
          </cell>
        </row>
        <row r="474">
          <cell r="A474" t="str">
            <v>RP7_3.1</v>
          </cell>
          <cell r="B474" t="str">
            <v>Negativo</v>
          </cell>
        </row>
        <row r="475">
          <cell r="A475" t="str">
            <v>RP7_3.1</v>
          </cell>
          <cell r="B475" t="str">
            <v>Negativo</v>
          </cell>
        </row>
        <row r="476">
          <cell r="A476" t="str">
            <v>RP7_3.1x2</v>
          </cell>
          <cell r="B476" t="str">
            <v>Negativo</v>
          </cell>
        </row>
        <row r="477">
          <cell r="A477" t="str">
            <v>RP7_3.1X2</v>
          </cell>
          <cell r="B477" t="str">
            <v>Negativo</v>
          </cell>
        </row>
        <row r="478">
          <cell r="A478" t="str">
            <v>RP7_3.2</v>
          </cell>
          <cell r="B478" t="str">
            <v>Positivo</v>
          </cell>
        </row>
        <row r="479">
          <cell r="A479" t="str">
            <v>BEA2177_781F/23S03R</v>
          </cell>
          <cell r="B479" t="str">
            <v>Positivo</v>
          </cell>
        </row>
        <row r="480">
          <cell r="A480" t="str">
            <v>RP7_3.2</v>
          </cell>
          <cell r="B480" t="str">
            <v>Negativo</v>
          </cell>
        </row>
        <row r="481">
          <cell r="A481" t="str">
            <v>RP7_3.6</v>
          </cell>
          <cell r="B481" t="str">
            <v>Positivo</v>
          </cell>
        </row>
        <row r="482">
          <cell r="A482" t="str">
            <v>RP7_3.6</v>
          </cell>
          <cell r="B482" t="str">
            <v>Positivo</v>
          </cell>
        </row>
        <row r="483">
          <cell r="A483" t="str">
            <v>RP7_3.6</v>
          </cell>
          <cell r="B483" t="str">
            <v>Negativo</v>
          </cell>
        </row>
        <row r="484">
          <cell r="A484" t="str">
            <v>RP9_1.1</v>
          </cell>
          <cell r="B484" t="str">
            <v>Negativo</v>
          </cell>
        </row>
        <row r="485">
          <cell r="A485" t="str">
            <v>RP9_1.1X2</v>
          </cell>
          <cell r="B485" t="str">
            <v>Negativo</v>
          </cell>
        </row>
        <row r="486">
          <cell r="A486" t="str">
            <v>RP9_2.1</v>
          </cell>
          <cell r="B486" t="str">
            <v>Negativo</v>
          </cell>
        </row>
        <row r="487">
          <cell r="A487" t="str">
            <v>RP9_2.1</v>
          </cell>
          <cell r="B487" t="str">
            <v>Negativo</v>
          </cell>
        </row>
        <row r="488">
          <cell r="A488" t="str">
            <v>EMBARCADERO_CADIZ_SSU/ITS4</v>
          </cell>
          <cell r="B488" t="str">
            <v>Positivo</v>
          </cell>
        </row>
        <row r="489">
          <cell r="A489" t="str">
            <v>RP9_2.2</v>
          </cell>
          <cell r="B489" t="str">
            <v>Negativo</v>
          </cell>
        </row>
        <row r="490">
          <cell r="A490" t="str">
            <v>MALAGA_SSU/ITS4</v>
          </cell>
          <cell r="B490" t="str">
            <v>Positivo</v>
          </cell>
        </row>
        <row r="491">
          <cell r="A491" t="str">
            <v>RP9_2.3</v>
          </cell>
          <cell r="B491" t="str">
            <v>Negativo</v>
          </cell>
        </row>
        <row r="492">
          <cell r="A492" t="str">
            <v>Roqueprieto_nov_TufA4/R</v>
          </cell>
          <cell r="B492" t="str">
            <v>Positivo</v>
          </cell>
        </row>
        <row r="493">
          <cell r="A493" t="str">
            <v>RP2MAYO_TufA4/R</v>
          </cell>
          <cell r="B493" t="str">
            <v>Positivo</v>
          </cell>
        </row>
        <row r="494">
          <cell r="A494" t="str">
            <v>RP3MAYO_TufA4/R</v>
          </cell>
          <cell r="B494" t="str">
            <v>Positivo</v>
          </cell>
        </row>
        <row r="495">
          <cell r="A495" t="str">
            <v>RP7_2._2SSU/ITS4</v>
          </cell>
          <cell r="B495" t="str">
            <v>Positivo</v>
          </cell>
        </row>
        <row r="496">
          <cell r="A496" t="str">
            <v>RP9_3.2</v>
          </cell>
          <cell r="B496" t="str">
            <v>Negativo</v>
          </cell>
        </row>
        <row r="497">
          <cell r="A497" t="str">
            <v>RP9_3.2</v>
          </cell>
          <cell r="B497" t="str">
            <v>Negativo</v>
          </cell>
        </row>
        <row r="498">
          <cell r="A498" t="str">
            <v>RP7_2.4_SSU/ITS4</v>
          </cell>
          <cell r="B498" t="str">
            <v>Positivo</v>
          </cell>
        </row>
        <row r="499">
          <cell r="A499" t="str">
            <v>RP7_2.4_SSU/ITS4</v>
          </cell>
          <cell r="B499" t="str">
            <v>Positivo</v>
          </cell>
        </row>
        <row r="500">
          <cell r="A500" t="str">
            <v>RP9_3.4</v>
          </cell>
          <cell r="B500" t="str">
            <v>Negativo</v>
          </cell>
        </row>
        <row r="501">
          <cell r="A501" t="str">
            <v>RP9_3.4</v>
          </cell>
          <cell r="B501" t="str">
            <v>Negativo</v>
          </cell>
        </row>
        <row r="502">
          <cell r="A502" t="str">
            <v>RP7_2.5_SSU/ITS4</v>
          </cell>
          <cell r="B502" t="str">
            <v>Positivo</v>
          </cell>
        </row>
        <row r="503">
          <cell r="A503" t="str">
            <v>RP7_3.2_TufA4/R</v>
          </cell>
          <cell r="B503" t="str">
            <v>Positivo</v>
          </cell>
        </row>
        <row r="504">
          <cell r="A504" t="str">
            <v>RP7_3.2_SSU/ITS4</v>
          </cell>
          <cell r="B504" t="str">
            <v>Positivo</v>
          </cell>
        </row>
        <row r="505">
          <cell r="A505" t="str">
            <v>RP9_3.6</v>
          </cell>
          <cell r="B505" t="str">
            <v>Negativo</v>
          </cell>
        </row>
        <row r="506">
          <cell r="A506" t="str">
            <v>RPMAYO_ITS</v>
          </cell>
          <cell r="B506" t="str">
            <v>Positivo</v>
          </cell>
        </row>
        <row r="507">
          <cell r="A507" t="str">
            <v>RPNOV</v>
          </cell>
          <cell r="B507" t="str">
            <v>Positivo</v>
          </cell>
        </row>
        <row r="508">
          <cell r="A508" t="str">
            <v>RPNOV_ITS1</v>
          </cell>
          <cell r="B508" t="str">
            <v>Positivo</v>
          </cell>
        </row>
        <row r="509">
          <cell r="A509" t="str">
            <v>RPNOV_rbcLaF</v>
          </cell>
          <cell r="B509" t="str">
            <v>Positivo</v>
          </cell>
        </row>
        <row r="510">
          <cell r="A510" t="str">
            <v>RS1H1</v>
          </cell>
          <cell r="B510" t="str">
            <v>Positivo</v>
          </cell>
        </row>
        <row r="511">
          <cell r="A511" t="str">
            <v>RS2C2</v>
          </cell>
          <cell r="B511" t="str">
            <v>Positivo</v>
          </cell>
        </row>
        <row r="512">
          <cell r="A512" t="str">
            <v>ulva_cadiz</v>
          </cell>
          <cell r="B512" t="str">
            <v>Negativo</v>
          </cell>
        </row>
        <row r="513">
          <cell r="A513" t="str">
            <v>ulva_cadizx2</v>
          </cell>
          <cell r="B513" t="str">
            <v>Negativo</v>
          </cell>
        </row>
        <row r="514">
          <cell r="A514" t="str">
            <v>ULVACADIZ</v>
          </cell>
          <cell r="B514" t="str">
            <v>Negativo</v>
          </cell>
        </row>
        <row r="515">
          <cell r="A515" t="str">
            <v>ULVAMARISMACADIZ</v>
          </cell>
          <cell r="B515" t="str">
            <v>Negativo</v>
          </cell>
        </row>
        <row r="516">
          <cell r="A516" t="str">
            <v>VAL1:20</v>
          </cell>
          <cell r="B516" t="str">
            <v>Negativo</v>
          </cell>
        </row>
        <row r="517">
          <cell r="A517" t="str">
            <v>VAL7.2</v>
          </cell>
          <cell r="B517" t="str">
            <v>Negativo</v>
          </cell>
        </row>
        <row r="518">
          <cell r="A518" t="str">
            <v>VAL7.2</v>
          </cell>
          <cell r="B518" t="str">
            <v>Negativo</v>
          </cell>
        </row>
        <row r="519">
          <cell r="A519" t="str">
            <v>BEA1067_781F/23S03R</v>
          </cell>
          <cell r="B519" t="str">
            <v>Positivo</v>
          </cell>
        </row>
        <row r="520">
          <cell r="A520" t="str">
            <v>BEA1583_27F/1494R</v>
          </cell>
          <cell r="B520" t="str">
            <v>Positivo</v>
          </cell>
        </row>
        <row r="521">
          <cell r="A521" t="str">
            <v>BEA1605_781F/23S03R</v>
          </cell>
          <cell r="B521" t="str">
            <v>Positivo</v>
          </cell>
        </row>
        <row r="522">
          <cell r="A522" t="str">
            <v>BEA1256</v>
          </cell>
          <cell r="B522" t="str">
            <v>Negativo</v>
          </cell>
        </row>
        <row r="523">
          <cell r="A523" t="str">
            <v>BEA1668_EUKA/EUKB</v>
          </cell>
          <cell r="B523" t="str">
            <v>Positivo</v>
          </cell>
        </row>
        <row r="524">
          <cell r="A524" t="str">
            <v>BEA1277</v>
          </cell>
          <cell r="B524" t="str">
            <v>Positivo</v>
          </cell>
        </row>
        <row r="525">
          <cell r="A525" t="str">
            <v>BEA1750_18S001F_13R</v>
          </cell>
          <cell r="B525" t="str">
            <v>Positivo</v>
          </cell>
        </row>
        <row r="526">
          <cell r="A526" t="str">
            <v>BEA1841_781F/23S03R</v>
          </cell>
          <cell r="B526" t="str">
            <v>Positivo</v>
          </cell>
        </row>
        <row r="527">
          <cell r="A527" t="str">
            <v>BEA1895_781F/23S03R</v>
          </cell>
          <cell r="B527" t="str">
            <v>Positivo</v>
          </cell>
        </row>
        <row r="528">
          <cell r="A528" t="str">
            <v>BEA1900_781F/23S03R</v>
          </cell>
          <cell r="B528" t="str">
            <v>Positivo</v>
          </cell>
        </row>
        <row r="529">
          <cell r="A529" t="str">
            <v>BEA1913_18S001F_13R</v>
          </cell>
          <cell r="B529" t="str">
            <v>Positivo</v>
          </cell>
        </row>
        <row r="530">
          <cell r="A530" t="str">
            <v>BEA1944_EUKA/EUKB</v>
          </cell>
          <cell r="B530" t="str">
            <v>Positivo</v>
          </cell>
        </row>
        <row r="531">
          <cell r="A531" t="str">
            <v>BEA1695</v>
          </cell>
          <cell r="B531" t="str">
            <v>Negativo</v>
          </cell>
        </row>
        <row r="532">
          <cell r="A532" t="str">
            <v>BEA1945_EUKA/EUKB</v>
          </cell>
          <cell r="B532" t="str">
            <v>Positivo</v>
          </cell>
        </row>
        <row r="533">
          <cell r="A533" t="str">
            <v>BEA1963_SSU/ITS4</v>
          </cell>
          <cell r="B533" t="str">
            <v>Positivo</v>
          </cell>
        </row>
        <row r="534">
          <cell r="A534" t="str">
            <v>BEA1998_18S001F_13R</v>
          </cell>
          <cell r="B534" t="str">
            <v>Positivo</v>
          </cell>
        </row>
        <row r="535">
          <cell r="A535" t="str">
            <v>BEA2002_18S001F_13R</v>
          </cell>
          <cell r="B535" t="str">
            <v>Positivo</v>
          </cell>
        </row>
        <row r="536">
          <cell r="A536" t="str">
            <v>BEA2021_18S001F_13R</v>
          </cell>
          <cell r="B536" t="str">
            <v>Positivo</v>
          </cell>
        </row>
        <row r="537">
          <cell r="A537" t="str">
            <v>BEA2022_18S001F_13R</v>
          </cell>
          <cell r="B537" t="str">
            <v>Positivo</v>
          </cell>
        </row>
        <row r="538">
          <cell r="A538" t="str">
            <v>BEA2135</v>
          </cell>
          <cell r="B538" t="str">
            <v>Negativo</v>
          </cell>
        </row>
        <row r="539">
          <cell r="A539" t="str">
            <v>BEA2135X2</v>
          </cell>
          <cell r="B539" t="str">
            <v>Negativo</v>
          </cell>
        </row>
        <row r="540">
          <cell r="A540" t="str">
            <v>BEA2136</v>
          </cell>
          <cell r="B540" t="str">
            <v>Negativo</v>
          </cell>
        </row>
        <row r="541">
          <cell r="A541" t="str">
            <v>RP7_3.6_SSU/ITS4</v>
          </cell>
          <cell r="B541" t="str">
            <v>Positivo</v>
          </cell>
        </row>
        <row r="542">
          <cell r="A542" t="str">
            <v>RP9_1.1X2_SSU/ITS4</v>
          </cell>
          <cell r="B542" t="str">
            <v>Positivo</v>
          </cell>
        </row>
        <row r="543">
          <cell r="A543" t="str">
            <v>RP91.1</v>
          </cell>
          <cell r="B543" t="str">
            <v>Positivo</v>
          </cell>
        </row>
        <row r="544">
          <cell r="A544" t="str">
            <v>RP91.1X2</v>
          </cell>
          <cell r="B544" t="str">
            <v>Negativo</v>
          </cell>
        </row>
        <row r="545">
          <cell r="A545" t="str">
            <v>RP9_2.1</v>
          </cell>
          <cell r="B545" t="str">
            <v>Negativo</v>
          </cell>
        </row>
        <row r="546">
          <cell r="A546" t="str">
            <v>RP9_2.2_TufA4/R</v>
          </cell>
          <cell r="B546" t="str">
            <v>Positivo</v>
          </cell>
        </row>
        <row r="547">
          <cell r="A547" t="str">
            <v>RP9_2.3</v>
          </cell>
          <cell r="B547" t="str">
            <v>Negativo</v>
          </cell>
        </row>
        <row r="548">
          <cell r="A548" t="str">
            <v>RP9_2.4</v>
          </cell>
          <cell r="B548" t="str">
            <v>Negativo</v>
          </cell>
        </row>
        <row r="549">
          <cell r="A549" t="str">
            <v>RP9_2.2_EUKA/EUKB</v>
          </cell>
          <cell r="B549" t="str">
            <v>Positivo</v>
          </cell>
        </row>
        <row r="550">
          <cell r="A550" t="str">
            <v>RP9_3.2</v>
          </cell>
          <cell r="B550" t="str">
            <v>Negativo</v>
          </cell>
        </row>
        <row r="551">
          <cell r="A551" t="str">
            <v>RP9_2.2_SSU/ITS4</v>
          </cell>
          <cell r="B551" t="str">
            <v>Positivo</v>
          </cell>
        </row>
        <row r="552">
          <cell r="A552" t="str">
            <v>RP9_3.4</v>
          </cell>
          <cell r="B552" t="str">
            <v>Negativo</v>
          </cell>
        </row>
        <row r="553">
          <cell r="A553" t="str">
            <v>RP9_2.3_TufA4/R</v>
          </cell>
          <cell r="B553" t="str">
            <v>Positivo</v>
          </cell>
        </row>
        <row r="554">
          <cell r="A554" t="str">
            <v>RP9_2.3_SSU/ITS4</v>
          </cell>
          <cell r="B554" t="str">
            <v>Positivo</v>
          </cell>
        </row>
        <row r="555">
          <cell r="A555" t="str">
            <v>RP9_2.4_TufA4/R</v>
          </cell>
          <cell r="B555" t="str">
            <v>Positivo</v>
          </cell>
        </row>
        <row r="556">
          <cell r="A556" t="str">
            <v>BEA2178</v>
          </cell>
          <cell r="B556" t="str">
            <v>Negativo</v>
          </cell>
        </row>
        <row r="557">
          <cell r="A557" t="str">
            <v>BEA2187</v>
          </cell>
          <cell r="B557" t="str">
            <v>Negativo</v>
          </cell>
        </row>
        <row r="558">
          <cell r="A558" t="str">
            <v>VALONIA 1:20</v>
          </cell>
          <cell r="B558" t="str">
            <v>Negativo</v>
          </cell>
        </row>
        <row r="559">
          <cell r="A559" t="str">
            <v>RP9_2.4_SSU/ITS4</v>
          </cell>
          <cell r="B559" t="str">
            <v>Positivo</v>
          </cell>
        </row>
        <row r="560">
          <cell r="A560" t="str">
            <v>BEA1847</v>
          </cell>
          <cell r="B560" t="str">
            <v>Negativo</v>
          </cell>
        </row>
        <row r="561">
          <cell r="A561" t="str">
            <v>RP9_3.1_TufA4/R</v>
          </cell>
          <cell r="B561" t="str">
            <v>Positivo</v>
          </cell>
        </row>
        <row r="562">
          <cell r="A562" t="str">
            <v>BEA1978</v>
          </cell>
          <cell r="B562" t="str">
            <v>Negativo</v>
          </cell>
        </row>
        <row r="563">
          <cell r="A563" t="str">
            <v>BEA1974</v>
          </cell>
          <cell r="B563" t="str">
            <v>Negativo</v>
          </cell>
        </row>
        <row r="564">
          <cell r="A564" t="str">
            <v>RP9_3.1_SSU/ITS4</v>
          </cell>
          <cell r="B564" t="str">
            <v>Positivo</v>
          </cell>
        </row>
        <row r="565">
          <cell r="A565" t="str">
            <v>RP9_3.1_EUKA/EUKB</v>
          </cell>
          <cell r="B565" t="str">
            <v>Positivo</v>
          </cell>
        </row>
        <row r="566">
          <cell r="A566" t="str">
            <v>RP3_MAYO</v>
          </cell>
          <cell r="B566" t="str">
            <v>Positivo</v>
          </cell>
        </row>
        <row r="567">
          <cell r="A567" t="str">
            <v>1.1MARZO</v>
          </cell>
          <cell r="B567" t="str">
            <v>Negativo</v>
          </cell>
        </row>
        <row r="568">
          <cell r="A568" t="str">
            <v>RP9_3.1</v>
          </cell>
          <cell r="B568" t="str">
            <v>Positivo</v>
          </cell>
        </row>
        <row r="569">
          <cell r="A569" t="str">
            <v>2.2MARZO</v>
          </cell>
          <cell r="B569" t="str">
            <v>Negativo</v>
          </cell>
        </row>
        <row r="570">
          <cell r="A570" t="str">
            <v>2.3MARZO</v>
          </cell>
          <cell r="B570" t="str">
            <v>Negativo</v>
          </cell>
        </row>
        <row r="571">
          <cell r="A571" t="str">
            <v>3.1MARZO</v>
          </cell>
          <cell r="B571" t="str">
            <v>Negativo</v>
          </cell>
        </row>
        <row r="572">
          <cell r="A572" t="str">
            <v>RP9_3.2_SSU/ITS4</v>
          </cell>
          <cell r="B572" t="str">
            <v>Positivo</v>
          </cell>
        </row>
        <row r="573">
          <cell r="A573" t="str">
            <v>RP7_2.3</v>
          </cell>
          <cell r="B573" t="str">
            <v>Negativo</v>
          </cell>
        </row>
        <row r="574">
          <cell r="A574" t="str">
            <v>RP9_3.3_SSU/ITS4</v>
          </cell>
          <cell r="B574" t="str">
            <v>Positivo</v>
          </cell>
        </row>
        <row r="575">
          <cell r="A575" t="str">
            <v>RP7_2.5</v>
          </cell>
          <cell r="B575" t="str">
            <v>Negativo</v>
          </cell>
        </row>
        <row r="576">
          <cell r="A576" t="str">
            <v>RP7_3.1</v>
          </cell>
          <cell r="B576" t="str">
            <v>Negativo</v>
          </cell>
        </row>
        <row r="577">
          <cell r="A577" t="str">
            <v>RP9_3.3_TufA4/R</v>
          </cell>
          <cell r="B577" t="str">
            <v>Positivo</v>
          </cell>
        </row>
        <row r="578">
          <cell r="A578" t="str">
            <v>RP9_3.3_EUKA/EUKB</v>
          </cell>
          <cell r="B578" t="str">
            <v>Positivo</v>
          </cell>
        </row>
        <row r="579">
          <cell r="A579" t="str">
            <v>pl3b5</v>
          </cell>
          <cell r="B579" t="str">
            <v>Negativo</v>
          </cell>
        </row>
        <row r="580">
          <cell r="A580" t="str">
            <v>RP9_3.5_SSU/ITS4</v>
          </cell>
          <cell r="B580" t="str">
            <v>Positivo</v>
          </cell>
        </row>
        <row r="581">
          <cell r="A581" t="str">
            <v>RP9_3.5_TufA4/R</v>
          </cell>
          <cell r="B581" t="str">
            <v>Positivo</v>
          </cell>
        </row>
        <row r="582">
          <cell r="A582" t="str">
            <v>RP9_2.1</v>
          </cell>
          <cell r="B582" t="str">
            <v>Negativo</v>
          </cell>
        </row>
        <row r="583">
          <cell r="A583" t="str">
            <v>RP9_3.5_EUKA/EUKB</v>
          </cell>
          <cell r="B583" t="str">
            <v>Positivo</v>
          </cell>
        </row>
        <row r="584">
          <cell r="A584" t="str">
            <v>RP9_3.6_SSU/ITS4</v>
          </cell>
          <cell r="B584" t="str">
            <v>Positivo</v>
          </cell>
        </row>
        <row r="585">
          <cell r="A585" t="str">
            <v>RP9_2-4</v>
          </cell>
          <cell r="B585" t="str">
            <v>Negativo</v>
          </cell>
        </row>
        <row r="586">
          <cell r="A586" t="str">
            <v>RP9_3.6_EUKA/EUKB</v>
          </cell>
          <cell r="B586" t="str">
            <v>Positivo</v>
          </cell>
        </row>
        <row r="587">
          <cell r="A587" t="str">
            <v>RP9_3.6</v>
          </cell>
          <cell r="B587" t="str">
            <v>Positivo</v>
          </cell>
        </row>
        <row r="588">
          <cell r="A588" t="str">
            <v>RP9_3.3</v>
          </cell>
          <cell r="B588" t="str">
            <v>Negativo</v>
          </cell>
        </row>
        <row r="589">
          <cell r="A589" t="str">
            <v>RP9_3.4</v>
          </cell>
          <cell r="B589" t="str">
            <v>Negativo</v>
          </cell>
        </row>
        <row r="590">
          <cell r="A590" t="str">
            <v>RP9_3.5</v>
          </cell>
          <cell r="B590" t="str">
            <v>Negativo</v>
          </cell>
        </row>
        <row r="591">
          <cell r="A591" t="str">
            <v>RP91.1_SSU/ITS4</v>
          </cell>
          <cell r="B591" t="str">
            <v>Positivo</v>
          </cell>
        </row>
        <row r="592">
          <cell r="A592" t="str">
            <v>BEA2024_781F/23S03R</v>
          </cell>
          <cell r="B592" t="str">
            <v>Positivo</v>
          </cell>
        </row>
        <row r="593">
          <cell r="A593" t="str">
            <v>AL5_A11_EUKAB</v>
          </cell>
          <cell r="B593" t="str">
            <v>Negativo</v>
          </cell>
        </row>
        <row r="594">
          <cell r="A594" t="str">
            <v>AL5_A11_EUKAB</v>
          </cell>
          <cell r="B594" t="str">
            <v>Negativo</v>
          </cell>
        </row>
        <row r="595">
          <cell r="A595" t="str">
            <v>BEA0008_359F_1494R</v>
          </cell>
          <cell r="B595" t="str">
            <v>Positivo</v>
          </cell>
        </row>
        <row r="596">
          <cell r="A596" t="str">
            <v>BEA2031_18S001F_13R</v>
          </cell>
          <cell r="B596" t="str">
            <v>Positivo</v>
          </cell>
        </row>
        <row r="597">
          <cell r="A597" t="str">
            <v>AL5_A11_SSU_ITS4T</v>
          </cell>
          <cell r="B597" t="str">
            <v>Negativo</v>
          </cell>
        </row>
        <row r="598">
          <cell r="A598" t="str">
            <v>bea0008</v>
          </cell>
          <cell r="B598" t="str">
            <v>Negativo</v>
          </cell>
        </row>
        <row r="599">
          <cell r="A599" t="str">
            <v>BEA0089_359F_1494R</v>
          </cell>
          <cell r="B599" t="str">
            <v>Positivo</v>
          </cell>
        </row>
        <row r="600">
          <cell r="A600" t="str">
            <v>BEA0854_359F_1494R</v>
          </cell>
          <cell r="B600" t="str">
            <v>Positivo</v>
          </cell>
        </row>
        <row r="601">
          <cell r="A601" t="str">
            <v>bea0098</v>
          </cell>
          <cell r="B601" t="str">
            <v>Negativo</v>
          </cell>
        </row>
        <row r="602">
          <cell r="A602" t="str">
            <v>bea0784</v>
          </cell>
          <cell r="B602" t="str">
            <v>Negativo</v>
          </cell>
        </row>
        <row r="603">
          <cell r="A603" t="str">
            <v>bea0784</v>
          </cell>
          <cell r="B603" t="str">
            <v>Negativo</v>
          </cell>
        </row>
        <row r="604">
          <cell r="A604" t="str">
            <v>bea0854</v>
          </cell>
          <cell r="B604" t="str">
            <v>Negativo</v>
          </cell>
        </row>
        <row r="605">
          <cell r="A605" t="str">
            <v>BEA0918_359F_1494R</v>
          </cell>
          <cell r="B605" t="str">
            <v>Positivo</v>
          </cell>
        </row>
        <row r="606">
          <cell r="A606" t="str">
            <v>BEA0984_359F_1494R</v>
          </cell>
          <cell r="B606" t="str">
            <v>Positivo</v>
          </cell>
        </row>
        <row r="607">
          <cell r="A607" t="str">
            <v>bea0984</v>
          </cell>
          <cell r="B607" t="str">
            <v>Negativo</v>
          </cell>
        </row>
        <row r="608">
          <cell r="A608" t="str">
            <v>BEA1017_359F_1494R</v>
          </cell>
          <cell r="B608" t="str">
            <v>Positivo</v>
          </cell>
        </row>
        <row r="609">
          <cell r="A609" t="str">
            <v>BEA1059_359F_1494R</v>
          </cell>
          <cell r="B609" t="str">
            <v>Positivo</v>
          </cell>
        </row>
        <row r="610">
          <cell r="A610" t="str">
            <v>bea1059</v>
          </cell>
          <cell r="B610" t="str">
            <v>Negativo</v>
          </cell>
        </row>
        <row r="611">
          <cell r="A611" t="str">
            <v>BEA1062_359F_1494R</v>
          </cell>
          <cell r="B611" t="str">
            <v>Positivo</v>
          </cell>
        </row>
        <row r="612">
          <cell r="A612" t="str">
            <v>bea1062</v>
          </cell>
          <cell r="B612" t="str">
            <v>Negativo</v>
          </cell>
        </row>
        <row r="613">
          <cell r="A613" t="str">
            <v>BEA1067_359F_1494R</v>
          </cell>
          <cell r="B613" t="str">
            <v>Positivo</v>
          </cell>
        </row>
        <row r="614">
          <cell r="A614" t="str">
            <v>bea1067</v>
          </cell>
          <cell r="B614" t="str">
            <v>Negativo</v>
          </cell>
        </row>
        <row r="615">
          <cell r="A615" t="str">
            <v>BEA1217_359F_1494R</v>
          </cell>
          <cell r="B615" t="str">
            <v>Positivo</v>
          </cell>
        </row>
        <row r="616">
          <cell r="A616" t="str">
            <v>BEA1189_359F_1494R</v>
          </cell>
          <cell r="B616" t="str">
            <v>Positivo</v>
          </cell>
        </row>
        <row r="617">
          <cell r="A617" t="str">
            <v>bea1217</v>
          </cell>
          <cell r="B617" t="str">
            <v>Negativo</v>
          </cell>
        </row>
        <row r="618">
          <cell r="A618" t="str">
            <v>BEA1256_359F_1494R</v>
          </cell>
          <cell r="B618" t="str">
            <v>Positivo</v>
          </cell>
        </row>
        <row r="619">
          <cell r="A619" t="str">
            <v>bea1256</v>
          </cell>
          <cell r="B619" t="str">
            <v>Negativo</v>
          </cell>
        </row>
        <row r="620">
          <cell r="A620" t="str">
            <v>BEA1267_359F_1494R</v>
          </cell>
          <cell r="B620" t="str">
            <v>Positivo</v>
          </cell>
        </row>
        <row r="621">
          <cell r="A621" t="str">
            <v>bea1267</v>
          </cell>
          <cell r="B621" t="str">
            <v>Negativo</v>
          </cell>
        </row>
        <row r="622">
          <cell r="A622" t="str">
            <v>BEA1442_359F_1494R</v>
          </cell>
          <cell r="B622" t="str">
            <v>Positivo</v>
          </cell>
        </row>
        <row r="623">
          <cell r="A623" t="str">
            <v>BEA1395_18S001F_13R</v>
          </cell>
          <cell r="B623" t="str">
            <v>Negativo</v>
          </cell>
        </row>
        <row r="624">
          <cell r="A624" t="str">
            <v>BEA1413_18S001F_13R</v>
          </cell>
          <cell r="B624" t="str">
            <v>Negativo</v>
          </cell>
        </row>
        <row r="625">
          <cell r="A625" t="str">
            <v>bea1442</v>
          </cell>
          <cell r="B625" t="str">
            <v>Negativo</v>
          </cell>
        </row>
        <row r="626">
          <cell r="A626" t="str">
            <v>BEA1484_359F_1494R</v>
          </cell>
          <cell r="B626" t="str">
            <v>Positivo</v>
          </cell>
        </row>
        <row r="627">
          <cell r="A627" t="str">
            <v>bea1461</v>
          </cell>
          <cell r="B627" t="str">
            <v>Negativo</v>
          </cell>
        </row>
        <row r="628">
          <cell r="A628" t="str">
            <v>bea1461</v>
          </cell>
          <cell r="B628" t="str">
            <v>Negativo</v>
          </cell>
        </row>
        <row r="629">
          <cell r="A629" t="str">
            <v>bea1484</v>
          </cell>
          <cell r="B629" t="str">
            <v>Negativo</v>
          </cell>
        </row>
        <row r="630">
          <cell r="A630" t="str">
            <v>BEA1526_359F_1494R</v>
          </cell>
          <cell r="B630" t="str">
            <v>Positivo</v>
          </cell>
        </row>
        <row r="631">
          <cell r="A631" t="str">
            <v>BEA1505X2_18S001F_13R</v>
          </cell>
          <cell r="B631" t="str">
            <v>Negativo</v>
          </cell>
        </row>
        <row r="632">
          <cell r="A632" t="str">
            <v>BEA1506x2_18S001F_13R</v>
          </cell>
          <cell r="B632" t="str">
            <v>Negativo</v>
          </cell>
        </row>
        <row r="633">
          <cell r="A633" t="str">
            <v>BEA1517_18S001F_13R</v>
          </cell>
          <cell r="B633" t="str">
            <v>Negativo</v>
          </cell>
        </row>
        <row r="634">
          <cell r="A634" t="str">
            <v>BEA1533_359F_1494R</v>
          </cell>
          <cell r="B634" t="str">
            <v>Positivo</v>
          </cell>
        </row>
        <row r="635">
          <cell r="A635" t="str">
            <v>bea1533</v>
          </cell>
          <cell r="B635" t="str">
            <v>Negativo</v>
          </cell>
        </row>
        <row r="636">
          <cell r="A636" t="str">
            <v>BEA1534_359F_1494R</v>
          </cell>
          <cell r="B636" t="str">
            <v>Positivo</v>
          </cell>
        </row>
        <row r="637">
          <cell r="A637" t="str">
            <v>bea1534</v>
          </cell>
          <cell r="B637" t="str">
            <v>Negativo</v>
          </cell>
        </row>
        <row r="638">
          <cell r="A638" t="str">
            <v>BEA1535_359F_1494R</v>
          </cell>
          <cell r="B638" t="str">
            <v>Positivo</v>
          </cell>
        </row>
        <row r="639">
          <cell r="A639" t="str">
            <v>bea1535</v>
          </cell>
          <cell r="B639" t="str">
            <v>Negativo</v>
          </cell>
        </row>
        <row r="640">
          <cell r="A640" t="str">
            <v>BEA1537_359F_1494R</v>
          </cell>
          <cell r="B640" t="str">
            <v>Positivo</v>
          </cell>
        </row>
        <row r="641">
          <cell r="A641" t="str">
            <v>bea1537</v>
          </cell>
          <cell r="B641" t="str">
            <v>Negativo</v>
          </cell>
        </row>
        <row r="642">
          <cell r="A642" t="str">
            <v>BEA1542_359F_1494R</v>
          </cell>
          <cell r="B642" t="str">
            <v>Positivo</v>
          </cell>
        </row>
        <row r="643">
          <cell r="A643" t="str">
            <v>bea1538</v>
          </cell>
          <cell r="B643" t="str">
            <v>Negativo</v>
          </cell>
        </row>
        <row r="644">
          <cell r="A644" t="str">
            <v>bea1538</v>
          </cell>
          <cell r="B644" t="str">
            <v>Negativo</v>
          </cell>
        </row>
        <row r="645">
          <cell r="A645" t="str">
            <v>bea1542</v>
          </cell>
          <cell r="B645" t="str">
            <v>Negativo</v>
          </cell>
        </row>
        <row r="646">
          <cell r="A646" t="str">
            <v>BEA1557_359F_1494R</v>
          </cell>
          <cell r="B646" t="str">
            <v>Positivo</v>
          </cell>
        </row>
        <row r="647">
          <cell r="A647" t="str">
            <v>bea1550</v>
          </cell>
          <cell r="B647" t="str">
            <v>Negativo</v>
          </cell>
        </row>
        <row r="648">
          <cell r="A648" t="str">
            <v>bea1555</v>
          </cell>
          <cell r="B648" t="str">
            <v>Negativo</v>
          </cell>
        </row>
        <row r="649">
          <cell r="A649" t="str">
            <v>bea1557</v>
          </cell>
          <cell r="B649" t="str">
            <v>Negativo</v>
          </cell>
        </row>
        <row r="650">
          <cell r="A650" t="str">
            <v>BEA1560_359F_1494R</v>
          </cell>
          <cell r="B650" t="str">
            <v>Positivo</v>
          </cell>
        </row>
        <row r="651">
          <cell r="A651" t="str">
            <v>bea1560</v>
          </cell>
          <cell r="B651" t="str">
            <v>Negativo</v>
          </cell>
        </row>
        <row r="652">
          <cell r="A652" t="str">
            <v>bea1560</v>
          </cell>
          <cell r="B652" t="str">
            <v>Negativo</v>
          </cell>
        </row>
        <row r="653">
          <cell r="A653" t="str">
            <v>BEA1560x2</v>
          </cell>
          <cell r="B653" t="str">
            <v>Positivo</v>
          </cell>
        </row>
        <row r="654">
          <cell r="A654" t="str">
            <v>BEA1562_359F_1494R</v>
          </cell>
          <cell r="B654" t="str">
            <v>Positivo</v>
          </cell>
        </row>
        <row r="655">
          <cell r="A655" t="str">
            <v>bea1562</v>
          </cell>
          <cell r="B655" t="str">
            <v>Negativo</v>
          </cell>
        </row>
        <row r="656">
          <cell r="A656" t="str">
            <v>BEA1567_359F_1494R</v>
          </cell>
          <cell r="B656" t="str">
            <v>Positivo</v>
          </cell>
        </row>
        <row r="657">
          <cell r="A657" t="str">
            <v>BEA1570_359F_1494R</v>
          </cell>
          <cell r="B657" t="str">
            <v>Positivo</v>
          </cell>
        </row>
        <row r="658">
          <cell r="A658" t="str">
            <v>bea1570</v>
          </cell>
          <cell r="B658" t="str">
            <v>Negativo</v>
          </cell>
        </row>
        <row r="659">
          <cell r="A659" t="str">
            <v>BEA1571_359F_1494R</v>
          </cell>
          <cell r="B659" t="str">
            <v>Positivo</v>
          </cell>
        </row>
        <row r="660">
          <cell r="A660" t="str">
            <v>bea1571</v>
          </cell>
          <cell r="B660" t="str">
            <v>Negativo</v>
          </cell>
        </row>
        <row r="661">
          <cell r="A661" t="str">
            <v>BEA1572_359F_1494R</v>
          </cell>
          <cell r="B661" t="str">
            <v>POSITIVO</v>
          </cell>
        </row>
        <row r="662">
          <cell r="A662" t="str">
            <v>bea1572</v>
          </cell>
          <cell r="B662" t="str">
            <v>Negativo</v>
          </cell>
        </row>
        <row r="663">
          <cell r="A663" t="str">
            <v>BEA1579_359F_1494R</v>
          </cell>
          <cell r="B663" t="str">
            <v>POSITIVO</v>
          </cell>
        </row>
        <row r="664">
          <cell r="A664" t="str">
            <v>bea1575</v>
          </cell>
          <cell r="B664" t="str">
            <v>Negativo</v>
          </cell>
        </row>
        <row r="665">
          <cell r="A665" t="str">
            <v>bea1575</v>
          </cell>
          <cell r="B665" t="str">
            <v>Negativo</v>
          </cell>
        </row>
        <row r="666">
          <cell r="A666" t="str">
            <v>bea1579</v>
          </cell>
          <cell r="B666" t="str">
            <v>Negativo</v>
          </cell>
        </row>
        <row r="667">
          <cell r="A667" t="str">
            <v>BEA1580_359F_1494R</v>
          </cell>
          <cell r="B667" t="str">
            <v>POSITIVO</v>
          </cell>
        </row>
        <row r="668">
          <cell r="A668" t="str">
            <v>bea1580</v>
          </cell>
          <cell r="B668" t="str">
            <v>Negativo</v>
          </cell>
        </row>
        <row r="669">
          <cell r="A669" t="str">
            <v>BEA1581_359F_1494R</v>
          </cell>
          <cell r="B669" t="str">
            <v>POSITIVO</v>
          </cell>
        </row>
        <row r="670">
          <cell r="A670" t="str">
            <v>bea1581</v>
          </cell>
          <cell r="B670" t="str">
            <v>Negativo</v>
          </cell>
        </row>
        <row r="671">
          <cell r="A671" t="str">
            <v>BEA1585_359F_1494R</v>
          </cell>
          <cell r="B671" t="str">
            <v>POSITIVO</v>
          </cell>
        </row>
        <row r="672">
          <cell r="A672" t="str">
            <v>bea1582</v>
          </cell>
          <cell r="B672" t="str">
            <v>Negativo</v>
          </cell>
        </row>
        <row r="673">
          <cell r="A673" t="str">
            <v>bea1585</v>
          </cell>
          <cell r="B673" t="str">
            <v>Negativo</v>
          </cell>
        </row>
        <row r="674">
          <cell r="A674" t="str">
            <v>BEA1596_359F_1494R</v>
          </cell>
          <cell r="B674" t="str">
            <v>POSITIVO</v>
          </cell>
        </row>
        <row r="675">
          <cell r="A675" t="str">
            <v>bea1596</v>
          </cell>
          <cell r="B675" t="str">
            <v>Negativo</v>
          </cell>
        </row>
        <row r="676">
          <cell r="A676" t="str">
            <v>BEA1597_27F/1494R</v>
          </cell>
          <cell r="B676" t="str">
            <v>Positivo</v>
          </cell>
        </row>
        <row r="677">
          <cell r="A677" t="str">
            <v>bea1598</v>
          </cell>
          <cell r="B677" t="str">
            <v>Negativo</v>
          </cell>
        </row>
        <row r="678">
          <cell r="A678" t="str">
            <v>bea1598</v>
          </cell>
          <cell r="B678" t="str">
            <v>Negativo</v>
          </cell>
        </row>
        <row r="679">
          <cell r="A679" t="str">
            <v>bea1603</v>
          </cell>
          <cell r="B679" t="str">
            <v>Negativo</v>
          </cell>
        </row>
        <row r="680">
          <cell r="A680" t="str">
            <v>BEA1603_359F_1494R</v>
          </cell>
          <cell r="B680" t="str">
            <v>POSITIVO</v>
          </cell>
        </row>
        <row r="681">
          <cell r="A681" t="str">
            <v>bea1639</v>
          </cell>
          <cell r="B681" t="str">
            <v>Negativo</v>
          </cell>
        </row>
        <row r="682">
          <cell r="A682" t="str">
            <v>BEA1639_359F_1494R</v>
          </cell>
          <cell r="B682" t="str">
            <v>POSITIVO</v>
          </cell>
        </row>
        <row r="683">
          <cell r="A683" t="str">
            <v>bea1645</v>
          </cell>
          <cell r="B683" t="str">
            <v>Negativo</v>
          </cell>
        </row>
        <row r="684">
          <cell r="A684" t="str">
            <v>BEA1645_359F_1494R</v>
          </cell>
          <cell r="B684" t="str">
            <v>POSITIVO</v>
          </cell>
        </row>
        <row r="685">
          <cell r="A685" t="str">
            <v>bea1647</v>
          </cell>
          <cell r="B685" t="str">
            <v>Negativo</v>
          </cell>
        </row>
        <row r="686">
          <cell r="A686" t="str">
            <v>BEA1647_359F_1494R</v>
          </cell>
          <cell r="B686" t="str">
            <v>POSITIVO</v>
          </cell>
        </row>
        <row r="687">
          <cell r="A687" t="str">
            <v>BEA1648_18S001F_13R</v>
          </cell>
          <cell r="B687" t="str">
            <v>Negativo</v>
          </cell>
        </row>
        <row r="688">
          <cell r="A688" t="str">
            <v>bea1659</v>
          </cell>
          <cell r="B688" t="str">
            <v>Negativo</v>
          </cell>
        </row>
        <row r="689">
          <cell r="A689" t="str">
            <v>BEA1659_359F_1494R</v>
          </cell>
          <cell r="B689" t="str">
            <v>POSITIVO</v>
          </cell>
        </row>
        <row r="690">
          <cell r="A690" t="str">
            <v>bea1696</v>
          </cell>
          <cell r="B690" t="str">
            <v>Negativo</v>
          </cell>
        </row>
        <row r="691">
          <cell r="A691" t="str">
            <v>BEA1696_359F_1494R</v>
          </cell>
          <cell r="B691" t="str">
            <v>POSITIVO</v>
          </cell>
        </row>
        <row r="692">
          <cell r="A692" t="str">
            <v>bea1701</v>
          </cell>
          <cell r="B692" t="str">
            <v>Negativo</v>
          </cell>
        </row>
        <row r="693">
          <cell r="A693" t="str">
            <v>bea1701</v>
          </cell>
          <cell r="B693" t="str">
            <v>Negativo</v>
          </cell>
        </row>
        <row r="694">
          <cell r="A694" t="str">
            <v>BEA2036_781F/23S03R</v>
          </cell>
          <cell r="B694" t="str">
            <v>Positivo</v>
          </cell>
        </row>
        <row r="695">
          <cell r="A695" t="str">
            <v>bea1830</v>
          </cell>
          <cell r="B695" t="str">
            <v>Negativo</v>
          </cell>
        </row>
        <row r="696">
          <cell r="A696" t="str">
            <v>BEA1830_359F_1494R</v>
          </cell>
          <cell r="B696" t="str">
            <v>POSITIVO</v>
          </cell>
        </row>
        <row r="697">
          <cell r="A697" t="str">
            <v>bea1842</v>
          </cell>
          <cell r="B697" t="str">
            <v>Negativo</v>
          </cell>
        </row>
        <row r="698">
          <cell r="A698" t="str">
            <v>BEA1842_359F_1494R</v>
          </cell>
          <cell r="B698" t="str">
            <v>POSITIVO</v>
          </cell>
        </row>
        <row r="699">
          <cell r="A699" t="str">
            <v>bea1843</v>
          </cell>
          <cell r="B699" t="str">
            <v>Negativo</v>
          </cell>
        </row>
        <row r="700">
          <cell r="A700" t="str">
            <v>BEA1843_359F_1494R</v>
          </cell>
          <cell r="B700" t="str">
            <v>POSITIVO</v>
          </cell>
        </row>
        <row r="701">
          <cell r="A701" t="str">
            <v>bea1849</v>
          </cell>
          <cell r="B701" t="str">
            <v>Negativo</v>
          </cell>
        </row>
        <row r="702">
          <cell r="A702" t="str">
            <v>BEA1849_359F_1494R</v>
          </cell>
          <cell r="B702" t="str">
            <v>POSITIVO</v>
          </cell>
        </row>
        <row r="703">
          <cell r="A703" t="str">
            <v>bea1852</v>
          </cell>
          <cell r="B703" t="str">
            <v>Negativo</v>
          </cell>
        </row>
        <row r="704">
          <cell r="A704" t="str">
            <v>bea1889_18S001F_13R</v>
          </cell>
          <cell r="B704" t="str">
            <v>Negativo</v>
          </cell>
        </row>
        <row r="705">
          <cell r="A705" t="str">
            <v>BEA2057_18S001F_13R</v>
          </cell>
          <cell r="B705" t="str">
            <v>Positivo</v>
          </cell>
        </row>
        <row r="706">
          <cell r="A706" t="str">
            <v>bea1915</v>
          </cell>
          <cell r="B706" t="str">
            <v>Negativo</v>
          </cell>
        </row>
        <row r="707">
          <cell r="A707" t="str">
            <v>BEA1915_359F_1494R</v>
          </cell>
          <cell r="B707" t="str">
            <v>POSITIVO</v>
          </cell>
        </row>
        <row r="708">
          <cell r="A708" t="str">
            <v>bea1916</v>
          </cell>
          <cell r="B708" t="str">
            <v>Negativo</v>
          </cell>
        </row>
        <row r="709">
          <cell r="A709" t="str">
            <v>BEA1916_359F_1494R</v>
          </cell>
          <cell r="B709" t="str">
            <v>POSITIVO</v>
          </cell>
        </row>
        <row r="710">
          <cell r="A710" t="str">
            <v>BEA2077_EUKAB</v>
          </cell>
          <cell r="B710" t="str">
            <v>Positivo</v>
          </cell>
        </row>
        <row r="711">
          <cell r="A711" t="str">
            <v>BEA2077_TUFAR</v>
          </cell>
          <cell r="B711" t="str">
            <v>POSITIVO</v>
          </cell>
        </row>
        <row r="712">
          <cell r="A712" t="str">
            <v>BEA2097_EUKA/EUKB</v>
          </cell>
          <cell r="B712" t="str">
            <v>Positivo</v>
          </cell>
        </row>
        <row r="713">
          <cell r="A713" t="str">
            <v>BEA2101_27F/1494R</v>
          </cell>
          <cell r="B713" t="str">
            <v>Positivo</v>
          </cell>
        </row>
        <row r="714">
          <cell r="A714" t="str">
            <v>BEA2106_781F/23S03R</v>
          </cell>
          <cell r="B714" t="str">
            <v>Positivo</v>
          </cell>
        </row>
        <row r="715">
          <cell r="A715" t="str">
            <v>BEA2056_18S001F_13R</v>
          </cell>
          <cell r="B715" t="str">
            <v>Negativo</v>
          </cell>
        </row>
        <row r="716">
          <cell r="A716" t="str">
            <v>BEA2126_27F/1494R</v>
          </cell>
          <cell r="B716" t="str">
            <v>Positivo</v>
          </cell>
        </row>
        <row r="717">
          <cell r="A717" t="str">
            <v>BEA2073_EUKAB</v>
          </cell>
          <cell r="B717" t="str">
            <v>Negativo</v>
          </cell>
        </row>
        <row r="718">
          <cell r="A718" t="str">
            <v>BEA2073_EUKAB</v>
          </cell>
          <cell r="B718" t="str">
            <v>Negativo</v>
          </cell>
        </row>
        <row r="719">
          <cell r="A719" t="str">
            <v>BEA2073_RBCL</v>
          </cell>
          <cell r="B719" t="str">
            <v>Negativo</v>
          </cell>
        </row>
        <row r="720">
          <cell r="A720" t="str">
            <v>BEA2073_RBCLAF</v>
          </cell>
          <cell r="B720" t="str">
            <v>Negativo</v>
          </cell>
        </row>
        <row r="721">
          <cell r="A721" t="str">
            <v>BEA2073_SSU_ITS4T</v>
          </cell>
          <cell r="B721" t="str">
            <v>Negativo</v>
          </cell>
        </row>
        <row r="722">
          <cell r="A722" t="str">
            <v>BEA2073_TUFAR</v>
          </cell>
          <cell r="B722" t="str">
            <v>Negativo</v>
          </cell>
        </row>
        <row r="723">
          <cell r="A723" t="str">
            <v>BEA2074_EUKAB</v>
          </cell>
          <cell r="B723" t="str">
            <v>Negativo</v>
          </cell>
        </row>
        <row r="724">
          <cell r="A724" t="str">
            <v>BEA2074_EUKAB</v>
          </cell>
          <cell r="B724" t="str">
            <v>Negativo</v>
          </cell>
        </row>
        <row r="725">
          <cell r="A725" t="str">
            <v>BEA2074_RBCL</v>
          </cell>
          <cell r="B725" t="str">
            <v>Negativo</v>
          </cell>
        </row>
        <row r="726">
          <cell r="A726" t="str">
            <v>BEA2074_RBCLAF</v>
          </cell>
          <cell r="B726" t="str">
            <v>Negativo</v>
          </cell>
        </row>
        <row r="727">
          <cell r="A727" t="str">
            <v>BEA2074_SSU_ITS4T</v>
          </cell>
          <cell r="B727" t="str">
            <v>Negativo</v>
          </cell>
        </row>
        <row r="728">
          <cell r="A728" t="str">
            <v>BEA2074_TUFAR</v>
          </cell>
          <cell r="B728" t="str">
            <v>Negativo</v>
          </cell>
        </row>
        <row r="729">
          <cell r="A729" t="str">
            <v>BEA2077__RBCL</v>
          </cell>
          <cell r="B729" t="str">
            <v>Negativo</v>
          </cell>
        </row>
        <row r="730">
          <cell r="A730" t="str">
            <v>BEA2077_EUKAB</v>
          </cell>
          <cell r="B730" t="str">
            <v>Negativo</v>
          </cell>
        </row>
        <row r="731">
          <cell r="A731" t="str">
            <v>BEA2127_27F/1494R</v>
          </cell>
          <cell r="B731" t="str">
            <v>Positivo</v>
          </cell>
        </row>
        <row r="732">
          <cell r="A732" t="str">
            <v>BEA2077_RBCLAF</v>
          </cell>
          <cell r="B732" t="str">
            <v>Negativo</v>
          </cell>
        </row>
        <row r="733">
          <cell r="A733" t="str">
            <v>BEA2077_SSU_ITS4T</v>
          </cell>
          <cell r="B733" t="str">
            <v>Negativo</v>
          </cell>
        </row>
        <row r="734">
          <cell r="A734" t="str">
            <v>BEA2131_27F/1494R</v>
          </cell>
          <cell r="B734" t="str">
            <v>Positivo</v>
          </cell>
        </row>
        <row r="735">
          <cell r="A735" t="str">
            <v>BEA2091_18S001F_13R</v>
          </cell>
          <cell r="B735" t="str">
            <v>Negativo</v>
          </cell>
        </row>
        <row r="736">
          <cell r="A736" t="str">
            <v>BEA2109_18S001F_13R</v>
          </cell>
          <cell r="B736" t="str">
            <v>Negativo</v>
          </cell>
        </row>
        <row r="737">
          <cell r="A737" t="str">
            <v>bea2168</v>
          </cell>
          <cell r="B737" t="str">
            <v>Negativo</v>
          </cell>
        </row>
        <row r="738">
          <cell r="A738" t="str">
            <v>bea2168</v>
          </cell>
          <cell r="B738" t="str">
            <v>Negativo</v>
          </cell>
        </row>
        <row r="739">
          <cell r="A739" t="str">
            <v>bea2175__359F_1494R</v>
          </cell>
          <cell r="B739" t="str">
            <v>Positivo</v>
          </cell>
        </row>
        <row r="740">
          <cell r="A740" t="str">
            <v xml:space="preserve">BEA2176_ CTD_DP </v>
          </cell>
          <cell r="B740" t="str">
            <v>Negativo</v>
          </cell>
        </row>
        <row r="741">
          <cell r="A741" t="str">
            <v>BEA2176_18S001F_13R</v>
          </cell>
          <cell r="B741" t="str">
            <v>Negativo</v>
          </cell>
        </row>
        <row r="742">
          <cell r="A742" t="str">
            <v>BEA2176_EUKAB</v>
          </cell>
          <cell r="B742" t="str">
            <v>Negativo</v>
          </cell>
        </row>
        <row r="743">
          <cell r="A743" t="str">
            <v>BEA2176_RBCLAF</v>
          </cell>
          <cell r="B743" t="str">
            <v>Negativo</v>
          </cell>
        </row>
        <row r="744">
          <cell r="A744" t="str">
            <v>bea2177</v>
          </cell>
          <cell r="B744" t="str">
            <v>Negativo</v>
          </cell>
        </row>
        <row r="745">
          <cell r="A745" t="str">
            <v>BEA2177_359F_1494R</v>
          </cell>
          <cell r="B745" t="str">
            <v>POSITIVO</v>
          </cell>
        </row>
        <row r="746">
          <cell r="A746" t="str">
            <v>BEA2178__RBCL</v>
          </cell>
          <cell r="B746" t="str">
            <v>Negativo</v>
          </cell>
        </row>
        <row r="747">
          <cell r="A747" t="str">
            <v>BEA2178_EUKAB</v>
          </cell>
          <cell r="B747" t="str">
            <v>Negativo</v>
          </cell>
        </row>
        <row r="748">
          <cell r="A748" t="str">
            <v>BEA2178_SSU_ITS4T</v>
          </cell>
          <cell r="B748" t="str">
            <v>Negativo</v>
          </cell>
        </row>
        <row r="749">
          <cell r="A749" t="str">
            <v xml:space="preserve">BEA2179_ CTD_DP </v>
          </cell>
          <cell r="B749" t="str">
            <v>Negativo</v>
          </cell>
        </row>
        <row r="750">
          <cell r="A750" t="str">
            <v>BEA2179_18S001F_13R</v>
          </cell>
          <cell r="B750" t="str">
            <v>Negativo</v>
          </cell>
        </row>
        <row r="751">
          <cell r="A751" t="str">
            <v>BEA2179_EUKAB</v>
          </cell>
          <cell r="B751" t="str">
            <v>Negativo</v>
          </cell>
        </row>
        <row r="752">
          <cell r="A752" t="str">
            <v>BEA2179_EUKAB</v>
          </cell>
          <cell r="B752" t="str">
            <v>Positivo</v>
          </cell>
        </row>
        <row r="753">
          <cell r="A753" t="str">
            <v>BEA2179_RBCL</v>
          </cell>
          <cell r="B753" t="str">
            <v>Negativo</v>
          </cell>
        </row>
        <row r="754">
          <cell r="A754" t="str">
            <v>BEA2179_RBCLAF</v>
          </cell>
          <cell r="B754" t="str">
            <v>Negativo</v>
          </cell>
        </row>
        <row r="755">
          <cell r="A755" t="str">
            <v>BEA2179_SSU_ITS4T</v>
          </cell>
          <cell r="B755" t="str">
            <v>Negativo</v>
          </cell>
        </row>
        <row r="756">
          <cell r="A756" t="str">
            <v>BEA2179_TUFAR</v>
          </cell>
          <cell r="B756" t="str">
            <v>Negativo</v>
          </cell>
        </row>
        <row r="757">
          <cell r="A757" t="str">
            <v xml:space="preserve">BEA2184_ CTD_DP </v>
          </cell>
          <cell r="B757" t="str">
            <v>Negativo</v>
          </cell>
        </row>
        <row r="758">
          <cell r="A758" t="str">
            <v>BEA2184_EUKAB</v>
          </cell>
          <cell r="B758" t="str">
            <v>Positivo</v>
          </cell>
        </row>
        <row r="759">
          <cell r="A759" t="str">
            <v>BEA2184_EUKAB</v>
          </cell>
          <cell r="B759" t="str">
            <v>Negativo</v>
          </cell>
        </row>
        <row r="760">
          <cell r="A760" t="str">
            <v>BEA2184_RBCL</v>
          </cell>
          <cell r="B760" t="str">
            <v>Negativo</v>
          </cell>
        </row>
        <row r="761">
          <cell r="A761" t="str">
            <v>BEA2184_RBCLAF</v>
          </cell>
          <cell r="B761" t="str">
            <v>Negativo</v>
          </cell>
        </row>
        <row r="762">
          <cell r="A762" t="str">
            <v>BEA2184_SSU_ITS4T</v>
          </cell>
          <cell r="B762" t="str">
            <v>Negativo</v>
          </cell>
        </row>
        <row r="763">
          <cell r="A763" t="str">
            <v xml:space="preserve">BEA2185_ CTD_DP </v>
          </cell>
          <cell r="B763" t="str">
            <v>Negativo</v>
          </cell>
        </row>
        <row r="764">
          <cell r="A764" t="str">
            <v>BEA2185_18S001F_13R</v>
          </cell>
          <cell r="B764" t="str">
            <v>Positivo</v>
          </cell>
        </row>
        <row r="765">
          <cell r="A765" t="str">
            <v>BEA2185_EUKAB</v>
          </cell>
          <cell r="B765" t="str">
            <v>Negativo</v>
          </cell>
        </row>
        <row r="766">
          <cell r="A766" t="str">
            <v>BEA2185_EUKAB</v>
          </cell>
          <cell r="B766" t="str">
            <v>Positivo</v>
          </cell>
        </row>
        <row r="767">
          <cell r="A767" t="str">
            <v>BEA2185_RBCL</v>
          </cell>
          <cell r="B767" t="str">
            <v>Negativo</v>
          </cell>
        </row>
        <row r="768">
          <cell r="A768" t="str">
            <v>BEA2185_RBCLAF</v>
          </cell>
          <cell r="B768" t="str">
            <v>Negativo</v>
          </cell>
        </row>
        <row r="769">
          <cell r="A769" t="str">
            <v>BEA2185_SSU_ITS4T</v>
          </cell>
          <cell r="B769" t="str">
            <v>Negativo</v>
          </cell>
        </row>
        <row r="770">
          <cell r="A770" t="str">
            <v xml:space="preserve">BEA2186_ CTD_DP </v>
          </cell>
          <cell r="B770" t="str">
            <v>Negativo</v>
          </cell>
        </row>
        <row r="771">
          <cell r="A771" t="str">
            <v>BEA2186_EUKAB</v>
          </cell>
          <cell r="B771" t="str">
            <v>Positivo</v>
          </cell>
        </row>
        <row r="772">
          <cell r="A772" t="str">
            <v>BEA2186_EUKAB</v>
          </cell>
          <cell r="B772" t="str">
            <v>Positivo</v>
          </cell>
        </row>
        <row r="773">
          <cell r="A773" t="str">
            <v>BEA2186_RBCL</v>
          </cell>
          <cell r="B773" t="str">
            <v>Negativo</v>
          </cell>
        </row>
        <row r="774">
          <cell r="A774" t="str">
            <v>BEA2186_RBCLAF</v>
          </cell>
          <cell r="B774" t="str">
            <v>Negativo</v>
          </cell>
        </row>
        <row r="775">
          <cell r="A775" t="str">
            <v>BEA2186_SSU_ITS4T</v>
          </cell>
          <cell r="B775" t="str">
            <v>Negativo</v>
          </cell>
        </row>
        <row r="776">
          <cell r="A776" t="str">
            <v xml:space="preserve">PL2_G5_ CTD_DP </v>
          </cell>
          <cell r="B776" t="str">
            <v>Negativo</v>
          </cell>
        </row>
        <row r="777">
          <cell r="A777" t="str">
            <v>PL2_G5_18S001F_13R</v>
          </cell>
          <cell r="B777" t="str">
            <v>Negativo</v>
          </cell>
        </row>
        <row r="778">
          <cell r="A778" t="str">
            <v>PL2_G5_EUKAB</v>
          </cell>
          <cell r="B778" t="str">
            <v>Negativo</v>
          </cell>
        </row>
        <row r="779">
          <cell r="A779" t="str">
            <v>PL2_G5_EUKAB</v>
          </cell>
          <cell r="B779" t="str">
            <v>Negativo</v>
          </cell>
        </row>
        <row r="780">
          <cell r="A780" t="str">
            <v>PL2_G5_RBCL</v>
          </cell>
          <cell r="B780" t="str">
            <v>Negativo</v>
          </cell>
        </row>
        <row r="781">
          <cell r="A781" t="str">
            <v>PL2_G5_RBCLAF</v>
          </cell>
          <cell r="B781" t="str">
            <v>Negativo</v>
          </cell>
        </row>
        <row r="782">
          <cell r="A782" t="str">
            <v>PL2_G5_SSU_ITS4T</v>
          </cell>
          <cell r="B782" t="str">
            <v>Negativo</v>
          </cell>
        </row>
        <row r="783">
          <cell r="A783" t="str">
            <v>PL4_D10_EUKAB</v>
          </cell>
          <cell r="B783" t="str">
            <v>Negativo</v>
          </cell>
        </row>
        <row r="784">
          <cell r="A784" t="str">
            <v>PL4_D10_EUKAB</v>
          </cell>
          <cell r="B784" t="str">
            <v>Positivo</v>
          </cell>
        </row>
        <row r="785">
          <cell r="A785" t="str">
            <v>PL4_D10_RBCL</v>
          </cell>
          <cell r="B785" t="str">
            <v>positivo</v>
          </cell>
        </row>
        <row r="786">
          <cell r="A786" t="str">
            <v>PL4_D10_RBCLAF</v>
          </cell>
          <cell r="B786" t="str">
            <v>Positivo</v>
          </cell>
        </row>
        <row r="787">
          <cell r="A787" t="str">
            <v>PL4_D10_SSU_ITS4T</v>
          </cell>
          <cell r="B787" t="str">
            <v>Negativo</v>
          </cell>
        </row>
        <row r="788">
          <cell r="A788" t="str">
            <v xml:space="preserve">PL4_E6_ CTD_DP </v>
          </cell>
          <cell r="B788" t="str">
            <v>Negativo</v>
          </cell>
        </row>
        <row r="789">
          <cell r="A789" t="str">
            <v>PL4_E6_EUKAB</v>
          </cell>
          <cell r="B789" t="str">
            <v>Positivo</v>
          </cell>
        </row>
        <row r="790">
          <cell r="A790" t="str">
            <v>PL4_E6_EUKAB</v>
          </cell>
          <cell r="B790" t="str">
            <v>Positivo</v>
          </cell>
        </row>
        <row r="791">
          <cell r="A791" t="str">
            <v>PL4_E6_RBCL</v>
          </cell>
          <cell r="B791" t="str">
            <v>Positivo</v>
          </cell>
        </row>
        <row r="792">
          <cell r="A792" t="str">
            <v>PL4_E6_RBCLAF</v>
          </cell>
          <cell r="B792" t="str">
            <v>Negativo</v>
          </cell>
        </row>
        <row r="793">
          <cell r="A793" t="str">
            <v>PL4_E6_SSU_ITS4T</v>
          </cell>
          <cell r="B793" t="str">
            <v>Negativo</v>
          </cell>
        </row>
        <row r="794">
          <cell r="A794" t="str">
            <v>PL6_B2_18S001F_13R</v>
          </cell>
          <cell r="B794" t="str">
            <v>Negativo</v>
          </cell>
        </row>
        <row r="795">
          <cell r="A795" t="str">
            <v>PL6_B2_EUKAB</v>
          </cell>
          <cell r="B795" t="str">
            <v>Negativo</v>
          </cell>
        </row>
        <row r="796">
          <cell r="A796" t="str">
            <v>PL6_B2</v>
          </cell>
          <cell r="B796" t="str">
            <v>Positivo</v>
          </cell>
        </row>
        <row r="797">
          <cell r="A797" t="str">
            <v>PL6_B2_EUKAB</v>
          </cell>
          <cell r="B797" t="str">
            <v>Negativo</v>
          </cell>
        </row>
        <row r="798">
          <cell r="A798" t="str">
            <v>PL6_B2_RBCLAF</v>
          </cell>
          <cell r="B798" t="str">
            <v>Positivo</v>
          </cell>
        </row>
        <row r="799">
          <cell r="A799" t="str">
            <v>PL6_B2_SSU_ITS4T</v>
          </cell>
          <cell r="B799" t="str">
            <v>Negativo</v>
          </cell>
        </row>
        <row r="800">
          <cell r="A800" t="str">
            <v>PL6_D1_18S001F_13R</v>
          </cell>
          <cell r="B800" t="str">
            <v>Negativo</v>
          </cell>
        </row>
        <row r="801">
          <cell r="A801" t="str">
            <v>PL6_D1_EUKAB</v>
          </cell>
          <cell r="B801" t="str">
            <v>Negativo</v>
          </cell>
        </row>
        <row r="802">
          <cell r="A802" t="str">
            <v>PL6_D1_EUKAB</v>
          </cell>
          <cell r="B802" t="str">
            <v>Negativo</v>
          </cell>
        </row>
        <row r="803">
          <cell r="A803" t="str">
            <v>PL6_D1_RBCL</v>
          </cell>
          <cell r="B803" t="str">
            <v>Negativo</v>
          </cell>
        </row>
        <row r="804">
          <cell r="A804" t="str">
            <v>PL6_D1_RBCLAF</v>
          </cell>
          <cell r="B804" t="str">
            <v>Positivo</v>
          </cell>
        </row>
        <row r="805">
          <cell r="A805" t="str">
            <v>PL6_D1_SSU_ITS4T</v>
          </cell>
          <cell r="B805" t="str">
            <v>Negativo</v>
          </cell>
        </row>
        <row r="806">
          <cell r="A806" t="str">
            <v xml:space="preserve">PL6_H10_ CTD_DP </v>
          </cell>
          <cell r="B806" t="str">
            <v>Negativo</v>
          </cell>
        </row>
        <row r="807">
          <cell r="A807" t="str">
            <v>PL6_H10_18S001F_13R</v>
          </cell>
          <cell r="B807" t="str">
            <v>Positivo</v>
          </cell>
        </row>
        <row r="808">
          <cell r="A808" t="str">
            <v>PL6_H10_EUKAB</v>
          </cell>
          <cell r="B808" t="str">
            <v>Negativo</v>
          </cell>
        </row>
        <row r="809">
          <cell r="A809" t="str">
            <v>PL6_H10_EUKAB</v>
          </cell>
          <cell r="B809" t="str">
            <v>Negativo</v>
          </cell>
        </row>
        <row r="810">
          <cell r="A810" t="str">
            <v>PL6_H10_RBCL</v>
          </cell>
          <cell r="B810" t="str">
            <v>Negativo</v>
          </cell>
        </row>
        <row r="811">
          <cell r="A811" t="str">
            <v>PL6_H10_RBCLAF</v>
          </cell>
          <cell r="B811" t="str">
            <v>Negativo</v>
          </cell>
        </row>
        <row r="812">
          <cell r="A812" t="str">
            <v>PL6_H10_SSU_ITS4T</v>
          </cell>
          <cell r="B812" t="str">
            <v>Negativo</v>
          </cell>
        </row>
        <row r="813">
          <cell r="A813" t="str">
            <v xml:space="preserve">PL7_E9_ CTD_DP </v>
          </cell>
          <cell r="B813" t="str">
            <v>Negativo</v>
          </cell>
        </row>
        <row r="814">
          <cell r="A814" t="str">
            <v>PL7_E9__RBCL</v>
          </cell>
          <cell r="B814" t="str">
            <v>Negativo</v>
          </cell>
        </row>
        <row r="815">
          <cell r="A815" t="str">
            <v>PL7_E9_18S001F_13R</v>
          </cell>
          <cell r="B815" t="str">
            <v>Positivo</v>
          </cell>
        </row>
        <row r="816">
          <cell r="A816" t="str">
            <v>PL7_E9_EUKAB</v>
          </cell>
          <cell r="B816" t="str">
            <v>Negativo</v>
          </cell>
        </row>
        <row r="817">
          <cell r="A817" t="str">
            <v>PL7_E9_EUKAB</v>
          </cell>
          <cell r="B817" t="str">
            <v>Negativo</v>
          </cell>
        </row>
        <row r="818">
          <cell r="A818" t="str">
            <v>PL7_E9_RBCLAF</v>
          </cell>
          <cell r="B818" t="str">
            <v>Negativo</v>
          </cell>
        </row>
        <row r="819">
          <cell r="A819" t="str">
            <v>PL7_E9_SSU_ITS4T</v>
          </cell>
          <cell r="B819" t="str">
            <v>Negativo</v>
          </cell>
        </row>
        <row r="820">
          <cell r="A820" t="str">
            <v xml:space="preserve">PL8_A7_ CTD_DP </v>
          </cell>
          <cell r="B820" t="str">
            <v>Negativo</v>
          </cell>
        </row>
        <row r="821">
          <cell r="A821" t="str">
            <v>PL8_A7_EUKAB</v>
          </cell>
          <cell r="B821" t="str">
            <v>Positivo</v>
          </cell>
        </row>
        <row r="822">
          <cell r="A822" t="str">
            <v>PL8_A7_EUKAB</v>
          </cell>
          <cell r="B822" t="str">
            <v>Positivo</v>
          </cell>
        </row>
        <row r="823">
          <cell r="A823" t="str">
            <v>PL8_A7_RBCL</v>
          </cell>
          <cell r="B823" t="str">
            <v>Negativo</v>
          </cell>
        </row>
        <row r="824">
          <cell r="A824" t="str">
            <v>PL8_A7_RBCLAF</v>
          </cell>
          <cell r="B824" t="str">
            <v>Negativo</v>
          </cell>
        </row>
        <row r="825">
          <cell r="A825" t="str">
            <v>PL8_A7_SSU_ITS4T</v>
          </cell>
          <cell r="B825" t="str">
            <v>Negativo</v>
          </cell>
        </row>
        <row r="826">
          <cell r="A826" t="str">
            <v>PL8_B1</v>
          </cell>
          <cell r="B826" t="str">
            <v>Negativo</v>
          </cell>
        </row>
        <row r="827">
          <cell r="A827" t="str">
            <v>PL8_B1_EUKAB</v>
          </cell>
          <cell r="B827" t="str">
            <v>Positivo</v>
          </cell>
        </row>
        <row r="828">
          <cell r="A828" t="str">
            <v>PL8_B1_EUKAB</v>
          </cell>
          <cell r="B828" t="str">
            <v>Positivo</v>
          </cell>
        </row>
        <row r="829">
          <cell r="A829" t="str">
            <v>PL8_B1_RBCL</v>
          </cell>
          <cell r="B829" t="str">
            <v>Negativo</v>
          </cell>
        </row>
        <row r="830">
          <cell r="A830" t="str">
            <v>PL8_B1_RBCLAF</v>
          </cell>
          <cell r="B830" t="str">
            <v>Positivo</v>
          </cell>
        </row>
        <row r="831">
          <cell r="A831" t="str">
            <v>ULVA_AGUADULCE_18S001F_13R</v>
          </cell>
          <cell r="B831" t="str">
            <v>Negativo</v>
          </cell>
        </row>
        <row r="832">
          <cell r="A832" t="str">
            <v>ULVA_AGUADULCE_EUKAB</v>
          </cell>
          <cell r="B832" t="str">
            <v>Negativo</v>
          </cell>
        </row>
        <row r="833">
          <cell r="A833" t="str">
            <v>ULVA_AGUADULCE_EUKAB</v>
          </cell>
          <cell r="B833" t="str">
            <v>Negativo</v>
          </cell>
        </row>
        <row r="834">
          <cell r="A834" t="str">
            <v>ULVA_AGUADULCE_RBCL</v>
          </cell>
          <cell r="B834" t="str">
            <v>Negativo</v>
          </cell>
        </row>
        <row r="835">
          <cell r="A835" t="str">
            <v>ULVA_AGUADULCE_RBCLAF</v>
          </cell>
          <cell r="B835" t="str">
            <v>Negativo</v>
          </cell>
        </row>
        <row r="836">
          <cell r="A836" t="str">
            <v>ULVA_AGUADULCE_SSU_ITS4T</v>
          </cell>
          <cell r="B836" t="str">
            <v>Negativo</v>
          </cell>
        </row>
        <row r="837">
          <cell r="A837" t="str">
            <v>ULVA_AGUADULCE_TUFAR</v>
          </cell>
          <cell r="B837" t="str">
            <v>Negativo</v>
          </cell>
        </row>
        <row r="838">
          <cell r="A838" t="str">
            <v>Ulva_sara__RBCL</v>
          </cell>
          <cell r="B838" t="str">
            <v>Negativo</v>
          </cell>
        </row>
        <row r="839">
          <cell r="A839" t="str">
            <v>Ulva_sara_18S001F_13R</v>
          </cell>
          <cell r="B839" t="str">
            <v>Positivo</v>
          </cell>
        </row>
        <row r="840">
          <cell r="A840" t="str">
            <v>Ulva_sara_EUKAB</v>
          </cell>
          <cell r="B840" t="str">
            <v>Negativo</v>
          </cell>
        </row>
        <row r="841">
          <cell r="A841" t="str">
            <v>Ulva_sara_EUKAB</v>
          </cell>
          <cell r="B841" t="str">
            <v>Positivo</v>
          </cell>
        </row>
        <row r="842">
          <cell r="A842" t="str">
            <v>Ulva_sara_RBCLAF</v>
          </cell>
          <cell r="B842" t="str">
            <v>Negativo</v>
          </cell>
        </row>
        <row r="843">
          <cell r="A843" t="str">
            <v>Ulva_sara_SSU_ITS4T</v>
          </cell>
          <cell r="B843" t="str">
            <v>Negativo</v>
          </cell>
        </row>
        <row r="844">
          <cell r="A844" t="str">
            <v>Ulva_sara_TUFAR</v>
          </cell>
          <cell r="B844" t="str">
            <v>POSITIVO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about:blank" TargetMode="External"/><Relationship Id="rId21" Type="http://schemas.openxmlformats.org/officeDocument/2006/relationships/hyperlink" Target="http://pcrs/PCR_13_16062025_CYANO_diluciones_30.xls" TargetMode="External"/><Relationship Id="rId42" Type="http://schemas.openxmlformats.org/officeDocument/2006/relationships/hyperlink" Target="http://pcrs/PCR_8_16062025_CYANO.xls" TargetMode="External"/><Relationship Id="rId63" Type="http://schemas.openxmlformats.org/officeDocument/2006/relationships/hyperlink" Target="https://alumnosulpgc-my.sharepoint.com/personal/belen_rojas_fpct_ulpgc_es/Documents/PCRs/PCR_16_25062025_MACRO_ULVA.xls" TargetMode="External"/><Relationship Id="rId84" Type="http://schemas.openxmlformats.org/officeDocument/2006/relationships/hyperlink" Target="https://alumnosulpgc-my.sharepoint.com/personal/belen_rojas_fpct_ulpgc_es/Documents/PCRs/PCR_19_27062025_MACRO_ULVA.xls" TargetMode="External"/><Relationship Id="rId16" Type="http://schemas.openxmlformats.org/officeDocument/2006/relationships/hyperlink" Target="http://pcrs/PCR_13_16062025_CYANO_diluciones_30.xls" TargetMode="External"/><Relationship Id="rId107" Type="http://schemas.openxmlformats.org/officeDocument/2006/relationships/hyperlink" Target="about:blank" TargetMode="External"/><Relationship Id="rId11" Type="http://schemas.openxmlformats.org/officeDocument/2006/relationships/hyperlink" Target="http://pcrs/PCR_4_11062025_FELICIANA.xls" TargetMode="External"/><Relationship Id="rId32" Type="http://schemas.openxmlformats.org/officeDocument/2006/relationships/hyperlink" Target="http://pcrs/PCR_13_16062025_CYANO_diluciones_30.xls" TargetMode="External"/><Relationship Id="rId37" Type="http://schemas.openxmlformats.org/officeDocument/2006/relationships/hyperlink" Target="http://pcrs/PCR_5_12062025_CYANO.xls" TargetMode="External"/><Relationship Id="rId53" Type="http://schemas.openxmlformats.org/officeDocument/2006/relationships/hyperlink" Target="http://pcrs/PCR_4_11062025_FELICIANA.xls" TargetMode="External"/><Relationship Id="rId58" Type="http://schemas.openxmlformats.org/officeDocument/2006/relationships/hyperlink" Target="https://alumnosulpgc-my.sharepoint.com/personal/belen_rojas_fpct_ulpgc_es/Documents/PCRs/PCR_4_11062025_FELICIANA.xls" TargetMode="External"/><Relationship Id="rId74" Type="http://schemas.openxmlformats.org/officeDocument/2006/relationships/hyperlink" Target="https://alumnosulpgc-my.sharepoint.com/personal/belen_rojas_fpct_ulpgc_es/Documents/PCRs/PCR_13_16062025_CYANO_diluciones_30.xls" TargetMode="External"/><Relationship Id="rId79" Type="http://schemas.openxmlformats.org/officeDocument/2006/relationships/hyperlink" Target="https://alumnosulpgc-my.sharepoint.com/personal/belen_rojas_fpct_ulpgc_es/Documents/PCRs/PCR_19_27062025_MACRO_ULVA.xls" TargetMode="External"/><Relationship Id="rId102" Type="http://schemas.openxmlformats.org/officeDocument/2006/relationships/hyperlink" Target="https://alumnosulpgc-my.sharepoint.com/personal/belen_rojas_fpct_ulpgc_es/Documents/PCRs/PCR_20_110925_euk.xls" TargetMode="External"/><Relationship Id="rId123" Type="http://schemas.openxmlformats.org/officeDocument/2006/relationships/hyperlink" Target="about:blank" TargetMode="External"/><Relationship Id="rId128" Type="http://schemas.openxmlformats.org/officeDocument/2006/relationships/hyperlink" Target="about:blank" TargetMode="External"/><Relationship Id="rId5" Type="http://schemas.openxmlformats.org/officeDocument/2006/relationships/hyperlink" Target="http://pcrs/PCR_5_12062025_Algasal.xls" TargetMode="External"/><Relationship Id="rId90" Type="http://schemas.openxmlformats.org/officeDocument/2006/relationships/hyperlink" Target="https://alumnosulpgc-my.sharepoint.com/personal/belen_rojas_fpct_ulpgc_es/Documents/PCRs/PCR_19_27062025_MACRO_ULVA.xls" TargetMode="External"/><Relationship Id="rId95" Type="http://schemas.openxmlformats.org/officeDocument/2006/relationships/hyperlink" Target="https://alumnosulpgc-my.sharepoint.com/personal/belen_rojas_fpct_ulpgc_es/Documents/PCRs/PCR_20_110925_euk.xls" TargetMode="External"/><Relationship Id="rId22" Type="http://schemas.openxmlformats.org/officeDocument/2006/relationships/hyperlink" Target="http://pcrs/PCR_8_16062025_CYANO.xls" TargetMode="External"/><Relationship Id="rId27" Type="http://schemas.openxmlformats.org/officeDocument/2006/relationships/hyperlink" Target="http://pcrs/PCR_8_16062025_CYANO.xls" TargetMode="External"/><Relationship Id="rId43" Type="http://schemas.openxmlformats.org/officeDocument/2006/relationships/hyperlink" Target="http://pcrs/PCR_13_16062025_CYANO_diluciones_30.xls" TargetMode="External"/><Relationship Id="rId48" Type="http://schemas.openxmlformats.org/officeDocument/2006/relationships/hyperlink" Target="http://pcrs/PCR_8_16062025_CYANO.xls" TargetMode="External"/><Relationship Id="rId64" Type="http://schemas.openxmlformats.org/officeDocument/2006/relationships/hyperlink" Target="https://alumnosulpgc-my.sharepoint.com/personal/belen_rojas_fpct_ulpgc_es/Documents/PCRs/PCR_11_23062025_CYANO.xls" TargetMode="External"/><Relationship Id="rId69" Type="http://schemas.openxmlformats.org/officeDocument/2006/relationships/hyperlink" Target="https://alumnosulpgc-my.sharepoint.com/personal/belen_rojas_fpct_ulpgc_es/Documents/PCRs/PCR_19_27062025_MACRO_ULVA.xls" TargetMode="External"/><Relationship Id="rId113" Type="http://schemas.openxmlformats.org/officeDocument/2006/relationships/hyperlink" Target="about:blank" TargetMode="External"/><Relationship Id="rId118" Type="http://schemas.openxmlformats.org/officeDocument/2006/relationships/hyperlink" Target="about:blank" TargetMode="External"/><Relationship Id="rId134" Type="http://schemas.openxmlformats.org/officeDocument/2006/relationships/hyperlink" Target="about:blank" TargetMode="External"/><Relationship Id="rId80" Type="http://schemas.openxmlformats.org/officeDocument/2006/relationships/hyperlink" Target="https://alumnosulpgc-my.sharepoint.com/personal/belen_rojas_fpct_ulpgc_es/Documents/PCRs/PCR_19_27062025_MACRO_ULVA.xls" TargetMode="External"/><Relationship Id="rId85" Type="http://schemas.openxmlformats.org/officeDocument/2006/relationships/hyperlink" Target="https://alumnosulpgc-my.sharepoint.com/personal/belen_rojas_fpct_ulpgc_es/Documents/PCRs/PCR_19_27062025_MACRO_ULVA.xls" TargetMode="External"/><Relationship Id="rId12" Type="http://schemas.openxmlformats.org/officeDocument/2006/relationships/hyperlink" Target="http://pcrs/PCR_11_23062025_CYANO.xls" TargetMode="External"/><Relationship Id="rId17" Type="http://schemas.openxmlformats.org/officeDocument/2006/relationships/hyperlink" Target="http://pcrs/PCR_6_12062025_CYANO.xls" TargetMode="External"/><Relationship Id="rId33" Type="http://schemas.openxmlformats.org/officeDocument/2006/relationships/hyperlink" Target="http://pcrs/PCR_13_16062025_CYANO_diluciones_30.xls" TargetMode="External"/><Relationship Id="rId38" Type="http://schemas.openxmlformats.org/officeDocument/2006/relationships/hyperlink" Target="http://pcrs/PCR_13_16062025_CYANO_diluciones_30.xls" TargetMode="External"/><Relationship Id="rId59" Type="http://schemas.openxmlformats.org/officeDocument/2006/relationships/hyperlink" Target="https://alumnosulpgc-my.sharepoint.com/personal/belen_rojas_fpct_ulpgc_es/Documents/PCRs/PCR_5_12062025_CYANO.xls" TargetMode="External"/><Relationship Id="rId103" Type="http://schemas.openxmlformats.org/officeDocument/2006/relationships/hyperlink" Target="https://alumnosulpgc-my.sharepoint.com/personal/belen_rojas_fpct_ulpgc_es/Documents/PCRs/PCR_20_110925_euk.xls" TargetMode="External"/><Relationship Id="rId108" Type="http://schemas.openxmlformats.org/officeDocument/2006/relationships/hyperlink" Target="about:blank" TargetMode="External"/><Relationship Id="rId124" Type="http://schemas.openxmlformats.org/officeDocument/2006/relationships/hyperlink" Target="about:blank" TargetMode="External"/><Relationship Id="rId129" Type="http://schemas.openxmlformats.org/officeDocument/2006/relationships/hyperlink" Target="about:blank" TargetMode="External"/><Relationship Id="rId54" Type="http://schemas.openxmlformats.org/officeDocument/2006/relationships/hyperlink" Target="http://pcrs/PCR_4_11062025_FELICIANA.xls" TargetMode="External"/><Relationship Id="rId70" Type="http://schemas.openxmlformats.org/officeDocument/2006/relationships/hyperlink" Target="https://alumnosulpgc-my.sharepoint.com/personal/belen_rojas_fpct_ulpgc_es/Documents/PCRs/PCR_19_27062025_MACRO_ULVA.xls" TargetMode="External"/><Relationship Id="rId75" Type="http://schemas.openxmlformats.org/officeDocument/2006/relationships/hyperlink" Target="https://alumnosulpgc-my.sharepoint.com/personal/belen_rojas_fpct_ulpgc_es/Documents/PCRs/PCR_19_27062025_MACRO_ULVA.xls" TargetMode="External"/><Relationship Id="rId91" Type="http://schemas.openxmlformats.org/officeDocument/2006/relationships/hyperlink" Target="https://alumnosulpgc-my.sharepoint.com/personal/belen_rojas_fpct_ulpgc_es/Documents/PCRs/PCR_19_27062025_MACRO_ULVA.xls" TargetMode="External"/><Relationship Id="rId96" Type="http://schemas.openxmlformats.org/officeDocument/2006/relationships/hyperlink" Target="https://alumnosulpgc-my.sharepoint.com/personal/belen_rojas_fpct_ulpgc_es/Documents/PCRs/PCR_20_110925_euk.xls" TargetMode="External"/><Relationship Id="rId1" Type="http://schemas.openxmlformats.org/officeDocument/2006/relationships/hyperlink" Target="about:blank" TargetMode="External"/><Relationship Id="rId6" Type="http://schemas.openxmlformats.org/officeDocument/2006/relationships/hyperlink" Target="http://pcrs/PCR_4_11062025_FELICIANA.xls" TargetMode="External"/><Relationship Id="rId23" Type="http://schemas.openxmlformats.org/officeDocument/2006/relationships/hyperlink" Target="http://pcrs/PCR_13_16062025_CYANO_diluciones_30.xls" TargetMode="External"/><Relationship Id="rId28" Type="http://schemas.openxmlformats.org/officeDocument/2006/relationships/hyperlink" Target="http://pcrs/PCR_13_16062025_CYANO_diluciones_30.xls" TargetMode="External"/><Relationship Id="rId49" Type="http://schemas.openxmlformats.org/officeDocument/2006/relationships/hyperlink" Target="http://pcrs/PCR_13_16062025_CYANO_diluciones_30.xls" TargetMode="External"/><Relationship Id="rId114" Type="http://schemas.openxmlformats.org/officeDocument/2006/relationships/hyperlink" Target="about:blank" TargetMode="External"/><Relationship Id="rId119" Type="http://schemas.openxmlformats.org/officeDocument/2006/relationships/hyperlink" Target="about:blank" TargetMode="External"/><Relationship Id="rId44" Type="http://schemas.openxmlformats.org/officeDocument/2006/relationships/hyperlink" Target="http://pcrs/PCR_8_16062025_CYANO.xls" TargetMode="External"/><Relationship Id="rId60" Type="http://schemas.openxmlformats.org/officeDocument/2006/relationships/hyperlink" Target="https://alumnosulpgc-my.sharepoint.com/personal/belen_rojas_fpct_ulpgc_es/Documents/PCRs/PCR_5_12062025_CYANO.xls" TargetMode="External"/><Relationship Id="rId65" Type="http://schemas.openxmlformats.org/officeDocument/2006/relationships/hyperlink" Target="https://alumnosulpgc-my.sharepoint.com/personal/belen_rojas_fpct_ulpgc_es/Documents/PCRs/PCR_11_23062025_CYANO.xls" TargetMode="External"/><Relationship Id="rId81" Type="http://schemas.openxmlformats.org/officeDocument/2006/relationships/hyperlink" Target="https://alumnosulpgc-my.sharepoint.com/personal/belen_rojas_fpct_ulpgc_es/Documents/PCRs/PCR_19_27062025_MACRO_ULVA.xls" TargetMode="External"/><Relationship Id="rId86" Type="http://schemas.openxmlformats.org/officeDocument/2006/relationships/hyperlink" Target="https://alumnosulpgc-my.sharepoint.com/personal/belen_rojas_fpct_ulpgc_es/Documents/PCRs/PCR_19_27062025_MACRO_ULVA.xls" TargetMode="External"/><Relationship Id="rId130" Type="http://schemas.openxmlformats.org/officeDocument/2006/relationships/hyperlink" Target="about:blank" TargetMode="External"/><Relationship Id="rId135" Type="http://schemas.openxmlformats.org/officeDocument/2006/relationships/hyperlink" Target="about:blank" TargetMode="External"/><Relationship Id="rId13" Type="http://schemas.openxmlformats.org/officeDocument/2006/relationships/hyperlink" Target="http://pcrs/PCR_6_12062025_CYANO.xls" TargetMode="External"/><Relationship Id="rId18" Type="http://schemas.openxmlformats.org/officeDocument/2006/relationships/hyperlink" Target="http://pcrs/PCR_6_12062025_CYANO.xls" TargetMode="External"/><Relationship Id="rId39" Type="http://schemas.openxmlformats.org/officeDocument/2006/relationships/hyperlink" Target="http://pcrs/PCR_13_16062025_CYANO_diluciones_30.xls" TargetMode="External"/><Relationship Id="rId109" Type="http://schemas.openxmlformats.org/officeDocument/2006/relationships/hyperlink" Target="about:blank" TargetMode="External"/><Relationship Id="rId34" Type="http://schemas.openxmlformats.org/officeDocument/2006/relationships/hyperlink" Target="http://pcrs/PCR_8_16062025_CYANO.xls" TargetMode="External"/><Relationship Id="rId50" Type="http://schemas.openxmlformats.org/officeDocument/2006/relationships/hyperlink" Target="http://pcrs/PCR_4_11062025_FELICIANA.xls" TargetMode="External"/><Relationship Id="rId55" Type="http://schemas.openxmlformats.org/officeDocument/2006/relationships/hyperlink" Target="http://pcrs/PCR_4_11062025_FELICIANA.xls" TargetMode="External"/><Relationship Id="rId76" Type="http://schemas.openxmlformats.org/officeDocument/2006/relationships/hyperlink" Target="https://alumnosulpgc-my.sharepoint.com/personal/belen_rojas_fpct_ulpgc_es/Documents/PCRs/PCR_8_16062025_CYANO.xls" TargetMode="External"/><Relationship Id="rId97" Type="http://schemas.openxmlformats.org/officeDocument/2006/relationships/hyperlink" Target="https://alumnosulpgc-my.sharepoint.com/personal/belen_rojas_fpct_ulpgc_es/Documents/PCRs/PCR_20_110925_euk.xls" TargetMode="External"/><Relationship Id="rId104" Type="http://schemas.openxmlformats.org/officeDocument/2006/relationships/hyperlink" Target="https://alumnosulpgc-my.sharepoint.com/personal/belen_rojas_fpct_ulpgc_es/Documents/PCRs/PCR_20_110925_euk.xls" TargetMode="External"/><Relationship Id="rId120" Type="http://schemas.openxmlformats.org/officeDocument/2006/relationships/hyperlink" Target="about:blank" TargetMode="External"/><Relationship Id="rId125" Type="http://schemas.openxmlformats.org/officeDocument/2006/relationships/hyperlink" Target="about:blank" TargetMode="External"/><Relationship Id="rId7" Type="http://schemas.openxmlformats.org/officeDocument/2006/relationships/hyperlink" Target="http://pcrs/PCR_4_11062025_FELICIANA.xls" TargetMode="External"/><Relationship Id="rId71" Type="http://schemas.openxmlformats.org/officeDocument/2006/relationships/hyperlink" Target="https://alumnosulpgc-my.sharepoint.com/personal/belen_rojas_fpct_ulpgc_es/Documents/PCRs/PCR_19_27062025_MACRO_ULVA.xls" TargetMode="External"/><Relationship Id="rId92" Type="http://schemas.openxmlformats.org/officeDocument/2006/relationships/hyperlink" Target="https://alumnosulpgc-my.sharepoint.com/personal/belen_rojas_fpct_ulpgc_es/Documents/PCRs/PCR_19_27062025_MACRO_ULVA.xls" TargetMode="External"/><Relationship Id="rId2" Type="http://schemas.openxmlformats.org/officeDocument/2006/relationships/hyperlink" Target="http://pcrs/PCR_1_06032025.xls" TargetMode="External"/><Relationship Id="rId29" Type="http://schemas.openxmlformats.org/officeDocument/2006/relationships/hyperlink" Target="http://pcrs/PCR_5_12062025_CYANO.xls" TargetMode="External"/><Relationship Id="rId24" Type="http://schemas.openxmlformats.org/officeDocument/2006/relationships/hyperlink" Target="http://pcrs/PCR_8_16062025_CYANO.xls" TargetMode="External"/><Relationship Id="rId40" Type="http://schemas.openxmlformats.org/officeDocument/2006/relationships/hyperlink" Target="http://pcrs/PCR_11_23062025_CYANO.xls" TargetMode="External"/><Relationship Id="rId45" Type="http://schemas.openxmlformats.org/officeDocument/2006/relationships/hyperlink" Target="http://pcrs/PCR_13_16062025_CYANO_diluciones_30.xls" TargetMode="External"/><Relationship Id="rId66" Type="http://schemas.openxmlformats.org/officeDocument/2006/relationships/hyperlink" Target="https://alumnosulpgc-my.sharepoint.com/personal/belen_rojas_fpct_ulpgc_es/Documents/PCRs/PCR_11_23062025_CYANO.xls" TargetMode="External"/><Relationship Id="rId87" Type="http://schemas.openxmlformats.org/officeDocument/2006/relationships/hyperlink" Target="https://alumnosulpgc-my.sharepoint.com/personal/belen_rojas_fpct_ulpgc_es/Documents/PCRs/PCR_19_27062025_MACRO_ULVA.xls" TargetMode="External"/><Relationship Id="rId110" Type="http://schemas.openxmlformats.org/officeDocument/2006/relationships/hyperlink" Target="about:blank" TargetMode="External"/><Relationship Id="rId115" Type="http://schemas.openxmlformats.org/officeDocument/2006/relationships/hyperlink" Target="about:blank" TargetMode="External"/><Relationship Id="rId131" Type="http://schemas.openxmlformats.org/officeDocument/2006/relationships/hyperlink" Target="about:blank" TargetMode="External"/><Relationship Id="rId136" Type="http://schemas.openxmlformats.org/officeDocument/2006/relationships/hyperlink" Target="about:blank" TargetMode="External"/><Relationship Id="rId61" Type="http://schemas.openxmlformats.org/officeDocument/2006/relationships/hyperlink" Target="https://alumnosulpgc-my.sharepoint.com/personal/belen_rojas_fpct_ulpgc_es/Documents/PCRs/PCR_16_25062025_MACRO_ULVA.xls" TargetMode="External"/><Relationship Id="rId82" Type="http://schemas.openxmlformats.org/officeDocument/2006/relationships/hyperlink" Target="https://alumnosulpgc-my.sharepoint.com/personal/belen_rojas_fpct_ulpgc_es/Documents/PCRs/PCR_19_27062025_MACRO_ULVA.xls" TargetMode="External"/><Relationship Id="rId19" Type="http://schemas.openxmlformats.org/officeDocument/2006/relationships/hyperlink" Target="http://pcrs/PCR_5_12062025_CYANO.xls" TargetMode="External"/><Relationship Id="rId14" Type="http://schemas.openxmlformats.org/officeDocument/2006/relationships/hyperlink" Target="http://pcrs/PCR_5_12062025_CYANO.xls" TargetMode="External"/><Relationship Id="rId30" Type="http://schemas.openxmlformats.org/officeDocument/2006/relationships/hyperlink" Target="http://pcrs/PCR_8_16062025_CYANO.xls" TargetMode="External"/><Relationship Id="rId35" Type="http://schemas.openxmlformats.org/officeDocument/2006/relationships/hyperlink" Target="http://pcrs/PCR_13_16062025_CYANO_diluciones_30.xls" TargetMode="External"/><Relationship Id="rId56" Type="http://schemas.openxmlformats.org/officeDocument/2006/relationships/hyperlink" Target="http://pcrs/PCR_4_11062025_FELICIANA.xls" TargetMode="External"/><Relationship Id="rId77" Type="http://schemas.openxmlformats.org/officeDocument/2006/relationships/hyperlink" Target="https://alumnosulpgc-my.sharepoint.com/personal/belen_rojas_fpct_ulpgc_es/Documents/PCRs/PCR_19_27062025_MACRO_ULVA.xls" TargetMode="External"/><Relationship Id="rId100" Type="http://schemas.openxmlformats.org/officeDocument/2006/relationships/hyperlink" Target="https://alumnosulpgc-my.sharepoint.com/personal/belen_rojas_fpct_ulpgc_es/Documents/PCRs/PCR_20_110925_euk.xls" TargetMode="External"/><Relationship Id="rId105" Type="http://schemas.openxmlformats.org/officeDocument/2006/relationships/hyperlink" Target="about:blank" TargetMode="External"/><Relationship Id="rId126" Type="http://schemas.openxmlformats.org/officeDocument/2006/relationships/hyperlink" Target="about:blank" TargetMode="External"/><Relationship Id="rId8" Type="http://schemas.openxmlformats.org/officeDocument/2006/relationships/hyperlink" Target="http://pcrs/PCR_6_12062025_CYANO.xls" TargetMode="External"/><Relationship Id="rId51" Type="http://schemas.openxmlformats.org/officeDocument/2006/relationships/hyperlink" Target="http://pcrs/PCR_5_12062025_Algasal.xls" TargetMode="External"/><Relationship Id="rId72" Type="http://schemas.openxmlformats.org/officeDocument/2006/relationships/hyperlink" Target="https://alumnosulpgc-my.sharepoint.com/personal/belen_rojas_fpct_ulpgc_es/Documents/PCRs/PCR_19_27062025_MACRO_ULVA.xls" TargetMode="External"/><Relationship Id="rId93" Type="http://schemas.openxmlformats.org/officeDocument/2006/relationships/hyperlink" Target="https://alumnosulpgc-my.sharepoint.com/personal/belen_rojas_fpct_ulpgc_es/Documents/PCRs/PCR_19_27062025_MACRO_ULVA.xls" TargetMode="External"/><Relationship Id="rId98" Type="http://schemas.openxmlformats.org/officeDocument/2006/relationships/hyperlink" Target="https://alumnosulpgc-my.sharepoint.com/personal/belen_rojas_fpct_ulpgc_es/Documents/PCRs/PCR_20_110925_euk.xls" TargetMode="External"/><Relationship Id="rId121" Type="http://schemas.openxmlformats.org/officeDocument/2006/relationships/hyperlink" Target="about:blank" TargetMode="External"/><Relationship Id="rId3" Type="http://schemas.openxmlformats.org/officeDocument/2006/relationships/hyperlink" Target="http://pcrs/PCR_4_11062025_FELICIANA.xls" TargetMode="External"/><Relationship Id="rId25" Type="http://schemas.openxmlformats.org/officeDocument/2006/relationships/hyperlink" Target="http://pcrs/PCR_6_12062025_CYANO.xls" TargetMode="External"/><Relationship Id="rId46" Type="http://schemas.openxmlformats.org/officeDocument/2006/relationships/hyperlink" Target="http://pcrs/PCR_8_16062025_CYANO.xls" TargetMode="External"/><Relationship Id="rId67" Type="http://schemas.openxmlformats.org/officeDocument/2006/relationships/hyperlink" Target="https://alumnosulpgc-my.sharepoint.com/personal/belen_rojas_fpct_ulpgc_es/Documents/PCRs/PCR_11_23062025_CYANO.xls" TargetMode="External"/><Relationship Id="rId116" Type="http://schemas.openxmlformats.org/officeDocument/2006/relationships/hyperlink" Target="about:blank" TargetMode="External"/><Relationship Id="rId137" Type="http://schemas.openxmlformats.org/officeDocument/2006/relationships/hyperlink" Target="about:blank" TargetMode="External"/><Relationship Id="rId20" Type="http://schemas.openxmlformats.org/officeDocument/2006/relationships/hyperlink" Target="http://pcrs/PCR_5_12062025_CYANO.xls" TargetMode="External"/><Relationship Id="rId41" Type="http://schemas.openxmlformats.org/officeDocument/2006/relationships/hyperlink" Target="http://pcrs/PCR_8_16062025_CYANO.xls" TargetMode="External"/><Relationship Id="rId62" Type="http://schemas.openxmlformats.org/officeDocument/2006/relationships/hyperlink" Target="https://alumnosulpgc-my.sharepoint.com/personal/belen_rojas_fpct_ulpgc_es/Documents/PCRs/PCR_16_25062025_MACRO_ULVA.xls" TargetMode="External"/><Relationship Id="rId83" Type="http://schemas.openxmlformats.org/officeDocument/2006/relationships/hyperlink" Target="https://alumnosulpgc-my.sharepoint.com/personal/belen_rojas_fpct_ulpgc_es/Documents/PCRs/PCR_19_27062025_MACRO_ULVA.xls" TargetMode="External"/><Relationship Id="rId88" Type="http://schemas.openxmlformats.org/officeDocument/2006/relationships/hyperlink" Target="https://alumnosulpgc-my.sharepoint.com/personal/belen_rojas_fpct_ulpgc_es/Documents/PCRs/PCR_19_27062025_MACRO_ULVA.xls" TargetMode="External"/><Relationship Id="rId111" Type="http://schemas.openxmlformats.org/officeDocument/2006/relationships/hyperlink" Target="about:blank" TargetMode="External"/><Relationship Id="rId132" Type="http://schemas.openxmlformats.org/officeDocument/2006/relationships/hyperlink" Target="about:blank" TargetMode="External"/><Relationship Id="rId15" Type="http://schemas.openxmlformats.org/officeDocument/2006/relationships/hyperlink" Target="http://pcrs/PCR_13_16062025_CYANO_diluciones_30.xls" TargetMode="External"/><Relationship Id="rId36" Type="http://schemas.openxmlformats.org/officeDocument/2006/relationships/hyperlink" Target="http://pcrs/PCR_13_16062025_CYANO_diluciones_30.xls" TargetMode="External"/><Relationship Id="rId57" Type="http://schemas.openxmlformats.org/officeDocument/2006/relationships/hyperlink" Target="http://pcrs/PCR_5_12062025_Algasal.xls" TargetMode="External"/><Relationship Id="rId106" Type="http://schemas.openxmlformats.org/officeDocument/2006/relationships/hyperlink" Target="about:blank" TargetMode="External"/><Relationship Id="rId127" Type="http://schemas.openxmlformats.org/officeDocument/2006/relationships/hyperlink" Target="about:blank" TargetMode="External"/><Relationship Id="rId10" Type="http://schemas.openxmlformats.org/officeDocument/2006/relationships/hyperlink" Target="http://pcrs/PCR_6_12062025_CYANO.xls" TargetMode="External"/><Relationship Id="rId31" Type="http://schemas.openxmlformats.org/officeDocument/2006/relationships/hyperlink" Target="http://pcrs/PCR_13_16062025_CYANO_diluciones_30.xls" TargetMode="External"/><Relationship Id="rId52" Type="http://schemas.openxmlformats.org/officeDocument/2006/relationships/hyperlink" Target="http://pcrs/PCR_4_11062025_FELICIANA.xls" TargetMode="External"/><Relationship Id="rId73" Type="http://schemas.openxmlformats.org/officeDocument/2006/relationships/hyperlink" Target="https://alumnosulpgc-my.sharepoint.com/personal/belen_rojas_fpct_ulpgc_es/Documents/PCRs/PCR_19_27062025_MACRO_ULVA.xls" TargetMode="External"/><Relationship Id="rId78" Type="http://schemas.openxmlformats.org/officeDocument/2006/relationships/hyperlink" Target="https://alumnosulpgc-my.sharepoint.com/personal/belen_rojas_fpct_ulpgc_es/Documents/PCRs/PCR_19_27062025_MACRO_ULVA.xls" TargetMode="External"/><Relationship Id="rId94" Type="http://schemas.openxmlformats.org/officeDocument/2006/relationships/hyperlink" Target="https://alumnosulpgc-my.sharepoint.com/personal/belen_rojas_fpct_ulpgc_es/Documents/PCRs/PCR_19_27062025_MACRO_ULVA.xls" TargetMode="External"/><Relationship Id="rId99" Type="http://schemas.openxmlformats.org/officeDocument/2006/relationships/hyperlink" Target="https://alumnosulpgc-my.sharepoint.com/personal/belen_rojas_fpct_ulpgc_es/Documents/PCRs/PCR_20_110925_euk.xls" TargetMode="External"/><Relationship Id="rId101" Type="http://schemas.openxmlformats.org/officeDocument/2006/relationships/hyperlink" Target="https://alumnosulpgc-my.sharepoint.com/personal/belen_rojas_fpct_ulpgc_es/Documents/PCRs/PCR_20_110925_euk.xls" TargetMode="External"/><Relationship Id="rId122" Type="http://schemas.openxmlformats.org/officeDocument/2006/relationships/hyperlink" Target="about:blank" TargetMode="External"/><Relationship Id="rId4" Type="http://schemas.openxmlformats.org/officeDocument/2006/relationships/hyperlink" Target="http://pcrs/PCR_4_11062025_FELICIANA.xls" TargetMode="External"/><Relationship Id="rId9" Type="http://schemas.openxmlformats.org/officeDocument/2006/relationships/hyperlink" Target="http://pcrs/PCR_6_12062025_CYANO.xls" TargetMode="External"/><Relationship Id="rId26" Type="http://schemas.openxmlformats.org/officeDocument/2006/relationships/hyperlink" Target="http://pcrs/PCR_5_12062025_CYANO.xls" TargetMode="External"/><Relationship Id="rId47" Type="http://schemas.openxmlformats.org/officeDocument/2006/relationships/hyperlink" Target="http://pcrs/PCR_8_16062025_CYANO.xls" TargetMode="External"/><Relationship Id="rId68" Type="http://schemas.openxmlformats.org/officeDocument/2006/relationships/hyperlink" Target="https://alumnosulpgc-my.sharepoint.com/personal/belen_rojas_fpct_ulpgc_es/Documents/PCRs/PCR_11_23062025_CYANO.xls" TargetMode="External"/><Relationship Id="rId89" Type="http://schemas.openxmlformats.org/officeDocument/2006/relationships/hyperlink" Target="https://alumnosulpgc-my.sharepoint.com/personal/belen_rojas_fpct_ulpgc_es/Documents/PCRs/PCR_19_27062025_MACRO_ULVA.xls" TargetMode="External"/><Relationship Id="rId112" Type="http://schemas.openxmlformats.org/officeDocument/2006/relationships/hyperlink" Target="about:blank" TargetMode="External"/><Relationship Id="rId133" Type="http://schemas.openxmlformats.org/officeDocument/2006/relationships/hyperlink" Target="about:blank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alumnosulpgc-my.sharepoint.com/personal/belen_rojas_fpct_ulpgc_es/Documents/PCRs/PCR_11_23062025_CYANO.xls" TargetMode="External"/><Relationship Id="rId21" Type="http://schemas.openxmlformats.org/officeDocument/2006/relationships/hyperlink" Target="https://alumnosulpgc-my.sharepoint.com/personal/belen_rojas_fpct_ulpgc_es/Documents/PCRs/PCR_19_27062025_MACRO_ULVA.xls" TargetMode="External"/><Relationship Id="rId42" Type="http://schemas.openxmlformats.org/officeDocument/2006/relationships/hyperlink" Target="http://pcrs/PCR_19_27062025_MACRO_ULVA.xls" TargetMode="External"/><Relationship Id="rId47" Type="http://schemas.openxmlformats.org/officeDocument/2006/relationships/hyperlink" Target="http://pcrs/PCR_19_27062025_MACRO_ULVA.xls" TargetMode="External"/><Relationship Id="rId63" Type="http://schemas.openxmlformats.org/officeDocument/2006/relationships/hyperlink" Target="http://pcrs/PCR_13_16062025_CYANO_diluciones_30.xls" TargetMode="External"/><Relationship Id="rId68" Type="http://schemas.openxmlformats.org/officeDocument/2006/relationships/hyperlink" Target="http://pcrs/PCR_16_25062025_MACRO_ULVA.xls" TargetMode="External"/><Relationship Id="rId84" Type="http://schemas.openxmlformats.org/officeDocument/2006/relationships/hyperlink" Target="http://pcrs/PCR_8_16062025_CYANO.xls" TargetMode="External"/><Relationship Id="rId89" Type="http://schemas.openxmlformats.org/officeDocument/2006/relationships/hyperlink" Target="http://pcrs/PCR_8_16062025_CYANO.xls" TargetMode="External"/><Relationship Id="rId16" Type="http://schemas.openxmlformats.org/officeDocument/2006/relationships/hyperlink" Target="https://alumnosulpgc-my.sharepoint.com/personal/belen_rojas_fpct_ulpgc_es/Documents/PCRs/PCR_19_27062025_MACRO_ULVA.xls" TargetMode="External"/><Relationship Id="rId107" Type="http://schemas.openxmlformats.org/officeDocument/2006/relationships/hyperlink" Target="http://pcrs/PCR_19_27062025_MACRO_ULVA.xls" TargetMode="External"/><Relationship Id="rId11" Type="http://schemas.openxmlformats.org/officeDocument/2006/relationships/hyperlink" Target="https://alumnosulpgc-my.sharepoint.com/personal/belen_rojas_fpct_ulpgc_es/Documents/PCRs/PCR_19_27062025_MACRO_ULVA.xls" TargetMode="External"/><Relationship Id="rId32" Type="http://schemas.openxmlformats.org/officeDocument/2006/relationships/hyperlink" Target="http://pcrs/PCR_20_110925_euk.xls" TargetMode="External"/><Relationship Id="rId37" Type="http://schemas.openxmlformats.org/officeDocument/2006/relationships/hyperlink" Target="http://pcrs/PCR_13_16062025_CYANO_diluciones_30.xls" TargetMode="External"/><Relationship Id="rId53" Type="http://schemas.openxmlformats.org/officeDocument/2006/relationships/hyperlink" Target="http://pcrs/PCR_19_27062025_MACRO_ULVA.xls" TargetMode="External"/><Relationship Id="rId58" Type="http://schemas.openxmlformats.org/officeDocument/2006/relationships/hyperlink" Target="about:blank" TargetMode="External"/><Relationship Id="rId74" Type="http://schemas.openxmlformats.org/officeDocument/2006/relationships/hyperlink" Target="http://pcrs/PCR_17_25062025_MACRO_ULVA.xls" TargetMode="External"/><Relationship Id="rId79" Type="http://schemas.openxmlformats.org/officeDocument/2006/relationships/hyperlink" Target="http://pcrs/PCR_17_25062025_MACRO_ULVA.xls" TargetMode="External"/><Relationship Id="rId102" Type="http://schemas.openxmlformats.org/officeDocument/2006/relationships/hyperlink" Target="http://pcrs/PCR_19_27062025_MACRO_ULVA.xls" TargetMode="External"/><Relationship Id="rId5" Type="http://schemas.openxmlformats.org/officeDocument/2006/relationships/hyperlink" Target="https://alumnosulpgc-my.sharepoint.com/personal/belen_rojas_fpct_ulpgc_es/Documents/PCRs/PCR_20_110925_euk.xls" TargetMode="External"/><Relationship Id="rId90" Type="http://schemas.openxmlformats.org/officeDocument/2006/relationships/hyperlink" Target="http://pcrs/PCR_19_27062025_MACRO_ULVA.xls" TargetMode="External"/><Relationship Id="rId95" Type="http://schemas.openxmlformats.org/officeDocument/2006/relationships/hyperlink" Target="http://pcrs/PCR_13_16062025_CYANO_diluciones_30.xls" TargetMode="External"/><Relationship Id="rId22" Type="http://schemas.openxmlformats.org/officeDocument/2006/relationships/hyperlink" Target="https://alumnosulpgc-my.sharepoint.com/personal/belen_rojas_fpct_ulpgc_es/Documents/PCRs/PCR_19_27062025_MACRO_ULVA.xls" TargetMode="External"/><Relationship Id="rId27" Type="http://schemas.openxmlformats.org/officeDocument/2006/relationships/hyperlink" Target="https://alumnosulpgc-my.sharepoint.com/personal/belen_rojas_fpct_ulpgc_es/Documents/PCRs/PCR_11_23062025_CYANO.xls" TargetMode="External"/><Relationship Id="rId43" Type="http://schemas.openxmlformats.org/officeDocument/2006/relationships/hyperlink" Target="http://pcrs/PCR_13_16062025_CYANO_diluciones_30.xls" TargetMode="External"/><Relationship Id="rId48" Type="http://schemas.openxmlformats.org/officeDocument/2006/relationships/hyperlink" Target="http://pcrs/PCR_13_16062025_CYANO_diluciones_30.xls" TargetMode="External"/><Relationship Id="rId64" Type="http://schemas.openxmlformats.org/officeDocument/2006/relationships/hyperlink" Target="about:blank" TargetMode="External"/><Relationship Id="rId69" Type="http://schemas.openxmlformats.org/officeDocument/2006/relationships/hyperlink" Target="http://pcrs/PCR_16_25062025_MACRO_ULVA.xls" TargetMode="External"/><Relationship Id="rId80" Type="http://schemas.openxmlformats.org/officeDocument/2006/relationships/hyperlink" Target="http://pcrs/PCR_19_27062025_MACRO_ULVA.xls" TargetMode="External"/><Relationship Id="rId85" Type="http://schemas.openxmlformats.org/officeDocument/2006/relationships/hyperlink" Target="http://pcrs/PCR_8_16062025_CYANO.xls" TargetMode="External"/><Relationship Id="rId12" Type="http://schemas.openxmlformats.org/officeDocument/2006/relationships/hyperlink" Target="https://alumnosulpgc-my.sharepoint.com/personal/belen_rojas_fpct_ulpgc_es/Documents/PCRs/PCR_19_27062025_MACRO_ULVA.xls" TargetMode="External"/><Relationship Id="rId17" Type="http://schemas.openxmlformats.org/officeDocument/2006/relationships/hyperlink" Target="https://alumnosulpgc-my.sharepoint.com/personal/belen_rojas_fpct_ulpgc_es/Documents/PCRs/PCR_19_27062025_MACRO_ULVA.xls" TargetMode="External"/><Relationship Id="rId33" Type="http://schemas.openxmlformats.org/officeDocument/2006/relationships/hyperlink" Target="about:blank" TargetMode="External"/><Relationship Id="rId38" Type="http://schemas.openxmlformats.org/officeDocument/2006/relationships/hyperlink" Target="http://pcrs/PCR_19_27062025_MACRO_ULVA.xls" TargetMode="External"/><Relationship Id="rId59" Type="http://schemas.openxmlformats.org/officeDocument/2006/relationships/hyperlink" Target="http://pcrs/PCR_5_12062025_CYANO.xls" TargetMode="External"/><Relationship Id="rId103" Type="http://schemas.openxmlformats.org/officeDocument/2006/relationships/hyperlink" Target="http://pcrs/PCR_19_27062025_MACRO_ULVA.xls" TargetMode="External"/><Relationship Id="rId108" Type="http://schemas.openxmlformats.org/officeDocument/2006/relationships/hyperlink" Target="http://pcrs/PCR_19_27062025_MACRO_ULVA.xls" TargetMode="External"/><Relationship Id="rId54" Type="http://schemas.openxmlformats.org/officeDocument/2006/relationships/hyperlink" Target="http://pcrs/PCR_19_27062025_MACRO_ULVA.xls" TargetMode="External"/><Relationship Id="rId70" Type="http://schemas.openxmlformats.org/officeDocument/2006/relationships/hyperlink" Target="http://pcrs/PCR_16_25062025_MACRO_ULVA.xls" TargetMode="External"/><Relationship Id="rId75" Type="http://schemas.openxmlformats.org/officeDocument/2006/relationships/hyperlink" Target="http://pcrs/PCR_17_25062025_MACRO_ULVA.xls" TargetMode="External"/><Relationship Id="rId91" Type="http://schemas.openxmlformats.org/officeDocument/2006/relationships/hyperlink" Target="http://pcrs/PCR_19_27062025_MACRO_ULVA.xls" TargetMode="External"/><Relationship Id="rId96" Type="http://schemas.openxmlformats.org/officeDocument/2006/relationships/hyperlink" Target="http://pcrs/PCR_8_16062025_CYANO.xls" TargetMode="External"/><Relationship Id="rId1" Type="http://schemas.openxmlformats.org/officeDocument/2006/relationships/hyperlink" Target="http://pcrs/PCR_13_16062025_CYANO_diluciones_30.xls" TargetMode="External"/><Relationship Id="rId6" Type="http://schemas.openxmlformats.org/officeDocument/2006/relationships/hyperlink" Target="https://alumnosulpgc-my.sharepoint.com/personal/belen_rojas_fpct_ulpgc_es/Documents/PCRs/PCR_20_110925_euk.xls" TargetMode="External"/><Relationship Id="rId15" Type="http://schemas.openxmlformats.org/officeDocument/2006/relationships/hyperlink" Target="https://alumnosulpgc-my.sharepoint.com/personal/belen_rojas_fpct_ulpgc_es/Documents/PCRs/PCR_19_27062025_MACRO_ULVA.xls" TargetMode="External"/><Relationship Id="rId23" Type="http://schemas.openxmlformats.org/officeDocument/2006/relationships/hyperlink" Target="https://alumnosulpgc-my.sharepoint.com/personal/belen_rojas_fpct_ulpgc_es/Documents/PCRs/PCR_19_27062025_MACRO_ULVA.xls" TargetMode="External"/><Relationship Id="rId28" Type="http://schemas.openxmlformats.org/officeDocument/2006/relationships/hyperlink" Target="https://alumnosulpgc-my.sharepoint.com/personal/belen_rojas_fpct_ulpgc_es/Documents/PCRs/PCR_16_25062025_MACRO_ULVA.xls" TargetMode="External"/><Relationship Id="rId36" Type="http://schemas.openxmlformats.org/officeDocument/2006/relationships/hyperlink" Target="http://pcrs/PCR_19_27062025_MACRO_ULVA.xls" TargetMode="External"/><Relationship Id="rId49" Type="http://schemas.openxmlformats.org/officeDocument/2006/relationships/hyperlink" Target="http://pcrs/PCR_19_27062025_MACRO_ULVA.xls" TargetMode="External"/><Relationship Id="rId57" Type="http://schemas.openxmlformats.org/officeDocument/2006/relationships/hyperlink" Target="http://pcrs/PCR_19_27062025_MACRO_ULVA.xls" TargetMode="External"/><Relationship Id="rId106" Type="http://schemas.openxmlformats.org/officeDocument/2006/relationships/hyperlink" Target="http://pcrs/PCR_19_27062025_MACRO_ULVA.xls" TargetMode="External"/><Relationship Id="rId10" Type="http://schemas.openxmlformats.org/officeDocument/2006/relationships/hyperlink" Target="https://alumnosulpgc-my.sharepoint.com/personal/belen_rojas_fpct_ulpgc_es/Documents/PCRs/PCR_19_27062025_MACRO_ULVA.xls" TargetMode="External"/><Relationship Id="rId31" Type="http://schemas.openxmlformats.org/officeDocument/2006/relationships/hyperlink" Target="http://pcrs/PCR_20_110925_euk.xls" TargetMode="External"/><Relationship Id="rId44" Type="http://schemas.openxmlformats.org/officeDocument/2006/relationships/hyperlink" Target="http://pcrs/PCR_8_16062025_CYANO.xls" TargetMode="External"/><Relationship Id="rId52" Type="http://schemas.openxmlformats.org/officeDocument/2006/relationships/hyperlink" Target="http://pcrs/PCR_19_27062025_MACRO_ULVA.xls" TargetMode="External"/><Relationship Id="rId60" Type="http://schemas.openxmlformats.org/officeDocument/2006/relationships/hyperlink" Target="http://pcrs/PCR_19_27062025_MACRO_ULVA.xls" TargetMode="External"/><Relationship Id="rId65" Type="http://schemas.openxmlformats.org/officeDocument/2006/relationships/hyperlink" Target="http://pcrs/PCR_5_12062025_CYANO.xls" TargetMode="External"/><Relationship Id="rId73" Type="http://schemas.openxmlformats.org/officeDocument/2006/relationships/hyperlink" Target="about:blank" TargetMode="External"/><Relationship Id="rId78" Type="http://schemas.openxmlformats.org/officeDocument/2006/relationships/hyperlink" Target="http://pcrs/PCR_19_27062025_MACRO_ULVA.xls" TargetMode="External"/><Relationship Id="rId81" Type="http://schemas.openxmlformats.org/officeDocument/2006/relationships/hyperlink" Target="http://pcrs/PCR_8_16062025_CYANO.xls" TargetMode="External"/><Relationship Id="rId86" Type="http://schemas.openxmlformats.org/officeDocument/2006/relationships/hyperlink" Target="http://pcrs/PCR_19_27062025_MACRO_ULVA.xls" TargetMode="External"/><Relationship Id="rId94" Type="http://schemas.openxmlformats.org/officeDocument/2006/relationships/hyperlink" Target="http://pcrs/PCR_13_16062025_CYANO_diluciones_30.xls" TargetMode="External"/><Relationship Id="rId99" Type="http://schemas.openxmlformats.org/officeDocument/2006/relationships/hyperlink" Target="http://pcrs/PCR_13_16062025_CYANO_diluciones_30.xls" TargetMode="External"/><Relationship Id="rId101" Type="http://schemas.openxmlformats.org/officeDocument/2006/relationships/hyperlink" Target="http://pcrs/PCR_8_16062025_CYANO.xls" TargetMode="External"/><Relationship Id="rId4" Type="http://schemas.openxmlformats.org/officeDocument/2006/relationships/hyperlink" Target="https://alumnosulpgc-my.sharepoint.com/personal/belen_rojas_fpct_ulpgc_es/Documents/PCRs/PCR_20_110925_euk.xls" TargetMode="External"/><Relationship Id="rId9" Type="http://schemas.openxmlformats.org/officeDocument/2006/relationships/hyperlink" Target="https://alumnosulpgc-my.sharepoint.com/personal/belen_rojas_fpct_ulpgc_es/Documents/PCRs/PCR_19_27062025_MACRO_ULVA.xls" TargetMode="External"/><Relationship Id="rId13" Type="http://schemas.openxmlformats.org/officeDocument/2006/relationships/hyperlink" Target="https://alumnosulpgc-my.sharepoint.com/personal/belen_rojas_fpct_ulpgc_es/Documents/PCRs/PCR_19_27062025_MACRO_ULVA.xls" TargetMode="External"/><Relationship Id="rId18" Type="http://schemas.openxmlformats.org/officeDocument/2006/relationships/hyperlink" Target="https://alumnosulpgc-my.sharepoint.com/personal/belen_rojas_fpct_ulpgc_es/Documents/PCRs/PCR_19_27062025_MACRO_ULVA.xls" TargetMode="External"/><Relationship Id="rId39" Type="http://schemas.openxmlformats.org/officeDocument/2006/relationships/hyperlink" Target="http://pcrs/PCR_19_27062025_MACRO_ULVA.xls" TargetMode="External"/><Relationship Id="rId109" Type="http://schemas.openxmlformats.org/officeDocument/2006/relationships/hyperlink" Target="http://pcrs/PCR_13_16062025_CYANO_diluciones_30.xls" TargetMode="External"/><Relationship Id="rId34" Type="http://schemas.openxmlformats.org/officeDocument/2006/relationships/hyperlink" Target="http://pcrs/PCR_19_27062025_MACRO_ULVA.xls" TargetMode="External"/><Relationship Id="rId50" Type="http://schemas.openxmlformats.org/officeDocument/2006/relationships/hyperlink" Target="about:blank" TargetMode="External"/><Relationship Id="rId55" Type="http://schemas.openxmlformats.org/officeDocument/2006/relationships/hyperlink" Target="http://pcrs/PCR_19_27062025_MACRO_ULVA.xls" TargetMode="External"/><Relationship Id="rId76" Type="http://schemas.openxmlformats.org/officeDocument/2006/relationships/hyperlink" Target="http://pcrs/PCR_4_11062025_FELICIANA.xls" TargetMode="External"/><Relationship Id="rId97" Type="http://schemas.openxmlformats.org/officeDocument/2006/relationships/hyperlink" Target="http://pcrs/PCR_8_16062025_CYANO.xls" TargetMode="External"/><Relationship Id="rId104" Type="http://schemas.openxmlformats.org/officeDocument/2006/relationships/hyperlink" Target="http://pcrs/PCR_19_27062025_MACRO_ULVA.xls" TargetMode="External"/><Relationship Id="rId7" Type="http://schemas.openxmlformats.org/officeDocument/2006/relationships/hyperlink" Target="https://alumnosulpgc-my.sharepoint.com/personal/belen_rojas_fpct_ulpgc_es/Documents/PCRs/PCR_20_110925_euk.xls" TargetMode="External"/><Relationship Id="rId71" Type="http://schemas.openxmlformats.org/officeDocument/2006/relationships/hyperlink" Target="http://pcrs/PCR_16_25062025_MACRO_ULVA.xls" TargetMode="External"/><Relationship Id="rId92" Type="http://schemas.openxmlformats.org/officeDocument/2006/relationships/hyperlink" Target="http://pcrs/PCR_13_16062025_CYANO_diluciones_30.xls" TargetMode="External"/><Relationship Id="rId2" Type="http://schemas.openxmlformats.org/officeDocument/2006/relationships/hyperlink" Target="http://pcrs/PCR_13_16062025_CYANO_diluciones_30.xls" TargetMode="External"/><Relationship Id="rId29" Type="http://schemas.openxmlformats.org/officeDocument/2006/relationships/hyperlink" Target="http://pcrs/PCR_4_11062025_FELICIANA.xls" TargetMode="External"/><Relationship Id="rId24" Type="http://schemas.openxmlformats.org/officeDocument/2006/relationships/hyperlink" Target="https://alumnosulpgc-my.sharepoint.com/personal/belen_rojas_fpct_ulpgc_es/Documents/PCRs/PCR_11_23062025_CYANO.xls" TargetMode="External"/><Relationship Id="rId40" Type="http://schemas.openxmlformats.org/officeDocument/2006/relationships/hyperlink" Target="about:blank" TargetMode="External"/><Relationship Id="rId45" Type="http://schemas.openxmlformats.org/officeDocument/2006/relationships/hyperlink" Target="about:blank" TargetMode="External"/><Relationship Id="rId66" Type="http://schemas.openxmlformats.org/officeDocument/2006/relationships/hyperlink" Target="http://pcrs/PCR_16_25062025_MACRO_ULVA.xls" TargetMode="External"/><Relationship Id="rId87" Type="http://schemas.openxmlformats.org/officeDocument/2006/relationships/hyperlink" Target="http://pcrs/PCR_11_23062025_CYANO.xls" TargetMode="External"/><Relationship Id="rId110" Type="http://schemas.openxmlformats.org/officeDocument/2006/relationships/hyperlink" Target="http://pcrs/PCR_13_16062025_CYANO_diluciones_30.xls" TargetMode="External"/><Relationship Id="rId61" Type="http://schemas.openxmlformats.org/officeDocument/2006/relationships/hyperlink" Target="http://pcrs/PCR_11_23062025_CYANO.xls" TargetMode="External"/><Relationship Id="rId82" Type="http://schemas.openxmlformats.org/officeDocument/2006/relationships/hyperlink" Target="http://pcrs/PCR_8_16062025_CYANO.xls" TargetMode="External"/><Relationship Id="rId19" Type="http://schemas.openxmlformats.org/officeDocument/2006/relationships/hyperlink" Target="https://alumnosulpgc-my.sharepoint.com/personal/belen_rojas_fpct_ulpgc_es/Documents/PCRs/PCR_19_27062025_MACRO_ULVA.xls" TargetMode="External"/><Relationship Id="rId14" Type="http://schemas.openxmlformats.org/officeDocument/2006/relationships/hyperlink" Target="https://alumnosulpgc-my.sharepoint.com/personal/belen_rojas_fpct_ulpgc_es/Documents/PCRs/PCR_19_27062025_MACRO_ULVA.xls" TargetMode="External"/><Relationship Id="rId30" Type="http://schemas.openxmlformats.org/officeDocument/2006/relationships/hyperlink" Target="http://pcrs/PCR_20_110925_euk.xls" TargetMode="External"/><Relationship Id="rId35" Type="http://schemas.openxmlformats.org/officeDocument/2006/relationships/hyperlink" Target="http://pcrs/PCR_8_16062025_CYANO.xls" TargetMode="External"/><Relationship Id="rId56" Type="http://schemas.openxmlformats.org/officeDocument/2006/relationships/hyperlink" Target="about:blank" TargetMode="External"/><Relationship Id="rId77" Type="http://schemas.openxmlformats.org/officeDocument/2006/relationships/hyperlink" Target="http://pcrs/PCR_5_12062025_CYANO.xls" TargetMode="External"/><Relationship Id="rId100" Type="http://schemas.openxmlformats.org/officeDocument/2006/relationships/hyperlink" Target="http://pcrs/PCR_19_27062025_MACRO_ULVA.xls" TargetMode="External"/><Relationship Id="rId105" Type="http://schemas.openxmlformats.org/officeDocument/2006/relationships/hyperlink" Target="http://pcrs/PCR_13_16062025_CYANO_diluciones_30.xls" TargetMode="External"/><Relationship Id="rId8" Type="http://schemas.openxmlformats.org/officeDocument/2006/relationships/hyperlink" Target="https://alumnosulpgc-my.sharepoint.com/personal/belen_rojas_fpct_ulpgc_es/Documents/PCRs/PCR_20_110925_euk.xls" TargetMode="External"/><Relationship Id="rId51" Type="http://schemas.openxmlformats.org/officeDocument/2006/relationships/hyperlink" Target="http://pcrs/PCR_19_27062025_MACRO_ULVA.xls" TargetMode="External"/><Relationship Id="rId72" Type="http://schemas.openxmlformats.org/officeDocument/2006/relationships/hyperlink" Target="http://pcrs/PCR_17_25062025_MACRO_ULVA.xls" TargetMode="External"/><Relationship Id="rId93" Type="http://schemas.openxmlformats.org/officeDocument/2006/relationships/hyperlink" Target="http://pcrs/PCR_8_16062025_CYANO.xls" TargetMode="External"/><Relationship Id="rId98" Type="http://schemas.openxmlformats.org/officeDocument/2006/relationships/hyperlink" Target="http://pcrs/PCR_19_27062025_MACRO_ULVA.xls" TargetMode="External"/><Relationship Id="rId3" Type="http://schemas.openxmlformats.org/officeDocument/2006/relationships/hyperlink" Target="https://alumnosulpgc-my.sharepoint.com/personal/belen_rojas_fpct_ulpgc_es/Documents/PCRs/PCR_20_110925_euk.xls" TargetMode="External"/><Relationship Id="rId25" Type="http://schemas.openxmlformats.org/officeDocument/2006/relationships/hyperlink" Target="https://alumnosulpgc-my.sharepoint.com/personal/belen_rojas_fpct_ulpgc_es/Documents/PCRs/PCR_11_23062025_CYANO.xls" TargetMode="External"/><Relationship Id="rId46" Type="http://schemas.openxmlformats.org/officeDocument/2006/relationships/hyperlink" Target="http://pcrs/PCR_19_27062025_MACRO_ULVA.xls" TargetMode="External"/><Relationship Id="rId67" Type="http://schemas.openxmlformats.org/officeDocument/2006/relationships/hyperlink" Target="http://pcrs/PCR_16_25062025_MACRO_ULVA.xls" TargetMode="External"/><Relationship Id="rId20" Type="http://schemas.openxmlformats.org/officeDocument/2006/relationships/hyperlink" Target="https://alumnosulpgc-my.sharepoint.com/personal/belen_rojas_fpct_ulpgc_es/Documents/PCRs/PCR_19_27062025_MACRO_ULVA.xls" TargetMode="External"/><Relationship Id="rId41" Type="http://schemas.openxmlformats.org/officeDocument/2006/relationships/hyperlink" Target="http://pcrs/PCR_19_27062025_MACRO_ULVA.xls" TargetMode="External"/><Relationship Id="rId62" Type="http://schemas.openxmlformats.org/officeDocument/2006/relationships/hyperlink" Target="http://pcrs/PCR_11_23062025_CYANO.xls" TargetMode="External"/><Relationship Id="rId83" Type="http://schemas.openxmlformats.org/officeDocument/2006/relationships/hyperlink" Target="http://pcrs/PCR_19_27062025_MACRO_ULVA.xls" TargetMode="External"/><Relationship Id="rId88" Type="http://schemas.openxmlformats.org/officeDocument/2006/relationships/hyperlink" Target="http://pcrs/PCR_8_16062025_CYANO.xls" TargetMode="External"/><Relationship Id="rId111" Type="http://schemas.openxmlformats.org/officeDocument/2006/relationships/hyperlink" Target="http://pcrs/PCR_17_25062025_MACRO_ULVA.x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9A0C3-6F52-4FF5-8C6C-D20AE8D0DDD5}">
  <dimension ref="A1:G1127"/>
  <sheetViews>
    <sheetView tabSelected="1" zoomScale="109" zoomScaleNormal="85" workbookViewId="0">
      <selection activeCell="H10" sqref="H10"/>
    </sheetView>
  </sheetViews>
  <sheetFormatPr baseColWidth="10" defaultColWidth="8.88671875" defaultRowHeight="14.4" x14ac:dyDescent="0.3"/>
  <cols>
    <col min="1" max="1" width="33" style="658" customWidth="1"/>
    <col min="2" max="4" width="16.88671875" customWidth="1"/>
    <col min="5" max="5" width="10.6640625" customWidth="1"/>
    <col min="6" max="6" width="18" customWidth="1"/>
    <col min="7" max="7" width="32.88671875" customWidth="1"/>
  </cols>
  <sheetData>
    <row r="1" spans="1:7" ht="15.6" x14ac:dyDescent="0.3">
      <c r="A1" s="252" t="s">
        <v>3464</v>
      </c>
      <c r="B1" s="253" t="s">
        <v>1046</v>
      </c>
      <c r="C1" s="253" t="s">
        <v>1047</v>
      </c>
      <c r="D1" s="253" t="s">
        <v>3466</v>
      </c>
      <c r="E1" s="253" t="s">
        <v>4</v>
      </c>
      <c r="F1" s="254" t="s">
        <v>1048</v>
      </c>
      <c r="G1" t="s">
        <v>3</v>
      </c>
    </row>
    <row r="2" spans="1:7" x14ac:dyDescent="0.3">
      <c r="A2" s="628" t="s">
        <v>13</v>
      </c>
      <c r="B2" s="255" t="str">
        <f t="array" ref="B2">IFERROR(
   IF(INDEX([1]Extraídas!B:B,MATCH(LEFT($A2,6)&amp;"*",[1]Extraídas!A:A,0))="Extraídas",
      "✅ En proceso",
      IF(INDEX([1]Extraídas!B:B,MATCH(LEFT($A2,6)&amp;"*",[1]Extraídas!A:A,0))="Recibidas",
         "⏳ Pendiente","❌ No ingresada")),
   "❌ No ingresada"
)</f>
        <v>✅ En proceso</v>
      </c>
      <c r="C2" s="255" t="str">
        <f t="array" ref="C2">IFERROR(
   IF(INDEX([1]PCRs!B:B,MATCH(LEFT($A2,6)&amp;"*",[1]PCRs!A:A,0))="Positivo",
      "✅ Positivo",
      IF(INDEX([1]PCRs!B:B,MATCH(LEFT($A2,6)&amp;"*",[1]PCRs!A:A,0))="Negativo",
         "❌ Negativo",
         "⏳ No realizado")),
   "⏳ No realizado"
)</f>
        <v>⏳ No realizado</v>
      </c>
      <c r="D2" s="255" t="str">
        <f>IFERROR(
   CHOOSE(
      MATCH(VLOOKUP(LEFT(A49,6)&amp;"*",'Identificación genética'!A:C,2,FALSE),
               {"En proceso";"Finalizado"},0),
      "🔬 En proceso",
      "🎯 Finalizado"
   ),
"❌ NA")</f>
        <v>❌ NA</v>
      </c>
      <c r="E2" s="255" t="s">
        <v>34</v>
      </c>
      <c r="F2" s="7">
        <v>45947</v>
      </c>
      <c r="G2" t="str">
        <f>_xlfn.XLOOKUP(A2, Extraídas!A:A, Extraídas!G:G, "")</f>
        <v>ambiental</v>
      </c>
    </row>
    <row r="3" spans="1:7" x14ac:dyDescent="0.3">
      <c r="A3" s="629" t="s">
        <v>19</v>
      </c>
      <c r="B3" s="255" t="str">
        <f t="array" ref="B3">IFERROR(
   IF(INDEX([1]Extraídas!B:B,MATCH(LEFT($A3,6)&amp;"*",[1]Extraídas!A:A,0))="Extraídas",
      "✅ En proceso",
      IF(INDEX([1]Extraídas!B:B,MATCH(LEFT($A3,6)&amp;"*",[1]Extraídas!A:A,0))="Recibidas",
         "⏳ Pendiente","❌ No ingresada")),
   "❌ No ingresada"
)</f>
        <v>✅ En proceso</v>
      </c>
      <c r="C3" s="255" t="str">
        <f t="array" ref="C3">IFERROR(
   IF(INDEX([1]PCRs!B:B,MATCH(LEFT($A3,6)&amp;"*",[1]PCRs!A:A,0))="Positivo",
      "✅ Positivo",
      IF(INDEX([1]PCRs!B:B,MATCH(LEFT($A3,6)&amp;"*",[1]PCRs!A:A,0))="Negativo",
         "❌ Negativo",
         "⏳ No realizado")),
   "⏳ No realizado"
)</f>
        <v>⏳ No realizado</v>
      </c>
      <c r="D3" s="255" t="str">
        <f>IFERROR(
   CHOOSE(
      MATCH(VLOOKUP(LEFT(A50,6)&amp;"*",'Identificación genética'!A:C,2,FALSE),
               {"En proceso";"Finalizado"},0),
      "🔬 En proceso",
      "🎯 Finalizado"
   ),
"❌ NA")</f>
        <v>❌ NA</v>
      </c>
      <c r="E3" s="255" t="s">
        <v>34</v>
      </c>
      <c r="F3" s="7">
        <v>45947</v>
      </c>
      <c r="G3" t="str">
        <f>_xlfn.XLOOKUP(A3, Extraídas!A:A, Extraídas!G:G, "")</f>
        <v>ambiental</v>
      </c>
    </row>
    <row r="4" spans="1:7" x14ac:dyDescent="0.3">
      <c r="A4" s="628" t="s">
        <v>20</v>
      </c>
      <c r="B4" s="255" t="str">
        <f t="array" ref="B4">IFERROR(
   IF(INDEX([1]Extraídas!B:B,MATCH(LEFT($A4,6)&amp;"*",[1]Extraídas!A:A,0))="Extraídas",
      "✅ En proceso",
      IF(INDEX([1]Extraídas!B:B,MATCH(LEFT($A4,6)&amp;"*",[1]Extraídas!A:A,0))="Recibidas",
         "⏳ Pendiente","❌ No ingresada")),
   "❌ No ingresada"
)</f>
        <v>✅ En proceso</v>
      </c>
      <c r="C4" s="255" t="str">
        <f t="array" ref="C4">IFERROR(
   IF(INDEX([1]PCRs!B:B,MATCH(LEFT($A4,6)&amp;"*",[1]PCRs!A:A,0))="Positivo",
      "✅ Positivo",
      IF(INDEX([1]PCRs!B:B,MATCH(LEFT($A4,6)&amp;"*",[1]PCRs!A:A,0))="Negativo",
         "❌ Negativo",
         "⏳ No realizado")),
   "⏳ No realizado"
)</f>
        <v>⏳ No realizado</v>
      </c>
      <c r="D4" s="255" t="str">
        <f>IFERROR(
   CHOOSE(
      MATCH(VLOOKUP(LEFT(A51,6)&amp;"*",'Identificación genética'!A:C,2,FALSE),
               {"En proceso";"Finalizado"},0),
      "🔬 En proceso",
      "🎯 Finalizado"
   ),
"❌ NA")</f>
        <v>❌ NA</v>
      </c>
      <c r="E4" s="255" t="s">
        <v>34</v>
      </c>
      <c r="F4" s="7">
        <v>45947</v>
      </c>
      <c r="G4" t="str">
        <f>_xlfn.XLOOKUP(A4, Extraídas!A:A, Extraídas!G:G, "")</f>
        <v>ambiental</v>
      </c>
    </row>
    <row r="5" spans="1:7" x14ac:dyDescent="0.3">
      <c r="A5" s="630" t="s">
        <v>21</v>
      </c>
      <c r="B5" s="255" t="str">
        <f>IFERROR(
   IF(INDEX(Extraídas!B:B,MATCH(LEFT($A5,6)&amp;"*",Extraídas!A:A,0))="Extraídas",
      "✅ En proceso",
      IF(INDEX(Extraídas!B:B,MATCH(LEFT($A5,6)&amp;"*",Extraídas!A:A,0))="Recibidas",
         "⏳ Pendiente","❌ No ingresada")),
   "❌ No ingresada"
)</f>
        <v>✅ En proceso</v>
      </c>
      <c r="C5" s="255" t="str">
        <f t="array" ref="C5">IFERROR(
   IF(INDEX([1]PCRs!B:B,MATCH(LEFT($A5,6)&amp;"*",[1]PCRs!A:A,0))="Positivo",
      "✅ Positivo",
      IF(INDEX([1]PCRs!B:B,MATCH(LEFT($A5,6)&amp;"*",[1]PCRs!A:A,0))="Negativo",
         "❌ Negativo",
         "⏳ No realizado")),
   "⏳ No realizado"
)</f>
        <v>❌ Negativo</v>
      </c>
      <c r="D5" s="255" t="str">
        <f>IFERROR(
   CHOOSE(
      MATCH(VLOOKUP(LEFT(A52,6)&amp;"*",'Identificación genética'!A:C,2,FALSE),
               {"En proceso";"Finalizado"},0),
      "🔬 En proceso",
      "🎯 Finalizado"
   ),
"❌ NA")</f>
        <v>❌ NA</v>
      </c>
      <c r="E5" s="255" t="s">
        <v>34</v>
      </c>
      <c r="F5" s="15">
        <v>45756</v>
      </c>
      <c r="G5" t="str">
        <f>_xlfn.XLOOKUP(A5, Extraídas!A:A, Extraídas!G:G, "")</f>
        <v>Macroalgas</v>
      </c>
    </row>
    <row r="6" spans="1:7" x14ac:dyDescent="0.3">
      <c r="A6" s="631" t="s">
        <v>27</v>
      </c>
      <c r="B6" s="255" t="str">
        <f t="array" ref="B6">IFERROR(
   IF(INDEX([1]Extraídas!B:B,MATCH(LEFT($A6,6)&amp;"*",[1]Extraídas!A:A,0))="Extraídas",
      "✅ En proceso",
      IF(INDEX([1]Extraídas!B:B,MATCH(LEFT($A6,6)&amp;"*",[1]Extraídas!A:A,0))="Recibidas",
         "⏳ Pendiente","❌ No ingresada")),
   "❌ No ingresada"
)</f>
        <v>✅ En proceso</v>
      </c>
      <c r="C6" s="255" t="str">
        <f t="array" ref="C6">IFERROR(
   IF(INDEX([1]PCRs!B:B,MATCH(LEFT($A6,6)&amp;"*",[1]PCRs!A:A,0))="Positivo",
      "✅ Positivo",
      IF(INDEX([1]PCRs!B:B,MATCH(LEFT($A6,6)&amp;"*",[1]PCRs!A:A,0))="Negativo",
         "❌ Negativo",
         "⏳ No realizado")),
   "⏳ No realizado"
)</f>
        <v>⏳ No realizado</v>
      </c>
      <c r="D6" s="255" t="str">
        <f>IFERROR(
   CHOOSE(
      MATCH(VLOOKUP(LEFT(A53,6)&amp;"*",'Identificación genética'!A:C,2,FALSE),
               {"En proceso";"Finalizado"},0),
      "🔬 En proceso",
      "🎯 Finalizado"
   ),
"❌ NA")</f>
        <v>❌ NA</v>
      </c>
      <c r="E6" s="255" t="s">
        <v>34</v>
      </c>
      <c r="F6" s="20">
        <v>45922</v>
      </c>
      <c r="G6" t="str">
        <f>_xlfn.XLOOKUP(A6, Extraídas!A:A, Extraídas!G:G, "")</f>
        <v>Macroalgas</v>
      </c>
    </row>
    <row r="7" spans="1:7" x14ac:dyDescent="0.3">
      <c r="A7" s="630" t="s">
        <v>28</v>
      </c>
      <c r="B7" s="255" t="str">
        <f>IFERROR(
   IF(INDEX(Extraídas!B:B,MATCH(LEFT($A7,6)&amp;"*",Extraídas!A:A,0))="Extraídas",
      "✅ En proceso",
      IF(INDEX(Extraídas!B:B,MATCH(LEFT($A7,6)&amp;"*",Extraídas!A:A,0))="Recibidas",
         "⏳ Pendiente","❌ No ingresada")),
   "❌ No ingresada"
)</f>
        <v>✅ En proceso</v>
      </c>
      <c r="C7" s="255" t="str">
        <f t="array" ref="C7">IFERROR(
   IF(INDEX([1]PCRs!B:B,MATCH(LEFT($A7,6)&amp;"*",[1]PCRs!A:A,0))="Positivo",
      "✅ Positivo",
      IF(INDEX([1]PCRs!B:B,MATCH(LEFT($A7,6)&amp;"*",[1]PCRs!A:A,0))="Negativo",
         "❌ Negativo",
         "⏳ No realizado")),
   "⏳ No realizado"
)</f>
        <v>⏳ No realizado</v>
      </c>
      <c r="D7" s="255" t="str">
        <f>IFERROR(
   CHOOSE(
      MATCH(VLOOKUP(LEFT(A54,6)&amp;"*",'Identificación genética'!A:C,2,FALSE),
               {"En proceso";"Finalizado"},0),
      "🔬 En proceso",
      "🎯 Finalizado"
   ),
"❌ NA")</f>
        <v>❌ NA</v>
      </c>
      <c r="E7" s="255" t="s">
        <v>34</v>
      </c>
      <c r="F7" s="15">
        <v>45756</v>
      </c>
      <c r="G7" t="str">
        <f>_xlfn.XLOOKUP(A7, Extraídas!A:A, Extraídas!G:G, "")</f>
        <v>Macroalgas</v>
      </c>
    </row>
    <row r="8" spans="1:7" x14ac:dyDescent="0.3">
      <c r="A8" s="630" t="s">
        <v>29</v>
      </c>
      <c r="B8" s="255" t="str">
        <f>IFERROR(
   IF(INDEX(Extraídas!B:B,MATCH(LEFT($A8,6)&amp;"*",Extraídas!A:A,0))="Extraídas",
      "✅ En proceso",
      IF(INDEX(Extraídas!B:B,MATCH(LEFT($A8,6)&amp;"*",Extraídas!A:A,0))="Recibidas",
         "⏳ Pendiente","❌ No ingresada")),
   "❌ No ingresada"
)</f>
        <v>✅ En proceso</v>
      </c>
      <c r="C8" s="255" t="str">
        <f t="array" ref="C8">IFERROR(
   IF(INDEX([1]PCRs!B:B,MATCH(LEFT($A8,6)&amp;"*",[1]PCRs!A:A,0))="Positivo",
      "✅ Positivo",
      IF(INDEX([1]PCRs!B:B,MATCH(LEFT($A8,6)&amp;"*",[1]PCRs!A:A,0))="Negativo",
         "❌ Negativo",
         "⏳ No realizado")),
   "⏳ No realizado"
)</f>
        <v>✅ Positivo</v>
      </c>
      <c r="D8" s="255" t="str">
        <f>IFERROR(
   CHOOSE(
      MATCH(VLOOKUP(LEFT(A55,6)&amp;"*",'Identificación genética'!A:C,2,FALSE),
               {"En proceso";"Finalizado"},0),
      "🔬 En proceso",
      "🎯 Finalizado"
   ),
"❌ NA")</f>
        <v>❌ NA</v>
      </c>
      <c r="E8" s="255" t="s">
        <v>34</v>
      </c>
      <c r="F8" s="15">
        <v>45756</v>
      </c>
      <c r="G8" t="str">
        <f>_xlfn.XLOOKUP(A8, Extraídas!A:A, Extraídas!G:G, "")</f>
        <v>Macroalgas</v>
      </c>
    </row>
    <row r="9" spans="1:7" x14ac:dyDescent="0.3">
      <c r="A9" s="629" t="s">
        <v>30</v>
      </c>
      <c r="B9" s="255" t="str">
        <f t="array" ref="B9">IFERROR(
   IF(INDEX([1]Extraídas!B:B,MATCH(LEFT($A9,6)&amp;"*",[1]Extraídas!A:A,0))="Extraídas",
      "✅ En proceso",
      IF(INDEX([1]Extraídas!B:B,MATCH(LEFT($A9,6)&amp;"*",[1]Extraídas!A:A,0))="Recibidas",
         "⏳ Pendiente","❌ No ingresada")),
   "❌ No ingresada"
)</f>
        <v>✅ En proceso</v>
      </c>
      <c r="C9" s="255" t="str">
        <f t="array" ref="C9">IFERROR(
   IF(INDEX([1]PCRs!B:B,MATCH(LEFT($A9,6)&amp;"*",[1]PCRs!A:A,0))="Positivo",
      "✅ Positivo",
      IF(INDEX([1]PCRs!B:B,MATCH(LEFT($A9,6)&amp;"*",[1]PCRs!A:A,0))="Negativo",
         "❌ Negativo",
         "⏳ No realizado")),
   "⏳ No realizado"
)</f>
        <v>⏳ No realizado</v>
      </c>
      <c r="D9" s="255" t="str">
        <f>IFERROR(
   CHOOSE(
      MATCH(VLOOKUP(LEFT(A56,6)&amp;"*",'Identificación genética'!A:C,2,FALSE),
               {"En proceso";"Finalizado"},0),
      "🔬 En proceso",
      "🎯 Finalizado"
   ),
"❌ NA")</f>
        <v>❌ NA</v>
      </c>
      <c r="E9" s="255" t="s">
        <v>34</v>
      </c>
      <c r="F9" s="7">
        <v>45947</v>
      </c>
      <c r="G9" t="str">
        <f>_xlfn.XLOOKUP(A9, Extraídas!A:A, Extraídas!G:G, "")</f>
        <v>ambiental</v>
      </c>
    </row>
    <row r="10" spans="1:7" x14ac:dyDescent="0.3">
      <c r="A10" s="628" t="s">
        <v>31</v>
      </c>
      <c r="B10" s="255" t="str">
        <f t="array" ref="B10">IFERROR(
   IF(INDEX([1]Extraídas!B:B,MATCH(LEFT($A10,6)&amp;"*",[1]Extraídas!A:A,0))="Extraídas",
      "✅ En proceso",
      IF(INDEX([1]Extraídas!B:B,MATCH(LEFT($A10,6)&amp;"*",[1]Extraídas!A:A,0))="Recibidas",
         "⏳ Pendiente","❌ No ingresada")),
   "❌ No ingresada"
)</f>
        <v>✅ En proceso</v>
      </c>
      <c r="C10" s="255" t="str">
        <f t="array" ref="C10">IFERROR(
   IF(INDEX([1]PCRs!B:B,MATCH(LEFT($A10,6)&amp;"*",[1]PCRs!A:A,0))="Positivo",
      "✅ Positivo",
      IF(INDEX([1]PCRs!B:B,MATCH(LEFT($A10,6)&amp;"*",[1]PCRs!A:A,0))="Negativo",
         "❌ Negativo",
         "⏳ No realizado")),
   "⏳ No realizado"
)</f>
        <v>⏳ No realizado</v>
      </c>
      <c r="D10" s="255" t="str">
        <f>IFERROR(
   CHOOSE(
      MATCH(VLOOKUP(LEFT(A57,6)&amp;"*",'Identificación genética'!A:C,2,FALSE),
               {"En proceso";"Finalizado"},0),
      "🔬 En proceso",
      "🎯 Finalizado"
   ),
"❌ NA")</f>
        <v>❌ NA</v>
      </c>
      <c r="E10" s="255" t="s">
        <v>34</v>
      </c>
      <c r="F10" s="7">
        <v>45947</v>
      </c>
      <c r="G10" t="str">
        <f>_xlfn.XLOOKUP(A10, Extraídas!A:A, Extraídas!G:G, "")</f>
        <v>ambiental</v>
      </c>
    </row>
    <row r="11" spans="1:7" x14ac:dyDescent="0.3">
      <c r="A11" s="629" t="s">
        <v>32</v>
      </c>
      <c r="B11" s="255" t="str">
        <f t="array" ref="B11">IFERROR(
   IF(INDEX([1]Extraídas!B:B,MATCH(LEFT($A11,6)&amp;"*",[1]Extraídas!A:A,0))="Extraídas",
      "✅ En proceso",
      IF(INDEX([1]Extraídas!B:B,MATCH(LEFT($A11,6)&amp;"*",[1]Extraídas!A:A,0))="Recibidas",
         "⏳ Pendiente","❌ No ingresada")),
   "❌ No ingresada"
)</f>
        <v>✅ En proceso</v>
      </c>
      <c r="C11" s="255" t="str">
        <f t="array" ref="C11">IFERROR(
   IF(INDEX([1]PCRs!B:B,MATCH(LEFT($A11,6)&amp;"*",[1]PCRs!A:A,0))="Positivo",
      "✅ Positivo",
      IF(INDEX([1]PCRs!B:B,MATCH(LEFT($A11,6)&amp;"*",[1]PCRs!A:A,0))="Negativo",
         "❌ Negativo",
         "⏳ No realizado")),
   "⏳ No realizado"
)</f>
        <v>⏳ No realizado</v>
      </c>
      <c r="D11" s="255" t="str">
        <f>IFERROR(
   CHOOSE(
      MATCH(VLOOKUP(LEFT(A58,6)&amp;"*",'Identificación genética'!A:C,2,FALSE),
               {"En proceso";"Finalizado"},0),
      "🔬 En proceso",
      "🎯 Finalizado"
   ),
"❌ NA")</f>
        <v>❌ NA</v>
      </c>
      <c r="E11" s="255" t="s">
        <v>34</v>
      </c>
      <c r="F11" s="7">
        <v>45947</v>
      </c>
      <c r="G11" t="str">
        <f>_xlfn.XLOOKUP(A11, Extraídas!A:A, Extraídas!G:G, "")</f>
        <v>ambiental</v>
      </c>
    </row>
    <row r="12" spans="1:7" x14ac:dyDescent="0.3">
      <c r="A12" s="628" t="s">
        <v>33</v>
      </c>
      <c r="B12" s="255" t="str">
        <f t="array" ref="B12">IFERROR(
   IF(INDEX([1]Extraídas!B:B,MATCH(LEFT($A12,6)&amp;"*",[1]Extraídas!A:A,0))="Extraídas",
      "✅ En proceso",
      IF(INDEX([1]Extraídas!B:B,MATCH(LEFT($A12,6)&amp;"*",[1]Extraídas!A:A,0))="Recibidas",
         "⏳ Pendiente","❌ No ingresada")),
   "❌ No ingresada"
)</f>
        <v>✅ En proceso</v>
      </c>
      <c r="C12" s="255" t="str">
        <f t="array" ref="C12">IFERROR(
   IF(INDEX([1]PCRs!B:B,MATCH(LEFT($A12,6)&amp;"*",[1]PCRs!A:A,0))="Positivo",
      "✅ Positivo",
      IF(INDEX([1]PCRs!B:B,MATCH(LEFT($A12,6)&amp;"*",[1]PCRs!A:A,0))="Negativo",
         "❌ Negativo",
         "⏳ No realizado")),
   "⏳ No realizado"
)</f>
        <v>⏳ No realizado</v>
      </c>
      <c r="D12" s="255" t="str">
        <f>IFERROR(
   CHOOSE(
      MATCH(VLOOKUP(LEFT(A59,6)&amp;"*",'Identificación genética'!A:C,2,FALSE),
               {"En proceso";"Finalizado"},0),
      "🔬 En proceso",
      "🎯 Finalizado"
   ),
"❌ NA")</f>
        <v>❌ NA</v>
      </c>
      <c r="E12" s="255" t="s">
        <v>34</v>
      </c>
      <c r="F12" s="7">
        <v>45946</v>
      </c>
      <c r="G12" t="str">
        <f>_xlfn.XLOOKUP(A12, Extraídas!A:A, Extraídas!G:G, "")</f>
        <v>MACROALGAS</v>
      </c>
    </row>
    <row r="13" spans="1:7" x14ac:dyDescent="0.3">
      <c r="A13" s="630" t="s">
        <v>36</v>
      </c>
      <c r="B13" s="255" t="str">
        <f>IFERROR(
   IF(INDEX(Extraídas!B:B,MATCH(LEFT($A13,6)&amp;"*",Extraídas!A:A,0))="Extraídas",
      "✅ En proceso",
      IF(INDEX(Extraídas!B:B,MATCH(LEFT($A13,6)&amp;"*",Extraídas!A:A,0))="Recibidas",
         "⏳ Pendiente","❌ No ingresada")),
   "❌ No ingresada"
)</f>
        <v>✅ En proceso</v>
      </c>
      <c r="C13" s="255" t="str">
        <f t="array" ref="C13">IFERROR(
   IF(INDEX([1]PCRs!B:B,MATCH(LEFT($A13,6)&amp;"*",[1]PCRs!A:A,0))="Positivo",
      "✅ Positivo",
      IF(INDEX([1]PCRs!B:B,MATCH(LEFT($A13,6)&amp;"*",[1]PCRs!A:A,0))="Negativo",
         "❌ Negativo",
         "⏳ No realizado")),
   "⏳ No realizado"
)</f>
        <v>⏳ No realizado</v>
      </c>
      <c r="D13" s="255" t="str">
        <f>IFERROR(
   CHOOSE(
      MATCH(VLOOKUP(LEFT(A60,6)&amp;"*",'Identificación genética'!A:C,2,FALSE),
               {"En proceso";"Finalizado"},0),
      "🔬 En proceso",
      "🎯 Finalizado"
   ),
"❌ NA")</f>
        <v>❌ NA</v>
      </c>
      <c r="E13" s="255" t="s">
        <v>34</v>
      </c>
      <c r="F13" s="15">
        <v>45756</v>
      </c>
      <c r="G13" t="str">
        <f>_xlfn.XLOOKUP(A13, Extraídas!A:A, Extraídas!G:G, "")</f>
        <v>Macroalgas</v>
      </c>
    </row>
    <row r="14" spans="1:7" x14ac:dyDescent="0.3">
      <c r="A14" s="629" t="s">
        <v>37</v>
      </c>
      <c r="B14" s="255" t="str">
        <f t="array" ref="B14">IFERROR(
   IF(INDEX([1]Extraídas!B:B,MATCH(LEFT($A14,6)&amp;"*",[1]Extraídas!A:A,0))="Extraídas",
      "✅ En proceso",
      IF(INDEX([1]Extraídas!B:B,MATCH(LEFT($A14,6)&amp;"*",[1]Extraídas!A:A,0))="Recibidas",
         "⏳ Pendiente","❌ No ingresada")),
   "❌ No ingresada"
)</f>
        <v>✅ En proceso</v>
      </c>
      <c r="C14" s="255" t="str">
        <f t="array" ref="C14">IFERROR(
   IF(INDEX([1]PCRs!B:B,MATCH(LEFT($A14,6)&amp;"*",[1]PCRs!A:A,0))="Positivo",
      "✅ Positivo",
      IF(INDEX([1]PCRs!B:B,MATCH(LEFT($A14,6)&amp;"*",[1]PCRs!A:A,0))="Negativo",
         "❌ Negativo",
         "⏳ No realizado")),
   "⏳ No realizado"
)</f>
        <v>⏳ No realizado</v>
      </c>
      <c r="D14" s="255" t="str">
        <f>IFERROR(
   CHOOSE(
      MATCH(VLOOKUP(LEFT(A61,6)&amp;"*",'Identificación genética'!A:C,2,FALSE),
               {"En proceso";"Finalizado"},0),
      "🔬 En proceso",
      "🎯 Finalizado"
   ),
"❌ NA")</f>
        <v>❌ NA</v>
      </c>
      <c r="E14" s="255" t="s">
        <v>34</v>
      </c>
      <c r="F14" s="7">
        <v>45946</v>
      </c>
      <c r="G14" t="str">
        <f>_xlfn.XLOOKUP(A14, Extraídas!A:A, Extraídas!G:G, "")</f>
        <v>MACROALGAS</v>
      </c>
    </row>
    <row r="15" spans="1:7" x14ac:dyDescent="0.3">
      <c r="A15" s="630" t="s">
        <v>38</v>
      </c>
      <c r="B15" s="255" t="str">
        <f t="array" ref="B15">IFERROR(
   IF(INDEX([1]Extraídas!B:B,MATCH(LEFT($A15,6)&amp;"*",[1]Extraídas!A:A,0))="Extraídas",
      "✅ En proceso",
      IF(INDEX([1]Extraídas!B:B,MATCH(LEFT($A15,6)&amp;"*",[1]Extraídas!A:A,0))="Recibidas",
         "⏳ Pendiente","❌ No ingresada")),
   "❌ No ingresada"
)</f>
        <v>✅ En proceso</v>
      </c>
      <c r="C15" s="255" t="str">
        <f t="array" ref="C15">IFERROR(
   IF(INDEX([1]PCRs!B:B,MATCH(LEFT($A15,6)&amp;"*",[1]PCRs!A:A,0))="Positivo",
      "✅ Positivo",
      IF(INDEX([1]PCRs!B:B,MATCH(LEFT($A15,6)&amp;"*",[1]PCRs!A:A,0))="Negativo",
         "❌ Negativo",
         "⏳ No realizado")),
   "⏳ No realizado"
)</f>
        <v>❌ Negativo</v>
      </c>
      <c r="D15" s="255" t="str">
        <f>IFERROR(
   CHOOSE(
      MATCH(VLOOKUP(LEFT(A62,6)&amp;"*",'Identificación genética'!A:C,2,FALSE),
               {"En proceso";"Finalizado"},0),
      "🔬 En proceso",
      "🎯 Finalizado"
   ),
"❌ NA")</f>
        <v>❌ NA</v>
      </c>
      <c r="E15" s="255" t="s">
        <v>34</v>
      </c>
      <c r="F15" s="15">
        <v>45756</v>
      </c>
      <c r="G15" t="str">
        <f>_xlfn.XLOOKUP(A15, Extraídas!A:A, Extraídas!G:G, "")</f>
        <v>Macroalgas</v>
      </c>
    </row>
    <row r="16" spans="1:7" x14ac:dyDescent="0.3">
      <c r="A16" s="631" t="s">
        <v>39</v>
      </c>
      <c r="B16" s="255" t="str">
        <f t="array" ref="B16">IFERROR(
   IF(INDEX([1]Extraídas!B:B,MATCH(LEFT($A16,6)&amp;"*",[1]Extraídas!A:A,0))="Extraídas",
      "✅ En proceso",
      IF(INDEX([1]Extraídas!B:B,MATCH(LEFT($A16,6)&amp;"*",[1]Extraídas!A:A,0))="Recibidas",
         "⏳ Pendiente","❌ No ingresada")),
   "❌ No ingresada"
)</f>
        <v>✅ En proceso</v>
      </c>
      <c r="C16" s="255" t="str">
        <f t="array" ref="C16">IFERROR(
   IF(INDEX([1]PCRs!B:B,MATCH(LEFT($A16,6)&amp;"*",[1]PCRs!A:A,0))="Positivo",
      "✅ Positivo",
      IF(INDEX([1]PCRs!B:B,MATCH(LEFT($A16,6)&amp;"*",[1]PCRs!A:A,0))="Negativo",
         "❌ Negativo",
         "⏳ No realizado")),
   "⏳ No realizado"
)</f>
        <v>⏳ No realizado</v>
      </c>
      <c r="D16" s="255" t="str">
        <f>IFERROR(
   CHOOSE(
      MATCH(VLOOKUP(LEFT(A63,6)&amp;"*",'Identificación genética'!A:C,2,FALSE),
               {"En proceso";"Finalizado"},0),
      "🔬 En proceso",
      "🎯 Finalizado"
   ),
"❌ NA")</f>
        <v>❌ NA</v>
      </c>
      <c r="E16" s="255" t="s">
        <v>34</v>
      </c>
      <c r="F16" s="20">
        <v>45922</v>
      </c>
      <c r="G16" t="str">
        <f>_xlfn.XLOOKUP(A16, Extraídas!A:A, Extraídas!G:G, "")</f>
        <v>Macroalgas</v>
      </c>
    </row>
    <row r="17" spans="1:7" x14ac:dyDescent="0.3">
      <c r="A17" s="628" t="s">
        <v>40</v>
      </c>
      <c r="B17" s="255" t="str">
        <f t="array" ref="B17">IFERROR(
   IF(INDEX([1]Extraídas!B:B,MATCH(LEFT($A17,6)&amp;"*",[1]Extraídas!A:A,0))="Extraídas",
      "✅ En proceso",
      IF(INDEX([1]Extraídas!B:B,MATCH(LEFT($A17,6)&amp;"*",[1]Extraídas!A:A,0))="Recibidas",
         "⏳ Pendiente","❌ No ingresada")),
   "❌ No ingresada"
)</f>
        <v>✅ En proceso</v>
      </c>
      <c r="C17" s="255" t="str">
        <f t="array" ref="C17">IFERROR(
   IF(INDEX([1]PCRs!B:B,MATCH(LEFT($A17,6)&amp;"*",[1]PCRs!A:A,0))="Positivo",
      "✅ Positivo",
      IF(INDEX([1]PCRs!B:B,MATCH(LEFT($A17,6)&amp;"*",[1]PCRs!A:A,0))="Negativo",
         "❌ Negativo",
         "⏳ No realizado")),
   "⏳ No realizado"
)</f>
        <v>⏳ No realizado</v>
      </c>
      <c r="D17" s="255" t="str">
        <f>IFERROR(
   CHOOSE(
      MATCH(VLOOKUP(LEFT(A64,6)&amp;"*",'Identificación genética'!A:C,2,FALSE),
               {"En proceso";"Finalizado"},0),
      "🔬 En proceso",
      "🎯 Finalizado"
   ),
"❌ NA")</f>
        <v>❌ NA</v>
      </c>
      <c r="E17" s="255" t="s">
        <v>34</v>
      </c>
      <c r="F17" s="7">
        <v>45946</v>
      </c>
      <c r="G17" t="str">
        <f>_xlfn.XLOOKUP(A17, Extraídas!A:A, Extraídas!G:G, "")</f>
        <v>MACROALGAS</v>
      </c>
    </row>
    <row r="18" spans="1:7" x14ac:dyDescent="0.3">
      <c r="A18" s="630" t="s">
        <v>41</v>
      </c>
      <c r="B18" s="255" t="str">
        <f t="array" ref="B18">IFERROR(
   IF(INDEX([1]Extraídas!B:B,MATCH(LEFT($A18,6)&amp;"*",[1]Extraídas!A:A,0))="Extraídas",
      "✅ En proceso",
      IF(INDEX([1]Extraídas!B:B,MATCH(LEFT($A18,6)&amp;"*",[1]Extraídas!A:A,0))="Recibidas",
         "⏳ Pendiente","❌ No ingresada")),
   "❌ No ingresada"
)</f>
        <v>✅ En proceso</v>
      </c>
      <c r="C18" s="255" t="str">
        <f t="array" ref="C18">IFERROR(
   IF(INDEX([1]PCRs!B:B,MATCH(LEFT($A18,6)&amp;"*",[1]PCRs!A:A,0))="Positivo",
      "✅ Positivo",
      IF(INDEX([1]PCRs!B:B,MATCH(LEFT($A18,6)&amp;"*",[1]PCRs!A:A,0))="Negativo",
         "❌ Negativo",
         "⏳ No realizado")),
   "⏳ No realizado"
)</f>
        <v>❌ Negativo</v>
      </c>
      <c r="D18" s="255" t="str">
        <f>IFERROR(
   CHOOSE(
      MATCH(VLOOKUP(LEFT(A65,6)&amp;"*",'Identificación genética'!A:C,2,FALSE),
               {"En proceso";"Finalizado"},0),
      "🔬 En proceso",
      "🎯 Finalizado"
   ),
"❌ NA")</f>
        <v>❌ NA</v>
      </c>
      <c r="E18" s="255" t="s">
        <v>34</v>
      </c>
      <c r="F18" s="15">
        <v>45756</v>
      </c>
      <c r="G18" t="str">
        <f>_xlfn.XLOOKUP(A18, Extraídas!A:A, Extraídas!G:G, "")</f>
        <v>Macroalgas</v>
      </c>
    </row>
    <row r="19" spans="1:7" x14ac:dyDescent="0.3">
      <c r="A19" s="631" t="s">
        <v>42</v>
      </c>
      <c r="B19" s="255" t="str">
        <f t="array" ref="B19">IFERROR(
   IF(INDEX([1]Extraídas!B:B,MATCH(LEFT($A19,6)&amp;"*",[1]Extraídas!A:A,0))="Extraídas",
      "✅ En proceso",
      IF(INDEX([1]Extraídas!B:B,MATCH(LEFT($A19,6)&amp;"*",[1]Extraídas!A:A,0))="Recibidas",
         "⏳ Pendiente","❌ No ingresada")),
   "❌ No ingresada"
)</f>
        <v>✅ En proceso</v>
      </c>
      <c r="C19" s="255" t="str">
        <f t="array" ref="C19">IFERROR(
   IF(INDEX([1]PCRs!B:B,MATCH(LEFT($A19,6)&amp;"*",[1]PCRs!A:A,0))="Positivo",
      "✅ Positivo",
      IF(INDEX([1]PCRs!B:B,MATCH(LEFT($A19,6)&amp;"*",[1]PCRs!A:A,0))="Negativo",
         "❌ Negativo",
         "⏳ No realizado")),
   "⏳ No realizado"
)</f>
        <v>⏳ No realizado</v>
      </c>
      <c r="D19" s="255" t="str">
        <f>IFERROR(
   CHOOSE(
      MATCH(VLOOKUP(LEFT(A66,6)&amp;"*",'Identificación genética'!A:C,2,FALSE),
               {"En proceso";"Finalizado"},0),
      "🔬 En proceso",
      "🎯 Finalizado"
   ),
"❌ NA")</f>
        <v>❌ NA</v>
      </c>
      <c r="E19" s="255" t="s">
        <v>34</v>
      </c>
      <c r="F19" s="20">
        <v>45922</v>
      </c>
      <c r="G19" t="str">
        <f>_xlfn.XLOOKUP(A19, Extraídas!A:A, Extraídas!G:G, "")</f>
        <v>Macroalgas</v>
      </c>
    </row>
    <row r="20" spans="1:7" x14ac:dyDescent="0.3">
      <c r="A20" s="629" t="s">
        <v>43</v>
      </c>
      <c r="B20" s="255" t="str">
        <f t="array" ref="B20">IFERROR(
   IF(INDEX([1]Extraídas!B:B,MATCH(LEFT($A20,6)&amp;"*",[1]Extraídas!A:A,0))="Extraídas",
      "✅ En proceso",
      IF(INDEX([1]Extraídas!B:B,MATCH(LEFT($A20,6)&amp;"*",[1]Extraídas!A:A,0))="Recibidas",
         "⏳ Pendiente","❌ No ingresada")),
   "❌ No ingresada"
)</f>
        <v>✅ En proceso</v>
      </c>
      <c r="C20" s="255" t="str">
        <f t="array" ref="C20">IFERROR(
   IF(INDEX([1]PCRs!B:B,MATCH(LEFT($A20,6)&amp;"*",[1]PCRs!A:A,0))="Positivo",
      "✅ Positivo",
      IF(INDEX([1]PCRs!B:B,MATCH(LEFT($A20,6)&amp;"*",[1]PCRs!A:A,0))="Negativo",
         "❌ Negativo",
         "⏳ No realizado")),
   "⏳ No realizado"
)</f>
        <v>⏳ No realizado</v>
      </c>
      <c r="D20" s="255" t="str">
        <f>IFERROR(
   CHOOSE(
      MATCH(VLOOKUP(LEFT(A67,6)&amp;"*",'Identificación genética'!A:C,2,FALSE),
               {"En proceso";"Finalizado"},0),
      "🔬 En proceso",
      "🎯 Finalizado"
   ),
"❌ NA")</f>
        <v>❌ NA</v>
      </c>
      <c r="E20" s="255" t="s">
        <v>34</v>
      </c>
      <c r="F20" s="7">
        <v>45946</v>
      </c>
      <c r="G20" t="str">
        <f>_xlfn.XLOOKUP(A20, Extraídas!A:A, Extraídas!G:G, "")</f>
        <v>MACROALGAS</v>
      </c>
    </row>
    <row r="21" spans="1:7" x14ac:dyDescent="0.3">
      <c r="A21" s="631" t="s">
        <v>44</v>
      </c>
      <c r="B21" s="255" t="str">
        <f t="array" ref="B21">IFERROR(
   IF(INDEX([1]Extraídas!B:B,MATCH(LEFT($A21,6)&amp;"*",[1]Extraídas!A:A,0))="Extraídas",
      "✅ En proceso",
      IF(INDEX([1]Extraídas!B:B,MATCH(LEFT($A21,6)&amp;"*",[1]Extraídas!A:A,0))="Recibidas",
         "⏳ Pendiente","❌ No ingresada")),
   "❌ No ingresada"
)</f>
        <v>✅ En proceso</v>
      </c>
      <c r="C21" s="255" t="str">
        <f t="array" ref="C21">IFERROR(
   IF(INDEX([1]PCRs!B:B,MATCH(LEFT($A21,6)&amp;"*",[1]PCRs!A:A,0))="Positivo",
      "✅ Positivo",
      IF(INDEX([1]PCRs!B:B,MATCH(LEFT($A21,6)&amp;"*",[1]PCRs!A:A,0))="Negativo",
         "❌ Negativo",
         "⏳ No realizado")),
   "⏳ No realizado"
)</f>
        <v>⏳ No realizado</v>
      </c>
      <c r="D21" s="255" t="str">
        <f>IFERROR(
   CHOOSE(
      MATCH(VLOOKUP(LEFT(A68,6)&amp;"*",'Identificación genética'!A:C,2,FALSE),
               {"En proceso";"Finalizado"},0),
      "🔬 En proceso",
      "🎯 Finalizado"
   ),
"❌ NA")</f>
        <v>❌ NA</v>
      </c>
      <c r="E21" s="255" t="s">
        <v>34</v>
      </c>
      <c r="F21" s="20">
        <v>45922</v>
      </c>
      <c r="G21" t="str">
        <f>_xlfn.XLOOKUP(A21, Extraídas!A:A, Extraídas!G:G, "")</f>
        <v>Macroalgas</v>
      </c>
    </row>
    <row r="22" spans="1:7" x14ac:dyDescent="0.3">
      <c r="A22" s="631" t="s">
        <v>45</v>
      </c>
      <c r="B22" s="255" t="str">
        <f t="array" ref="B22">IFERROR(
   IF(INDEX([1]Extraídas!B:B,MATCH(LEFT($A22,6)&amp;"*",[1]Extraídas!A:A,0))="Extraídas",
      "✅ En proceso",
      IF(INDEX([1]Extraídas!B:B,MATCH(LEFT($A22,6)&amp;"*",[1]Extraídas!A:A,0))="Recibidas",
         "⏳ Pendiente","❌ No ingresada")),
   "❌ No ingresada"
)</f>
        <v>✅ En proceso</v>
      </c>
      <c r="C22" s="255" t="str">
        <f t="array" ref="C22">IFERROR(
   IF(INDEX([1]PCRs!B:B,MATCH(LEFT($A22,6)&amp;"*",[1]PCRs!A:A,0))="Positivo",
      "✅ Positivo",
      IF(INDEX([1]PCRs!B:B,MATCH(LEFT($A22,6)&amp;"*",[1]PCRs!A:A,0))="Negativo",
         "❌ Negativo",
         "⏳ No realizado")),
   "⏳ No realizado"
)</f>
        <v>⏳ No realizado</v>
      </c>
      <c r="D22" s="255" t="str">
        <f>IFERROR(
   CHOOSE(
      MATCH(VLOOKUP(LEFT(A69,6)&amp;"*",'Identificación genética'!A:C,2,FALSE),
               {"En proceso";"Finalizado"},0),
      "🔬 En proceso",
      "🎯 Finalizado"
   ),
"❌ NA")</f>
        <v>❌ NA</v>
      </c>
      <c r="E22" s="255" t="s">
        <v>34</v>
      </c>
      <c r="F22" s="20">
        <v>45922</v>
      </c>
      <c r="G22" t="str">
        <f>_xlfn.XLOOKUP(A22, Extraídas!A:A, Extraídas!G:G, "")</f>
        <v>Macroalgas</v>
      </c>
    </row>
    <row r="23" spans="1:7" x14ac:dyDescent="0.3">
      <c r="A23" s="628" t="s">
        <v>46</v>
      </c>
      <c r="B23" s="255" t="str">
        <f t="array" ref="B23">IFERROR(
   IF(INDEX([1]Extraídas!B:B,MATCH(LEFT($A23,6)&amp;"*",[1]Extraídas!A:A,0))="Extraídas",
      "✅ En proceso",
      IF(INDEX([1]Extraídas!B:B,MATCH(LEFT($A23,6)&amp;"*",[1]Extraídas!A:A,0))="Recibidas",
         "⏳ Pendiente","❌ No ingresada")),
   "❌ No ingresada"
)</f>
        <v>✅ En proceso</v>
      </c>
      <c r="C23" s="255" t="str">
        <f t="array" ref="C23">IFERROR(
   IF(INDEX([1]PCRs!B:B,MATCH(LEFT($A23,6)&amp;"*",[1]PCRs!A:A,0))="Positivo",
      "✅ Positivo",
      IF(INDEX([1]PCRs!B:B,MATCH(LEFT($A23,6)&amp;"*",[1]PCRs!A:A,0))="Negativo",
         "❌ Negativo",
         "⏳ No realizado")),
   "⏳ No realizado"
)</f>
        <v>⏳ No realizado</v>
      </c>
      <c r="D23" s="255" t="str">
        <f>IFERROR(
   CHOOSE(
      MATCH(VLOOKUP(LEFT(A70,6)&amp;"*",'Identificación genética'!A:C,2,FALSE),
               {"En proceso";"Finalizado"},0),
      "🔬 En proceso",
      "🎯 Finalizado"
   ),
"❌ NA")</f>
        <v>❌ NA</v>
      </c>
      <c r="E23" s="255" t="s">
        <v>34</v>
      </c>
      <c r="F23" s="7">
        <v>45946</v>
      </c>
      <c r="G23" t="str">
        <f>_xlfn.XLOOKUP(A23, Extraídas!A:A, Extraídas!G:G, "")</f>
        <v>MACROALGAS</v>
      </c>
    </row>
    <row r="24" spans="1:7" x14ac:dyDescent="0.3">
      <c r="A24" s="630" t="s">
        <v>47</v>
      </c>
      <c r="B24" s="255" t="str">
        <f t="array" ref="B24">IFERROR(
   IF(INDEX([1]Extraídas!B:B,MATCH(LEFT($A24,6)&amp;"*",[1]Extraídas!A:A,0))="Extraídas",
      "✅ En proceso",
      IF(INDEX([1]Extraídas!B:B,MATCH(LEFT($A24,6)&amp;"*",[1]Extraídas!A:A,0))="Recibidas",
         "⏳ Pendiente","❌ No ingresada")),
   "❌ No ingresada"
)</f>
        <v>✅ En proceso</v>
      </c>
      <c r="C24" s="255" t="str">
        <f t="array" ref="C24">IFERROR(
   IF(INDEX([1]PCRs!B:B,MATCH(LEFT($A24,6)&amp;"*",[1]PCRs!A:A,0))="Positivo",
      "✅ Positivo",
      IF(INDEX([1]PCRs!B:B,MATCH(LEFT($A24,6)&amp;"*",[1]PCRs!A:A,0))="Negativo",
         "❌ Negativo",
         "⏳ No realizado")),
   "⏳ No realizado"
)</f>
        <v>❌ Negativo</v>
      </c>
      <c r="D24" s="255" t="str">
        <f>IFERROR(
   CHOOSE(
      MATCH(VLOOKUP(LEFT(A71,6)&amp;"*",'Identificación genética'!A:C,2,FALSE),
               {"En proceso";"Finalizado"},0),
      "🔬 En proceso",
      "🎯 Finalizado"
   ),
"❌ NA")</f>
        <v>❌ NA</v>
      </c>
      <c r="E24" s="255" t="s">
        <v>34</v>
      </c>
      <c r="F24" s="15">
        <v>45756</v>
      </c>
      <c r="G24" t="str">
        <f>_xlfn.XLOOKUP(A24, Extraídas!A:A, Extraídas!G:G, "")</f>
        <v>Macroalgas</v>
      </c>
    </row>
    <row r="25" spans="1:7" x14ac:dyDescent="0.3">
      <c r="A25" s="629" t="s">
        <v>48</v>
      </c>
      <c r="B25" s="255" t="str">
        <f t="array" ref="B25">IFERROR(
   IF(INDEX([1]Extraídas!B:B,MATCH(LEFT($A25,6)&amp;"*",[1]Extraídas!A:A,0))="Extraídas",
      "✅ En proceso",
      IF(INDEX([1]Extraídas!B:B,MATCH(LEFT($A25,6)&amp;"*",[1]Extraídas!A:A,0))="Recibidas",
         "⏳ Pendiente","❌ No ingresada")),
   "❌ No ingresada"
)</f>
        <v>✅ En proceso</v>
      </c>
      <c r="C25" s="255" t="str">
        <f t="array" ref="C25">IFERROR(
   IF(INDEX([1]PCRs!B:B,MATCH(LEFT($A25,6)&amp;"*",[1]PCRs!A:A,0))="Positivo",
      "✅ Positivo",
      IF(INDEX([1]PCRs!B:B,MATCH(LEFT($A25,6)&amp;"*",[1]PCRs!A:A,0))="Negativo",
         "❌ Negativo",
         "⏳ No realizado")),
   "⏳ No realizado"
)</f>
        <v>⏳ No realizado</v>
      </c>
      <c r="D25" s="255" t="str">
        <f>IFERROR(
   CHOOSE(
      MATCH(VLOOKUP(LEFT(A72,6)&amp;"*",'Identificación genética'!A:C,2,FALSE),
               {"En proceso";"Finalizado"},0),
      "🔬 En proceso",
      "🎯 Finalizado"
   ),
"❌ NA")</f>
        <v>❌ NA</v>
      </c>
      <c r="E25" s="255" t="s">
        <v>85</v>
      </c>
      <c r="F25" s="7">
        <v>45946</v>
      </c>
      <c r="G25" t="str">
        <f>_xlfn.XLOOKUP(A25, Extraídas!A:A, Extraídas!G:G, "")</f>
        <v>MACROALGAS</v>
      </c>
    </row>
    <row r="26" spans="1:7" x14ac:dyDescent="0.3">
      <c r="A26" s="630" t="s">
        <v>49</v>
      </c>
      <c r="B26" s="255" t="str">
        <f t="array" ref="B26">IFERROR(
   IF(INDEX([1]Extraídas!B:B,MATCH(LEFT($A26,6)&amp;"*",[1]Extraídas!A:A,0))="Extraídas",
      "✅ En proceso",
      IF(INDEX([1]Extraídas!B:B,MATCH(LEFT($A26,6)&amp;"*",[1]Extraídas!A:A,0))="Recibidas",
         "⏳ Pendiente","❌ No ingresada")),
   "❌ No ingresada"
)</f>
        <v>✅ En proceso</v>
      </c>
      <c r="C26" s="255" t="str">
        <f t="array" ref="C26">IFERROR(
   IF(INDEX([1]PCRs!B:B,MATCH(LEFT($A26,6)&amp;"*",[1]PCRs!A:A,0))="Positivo",
      "✅ Positivo",
      IF(INDEX([1]PCRs!B:B,MATCH(LEFT($A26,6)&amp;"*",[1]PCRs!A:A,0))="Negativo",
         "❌ Negativo",
         "⏳ No realizado")),
   "⏳ No realizado"
)</f>
        <v>⏳ No realizado</v>
      </c>
      <c r="D26" s="255" t="str">
        <f>IFERROR(
   CHOOSE(
      MATCH(VLOOKUP(LEFT(A73,6)&amp;"*",'Identificación genética'!A:C,2,FALSE),
               {"En proceso";"Finalizado"},0),
      "🔬 En proceso",
      "🎯 Finalizado"
   ),
"❌ NA")</f>
        <v>❌ NA</v>
      </c>
      <c r="E26" s="255" t="s">
        <v>85</v>
      </c>
      <c r="F26" s="15">
        <v>45756</v>
      </c>
      <c r="G26" t="str">
        <f>_xlfn.XLOOKUP(A26, Extraídas!A:A, Extraídas!G:G, "")</f>
        <v>Macroalgas</v>
      </c>
    </row>
    <row r="27" spans="1:7" x14ac:dyDescent="0.3">
      <c r="A27" s="631" t="s">
        <v>50</v>
      </c>
      <c r="B27" s="255" t="str">
        <f t="array" ref="B27">IFERROR(
   IF(INDEX([1]Extraídas!B:B,MATCH(LEFT($A27,6)&amp;"*",[1]Extraídas!A:A,0))="Extraídas",
      "✅ En proceso",
      IF(INDEX([1]Extraídas!B:B,MATCH(LEFT($A27,6)&amp;"*",[1]Extraídas!A:A,0))="Recibidas",
         "⏳ Pendiente","❌ No ingresada")),
   "❌ No ingresada"
)</f>
        <v>✅ En proceso</v>
      </c>
      <c r="C27" s="255" t="str">
        <f t="array" ref="C27">IFERROR(
   IF(INDEX([1]PCRs!B:B,MATCH(LEFT($A27,6)&amp;"*",[1]PCRs!A:A,0))="Positivo",
      "✅ Positivo",
      IF(INDEX([1]PCRs!B:B,MATCH(LEFT($A27,6)&amp;"*",[1]PCRs!A:A,0))="Negativo",
         "❌ Negativo",
         "⏳ No realizado")),
   "⏳ No realizado"
)</f>
        <v>⏳ No realizado</v>
      </c>
      <c r="D27" s="255" t="str">
        <f>IFERROR(
   CHOOSE(
      MATCH(VLOOKUP(LEFT(A74,6)&amp;"*",'Identificación genética'!A:C,2,FALSE),
               {"En proceso";"Finalizado"},0),
      "🔬 En proceso",
      "🎯 Finalizado"
   ),
"❌ NA")</f>
        <v>❌ NA</v>
      </c>
      <c r="E27" s="255" t="s">
        <v>85</v>
      </c>
      <c r="F27" s="20">
        <v>45922</v>
      </c>
      <c r="G27" t="str">
        <f>_xlfn.XLOOKUP(A27, Extraídas!A:A, Extraídas!G:G, "")</f>
        <v>Macroalgas</v>
      </c>
    </row>
    <row r="28" spans="1:7" x14ac:dyDescent="0.3">
      <c r="A28" s="628" t="s">
        <v>51</v>
      </c>
      <c r="B28" s="255" t="str">
        <f t="array" ref="B28">IFERROR(
   IF(INDEX([1]Extraídas!B:B,MATCH(LEFT($A28,6)&amp;"*",[1]Extraídas!A:A,0))="Extraídas",
      "✅ En proceso",
      IF(INDEX([1]Extraídas!B:B,MATCH(LEFT($A28,6)&amp;"*",[1]Extraídas!A:A,0))="Recibidas",
         "⏳ Pendiente","❌ No ingresada")),
   "❌ No ingresada"
)</f>
        <v>✅ En proceso</v>
      </c>
      <c r="C28" s="255" t="str">
        <f t="array" ref="C28">IFERROR(
   IF(INDEX([1]PCRs!B:B,MATCH(LEFT($A28,6)&amp;"*",[1]PCRs!A:A,0))="Positivo",
      "✅ Positivo",
      IF(INDEX([1]PCRs!B:B,MATCH(LEFT($A28,6)&amp;"*",[1]PCRs!A:A,0))="Negativo",
         "❌ Negativo",
         "⏳ No realizado")),
   "⏳ No realizado"
)</f>
        <v>⏳ No realizado</v>
      </c>
      <c r="D28" s="255" t="str">
        <f>IFERROR(
   CHOOSE(
      MATCH(VLOOKUP(LEFT(A75,6)&amp;"*",'Identificación genética'!A:C,2,FALSE),
               {"En proceso";"Finalizado"},0),
      "🔬 En proceso",
      "🎯 Finalizado"
   ),
"❌ NA")</f>
        <v>❌ NA</v>
      </c>
      <c r="E28" s="255" t="s">
        <v>85</v>
      </c>
      <c r="F28" s="7">
        <v>45946</v>
      </c>
      <c r="G28" t="str">
        <f>_xlfn.XLOOKUP(A28, Extraídas!A:A, Extraídas!G:G, "")</f>
        <v>MACROALGAS</v>
      </c>
    </row>
    <row r="29" spans="1:7" x14ac:dyDescent="0.3">
      <c r="A29" s="629" t="s">
        <v>52</v>
      </c>
      <c r="B29" s="255" t="str">
        <f t="array" ref="B29">IFERROR(
   IF(INDEX([1]Extraídas!B:B,MATCH(LEFT($A29,6)&amp;"*",[1]Extraídas!A:A,0))="Extraídas",
      "✅ En proceso",
      IF(INDEX([1]Extraídas!B:B,MATCH(LEFT($A29,6)&amp;"*",[1]Extraídas!A:A,0))="Recibidas",
         "⏳ Pendiente","❌ No ingresada")),
   "❌ No ingresada"
)</f>
        <v>✅ En proceso</v>
      </c>
      <c r="C29" s="255" t="str">
        <f t="array" ref="C29">IFERROR(
   IF(INDEX([1]PCRs!B:B,MATCH(LEFT($A29,6)&amp;"*",[1]PCRs!A:A,0))="Positivo",
      "✅ Positivo",
      IF(INDEX([1]PCRs!B:B,MATCH(LEFT($A29,6)&amp;"*",[1]PCRs!A:A,0))="Negativo",
         "❌ Negativo",
         "⏳ No realizado")),
   "⏳ No realizado"
)</f>
        <v>⏳ No realizado</v>
      </c>
      <c r="D29" s="255" t="str">
        <f>IFERROR(
   CHOOSE(
      MATCH(VLOOKUP(LEFT(A76,6)&amp;"*",'Identificación genética'!A:C,2,FALSE),
               {"En proceso";"Finalizado"},0),
      "🔬 En proceso",
      "🎯 Finalizado"
   ),
"❌ NA")</f>
        <v>❌ NA</v>
      </c>
      <c r="E29" s="255" t="s">
        <v>85</v>
      </c>
      <c r="F29" s="7">
        <v>45946</v>
      </c>
      <c r="G29" t="str">
        <f>_xlfn.XLOOKUP(A29, Extraídas!A:A, Extraídas!G:G, "")</f>
        <v>MACROALGAS</v>
      </c>
    </row>
    <row r="30" spans="1:7" x14ac:dyDescent="0.3">
      <c r="A30" s="628" t="s">
        <v>53</v>
      </c>
      <c r="B30" s="255" t="str">
        <f t="array" ref="B30">IFERROR(
   IF(INDEX([1]Extraídas!B:B,MATCH(LEFT($A30,6)&amp;"*",[1]Extraídas!A:A,0))="Extraídas",
      "✅ En proceso",
      IF(INDEX([1]Extraídas!B:B,MATCH(LEFT($A30,6)&amp;"*",[1]Extraídas!A:A,0))="Recibidas",
         "⏳ Pendiente","❌ No ingresada")),
   "❌ No ingresada"
)</f>
        <v>✅ En proceso</v>
      </c>
      <c r="C30" s="255" t="str">
        <f t="array" ref="C30">IFERROR(
   IF(INDEX([1]PCRs!B:B,MATCH(LEFT($A30,6)&amp;"*",[1]PCRs!A:A,0))="Positivo",
      "✅ Positivo",
      IF(INDEX([1]PCRs!B:B,MATCH(LEFT($A30,6)&amp;"*",[1]PCRs!A:A,0))="Negativo",
         "❌ Negativo",
         "⏳ No realizado")),
   "⏳ No realizado"
)</f>
        <v>⏳ No realizado</v>
      </c>
      <c r="D30" s="255" t="str">
        <f>IFERROR(
   CHOOSE(
      MATCH(VLOOKUP(LEFT(A77,6)&amp;"*",'Identificación genética'!A:C,2,FALSE),
               {"En proceso";"Finalizado"},0),
      "🔬 En proceso",
      "🎯 Finalizado"
   ),
"❌ NA")</f>
        <v>❌ NA</v>
      </c>
      <c r="E30" s="255" t="s">
        <v>85</v>
      </c>
      <c r="F30" s="7">
        <v>45946</v>
      </c>
      <c r="G30" t="str">
        <f>_xlfn.XLOOKUP(A30, Extraídas!A:A, Extraídas!G:G, "")</f>
        <v>MACROALGAS</v>
      </c>
    </row>
    <row r="31" spans="1:7" x14ac:dyDescent="0.3">
      <c r="A31" s="629" t="s">
        <v>54</v>
      </c>
      <c r="B31" s="255" t="str">
        <f t="array" ref="B31">IFERROR(
   IF(INDEX([1]Extraídas!B:B,MATCH(LEFT($A31,6)&amp;"*",[1]Extraídas!A:A,0))="Extraídas",
      "✅ En proceso",
      IF(INDEX([1]Extraídas!B:B,MATCH(LEFT($A31,6)&amp;"*",[1]Extraídas!A:A,0))="Recibidas",
         "⏳ Pendiente","❌ No ingresada")),
   "❌ No ingresada"
)</f>
        <v>✅ En proceso</v>
      </c>
      <c r="C31" s="255" t="str">
        <f t="array" ref="C31">IFERROR(
   IF(INDEX([1]PCRs!B:B,MATCH(LEFT($A31,6)&amp;"*",[1]PCRs!A:A,0))="Positivo",
      "✅ Positivo",
      IF(INDEX([1]PCRs!B:B,MATCH(LEFT($A31,6)&amp;"*",[1]PCRs!A:A,0))="Negativo",
         "❌ Negativo",
         "⏳ No realizado")),
   "⏳ No realizado"
)</f>
        <v>⏳ No realizado</v>
      </c>
      <c r="D31" s="255" t="str">
        <f>IFERROR(
   CHOOSE(
      MATCH(VLOOKUP(LEFT(A78,6)&amp;"*",'Identificación genética'!A:C,2,FALSE),
               {"En proceso";"Finalizado"},0),
      "🔬 En proceso",
      "🎯 Finalizado"
   ),
"❌ NA")</f>
        <v>❌ NA</v>
      </c>
      <c r="E31" s="255" t="s">
        <v>85</v>
      </c>
      <c r="F31" s="7">
        <v>45946</v>
      </c>
      <c r="G31" t="str">
        <f>_xlfn.XLOOKUP(A31, Extraídas!A:A, Extraídas!G:G, "")</f>
        <v>MACROALGAS</v>
      </c>
    </row>
    <row r="32" spans="1:7" x14ac:dyDescent="0.3">
      <c r="A32" s="631" t="s">
        <v>55</v>
      </c>
      <c r="B32" s="255" t="str">
        <f t="array" ref="B32">IFERROR(
   IF(INDEX([1]Extraídas!B:B,MATCH(LEFT($A32,6)&amp;"*",[1]Extraídas!A:A,0))="Extraídas",
      "✅ En proceso",
      IF(INDEX([1]Extraídas!B:B,MATCH(LEFT($A32,6)&amp;"*",[1]Extraídas!A:A,0))="Recibidas",
         "⏳ Pendiente","❌ No ingresada")),
   "❌ No ingresada"
)</f>
        <v>✅ En proceso</v>
      </c>
      <c r="C32" s="255" t="str">
        <f t="array" ref="C32">IFERROR(
   IF(INDEX([1]PCRs!B:B,MATCH(LEFT($A32,6)&amp;"*",[1]PCRs!A:A,0))="Positivo",
      "✅ Positivo",
      IF(INDEX([1]PCRs!B:B,MATCH(LEFT($A32,6)&amp;"*",[1]PCRs!A:A,0))="Negativo",
         "❌ Negativo",
         "⏳ No realizado")),
   "⏳ No realizado"
)</f>
        <v>⏳ No realizado</v>
      </c>
      <c r="D32" s="255" t="str">
        <f>IFERROR(
   CHOOSE(
      MATCH(VLOOKUP(LEFT(A79,6)&amp;"*",'Identificación genética'!A:C,2,FALSE),
               {"En proceso";"Finalizado"},0),
      "🔬 En proceso",
      "🎯 Finalizado"
   ),
"❌ NA")</f>
        <v>❌ NA</v>
      </c>
      <c r="E32" s="255" t="s">
        <v>85</v>
      </c>
      <c r="F32" s="20">
        <v>45922</v>
      </c>
      <c r="G32" t="str">
        <f>_xlfn.XLOOKUP(A32, Extraídas!A:A, Extraídas!G:G, "")</f>
        <v>Macroalgas</v>
      </c>
    </row>
    <row r="33" spans="1:7" x14ac:dyDescent="0.3">
      <c r="A33" s="632" t="s">
        <v>56</v>
      </c>
      <c r="B33" s="255" t="str">
        <f>IFERROR(
   IF(INDEX(Extraídas!B:B,MATCH(LEFT($A33,6)&amp;"*",Extraídas!A:A,0))="Extraídas",
      "✅ En proceso",
      IF(INDEX(Extraídas!B:B,MATCH(LEFT($A33,6)&amp;"*",Extraídas!A:A,0))="Recibidas",
         "⏳ Pendiente","❌ No ingresada")),
   "❌ No ingresada"
)</f>
        <v>✅ En proceso</v>
      </c>
      <c r="C33" s="255" t="str">
        <f t="array" ref="C33">IFERROR(
   IF(INDEX([1]PCRs!B:B,MATCH(LEFT($A33,6)&amp;"*",[1]PCRs!A:A,0))="Positivo",
      "✅ Positivo",
      IF(INDEX([1]PCRs!B:B,MATCH(LEFT($A33,6)&amp;"*",[1]PCRs!A:A,0))="Negativo",
         "❌ Negativo",
         "⏳ No realizado")),
   "⏳ No realizado"
)</f>
        <v>✅ Positivo</v>
      </c>
      <c r="D33" s="255" t="str">
        <f>IFERROR(
   CHOOSE(
      MATCH(VLOOKUP(LEFT(A80,6)&amp;"*",'Identificación genética'!A:C,2,FALSE),
               {"En proceso";"Finalizado"},0),
      "🔬 En proceso",
      "🎯 Finalizado"
   ),
"❌ NA")</f>
        <v>❌ NA</v>
      </c>
      <c r="E33" s="255" t="s">
        <v>85</v>
      </c>
      <c r="F33" s="15">
        <v>45756</v>
      </c>
      <c r="G33" t="str">
        <f>_xlfn.XLOOKUP(A33, Extraídas!A:A, Extraídas!G:G, "")</f>
        <v>Macroalgas</v>
      </c>
    </row>
    <row r="34" spans="1:7" x14ac:dyDescent="0.3">
      <c r="A34" s="632" t="s">
        <v>57</v>
      </c>
      <c r="B34" s="255" t="str">
        <f>IFERROR(
   IF(INDEX(Extraídas!B:B,MATCH(LEFT($A34,6)&amp;"*",Extraídas!A:A,0))="Extraídas",
      "✅ En proceso",
      IF(INDEX(Extraídas!B:B,MATCH(LEFT($A34,6)&amp;"*",Extraídas!A:A,0))="Recibidas",
         "⏳ Pendiente","❌ No ingresada")),
   "❌ No ingresada"
)</f>
        <v>✅ En proceso</v>
      </c>
      <c r="C34" s="255" t="str">
        <f t="array" ref="C34">IFERROR(
   IF(INDEX([1]PCRs!B:B,MATCH(LEFT($A34,6)&amp;"*",[1]PCRs!A:A,0))="Positivo",
      "✅ Positivo",
      IF(INDEX([1]PCRs!B:B,MATCH(LEFT($A34,6)&amp;"*",[1]PCRs!A:A,0))="Negativo",
         "❌ Negativo",
         "⏳ No realizado")),
   "⏳ No realizado"
)</f>
        <v>✅ Positivo</v>
      </c>
      <c r="D34" s="255" t="str">
        <f>IFERROR(
   CHOOSE(
      MATCH(VLOOKUP(LEFT(A81,6)&amp;"*",'Identificación genética'!A:C,2,FALSE),
               {"En proceso";"Finalizado"},0),
      "🔬 En proceso",
      "🎯 Finalizado"
   ),
"❌ NA")</f>
        <v>❌ NA</v>
      </c>
      <c r="E34" s="255" t="s">
        <v>85</v>
      </c>
      <c r="F34" s="15">
        <v>45756</v>
      </c>
      <c r="G34" t="str">
        <f>_xlfn.XLOOKUP(A34, Extraídas!A:A, Extraídas!G:G, "")</f>
        <v>Macroalgas</v>
      </c>
    </row>
    <row r="35" spans="1:7" x14ac:dyDescent="0.3">
      <c r="A35" s="632" t="s">
        <v>58</v>
      </c>
      <c r="B35" s="255" t="str">
        <f>IFERROR(
   IF(INDEX(Extraídas!B:B,MATCH(LEFT($A35,6)&amp;"*",Extraídas!A:A,0))="Extraídas",
      "✅ En proceso",
      IF(INDEX(Extraídas!B:B,MATCH(LEFT($A35,6)&amp;"*",Extraídas!A:A,0))="Recibidas",
         "⏳ Pendiente","❌ No ingresada")),
   "❌ No ingresada"
)</f>
        <v>✅ En proceso</v>
      </c>
      <c r="C35" s="255" t="str">
        <f t="array" ref="C35">IFERROR(
   IF(INDEX([1]PCRs!B:B,MATCH(LEFT($A35,6)&amp;"*",[1]PCRs!A:A,0))="Positivo",
      "✅ Positivo",
      IF(INDEX([1]PCRs!B:B,MATCH(LEFT($A35,6)&amp;"*",[1]PCRs!A:A,0))="Negativo",
         "❌ Negativo",
         "⏳ No realizado")),
   "⏳ No realizado"
)</f>
        <v>✅ Positivo</v>
      </c>
      <c r="D35" s="255" t="str">
        <f>IFERROR(
   CHOOSE(
      MATCH(VLOOKUP(LEFT(A82,6)&amp;"*",'Identificación genética'!A:C,2,FALSE),
               {"En proceso";"Finalizado"},0),
      "🔬 En proceso",
      "🎯 Finalizado"
   ),
"❌ NA")</f>
        <v>❌ NA</v>
      </c>
      <c r="E35" s="255" t="s">
        <v>85</v>
      </c>
      <c r="F35" s="15">
        <v>45756</v>
      </c>
      <c r="G35" t="str">
        <f>_xlfn.XLOOKUP(A35, Extraídas!A:A, Extraídas!G:G, "")</f>
        <v>Macroalgas</v>
      </c>
    </row>
    <row r="36" spans="1:7" x14ac:dyDescent="0.3">
      <c r="A36" s="632" t="s">
        <v>59</v>
      </c>
      <c r="B36" s="255" t="str">
        <f>IFERROR(
   IF(INDEX(Extraídas!B:B,MATCH(LEFT($A36,6)&amp;"*",Extraídas!A:A,0))="Extraídas",
      "✅ En proceso",
      IF(INDEX(Extraídas!B:B,MATCH(LEFT($A36,6)&amp;"*",Extraídas!A:A,0))="Recibidas",
         "⏳ Pendiente","❌ No ingresada")),
   "❌ No ingresada"
)</f>
        <v>✅ En proceso</v>
      </c>
      <c r="C36" s="255" t="str">
        <f t="array" ref="C36">IFERROR(
   IF(INDEX([1]PCRs!B:B,MATCH(LEFT($A36,6)&amp;"*",[1]PCRs!A:A,0))="Positivo",
      "✅ Positivo",
      IF(INDEX([1]PCRs!B:B,MATCH(LEFT($A36,6)&amp;"*",[1]PCRs!A:A,0))="Negativo",
         "❌ Negativo",
         "⏳ No realizado")),
   "⏳ No realizado"
)</f>
        <v>✅ Positivo</v>
      </c>
      <c r="D36" s="255" t="str">
        <f>IFERROR(
   CHOOSE(
      MATCH(VLOOKUP(LEFT(A83,6)&amp;"*",'Identificación genética'!A:C,2,FALSE),
               {"En proceso";"Finalizado"},0),
      "🔬 En proceso",
      "🎯 Finalizado"
   ),
"❌ NA")</f>
        <v>❌ NA</v>
      </c>
      <c r="E36" s="255" t="s">
        <v>85</v>
      </c>
      <c r="F36" s="15">
        <v>45756</v>
      </c>
      <c r="G36" t="str">
        <f>_xlfn.XLOOKUP(A36, Extraídas!A:A, Extraídas!G:G, "")</f>
        <v>Macroalgas</v>
      </c>
    </row>
    <row r="37" spans="1:7" x14ac:dyDescent="0.3">
      <c r="A37" s="632" t="s">
        <v>60</v>
      </c>
      <c r="B37" s="255" t="str">
        <f>IFERROR(
   IF(INDEX(Extraídas!B:B,MATCH(LEFT($A37,6)&amp;"*",Extraídas!A:A,0))="Extraídas",
      "✅ En proceso",
      IF(INDEX(Extraídas!B:B,MATCH(LEFT($A37,6)&amp;"*",Extraídas!A:A,0))="Recibidas",
         "⏳ Pendiente","❌ No ingresada")),
   "❌ No ingresada"
)</f>
        <v>✅ En proceso</v>
      </c>
      <c r="C37" s="255" t="str">
        <f t="array" ref="C37">IFERROR(
   IF(INDEX([1]PCRs!B:B,MATCH(LEFT($A37,6)&amp;"*",[1]PCRs!A:A,0))="Positivo",
      "✅ Positivo",
      IF(INDEX([1]PCRs!B:B,MATCH(LEFT($A37,6)&amp;"*",[1]PCRs!A:A,0))="Negativo",
         "❌ Negativo",
         "⏳ No realizado")),
   "⏳ No realizado"
)</f>
        <v>❌ Negativo</v>
      </c>
      <c r="D37" s="255" t="str">
        <f>IFERROR(
   CHOOSE(
      MATCH(VLOOKUP(LEFT(A84,6)&amp;"*",'Identificación genética'!A:C,2,FALSE),
               {"En proceso";"Finalizado"},0),
      "🔬 En proceso",
      "🎯 Finalizado"
   ),
"❌ NA")</f>
        <v>❌ NA</v>
      </c>
      <c r="E37" s="255" t="s">
        <v>85</v>
      </c>
      <c r="F37" s="15">
        <v>45756</v>
      </c>
      <c r="G37" t="str">
        <f>_xlfn.XLOOKUP(A37, Extraídas!A:A, Extraídas!G:G, "")</f>
        <v>Macroalgas</v>
      </c>
    </row>
    <row r="38" spans="1:7" x14ac:dyDescent="0.3">
      <c r="A38" s="632" t="s">
        <v>61</v>
      </c>
      <c r="B38" s="255" t="str">
        <f>IFERROR(
   IF(INDEX(Extraídas!B:B,MATCH(LEFT($A38,6)&amp;"*",Extraídas!A:A,0))="Extraídas",
      "✅ En proceso",
      IF(INDEX(Extraídas!B:B,MATCH(LEFT($A38,6)&amp;"*",Extraídas!A:A,0))="Recibidas",
         "⏳ Pendiente","❌ No ingresada")),
   "❌ No ingresada"
)</f>
        <v>✅ En proceso</v>
      </c>
      <c r="C38" s="255" t="str">
        <f t="array" ref="C38">IFERROR(
   IF(INDEX([1]PCRs!B:B,MATCH(LEFT($A38,6)&amp;"*",[1]PCRs!A:A,0))="Positivo",
      "✅ Positivo",
      IF(INDEX([1]PCRs!B:B,MATCH(LEFT($A38,6)&amp;"*",[1]PCRs!A:A,0))="Negativo",
         "❌ Negativo",
         "⏳ No realizado")),
   "⏳ No realizado"
)</f>
        <v>❌ Negativo</v>
      </c>
      <c r="D38" s="255" t="str">
        <f>IFERROR(
   CHOOSE(
      MATCH(VLOOKUP(LEFT(A85,6)&amp;"*",'Identificación genética'!A:C,2,FALSE),
               {"En proceso";"Finalizado"},0),
      "🔬 En proceso",
      "🎯 Finalizado"
   ),
"❌ NA")</f>
        <v>❌ NA</v>
      </c>
      <c r="E38" s="255" t="s">
        <v>85</v>
      </c>
      <c r="F38" s="15">
        <v>45756</v>
      </c>
      <c r="G38" t="str">
        <f>_xlfn.XLOOKUP(A38, Extraídas!A:A, Extraídas!G:G, "")</f>
        <v>Macroalgas</v>
      </c>
    </row>
    <row r="39" spans="1:7" x14ac:dyDescent="0.3">
      <c r="A39" s="632" t="s">
        <v>62</v>
      </c>
      <c r="B39" s="255" t="str">
        <f>IFERROR(
   IF(INDEX(Extraídas!B:B,MATCH(LEFT($A39,6)&amp;"*",Extraídas!A:A,0))="Extraídas",
      "✅ En proceso",
      IF(INDEX(Extraídas!B:B,MATCH(LEFT($A39,6)&amp;"*",Extraídas!A:A,0))="Recibidas",
         "⏳ Pendiente","❌ No ingresada")),
   "❌ No ingresada"
)</f>
        <v>✅ En proceso</v>
      </c>
      <c r="C39" s="255" t="str">
        <f t="array" ref="C39">IFERROR(
   IF(INDEX([1]PCRs!B:B,MATCH(LEFT($A39,6)&amp;"*",[1]PCRs!A:A,0))="Positivo",
      "✅ Positivo",
      IF(INDEX([1]PCRs!B:B,MATCH(LEFT($A39,6)&amp;"*",[1]PCRs!A:A,0))="Negativo",
         "❌ Negativo",
         "⏳ No realizado")),
   "⏳ No realizado"
)</f>
        <v>✅ Positivo</v>
      </c>
      <c r="D39" s="255" t="str">
        <f>IFERROR(
   CHOOSE(
      MATCH(VLOOKUP(LEFT(A86,6)&amp;"*",'Identificación genética'!A:C,2,FALSE),
               {"En proceso";"Finalizado"},0),
      "🔬 En proceso",
      "🎯 Finalizado"
   ),
"❌ NA")</f>
        <v>❌ NA</v>
      </c>
      <c r="E39" s="255" t="s">
        <v>85</v>
      </c>
      <c r="F39" s="15">
        <v>45756</v>
      </c>
      <c r="G39" t="str">
        <f>_xlfn.XLOOKUP(A39, Extraídas!A:A, Extraídas!G:G, "")</f>
        <v>Macroalgas</v>
      </c>
    </row>
    <row r="40" spans="1:7" x14ac:dyDescent="0.3">
      <c r="A40" s="628" t="s">
        <v>63</v>
      </c>
      <c r="B40" s="255" t="str">
        <f t="array" ref="B40">IFERROR(
   IF(INDEX([1]Extraídas!B:B,MATCH(LEFT($A40,6)&amp;"*",[1]Extraídas!A:A,0))="Extraídas",
      "✅ En proceso",
      IF(INDEX([1]Extraídas!B:B,MATCH(LEFT($A40,6)&amp;"*",[1]Extraídas!A:A,0))="Recibidas",
         "⏳ Pendiente","❌ No ingresada")),
   "❌ No ingresada"
)</f>
        <v>✅ En proceso</v>
      </c>
      <c r="C40" s="255" t="str">
        <f t="array" ref="C40">IFERROR(
   IF(INDEX([1]PCRs!B:B,MATCH(LEFT($A40,6)&amp;"*",[1]PCRs!A:A,0))="Positivo",
      "✅ Positivo",
      IF(INDEX([1]PCRs!B:B,MATCH(LEFT($A40,6)&amp;"*",[1]PCRs!A:A,0))="Negativo",
         "❌ Negativo",
         "⏳ No realizado")),
   "⏳ No realizado"
)</f>
        <v>⏳ No realizado</v>
      </c>
      <c r="D40" s="255" t="str">
        <f>IFERROR(
   CHOOSE(
      MATCH(VLOOKUP(LEFT(A87,6)&amp;"*",'Identificación genética'!A:C,2,FALSE),
               {"En proceso";"Finalizado"},0),
      "🔬 En proceso",
      "🎯 Finalizado"
   ),
"❌ NA")</f>
        <v>❌ NA</v>
      </c>
      <c r="E40" s="255" t="s">
        <v>85</v>
      </c>
      <c r="F40" s="7">
        <v>45947</v>
      </c>
      <c r="G40" t="str">
        <f>_xlfn.XLOOKUP(A40, Extraídas!A:A, Extraídas!G:G, "")</f>
        <v>ambiental</v>
      </c>
    </row>
    <row r="41" spans="1:7" x14ac:dyDescent="0.3">
      <c r="A41" s="629" t="s">
        <v>64</v>
      </c>
      <c r="B41" s="255" t="str">
        <f t="array" ref="B41">IFERROR(
   IF(INDEX([1]Extraídas!B:B,MATCH(LEFT($A41,6)&amp;"*",[1]Extraídas!A:A,0))="Extraídas",
      "✅ En proceso",
      IF(INDEX([1]Extraídas!B:B,MATCH(LEFT($A41,6)&amp;"*",[1]Extraídas!A:A,0))="Recibidas",
         "⏳ Pendiente","❌ No ingresada")),
   "❌ No ingresada"
)</f>
        <v>✅ En proceso</v>
      </c>
      <c r="C41" s="255" t="str">
        <f t="array" ref="C41">IFERROR(
   IF(INDEX([1]PCRs!B:B,MATCH(LEFT($A41,6)&amp;"*",[1]PCRs!A:A,0))="Positivo",
      "✅ Positivo",
      IF(INDEX([1]PCRs!B:B,MATCH(LEFT($A41,6)&amp;"*",[1]PCRs!A:A,0))="Negativo",
         "❌ Negativo",
         "⏳ No realizado")),
   "⏳ No realizado"
)</f>
        <v>⏳ No realizado</v>
      </c>
      <c r="D41" s="255" t="str">
        <f>IFERROR(
   CHOOSE(
      MATCH(VLOOKUP(LEFT(A88,6)&amp;"*",'Identificación genética'!A:C,2,FALSE),
               {"En proceso";"Finalizado"},0),
      "🔬 En proceso",
      "🎯 Finalizado"
   ),
"❌ NA")</f>
        <v>❌ NA</v>
      </c>
      <c r="E41" s="255" t="s">
        <v>85</v>
      </c>
      <c r="F41" s="7">
        <v>45947</v>
      </c>
      <c r="G41" t="str">
        <f>_xlfn.XLOOKUP(A41, Extraídas!A:A, Extraídas!G:G, "")</f>
        <v>ambiental</v>
      </c>
    </row>
    <row r="42" spans="1:7" x14ac:dyDescent="0.3">
      <c r="A42" s="628" t="s">
        <v>65</v>
      </c>
      <c r="B42" s="255" t="str">
        <f t="array" ref="B42">IFERROR(
   IF(INDEX([1]Extraídas!B:B,MATCH(LEFT($A42,6)&amp;"*",[1]Extraídas!A:A,0))="Extraídas",
      "✅ En proceso",
      IF(INDEX([1]Extraídas!B:B,MATCH(LEFT($A42,6)&amp;"*",[1]Extraídas!A:A,0))="Recibidas",
         "⏳ Pendiente","❌ No ingresada")),
   "❌ No ingresada"
)</f>
        <v>✅ En proceso</v>
      </c>
      <c r="C42" s="255" t="str">
        <f t="array" ref="C42">IFERROR(
   IF(INDEX([1]PCRs!B:B,MATCH(LEFT($A42,6)&amp;"*",[1]PCRs!A:A,0))="Positivo",
      "✅ Positivo",
      IF(INDEX([1]PCRs!B:B,MATCH(LEFT($A42,6)&amp;"*",[1]PCRs!A:A,0))="Negativo",
         "❌ Negativo",
         "⏳ No realizado")),
   "⏳ No realizado"
)</f>
        <v>⏳ No realizado</v>
      </c>
      <c r="D42" s="255" t="str">
        <f>IFERROR(
   CHOOSE(
      MATCH(VLOOKUP(LEFT(A89,6)&amp;"*",'Identificación genética'!A:C,2,FALSE),
               {"En proceso";"Finalizado"},0),
      "🔬 En proceso",
      "🎯 Finalizado"
   ),
"❌ NA")</f>
        <v>❌ NA</v>
      </c>
      <c r="E42" s="255" t="s">
        <v>85</v>
      </c>
      <c r="F42" s="7">
        <v>45947</v>
      </c>
      <c r="G42" t="str">
        <f>_xlfn.XLOOKUP(A42, Extraídas!A:A, Extraídas!G:G, "")</f>
        <v>ambiental</v>
      </c>
    </row>
    <row r="43" spans="1:7" x14ac:dyDescent="0.3">
      <c r="A43" s="630" t="s">
        <v>66</v>
      </c>
      <c r="B43" s="255" t="str">
        <f>IFERROR(
   IF(INDEX(Extraídas!B:B,MATCH(LEFT($A43,6)&amp;"*",Extraídas!A:A,0))="Extraídas",
      "✅ En proceso",
      IF(INDEX(Extraídas!B:B,MATCH(LEFT($A43,6)&amp;"*",Extraídas!A:A,0))="Recibidas",
         "⏳ Pendiente","❌ No ingresada")),
   "❌ No ingresada"
)</f>
        <v>✅ En proceso</v>
      </c>
      <c r="C43" s="255" t="str">
        <f t="array" ref="C43">IFERROR(
   IF(INDEX([1]PCRs!B:B,MATCH(LEFT($A43,6)&amp;"*",[1]PCRs!A:A,0))="Positivo",
      "✅ Positivo",
      IF(INDEX([1]PCRs!B:B,MATCH(LEFT($A43,6)&amp;"*",[1]PCRs!A:A,0))="Negativo",
         "❌ Negativo",
         "⏳ No realizado")),
   "⏳ No realizado"
)</f>
        <v>✅ Positivo</v>
      </c>
      <c r="D43" s="255" t="str">
        <f>IFERROR(
   CHOOSE(
      MATCH(VLOOKUP(LEFT(A90,6)&amp;"*",'Identificación genética'!A:C,2,FALSE),
               {"En proceso";"Finalizado"},0),
      "🔬 En proceso",
      "🎯 Finalizado"
   ),
"❌ NA")</f>
        <v>❌ NA</v>
      </c>
      <c r="E43" s="255" t="s">
        <v>85</v>
      </c>
      <c r="F43" s="15">
        <v>45756</v>
      </c>
      <c r="G43" t="str">
        <f>_xlfn.XLOOKUP(A43, Extraídas!A:A, Extraídas!G:G, "")</f>
        <v>Microalgas</v>
      </c>
    </row>
    <row r="44" spans="1:7" x14ac:dyDescent="0.3">
      <c r="A44" s="632" t="s">
        <v>68</v>
      </c>
      <c r="B44" s="255" t="str">
        <f>IFERROR(
   IF(INDEX(Extraídas!B:B,MATCH(LEFT($A44,6)&amp;"*",Extraídas!A:A,0))="Extraídas",
      "✅ En proceso",
      IF(INDEX(Extraídas!B:B,MATCH(LEFT($A44,6)&amp;"*",Extraídas!A:A,0))="Recibidas",
         "⏳ Pendiente","❌ No ingresada")),
   "❌ No ingresada"
)</f>
        <v>✅ En proceso</v>
      </c>
      <c r="C44" s="255" t="str">
        <f t="array" ref="C44">IFERROR(
   IF(INDEX([1]PCRs!B:B,MATCH(LEFT($A44,6)&amp;"*",[1]PCRs!A:A,0))="Positivo",
      "✅ Positivo",
      IF(INDEX([1]PCRs!B:B,MATCH(LEFT($A44,6)&amp;"*",[1]PCRs!A:A,0))="Negativo",
         "❌ Negativo",
         "⏳ No realizado")),
   "⏳ No realizado"
)</f>
        <v>✅ Positivo</v>
      </c>
      <c r="D44" s="255" t="str">
        <f>IFERROR(
   CHOOSE(
      MATCH(VLOOKUP(LEFT(A91,6)&amp;"*",'Identificación genética'!A:C,2,FALSE),
               {"En proceso";"Finalizado"},0),
      "🔬 En proceso",
      "🎯 Finalizado"
   ),
"❌ NA")</f>
        <v>❌ NA</v>
      </c>
      <c r="E44" s="255" t="s">
        <v>85</v>
      </c>
      <c r="F44" s="15">
        <v>45756</v>
      </c>
      <c r="G44" t="str">
        <f>_xlfn.XLOOKUP(A44, Extraídas!A:A, Extraídas!G:G, "")</f>
        <v>Microalgas</v>
      </c>
    </row>
    <row r="45" spans="1:7" x14ac:dyDescent="0.3">
      <c r="A45" s="630" t="s">
        <v>69</v>
      </c>
      <c r="B45" s="255" t="str">
        <f t="array" ref="B45">IFERROR(
   IF(INDEX([1]Extraídas!B:B,MATCH(LEFT($A45,6)&amp;"*",[1]Extraídas!A:A,0))="Extraídas",
      "✅ En proceso",
      IF(INDEX([1]Extraídas!B:B,MATCH(LEFT($A45,6)&amp;"*",[1]Extraídas!A:A,0))="Recibidas",
         "⏳ Pendiente","❌ No ingresada")),
   "❌ No ingresada"
)</f>
        <v>✅ En proceso</v>
      </c>
      <c r="C45" s="255" t="str">
        <f t="array" ref="C45">IFERROR(
   IF(INDEX([1]PCRs!B:B,MATCH(LEFT($A45,6)&amp;"*",[1]PCRs!A:A,0))="Positivo",
      "✅ Positivo",
      IF(INDEX([1]PCRs!B:B,MATCH(LEFT($A45,6)&amp;"*",[1]PCRs!A:A,0))="Negativo",
         "❌ Negativo",
         "⏳ No realizado")),
   "⏳ No realizado"
)</f>
        <v>⏳ No realizado</v>
      </c>
      <c r="D45" s="255" t="str">
        <f>IFERROR(
   CHOOSE(
      MATCH(VLOOKUP(LEFT(A92,6)&amp;"*",'Identificación genética'!A:C,2,FALSE),
               {"En proceso";"Finalizado"},0),
      "🔬 En proceso",
      "🎯 Finalizado"
   ),
"❌ NA")</f>
        <v>❌ NA</v>
      </c>
      <c r="E45" s="255" t="s">
        <v>85</v>
      </c>
      <c r="F45" s="29">
        <v>45756</v>
      </c>
      <c r="G45" t="str">
        <f>_xlfn.XLOOKUP(A45, Extraídas!A:A, Extraídas!G:G, "")</f>
        <v>Macroalgas</v>
      </c>
    </row>
    <row r="46" spans="1:7" x14ac:dyDescent="0.3">
      <c r="A46" s="632" t="s">
        <v>70</v>
      </c>
      <c r="B46" s="255" t="str">
        <f>IFERROR(
   IF(INDEX(Extraídas!B:B,MATCH(LEFT($A46,6)&amp;"*",Extraídas!A:A,0))="Extraídas",
      "✅ En proceso",
      IF(INDEX(Extraídas!B:B,MATCH(LEFT($A46,6)&amp;"*",Extraídas!A:A,0))="Recibidas",
         "⏳ Pendiente","❌ No ingresada")),
   "❌ No ingresada"
)</f>
        <v>✅ En proceso</v>
      </c>
      <c r="C46" s="255" t="str">
        <f t="array" ref="C46">IFERROR(
   IF(INDEX([1]PCRs!B:B,MATCH(LEFT($A46,6)&amp;"*",[1]PCRs!A:A,0))="Positivo",
      "✅ Positivo",
      IF(INDEX([1]PCRs!B:B,MATCH(LEFT($A46,6)&amp;"*",[1]PCRs!A:A,0))="Negativo",
         "❌ Negativo",
         "⏳ No realizado")),
   "⏳ No realizado"
)</f>
        <v>✅ Positivo</v>
      </c>
      <c r="D46" s="255" t="str">
        <f>IFERROR(
   CHOOSE(
      MATCH(VLOOKUP(LEFT(A93,6)&amp;"*",'Identificación genética'!A:C,2,FALSE),
               {"En proceso";"Finalizado"},0),
      "🔬 En proceso",
      "🎯 Finalizado"
   ),
"❌ NA")</f>
        <v>❌ NA</v>
      </c>
      <c r="E46" s="255" t="s">
        <v>85</v>
      </c>
      <c r="F46" s="15">
        <v>45756</v>
      </c>
      <c r="G46" t="str">
        <f>_xlfn.XLOOKUP(A46, Extraídas!A:A, Extraídas!G:G, "")</f>
        <v>Macroalgas</v>
      </c>
    </row>
    <row r="47" spans="1:7" x14ac:dyDescent="0.3">
      <c r="A47" s="632" t="s">
        <v>71</v>
      </c>
      <c r="B47" s="255" t="str">
        <f>IFERROR(
   IF(INDEX(Extraídas!B:B,MATCH(LEFT($A47,6)&amp;"*",Extraídas!A:A,0))="Extraídas",
      "✅ En proceso",
      IF(INDEX(Extraídas!B:B,MATCH(LEFT($A47,6)&amp;"*",Extraídas!A:A,0))="Recibidas",
         "⏳ Pendiente","❌ No ingresada")),
   "❌ No ingresada"
)</f>
        <v>✅ En proceso</v>
      </c>
      <c r="C47" s="255" t="str">
        <f t="array" ref="C47">IFERROR(
   IF(INDEX([1]PCRs!B:B,MATCH(LEFT($A47,6)&amp;"*",[1]PCRs!A:A,0))="Positivo",
      "✅ Positivo",
      IF(INDEX([1]PCRs!B:B,MATCH(LEFT($A47,6)&amp;"*",[1]PCRs!A:A,0))="Negativo",
         "❌ Negativo",
         "⏳ No realizado")),
   "⏳ No realizado"
)</f>
        <v>✅ Positivo</v>
      </c>
      <c r="D47" s="255" t="str">
        <f>IFERROR(
   CHOOSE(
      MATCH(VLOOKUP(LEFT(A94,6)&amp;"*",'Identificación genética'!A:C,2,FALSE),
               {"En proceso";"Finalizado"},0),
      "🔬 En proceso",
      "🎯 Finalizado"
   ),
"❌ NA")</f>
        <v>❌ NA</v>
      </c>
      <c r="E47" s="255" t="s">
        <v>85</v>
      </c>
      <c r="F47" s="15">
        <v>45756</v>
      </c>
      <c r="G47" t="str">
        <f>_xlfn.XLOOKUP(A47, Extraídas!A:A, Extraídas!G:G, "")</f>
        <v>Macroalgas</v>
      </c>
    </row>
    <row r="48" spans="1:7" x14ac:dyDescent="0.3">
      <c r="A48" s="632" t="s">
        <v>72</v>
      </c>
      <c r="B48" s="255" t="str">
        <f>IFERROR(
   IF(INDEX(Extraídas!B:B,MATCH(LEFT($A48,6)&amp;"*",Extraídas!A:A,0))="Extraídas",
      "✅ En proceso",
      IF(INDEX(Extraídas!B:B,MATCH(LEFT($A48,6)&amp;"*",Extraídas!A:A,0))="Recibidas",
         "⏳ Pendiente","❌ No ingresada")),
   "❌ No ingresada"
)</f>
        <v>✅ En proceso</v>
      </c>
      <c r="C48" s="255" t="str">
        <f t="array" ref="C48">IFERROR(
   IF(INDEX([1]PCRs!B:B,MATCH(LEFT($A48,6)&amp;"*",[1]PCRs!A:A,0))="Positivo",
      "✅ Positivo",
      IF(INDEX([1]PCRs!B:B,MATCH(LEFT($A48,6)&amp;"*",[1]PCRs!A:A,0))="Negativo",
         "❌ Negativo",
         "⏳ No realizado")),
   "⏳ No realizado"
)</f>
        <v>✅ Positivo</v>
      </c>
      <c r="D48" s="255" t="str">
        <f>IFERROR(
   CHOOSE(
      MATCH(VLOOKUP(LEFT(A95,6)&amp;"*",'Identificación genética'!A:C,2,FALSE),
               {"En proceso";"Finalizado"},0),
      "🔬 En proceso",
      "🎯 Finalizado"
   ),
"❌ NA")</f>
        <v>❌ NA</v>
      </c>
      <c r="E48" s="255" t="s">
        <v>85</v>
      </c>
      <c r="F48" s="15">
        <v>45756</v>
      </c>
      <c r="G48" t="str">
        <f>_xlfn.XLOOKUP(A48, Extraídas!A:A, Extraídas!G:G, "")</f>
        <v>Macroalgas</v>
      </c>
    </row>
    <row r="49" spans="1:7" x14ac:dyDescent="0.3">
      <c r="A49" s="632" t="s">
        <v>73</v>
      </c>
      <c r="B49" s="255" t="str">
        <f>IFERROR(
   IF(INDEX(Extraídas!B:B,MATCH(LEFT($A49,6)&amp;"*",Extraídas!A:A,0))="Extraídas",
      "✅ En proceso",
      IF(INDEX(Extraídas!B:B,MATCH(LEFT($A49,6)&amp;"*",Extraídas!A:A,0))="Recibidas",
         "⏳ Pendiente","❌ No ingresada")),
   "❌ No ingresada"
)</f>
        <v>✅ En proceso</v>
      </c>
      <c r="C49" s="255" t="str">
        <f t="array" ref="C49">IFERROR(
   IF(INDEX([1]PCRs!B:B,MATCH(LEFT($A49,6)&amp;"*",[1]PCRs!A:A,0))="Positivo",
      "✅ Positivo",
      IF(INDEX([1]PCRs!B:B,MATCH(LEFT($A49,6)&amp;"*",[1]PCRs!A:A,0))="Negativo",
         "❌ Negativo",
         "⏳ No realizado")),
   "⏳ No realizado"
)</f>
        <v>✅ Positivo</v>
      </c>
      <c r="D49" s="255" t="str">
        <f>IFERROR(
   CHOOSE(
      MATCH(VLOOKUP(LEFT(A96,6)&amp;"*",'Identificación genética'!A:C,2,FALSE),
               {"En proceso";"Finalizado"},0),
      "🔬 En proceso",
      "🎯 Finalizado"
   ),
"❌ NA")</f>
        <v>❌ NA</v>
      </c>
      <c r="E49" s="255" t="s">
        <v>85</v>
      </c>
      <c r="F49" s="15">
        <v>45756</v>
      </c>
      <c r="G49" t="str">
        <f>_xlfn.XLOOKUP(A49, Extraídas!A:A, Extraídas!G:G, "")</f>
        <v>Macroalgas</v>
      </c>
    </row>
    <row r="50" spans="1:7" x14ac:dyDescent="0.3">
      <c r="A50" s="630" t="s">
        <v>74</v>
      </c>
      <c r="B50" s="255" t="str">
        <f t="array" ref="B50">IFERROR(
   IF(INDEX([1]Extraídas!B:B,MATCH(LEFT($A50,6)&amp;"*",[1]Extraídas!A:A,0))="Extraídas",
      "✅ En proceso",
      IF(INDEX([1]Extraídas!B:B,MATCH(LEFT($A50,6)&amp;"*",[1]Extraídas!A:A,0))="Recibidas",
         "⏳ Pendiente","❌ No ingresada")),
   "❌ No ingresada"
)</f>
        <v>✅ En proceso</v>
      </c>
      <c r="C50" s="255" t="str">
        <f t="array" ref="C50">IFERROR(
   IF(INDEX([1]PCRs!B:B,MATCH(LEFT($A50,6)&amp;"*",[1]PCRs!A:A,0))="Positivo",
      "✅ Positivo",
      IF(INDEX([1]PCRs!B:B,MATCH(LEFT($A50,6)&amp;"*",[1]PCRs!A:A,0))="Negativo",
         "❌ Negativo",
         "⏳ No realizado")),
   "⏳ No realizado"
)</f>
        <v>⏳ No realizado</v>
      </c>
      <c r="D50" s="255" t="str">
        <f>IFERROR(
   CHOOSE(
      MATCH(VLOOKUP(LEFT(A97,6)&amp;"*",'Identificación genética'!A:C,2,FALSE),
               {"En proceso";"Finalizado"},0),
      "🔬 En proceso",
      "🎯 Finalizado"
   ),
"❌ NA")</f>
        <v>❌ NA</v>
      </c>
      <c r="E50" s="255" t="s">
        <v>85</v>
      </c>
      <c r="F50" s="15">
        <v>45756</v>
      </c>
      <c r="G50" t="str">
        <f>_xlfn.XLOOKUP(A50, Extraídas!A:A, Extraídas!G:G, "")</f>
        <v>Macroalgas</v>
      </c>
    </row>
    <row r="51" spans="1:7" x14ac:dyDescent="0.3">
      <c r="A51" s="630" t="s">
        <v>76</v>
      </c>
      <c r="B51" s="255" t="str">
        <f t="array" ref="B51">IFERROR(
   IF(INDEX([1]Extraídas!B:B,MATCH(LEFT($A51,6)&amp;"*",[1]Extraídas!A:A,0))="Extraídas",
      "✅ En proceso",
      IF(INDEX([1]Extraídas!B:B,MATCH(LEFT($A51,6)&amp;"*",[1]Extraídas!A:A,0))="Recibidas",
         "⏳ Pendiente","❌ No ingresada")),
   "❌ No ingresada"
)</f>
        <v>✅ En proceso</v>
      </c>
      <c r="C51" s="255" t="str">
        <f t="array" ref="C51">IFERROR(
   IF(INDEX([1]PCRs!B:B,MATCH(LEFT($A51,6)&amp;"*",[1]PCRs!A:A,0))="Positivo",
      "✅ Positivo",
      IF(INDEX([1]PCRs!B:B,MATCH(LEFT($A51,6)&amp;"*",[1]PCRs!A:A,0))="Negativo",
         "❌ Negativo",
         "⏳ No realizado")),
   "⏳ No realizado"
)</f>
        <v>⏳ No realizado</v>
      </c>
      <c r="D51" s="255" t="str">
        <f>IFERROR(
   CHOOSE(
      MATCH(VLOOKUP(LEFT(A98,6)&amp;"*",'Identificación genética'!A:C,2,FALSE),
               {"En proceso";"Finalizado"},0),
      "🔬 En proceso",
      "🎯 Finalizado"
   ),
"❌ NA")</f>
        <v>❌ NA</v>
      </c>
      <c r="E51" s="255" t="s">
        <v>85</v>
      </c>
      <c r="F51" s="15">
        <v>45756</v>
      </c>
      <c r="G51" t="str">
        <f>_xlfn.XLOOKUP(A51, Extraídas!A:A, Extraídas!G:G, "")</f>
        <v>Macroalgas</v>
      </c>
    </row>
    <row r="52" spans="1:7" x14ac:dyDescent="0.3">
      <c r="A52" s="630" t="s">
        <v>79</v>
      </c>
      <c r="B52" s="255" t="str">
        <f t="array" ref="B52">IFERROR(
   IF(INDEX([1]Extraídas!B:B,MATCH(LEFT($A52,6)&amp;"*",[1]Extraídas!A:A,0))="Extraídas",
      "✅ En proceso",
      IF(INDEX([1]Extraídas!B:B,MATCH(LEFT($A52,6)&amp;"*",[1]Extraídas!A:A,0))="Recibidas",
         "⏳ Pendiente","❌ No ingresada")),
   "❌ No ingresada"
)</f>
        <v>✅ En proceso</v>
      </c>
      <c r="C52" s="255" t="str">
        <f t="array" ref="C52">IFERROR(
   IF(INDEX([1]PCRs!B:B,MATCH(LEFT($A52,6)&amp;"*",[1]PCRs!A:A,0))="Positivo",
      "✅ Positivo",
      IF(INDEX([1]PCRs!B:B,MATCH(LEFT($A52,6)&amp;"*",[1]PCRs!A:A,0))="Negativo",
         "❌ Negativo",
         "⏳ No realizado")),
   "⏳ No realizado"
)</f>
        <v>⏳ No realizado</v>
      </c>
      <c r="D52" s="255" t="str">
        <f>IFERROR(
   CHOOSE(
      MATCH(VLOOKUP(LEFT(A99,6)&amp;"*",'Identificación genética'!A:C,2,FALSE),
               {"En proceso";"Finalizado"},0),
      "🔬 En proceso",
      "🎯 Finalizado"
   ),
"❌ NA")</f>
        <v>❌ NA</v>
      </c>
      <c r="E52" s="255" t="s">
        <v>85</v>
      </c>
      <c r="F52" s="15">
        <v>45756</v>
      </c>
      <c r="G52" t="str">
        <f>_xlfn.XLOOKUP(A52, Extraídas!A:A, Extraídas!G:G, "")</f>
        <v>Macroalgas</v>
      </c>
    </row>
    <row r="53" spans="1:7" x14ac:dyDescent="0.3">
      <c r="A53" s="629" t="s">
        <v>81</v>
      </c>
      <c r="B53" s="255" t="str">
        <f t="array" ref="B53">IFERROR(
   IF(INDEX([1]Extraídas!B:B,MATCH(LEFT($A53,6)&amp;"*",[1]Extraídas!A:A,0))="Extraídas",
      "✅ En proceso",
      IF(INDEX([1]Extraídas!B:B,MATCH(LEFT($A53,6)&amp;"*",[1]Extraídas!A:A,0))="Recibidas",
         "⏳ Pendiente","❌ No ingresada")),
   "❌ No ingresada"
)</f>
        <v>✅ En proceso</v>
      </c>
      <c r="C53" s="255" t="str">
        <f t="array" ref="C53">IFERROR(
   IF(INDEX([1]PCRs!B:B,MATCH(LEFT($A53,6)&amp;"*",[1]PCRs!A:A,0))="Positivo",
      "✅ Positivo",
      IF(INDEX([1]PCRs!B:B,MATCH(LEFT($A53,6)&amp;"*",[1]PCRs!A:A,0))="Negativo",
         "❌ Negativo",
         "⏳ No realizado")),
   "⏳ No realizado"
)</f>
        <v>⏳ No realizado</v>
      </c>
      <c r="D53" s="255" t="str">
        <f>IFERROR(
   CHOOSE(
      MATCH(VLOOKUP(LEFT(A100,6)&amp;"*",'Identificación genética'!A:C,2,FALSE),
               {"En proceso";"Finalizado"},0),
      "🔬 En proceso",
      "🎯 Finalizado"
   ),
"❌ NA")</f>
        <v>❌ NA</v>
      </c>
      <c r="E53" s="255" t="s">
        <v>85</v>
      </c>
      <c r="F53" s="32">
        <v>45966</v>
      </c>
      <c r="G53" t="str">
        <f>_xlfn.XLOOKUP(A53, Extraídas!A:A, Extraídas!G:G, "")</f>
        <v>Microalgas</v>
      </c>
    </row>
    <row r="54" spans="1:7" x14ac:dyDescent="0.3">
      <c r="A54" s="629" t="s">
        <v>82</v>
      </c>
      <c r="B54" s="255" t="str">
        <f t="array" ref="B54">IFERROR(
   IF(INDEX([1]Extraídas!B:B,MATCH(LEFT($A54,6)&amp;"*",[1]Extraídas!A:A,0))="Extraídas",
      "✅ En proceso",
      IF(INDEX([1]Extraídas!B:B,MATCH(LEFT($A54,6)&amp;"*",[1]Extraídas!A:A,0))="Recibidas",
         "⏳ Pendiente","❌ No ingresada")),
   "❌ No ingresada"
)</f>
        <v>✅ En proceso</v>
      </c>
      <c r="C54" s="255" t="str">
        <f t="array" ref="C54">IFERROR(
   IF(INDEX([1]PCRs!B:B,MATCH(LEFT($A54,6)&amp;"*",[1]PCRs!A:A,0))="Positivo",
      "✅ Positivo",
      IF(INDEX([1]PCRs!B:B,MATCH(LEFT($A54,6)&amp;"*",[1]PCRs!A:A,0))="Negativo",
         "❌ Negativo",
         "⏳ No realizado")),
   "⏳ No realizado"
)</f>
        <v>⏳ No realizado</v>
      </c>
      <c r="D54" s="255" t="str">
        <f>IFERROR(
   CHOOSE(
      MATCH(VLOOKUP(LEFT(A101,6)&amp;"*",'Identificación genética'!A:C,2,FALSE),
               {"En proceso";"Finalizado"},0),
      "🔬 En proceso",
      "🎯 Finalizado"
   ),
"❌ NA")</f>
        <v>❌ NA</v>
      </c>
      <c r="E54" s="255" t="s">
        <v>85</v>
      </c>
      <c r="F54" s="7">
        <v>45947</v>
      </c>
      <c r="G54" t="str">
        <f>_xlfn.XLOOKUP(A54, Extraídas!A:A, Extraídas!G:G, "")</f>
        <v>ambiental</v>
      </c>
    </row>
    <row r="55" spans="1:7" x14ac:dyDescent="0.3">
      <c r="A55" s="628" t="s">
        <v>84</v>
      </c>
      <c r="B55" s="255" t="str">
        <f t="array" ref="B55">IFERROR(
   IF(INDEX([1]Extraídas!B:B,MATCH(LEFT($A55,6)&amp;"*",[1]Extraídas!A:A,0))="Extraídas",
      "✅ En proceso",
      IF(INDEX([1]Extraídas!B:B,MATCH(LEFT($A55,6)&amp;"*",[1]Extraídas!A:A,0))="Recibidas",
         "⏳ Pendiente","❌ No ingresada")),
   "❌ No ingresada"
)</f>
        <v>✅ En proceso</v>
      </c>
      <c r="C55" s="255" t="str">
        <f t="array" ref="C55">IFERROR(
   IF(INDEX([1]PCRs!B:B,MATCH(LEFT($A55,6)&amp;"*",[1]PCRs!A:A,0))="Positivo",
      "✅ Positivo",
      IF(INDEX([1]PCRs!B:B,MATCH(LEFT($A55,6)&amp;"*",[1]PCRs!A:A,0))="Negativo",
         "❌ Negativo",
         "⏳ No realizado")),
   "⏳ No realizado"
)</f>
        <v>⏳ No realizado</v>
      </c>
      <c r="D55" s="255" t="str">
        <f>IFERROR(
   CHOOSE(
      MATCH(VLOOKUP(LEFT(A102,6)&amp;"*",'Identificación genética'!A:C,2,FALSE),
               {"En proceso";"Finalizado"},0),
      "🔬 En proceso",
      "🎯 Finalizado"
   ),
"❌ NA")</f>
        <v>❌ NA</v>
      </c>
      <c r="E55" s="255" t="s">
        <v>85</v>
      </c>
      <c r="F55" s="7">
        <v>45957</v>
      </c>
      <c r="G55" t="str">
        <f>_xlfn.XLOOKUP(A55, Extraídas!A:A, Extraídas!G:G, "")</f>
        <v>Trebouxiophyceae</v>
      </c>
    </row>
    <row r="56" spans="1:7" x14ac:dyDescent="0.3">
      <c r="A56" s="629" t="s">
        <v>92</v>
      </c>
      <c r="B56" s="255" t="str">
        <f t="array" ref="B56">IFERROR(
   IF(INDEX([1]Extraídas!B:B,MATCH(LEFT($A56,6)&amp;"*",[1]Extraídas!A:A,0))="Extraídas",
      "✅ En proceso",
      IF(INDEX([1]Extraídas!B:B,MATCH(LEFT($A56,6)&amp;"*",[1]Extraídas!A:A,0))="Recibidas",
         "⏳ Pendiente","❌ No ingresada")),
   "❌ No ingresada"
)</f>
        <v>✅ En proceso</v>
      </c>
      <c r="C56" s="255" t="str">
        <f t="array" ref="C56">IFERROR(
   IF(INDEX([1]PCRs!B:B,MATCH(LEFT($A56,6)&amp;"*",[1]PCRs!A:A,0))="Positivo",
      "✅ Positivo",
      IF(INDEX([1]PCRs!B:B,MATCH(LEFT($A56,6)&amp;"*",[1]PCRs!A:A,0))="Negativo",
         "❌ Negativo",
         "⏳ No realizado")),
   "⏳ No realizado"
)</f>
        <v>⏳ No realizado</v>
      </c>
      <c r="D56" s="255" t="str">
        <f>IFERROR(
   CHOOSE(
      MATCH(VLOOKUP(LEFT(A103,6)&amp;"*",'Identificación genética'!A:C,2,FALSE),
               {"En proceso";"Finalizado"},0),
      "🔬 En proceso",
      "🎯 Finalizado"
   ),
"❌ NA")</f>
        <v>❌ NA</v>
      </c>
      <c r="E56" s="255" t="s">
        <v>85</v>
      </c>
      <c r="F56" s="32">
        <v>46000</v>
      </c>
      <c r="G56" t="str">
        <f>_xlfn.XLOOKUP(A56, Extraídas!A:A, Extraídas!G:G, "")</f>
        <v>Chlorophyceae</v>
      </c>
    </row>
    <row r="57" spans="1:7" x14ac:dyDescent="0.3">
      <c r="A57" s="628" t="s">
        <v>96</v>
      </c>
      <c r="B57" s="255" t="str">
        <f t="array" ref="B57">IFERROR(
   IF(INDEX([1]Extraídas!B:B,MATCH(LEFT($A57,6)&amp;"*",[1]Extraídas!A:A,0))="Extraídas",
      "✅ En proceso",
      IF(INDEX([1]Extraídas!B:B,MATCH(LEFT($A57,6)&amp;"*",[1]Extraídas!A:A,0))="Recibidas",
         "⏳ Pendiente","❌ No ingresada")),
   "❌ No ingresada"
)</f>
        <v>✅ En proceso</v>
      </c>
      <c r="C57" s="255" t="str">
        <f t="array" ref="C57">IFERROR(
   IF(INDEX([1]PCRs!B:B,MATCH(LEFT($A57,6)&amp;"*",[1]PCRs!A:A,0))="Positivo",
      "✅ Positivo",
      IF(INDEX([1]PCRs!B:B,MATCH(LEFT($A57,6)&amp;"*",[1]PCRs!A:A,0))="Negativo",
         "❌ Negativo",
         "⏳ No realizado")),
   "⏳ No realizado"
)</f>
        <v>⏳ No realizado</v>
      </c>
      <c r="D57" s="255" t="str">
        <f>IFERROR(
   CHOOSE(
      MATCH(VLOOKUP(LEFT(A104,6)&amp;"*",'Identificación genética'!A:C,2,FALSE),
               {"En proceso";"Finalizado"},0),
      "🔬 En proceso",
      "🎯 Finalizado"
   ),
"❌ NA")</f>
        <v>❌ NA</v>
      </c>
      <c r="E57" s="255" t="s">
        <v>85</v>
      </c>
      <c r="F57" s="50">
        <v>46000</v>
      </c>
      <c r="G57" t="str">
        <f>_xlfn.XLOOKUP(A57, Extraídas!A:A, Extraídas!G:G, "")</f>
        <v>Trebouxiophyceae</v>
      </c>
    </row>
    <row r="58" spans="1:7" x14ac:dyDescent="0.3">
      <c r="A58" s="629" t="s">
        <v>98</v>
      </c>
      <c r="B58" s="255" t="str">
        <f t="array" ref="B58">IFERROR(
   IF(INDEX([1]Extraídas!B:B,MATCH(LEFT($A58,6)&amp;"*",[1]Extraídas!A:A,0))="Extraídas",
      "✅ En proceso",
      IF(INDEX([1]Extraídas!B:B,MATCH(LEFT($A58,6)&amp;"*",[1]Extraídas!A:A,0))="Recibidas",
         "⏳ Pendiente","❌ No ingresada")),
   "❌ No ingresada"
)</f>
        <v>✅ En proceso</v>
      </c>
      <c r="C58" s="255" t="str">
        <f t="array" ref="C58">IFERROR(
   IF(INDEX([1]PCRs!B:B,MATCH(LEFT($A58,6)&amp;"*",[1]PCRs!A:A,0))="Positivo",
      "✅ Positivo",
      IF(INDEX([1]PCRs!B:B,MATCH(LEFT($A58,6)&amp;"*",[1]PCRs!A:A,0))="Negativo",
         "❌ Negativo",
         "⏳ No realizado")),
   "⏳ No realizado"
)</f>
        <v>⏳ No realizado</v>
      </c>
      <c r="D58" s="255" t="str">
        <f>IFERROR(
   CHOOSE(
      MATCH(VLOOKUP(LEFT(A105,6)&amp;"*",'Identificación genética'!A:C,2,FALSE),
               {"En proceso";"Finalizado"},0),
      "🔬 En proceso",
      "🎯 Finalizado"
   ),
"❌ NA")</f>
        <v>❌ NA</v>
      </c>
      <c r="E58" s="255" t="s">
        <v>85</v>
      </c>
      <c r="F58" s="7">
        <v>45957</v>
      </c>
      <c r="G58" t="str">
        <f>_xlfn.XLOOKUP(A58, Extraídas!A:A, Extraídas!G:G, "")</f>
        <v>Chlorophyceae</v>
      </c>
    </row>
    <row r="59" spans="1:7" x14ac:dyDescent="0.3">
      <c r="A59" s="629" t="s">
        <v>100</v>
      </c>
      <c r="B59" s="255" t="str">
        <f t="array" ref="B59">IFERROR(
   IF(INDEX([1]Extraídas!B:B,MATCH(LEFT($A59,6)&amp;"*",[1]Extraídas!A:A,0))="Extraídas",
      "✅ En proceso",
      IF(INDEX([1]Extraídas!B:B,MATCH(LEFT($A59,6)&amp;"*",[1]Extraídas!A:A,0))="Recibidas",
         "⏳ Pendiente","❌ No ingresada")),
   "❌ No ingresada"
)</f>
        <v>✅ En proceso</v>
      </c>
      <c r="C59" s="255" t="str">
        <f t="array" ref="C59">IFERROR(
   IF(INDEX([1]PCRs!B:B,MATCH(LEFT($A59,6)&amp;"*",[1]PCRs!A:A,0))="Positivo",
      "✅ Positivo",
      IF(INDEX([1]PCRs!B:B,MATCH(LEFT($A59,6)&amp;"*",[1]PCRs!A:A,0))="Negativo",
         "❌ Negativo",
         "⏳ No realizado")),
   "⏳ No realizado"
)</f>
        <v>⏳ No realizado</v>
      </c>
      <c r="D59" s="255" t="str">
        <f>IFERROR(
   CHOOSE(
      MATCH(VLOOKUP(LEFT(A106,6)&amp;"*",'Identificación genética'!A:C,2,FALSE),
               {"En proceso";"Finalizado"},0),
      "🔬 En proceso",
      "🎯 Finalizado"
   ),
"❌ NA")</f>
        <v>❌ NA</v>
      </c>
      <c r="E59" s="255" t="s">
        <v>85</v>
      </c>
      <c r="F59" s="7">
        <v>45947</v>
      </c>
      <c r="G59" t="str">
        <f>_xlfn.XLOOKUP(A59, Extraídas!A:A, Extraídas!G:G, "")</f>
        <v>Cyanobacteria</v>
      </c>
    </row>
    <row r="60" spans="1:7" x14ac:dyDescent="0.3">
      <c r="A60" s="629" t="s">
        <v>102</v>
      </c>
      <c r="B60" s="255" t="str">
        <f t="array" ref="B60">IFERROR(
   IF(INDEX([1]Extraídas!B:B,MATCH(LEFT($A60,6)&amp;"*",[1]Extraídas!A:A,0))="Extraídas",
      "✅ En proceso",
      IF(INDEX([1]Extraídas!B:B,MATCH(LEFT($A60,6)&amp;"*",[1]Extraídas!A:A,0))="Recibidas",
         "⏳ Pendiente","❌ No ingresada")),
   "❌ No ingresada"
)</f>
        <v>⏳ Pendiente</v>
      </c>
      <c r="C60" s="255" t="str">
        <f t="array" ref="C60">IFERROR(
   IF(INDEX([1]PCRs!B:B,MATCH(LEFT($A60,6)&amp;"*",[1]PCRs!A:A,0))="Positivo",
      "✅ Positivo",
      IF(INDEX([1]PCRs!B:B,MATCH(LEFT($A60,6)&amp;"*",[1]PCRs!A:A,0))="Negativo",
         "❌ Negativo",
         "⏳ No realizado")),
   "⏳ No realizado"
)</f>
        <v>⏳ No realizado</v>
      </c>
      <c r="D60" s="255" t="str">
        <f>IFERROR(
   CHOOSE(
      MATCH(VLOOKUP(LEFT(A107,6)&amp;"*",'Identificación genética'!A:C,2,FALSE),
               {"En proceso";"Finalizado"},0),
      "🔬 En proceso",
      "🎯 Finalizado"
   ),
"❌ NA")</f>
        <v>❌ NA</v>
      </c>
      <c r="E60" s="255" t="s">
        <v>85</v>
      </c>
      <c r="F60" s="32">
        <v>46000</v>
      </c>
      <c r="G60" t="str">
        <f>_xlfn.XLOOKUP(A60, Extraídas!A:A, Extraídas!G:G, "")</f>
        <v>Chlorophyceae</v>
      </c>
    </row>
    <row r="61" spans="1:7" x14ac:dyDescent="0.3">
      <c r="A61" s="628" t="s">
        <v>103</v>
      </c>
      <c r="B61" s="255" t="str">
        <f t="array" ref="B61">IFERROR(
   IF(INDEX([1]Extraídas!B:B,MATCH(LEFT($A61,6)&amp;"*",[1]Extraídas!A:A,0))="Extraídas",
      "✅ En proceso",
      IF(INDEX([1]Extraídas!B:B,MATCH(LEFT($A61,6)&amp;"*",[1]Extraídas!A:A,0))="Recibidas",
         "⏳ Pendiente","❌ No ingresada")),
   "❌ No ingresada"
)</f>
        <v>⏳ Pendiente</v>
      </c>
      <c r="C61" s="255" t="str">
        <f t="array" ref="C61">IFERROR(
   IF(INDEX([1]PCRs!B:B,MATCH(LEFT($A61,6)&amp;"*",[1]PCRs!A:A,0))="Positivo",
      "✅ Positivo",
      IF(INDEX([1]PCRs!B:B,MATCH(LEFT($A61,6)&amp;"*",[1]PCRs!A:A,0))="Negativo",
         "❌ Negativo",
         "⏳ No realizado")),
   "⏳ No realizado"
)</f>
        <v>⏳ No realizado</v>
      </c>
      <c r="D61" s="255" t="str">
        <f>IFERROR(
   CHOOSE(
      MATCH(VLOOKUP(LEFT(A108,6)&amp;"*",'Identificación genética'!A:C,2,FALSE),
               {"En proceso";"Finalizado"},0),
      "🔬 En proceso",
      "🎯 Finalizado"
   ),
"❌ NA")</f>
        <v>❌ NA</v>
      </c>
      <c r="E61" s="255" t="s">
        <v>85</v>
      </c>
      <c r="F61" s="50">
        <v>46000</v>
      </c>
      <c r="G61" t="str">
        <f>_xlfn.XLOOKUP(A61, Extraídas!A:A, Extraídas!G:G, "")</f>
        <v>Trebouxiophyceae</v>
      </c>
    </row>
    <row r="62" spans="1:7" x14ac:dyDescent="0.3">
      <c r="A62" s="629" t="s">
        <v>104</v>
      </c>
      <c r="B62" s="255" t="str">
        <f t="array" ref="B62">IFERROR(
   IF(INDEX([1]Extraídas!B:B,MATCH(LEFT($A62,6)&amp;"*",[1]Extraídas!A:A,0))="Extraídas",
      "✅ En proceso",
      IF(INDEX([1]Extraídas!B:B,MATCH(LEFT($A62,6)&amp;"*",[1]Extraídas!A:A,0))="Recibidas",
         "⏳ Pendiente","❌ No ingresada")),
   "❌ No ingresada"
)</f>
        <v>⏳ Pendiente</v>
      </c>
      <c r="C62" s="255" t="str">
        <f t="array" ref="C62">IFERROR(
   IF(INDEX([1]PCRs!B:B,MATCH(LEFT($A62,6)&amp;"*",[1]PCRs!A:A,0))="Positivo",
      "✅ Positivo",
      IF(INDEX([1]PCRs!B:B,MATCH(LEFT($A62,6)&amp;"*",[1]PCRs!A:A,0))="Negativo",
         "❌ Negativo",
         "⏳ No realizado")),
   "⏳ No realizado"
)</f>
        <v>⏳ No realizado</v>
      </c>
      <c r="D62" s="255" t="str">
        <f>IFERROR(
   CHOOSE(
      MATCH(VLOOKUP(LEFT(A109,6)&amp;"*",'Identificación genética'!A:C,2,FALSE),
               {"En proceso";"Finalizado"},0),
      "🔬 En proceso",
      "🎯 Finalizado"
   ),
"❌ NA")</f>
        <v>❌ NA</v>
      </c>
      <c r="E62" s="255" t="s">
        <v>85</v>
      </c>
      <c r="F62" s="32">
        <v>46000</v>
      </c>
      <c r="G62" t="str">
        <f>_xlfn.XLOOKUP(A62, Extraídas!A:A, Extraídas!G:G, "")</f>
        <v>Chlorophyceae</v>
      </c>
    </row>
    <row r="63" spans="1:7" x14ac:dyDescent="0.3">
      <c r="A63" s="628" t="s">
        <v>105</v>
      </c>
      <c r="B63" s="255" t="str">
        <f t="array" ref="B63">IFERROR(
   IF(INDEX([1]Extraídas!B:B,MATCH(LEFT($A63,6)&amp;"*",[1]Extraídas!A:A,0))="Extraídas",
      "✅ En proceso",
      IF(INDEX([1]Extraídas!B:B,MATCH(LEFT($A63,6)&amp;"*",[1]Extraídas!A:A,0))="Recibidas",
         "⏳ Pendiente","❌ No ingresada")),
   "❌ No ingresada"
)</f>
        <v>⏳ Pendiente</v>
      </c>
      <c r="C63" s="255" t="str">
        <f t="array" ref="C63">IFERROR(
   IF(INDEX([1]PCRs!B:B,MATCH(LEFT($A63,6)&amp;"*",[1]PCRs!A:A,0))="Positivo",
      "✅ Positivo",
      IF(INDEX([1]PCRs!B:B,MATCH(LEFT($A63,6)&amp;"*",[1]PCRs!A:A,0))="Negativo",
         "❌ Negativo",
         "⏳ No realizado")),
   "⏳ No realizado"
)</f>
        <v>⏳ No realizado</v>
      </c>
      <c r="D63" s="255" t="str">
        <f>IFERROR(
   CHOOSE(
      MATCH(VLOOKUP(LEFT(A110,6)&amp;"*",'Identificación genética'!A:C,2,FALSE),
               {"En proceso";"Finalizado"},0),
      "🔬 En proceso",
      "🎯 Finalizado"
   ),
"❌ NA")</f>
        <v>❌ NA</v>
      </c>
      <c r="E63" s="255" t="s">
        <v>85</v>
      </c>
      <c r="F63" s="7">
        <v>45957</v>
      </c>
      <c r="G63" t="str">
        <f>_xlfn.XLOOKUP(A63, Extraídas!A:A, Extraídas!G:G, "")</f>
        <v>Chlorophyceae</v>
      </c>
    </row>
    <row r="64" spans="1:7" x14ac:dyDescent="0.3">
      <c r="A64" s="628" t="s">
        <v>106</v>
      </c>
      <c r="B64" s="255" t="str">
        <f t="array" ref="B64">IFERROR(
   IF(INDEX([1]Extraídas!B:B,MATCH(LEFT($A64,6)&amp;"*",[1]Extraídas!A:A,0))="Extraídas",
      "✅ En proceso",
      IF(INDEX([1]Extraídas!B:B,MATCH(LEFT($A64,6)&amp;"*",[1]Extraídas!A:A,0))="Recibidas",
         "⏳ Pendiente","❌ No ingresada")),
   "❌ No ingresada"
)</f>
        <v>⏳ Pendiente</v>
      </c>
      <c r="C64" s="255" t="str">
        <f t="array" ref="C64">IFERROR(
   IF(INDEX([1]PCRs!B:B,MATCH(LEFT($A64,6)&amp;"*",[1]PCRs!A:A,0))="Positivo",
      "✅ Positivo",
      IF(INDEX([1]PCRs!B:B,MATCH(LEFT($A64,6)&amp;"*",[1]PCRs!A:A,0))="Negativo",
         "❌ Negativo",
         "⏳ No realizado")),
   "⏳ No realizado"
)</f>
        <v>⏳ No realizado</v>
      </c>
      <c r="D64" s="255" t="str">
        <f>IFERROR(
   CHOOSE(
      MATCH(VLOOKUP(LEFT(A111,6)&amp;"*",'Identificación genética'!A:C,2,FALSE),
               {"En proceso";"Finalizado"},0),
      "🔬 En proceso",
      "🎯 Finalizado"
   ),
"❌ NA")</f>
        <v>❌ NA</v>
      </c>
      <c r="E64" s="255" t="s">
        <v>85</v>
      </c>
      <c r="F64" s="50">
        <v>46000</v>
      </c>
      <c r="G64" t="str">
        <f>_xlfn.XLOOKUP(A64, Extraídas!A:A, Extraídas!G:G, "")</f>
        <v>Chlorophyceae</v>
      </c>
    </row>
    <row r="65" spans="1:7" x14ac:dyDescent="0.3">
      <c r="A65" s="629" t="s">
        <v>107</v>
      </c>
      <c r="B65" s="255" t="str">
        <f t="array" ref="B65">IFERROR(
   IF(INDEX([1]Extraídas!B:B,MATCH(LEFT($A65,6)&amp;"*",[1]Extraídas!A:A,0))="Extraídas",
      "✅ En proceso",
      IF(INDEX([1]Extraídas!B:B,MATCH(LEFT($A65,6)&amp;"*",[1]Extraídas!A:A,0))="Recibidas",
         "⏳ Pendiente","❌ No ingresada")),
   "❌ No ingresada"
)</f>
        <v>⏳ Pendiente</v>
      </c>
      <c r="C65" s="255" t="str">
        <f t="array" ref="C65">IFERROR(
   IF(INDEX([1]PCRs!B:B,MATCH(LEFT($A65,6)&amp;"*",[1]PCRs!A:A,0))="Positivo",
      "✅ Positivo",
      IF(INDEX([1]PCRs!B:B,MATCH(LEFT($A65,6)&amp;"*",[1]PCRs!A:A,0))="Negativo",
         "❌ Negativo",
         "⏳ No realizado")),
   "⏳ No realizado"
)</f>
        <v>⏳ No realizado</v>
      </c>
      <c r="D65" s="255" t="str">
        <f>IFERROR(
   CHOOSE(
      MATCH(VLOOKUP(LEFT(A112,6)&amp;"*",'Identificación genética'!A:C,2,FALSE),
               {"En proceso";"Finalizado"},0),
      "🔬 En proceso",
      "🎯 Finalizado"
   ),
"❌ NA")</f>
        <v>❌ NA</v>
      </c>
      <c r="E65" s="255" t="s">
        <v>85</v>
      </c>
      <c r="F65" s="53">
        <v>46000</v>
      </c>
      <c r="G65" t="str">
        <f>_xlfn.XLOOKUP(A65, Extraídas!A:A, Extraídas!G:G, "")</f>
        <v>Chlorophyceae</v>
      </c>
    </row>
    <row r="66" spans="1:7" x14ac:dyDescent="0.3">
      <c r="A66" s="628" t="s">
        <v>108</v>
      </c>
      <c r="B66" s="255" t="str">
        <f t="array" ref="B66">IFERROR(
   IF(INDEX([1]Extraídas!B:B,MATCH(LEFT($A66,6)&amp;"*",[1]Extraídas!A:A,0))="Extraídas",
      "✅ En proceso",
      IF(INDEX([1]Extraídas!B:B,MATCH(LEFT($A66,6)&amp;"*",[1]Extraídas!A:A,0))="Recibidas",
         "⏳ Pendiente","❌ No ingresada")),
   "❌ No ingresada"
)</f>
        <v>⏳ Pendiente</v>
      </c>
      <c r="C66" s="255" t="str">
        <f t="array" ref="C66">IFERROR(
   IF(INDEX([1]PCRs!B:B,MATCH(LEFT($A66,6)&amp;"*",[1]PCRs!A:A,0))="Positivo",
      "✅ Positivo",
      IF(INDEX([1]PCRs!B:B,MATCH(LEFT($A66,6)&amp;"*",[1]PCRs!A:A,0))="Negativo",
         "❌ Negativo",
         "⏳ No realizado")),
   "⏳ No realizado"
)</f>
        <v>⏳ No realizado</v>
      </c>
      <c r="D66" s="255" t="str">
        <f>IFERROR(
   CHOOSE(
      MATCH(VLOOKUP(LEFT(A113,6)&amp;"*",'Identificación genética'!A:C,2,FALSE),
               {"En proceso";"Finalizado"},0),
      "🔬 En proceso",
      "🎯 Finalizado"
   ),
"❌ NA")</f>
        <v>❌ NA</v>
      </c>
      <c r="E66" s="255" t="s">
        <v>85</v>
      </c>
      <c r="F66" s="50">
        <v>46000</v>
      </c>
      <c r="G66" t="str">
        <f>_xlfn.XLOOKUP(A66, Extraídas!A:A, Extraídas!G:G, "")</f>
        <v>Chlorophyceae</v>
      </c>
    </row>
    <row r="67" spans="1:7" x14ac:dyDescent="0.3">
      <c r="A67" s="629" t="s">
        <v>109</v>
      </c>
      <c r="B67" s="255" t="str">
        <f t="array" ref="B67">IFERROR(
   IF(INDEX([1]Extraídas!B:B,MATCH(LEFT($A67,6)&amp;"*",[1]Extraídas!A:A,0))="Extraídas",
      "✅ En proceso",
      IF(INDEX([1]Extraídas!B:B,MATCH(LEFT($A67,6)&amp;"*",[1]Extraídas!A:A,0))="Recibidas",
         "⏳ Pendiente","❌ No ingresada")),
   "❌ No ingresada"
)</f>
        <v>⏳ Pendiente</v>
      </c>
      <c r="C67" s="255" t="str">
        <f t="array" ref="C67">IFERROR(
   IF(INDEX([1]PCRs!B:B,MATCH(LEFT($A67,6)&amp;"*",[1]PCRs!A:A,0))="Positivo",
      "✅ Positivo",
      IF(INDEX([1]PCRs!B:B,MATCH(LEFT($A67,6)&amp;"*",[1]PCRs!A:A,0))="Negativo",
         "❌ Negativo",
         "⏳ No realizado")),
   "⏳ No realizado"
)</f>
        <v>⏳ No realizado</v>
      </c>
      <c r="D67" s="255" t="str">
        <f>IFERROR(
   CHOOSE(
      MATCH(VLOOKUP(LEFT(A114,6)&amp;"*",'Identificación genética'!A:C,2,FALSE),
               {"En proceso";"Finalizado"},0),
      "🔬 En proceso",
      "🎯 Finalizado"
   ),
"❌ NA")</f>
        <v>❌ NA</v>
      </c>
      <c r="E67" s="255" t="s">
        <v>85</v>
      </c>
      <c r="F67" s="7">
        <v>45957</v>
      </c>
      <c r="G67" t="str">
        <f>_xlfn.XLOOKUP(A67, Extraídas!A:A, Extraídas!G:G, "")</f>
        <v>Trebouxiophyceae</v>
      </c>
    </row>
    <row r="68" spans="1:7" x14ac:dyDescent="0.3">
      <c r="A68" s="628" t="s">
        <v>110</v>
      </c>
      <c r="B68" s="255" t="str">
        <f t="array" ref="B68">IFERROR(
   IF(INDEX([1]Extraídas!B:B,MATCH(LEFT($A68,6)&amp;"*",[1]Extraídas!A:A,0))="Extraídas",
      "✅ En proceso",
      IF(INDEX([1]Extraídas!B:B,MATCH(LEFT($A68,6)&amp;"*",[1]Extraídas!A:A,0))="Recibidas",
         "⏳ Pendiente","❌ No ingresada")),
   "❌ No ingresada"
)</f>
        <v>⏳ Pendiente</v>
      </c>
      <c r="C68" s="255" t="str">
        <f t="array" ref="C68">IFERROR(
   IF(INDEX([1]PCRs!B:B,MATCH(LEFT($A68,6)&amp;"*",[1]PCRs!A:A,0))="Positivo",
      "✅ Positivo",
      IF(INDEX([1]PCRs!B:B,MATCH(LEFT($A68,6)&amp;"*",[1]PCRs!A:A,0))="Negativo",
         "❌ Negativo",
         "⏳ No realizado")),
   "⏳ No realizado"
)</f>
        <v>⏳ No realizado</v>
      </c>
      <c r="D68" s="255" t="str">
        <f>IFERROR(
   CHOOSE(
      MATCH(VLOOKUP(LEFT(A115,6)&amp;"*",'Identificación genética'!A:C,2,FALSE),
               {"En proceso";"Finalizado"},0),
      "🔬 En proceso",
      "🎯 Finalizado"
   ),
"❌ NA")</f>
        <v>❌ NA</v>
      </c>
      <c r="E68" s="255" t="s">
        <v>85</v>
      </c>
      <c r="F68" s="7">
        <v>45957</v>
      </c>
      <c r="G68" t="str">
        <f>_xlfn.XLOOKUP(A68, Extraídas!A:A, Extraídas!G:G, "")</f>
        <v>Trebouxiophyceae</v>
      </c>
    </row>
    <row r="69" spans="1:7" x14ac:dyDescent="0.3">
      <c r="A69" s="629" t="s">
        <v>111</v>
      </c>
      <c r="B69" s="255" t="str">
        <f t="array" ref="B69">IFERROR(
   IF(INDEX([1]Extraídas!B:B,MATCH(LEFT($A69,6)&amp;"*",[1]Extraídas!A:A,0))="Extraídas",
      "✅ En proceso",
      IF(INDEX([1]Extraídas!B:B,MATCH(LEFT($A69,6)&amp;"*",[1]Extraídas!A:A,0))="Recibidas",
         "⏳ Pendiente","❌ No ingresada")),
   "❌ No ingresada"
)</f>
        <v>⏳ Pendiente</v>
      </c>
      <c r="C69" s="255" t="str">
        <f t="array" ref="C69">IFERROR(
   IF(INDEX([1]PCRs!B:B,MATCH(LEFT($A69,6)&amp;"*",[1]PCRs!A:A,0))="Positivo",
      "✅ Positivo",
      IF(INDEX([1]PCRs!B:B,MATCH(LEFT($A69,6)&amp;"*",[1]PCRs!A:A,0))="Negativo",
         "❌ Negativo",
         "⏳ No realizado")),
   "⏳ No realizado"
)</f>
        <v>⏳ No realizado</v>
      </c>
      <c r="D69" s="255" t="str">
        <f>IFERROR(
   CHOOSE(
      MATCH(VLOOKUP(LEFT(A116,6)&amp;"*",'Identificación genética'!A:C,2,FALSE),
               {"En proceso";"Finalizado"},0),
      "🔬 En proceso",
      "🎯 Finalizado"
   ),
"❌ NA")</f>
        <v>❌ NA</v>
      </c>
      <c r="E69" s="255" t="s">
        <v>85</v>
      </c>
      <c r="F69" s="7">
        <v>45957</v>
      </c>
      <c r="G69" t="str">
        <f>_xlfn.XLOOKUP(A69, Extraídas!A:A, Extraídas!G:G, "")</f>
        <v>Trebouxiophyceae</v>
      </c>
    </row>
    <row r="70" spans="1:7" x14ac:dyDescent="0.3">
      <c r="A70" s="628" t="s">
        <v>112</v>
      </c>
      <c r="B70" s="255" t="str">
        <f t="array" ref="B70">IFERROR(
   IF(INDEX([1]Extraídas!B:B,MATCH(LEFT($A70,6)&amp;"*",[1]Extraídas!A:A,0))="Extraídas",
      "✅ En proceso",
      IF(INDEX([1]Extraídas!B:B,MATCH(LEFT($A70,6)&amp;"*",[1]Extraídas!A:A,0))="Recibidas",
         "⏳ Pendiente","❌ No ingresada")),
   "❌ No ingresada"
)</f>
        <v>✅ En proceso</v>
      </c>
      <c r="C70" s="255" t="str">
        <f t="array" ref="C70">IFERROR(
   IF(INDEX([1]PCRs!B:B,MATCH(LEFT($A70,6)&amp;"*",[1]PCRs!A:A,0))="Positivo",
      "✅ Positivo",
      IF(INDEX([1]PCRs!B:B,MATCH(LEFT($A70,6)&amp;"*",[1]PCRs!A:A,0))="Negativo",
         "❌ Negativo",
         "⏳ No realizado")),
   "⏳ No realizado"
)</f>
        <v>⏳ No realizado</v>
      </c>
      <c r="D70" s="255" t="str">
        <f>IFERROR(
   CHOOSE(
      MATCH(VLOOKUP(LEFT(A117,6)&amp;"*",'Identificación genética'!A:C,2,FALSE),
               {"En proceso";"Finalizado"},0),
      "🔬 En proceso",
      "🎯 Finalizado"
   ),
"❌ NA")</f>
        <v>❌ NA</v>
      </c>
      <c r="E70" s="255" t="s">
        <v>85</v>
      </c>
      <c r="F70" s="7">
        <v>45957</v>
      </c>
      <c r="G70" t="str">
        <f>_xlfn.XLOOKUP(A70, Extraídas!A:A, Extraídas!G:G, "")</f>
        <v>Trebouxiophyceae</v>
      </c>
    </row>
    <row r="71" spans="1:7" x14ac:dyDescent="0.3">
      <c r="A71" s="629" t="s">
        <v>114</v>
      </c>
      <c r="B71" s="255" t="str">
        <f t="array" ref="B71">IFERROR(
   IF(INDEX([1]Extraídas!B:B,MATCH(LEFT($A71,6)&amp;"*",[1]Extraídas!A:A,0))="Extraídas",
      "✅ En proceso",
      IF(INDEX([1]Extraídas!B:B,MATCH(LEFT($A71,6)&amp;"*",[1]Extraídas!A:A,0))="Recibidas",
         "⏳ Pendiente","❌ No ingresada")),
   "❌ No ingresada"
)</f>
        <v>✅ En proceso</v>
      </c>
      <c r="C71" s="255" t="str">
        <f t="array" ref="C71">IFERROR(
   IF(INDEX([1]PCRs!B:B,MATCH(LEFT($A71,6)&amp;"*",[1]PCRs!A:A,0))="Positivo",
      "✅ Positivo",
      IF(INDEX([1]PCRs!B:B,MATCH(LEFT($A71,6)&amp;"*",[1]PCRs!A:A,0))="Negativo",
         "❌ Negativo",
         "⏳ No realizado")),
   "⏳ No realizado"
)</f>
        <v>⏳ No realizado</v>
      </c>
      <c r="D71" s="255" t="str">
        <f>IFERROR(
   CHOOSE(
      MATCH(VLOOKUP(LEFT(A118,6)&amp;"*",'Identificación genética'!A:C,2,FALSE),
               {"En proceso";"Finalizado"},0),
      "🔬 En proceso",
      "🎯 Finalizado"
   ),
"❌ NA")</f>
        <v>❌ NA</v>
      </c>
      <c r="E71" s="255" t="s">
        <v>85</v>
      </c>
      <c r="F71" s="54">
        <v>45957</v>
      </c>
      <c r="G71" t="str">
        <f>_xlfn.XLOOKUP(A71, Extraídas!A:A, Extraídas!G:G, "")</f>
        <v>Trebouxiophyceae</v>
      </c>
    </row>
    <row r="72" spans="1:7" x14ac:dyDescent="0.3">
      <c r="A72" s="629" t="s">
        <v>115</v>
      </c>
      <c r="B72" s="255" t="str">
        <f t="array" ref="B72">IFERROR(
   IF(INDEX([1]Extraídas!B:B,MATCH(LEFT($A72,6)&amp;"*",[1]Extraídas!A:A,0))="Extraídas",
      "✅ En proceso",
      IF(INDEX([1]Extraídas!B:B,MATCH(LEFT($A72,6)&amp;"*",[1]Extraídas!A:A,0))="Recibidas",
         "⏳ Pendiente","❌ No ingresada")),
   "❌ No ingresada"
)</f>
        <v>✅ En proceso</v>
      </c>
      <c r="C72" s="255" t="str">
        <f t="array" ref="C72">IFERROR(
   IF(INDEX([1]PCRs!B:B,MATCH(LEFT($A72,6)&amp;"*",[1]PCRs!A:A,0))="Positivo",
      "✅ Positivo",
      IF(INDEX([1]PCRs!B:B,MATCH(LEFT($A72,6)&amp;"*",[1]PCRs!A:A,0))="Negativo",
         "❌ Negativo",
         "⏳ No realizado")),
   "⏳ No realizado"
)</f>
        <v>⏳ No realizado</v>
      </c>
      <c r="D72" s="255" t="str">
        <f>IFERROR(
   CHOOSE(
      MATCH(VLOOKUP(LEFT(A119,6)&amp;"*",'Identificación genética'!A:C,2,FALSE),
               {"En proceso";"Finalizado"},0),
      "🔬 En proceso",
      "🎯 Finalizado"
   ),
"❌ NA")</f>
        <v>❌ NA</v>
      </c>
      <c r="E72" s="255" t="s">
        <v>85</v>
      </c>
      <c r="F72" s="32">
        <v>46000</v>
      </c>
      <c r="G72" t="str">
        <f>_xlfn.XLOOKUP(A72, Extraídas!A:A, Extraídas!G:G, "")</f>
        <v>Trebouxiophyceae</v>
      </c>
    </row>
    <row r="73" spans="1:7" x14ac:dyDescent="0.3">
      <c r="A73" s="628" t="s">
        <v>116</v>
      </c>
      <c r="B73" s="255" t="str">
        <f t="array" ref="B73">IFERROR(
   IF(INDEX([1]Extraídas!B:B,MATCH(LEFT($A73,6)&amp;"*",[1]Extraídas!A:A,0))="Extraídas",
      "✅ En proceso",
      IF(INDEX([1]Extraídas!B:B,MATCH(LEFT($A73,6)&amp;"*",[1]Extraídas!A:A,0))="Recibidas",
         "⏳ Pendiente","❌ No ingresada")),
   "❌ No ingresada"
)</f>
        <v>✅ En proceso</v>
      </c>
      <c r="C73" s="255" t="str">
        <f t="array" ref="C73">IFERROR(
   IF(INDEX([1]PCRs!B:B,MATCH(LEFT($A73,6)&amp;"*",[1]PCRs!A:A,0))="Positivo",
      "✅ Positivo",
      IF(INDEX([1]PCRs!B:B,MATCH(LEFT($A73,6)&amp;"*",[1]PCRs!A:A,0))="Negativo",
         "❌ Negativo",
         "⏳ No realizado")),
   "⏳ No realizado"
)</f>
        <v>⏳ No realizado</v>
      </c>
      <c r="D73" s="255" t="str">
        <f>IFERROR(
   CHOOSE(
      MATCH(VLOOKUP(LEFT(A120,6)&amp;"*",'Identificación genética'!A:C,2,FALSE),
               {"En proceso";"Finalizado"},0),
      "🔬 En proceso",
      "🎯 Finalizado"
   ),
"❌ NA")</f>
        <v>❌ NA</v>
      </c>
      <c r="E73" s="255" t="s">
        <v>85</v>
      </c>
      <c r="F73" s="54">
        <v>45947</v>
      </c>
      <c r="G73" t="str">
        <f>_xlfn.XLOOKUP(A73, Extraídas!A:A, Extraídas!G:G, "")</f>
        <v>Cyanobacteria</v>
      </c>
    </row>
    <row r="74" spans="1:7" x14ac:dyDescent="0.3">
      <c r="A74" s="628" t="s">
        <v>117</v>
      </c>
      <c r="B74" s="255" t="str">
        <f t="array" ref="B74">IFERROR(
   IF(INDEX([1]Extraídas!B:B,MATCH(LEFT($A74,6)&amp;"*",[1]Extraídas!A:A,0))="Extraídas",
      "✅ En proceso",
      IF(INDEX([1]Extraídas!B:B,MATCH(LEFT($A74,6)&amp;"*",[1]Extraídas!A:A,0))="Recibidas",
         "⏳ Pendiente","❌ No ingresada")),
   "❌ No ingresada"
)</f>
        <v>✅ En proceso</v>
      </c>
      <c r="C74" s="255" t="str">
        <f t="array" ref="C74">IFERROR(
   IF(INDEX([1]PCRs!B:B,MATCH(LEFT($A74,6)&amp;"*",[1]PCRs!A:A,0))="Positivo",
      "✅ Positivo",
      IF(INDEX([1]PCRs!B:B,MATCH(LEFT($A74,6)&amp;"*",[1]PCRs!A:A,0))="Negativo",
         "❌ Negativo",
         "⏳ No realizado")),
   "⏳ No realizado"
)</f>
        <v>⏳ No realizado</v>
      </c>
      <c r="D74" s="255" t="str">
        <f>IFERROR(
   CHOOSE(
      MATCH(VLOOKUP(LEFT(A121,6)&amp;"*",'Identificación genética'!A:C,2,FALSE),
               {"En proceso";"Finalizado"},0),
      "🔬 En proceso",
      "🎯 Finalizado"
   ),
"❌ NA")</f>
        <v>❌ NA</v>
      </c>
      <c r="E74" s="255" t="s">
        <v>85</v>
      </c>
      <c r="F74" s="50">
        <v>46000</v>
      </c>
      <c r="G74" t="str">
        <f>_xlfn.XLOOKUP(A74, Extraídas!A:A, Extraídas!G:G, "")</f>
        <v>Chlorophyceae</v>
      </c>
    </row>
    <row r="75" spans="1:7" x14ac:dyDescent="0.3">
      <c r="A75" s="629" t="s">
        <v>118</v>
      </c>
      <c r="B75" s="255" t="str">
        <f t="array" ref="B75">IFERROR(
   IF(INDEX([1]Extraídas!B:B,MATCH(LEFT($A75,6)&amp;"*",[1]Extraídas!A:A,0))="Extraídas",
      "✅ En proceso",
      IF(INDEX([1]Extraídas!B:B,MATCH(LEFT($A75,6)&amp;"*",[1]Extraídas!A:A,0))="Recibidas",
         "⏳ Pendiente","❌ No ingresada")),
   "❌ No ingresada"
)</f>
        <v>✅ En proceso</v>
      </c>
      <c r="C75" s="255" t="str">
        <f t="array" ref="C75">IFERROR(
   IF(INDEX([1]PCRs!B:B,MATCH(LEFT($A75,6)&amp;"*",[1]PCRs!A:A,0))="Positivo",
      "✅ Positivo",
      IF(INDEX([1]PCRs!B:B,MATCH(LEFT($A75,6)&amp;"*",[1]PCRs!A:A,0))="Negativo",
         "❌ Negativo",
         "⏳ No realizado")),
   "⏳ No realizado"
)</f>
        <v>⏳ No realizado</v>
      </c>
      <c r="D75" s="255" t="str">
        <f>IFERROR(
   CHOOSE(
      MATCH(VLOOKUP(LEFT(A122,6)&amp;"*",'Identificación genética'!A:C,2,FALSE),
               {"En proceso";"Finalizado"},0),
      "🔬 En proceso",
      "🎯 Finalizado"
   ),
"❌ NA")</f>
        <v>❌ NA</v>
      </c>
      <c r="E75" s="255" t="s">
        <v>85</v>
      </c>
      <c r="F75" s="32">
        <v>46000</v>
      </c>
      <c r="G75" t="str">
        <f>_xlfn.XLOOKUP(A75, Extraídas!A:A, Extraídas!G:G, "")</f>
        <v>Chlorophyceae</v>
      </c>
    </row>
    <row r="76" spans="1:7" x14ac:dyDescent="0.3">
      <c r="A76" s="628" t="s">
        <v>119</v>
      </c>
      <c r="B76" s="255" t="str">
        <f t="array" ref="B76">IFERROR(
   IF(INDEX([1]Extraídas!B:B,MATCH(LEFT($A76,6)&amp;"*",[1]Extraídas!A:A,0))="Extraídas",
      "✅ En proceso",
      IF(INDEX([1]Extraídas!B:B,MATCH(LEFT($A76,6)&amp;"*",[1]Extraídas!A:A,0))="Recibidas",
         "⏳ Pendiente","❌ No ingresada")),
   "❌ No ingresada"
)</f>
        <v>✅ En proceso</v>
      </c>
      <c r="C76" s="255" t="str">
        <f t="array" ref="C76">IFERROR(
   IF(INDEX([1]PCRs!B:B,MATCH(LEFT($A76,6)&amp;"*",[1]PCRs!A:A,0))="Positivo",
      "✅ Positivo",
      IF(INDEX([1]PCRs!B:B,MATCH(LEFT($A76,6)&amp;"*",[1]PCRs!A:A,0))="Negativo",
         "❌ Negativo",
         "⏳ No realizado")),
   "⏳ No realizado"
)</f>
        <v>⏳ No realizado</v>
      </c>
      <c r="D76" s="255" t="str">
        <f>IFERROR(
   CHOOSE(
      MATCH(VLOOKUP(LEFT(A123,6)&amp;"*",'Identificación genética'!A:C,2,FALSE),
               {"En proceso";"Finalizado"},0),
      "🔬 En proceso",
      "🎯 Finalizado"
   ),
"❌ NA")</f>
        <v>❌ NA</v>
      </c>
      <c r="E76" s="255" t="s">
        <v>85</v>
      </c>
      <c r="F76" s="50">
        <v>46000</v>
      </c>
      <c r="G76" t="str">
        <f>_xlfn.XLOOKUP(A76, Extraídas!A:A, Extraídas!G:G, "")</f>
        <v>Chlorophyceae</v>
      </c>
    </row>
    <row r="77" spans="1:7" x14ac:dyDescent="0.3">
      <c r="A77" s="629" t="s">
        <v>120</v>
      </c>
      <c r="B77" s="255" t="str">
        <f t="array" ref="B77">IFERROR(
   IF(INDEX([1]Extraídas!B:B,MATCH(LEFT($A77,6)&amp;"*",[1]Extraídas!A:A,0))="Extraídas",
      "✅ En proceso",
      IF(INDEX([1]Extraídas!B:B,MATCH(LEFT($A77,6)&amp;"*",[1]Extraídas!A:A,0))="Recibidas",
         "⏳ Pendiente","❌ No ingresada")),
   "❌ No ingresada"
)</f>
        <v>✅ En proceso</v>
      </c>
      <c r="C77" s="255" t="str">
        <f t="array" ref="C77">IFERROR(
   IF(INDEX([1]PCRs!B:B,MATCH(LEFT($A77,6)&amp;"*",[1]PCRs!A:A,0))="Positivo",
      "✅ Positivo",
      IF(INDEX([1]PCRs!B:B,MATCH(LEFT($A77,6)&amp;"*",[1]PCRs!A:A,0))="Negativo",
         "❌ Negativo",
         "⏳ No realizado")),
   "⏳ No realizado"
)</f>
        <v>⏳ No realizado</v>
      </c>
      <c r="D77" s="255" t="str">
        <f>IFERROR(
   CHOOSE(
      MATCH(VLOOKUP(LEFT(A124,6)&amp;"*",'Identificación genética'!A:C,2,FALSE),
               {"En proceso";"Finalizado"},0),
      "🔬 En proceso",
      "🎯 Finalizado"
   ),
"❌ NA")</f>
        <v>❌ NA</v>
      </c>
      <c r="E77" s="255" t="s">
        <v>85</v>
      </c>
      <c r="F77" s="32">
        <v>46000</v>
      </c>
      <c r="G77" t="str">
        <f>_xlfn.XLOOKUP(A77, Extraídas!A:A, Extraídas!G:G, "")</f>
        <v>Chlorophyceae</v>
      </c>
    </row>
    <row r="78" spans="1:7" x14ac:dyDescent="0.3">
      <c r="A78" s="628" t="s">
        <v>121</v>
      </c>
      <c r="B78" s="255" t="str">
        <f t="array" ref="B78">IFERROR(
   IF(INDEX([1]Extraídas!B:B,MATCH(LEFT($A78,6)&amp;"*",[1]Extraídas!A:A,0))="Extraídas",
      "✅ En proceso",
      IF(INDEX([1]Extraídas!B:B,MATCH(LEFT($A78,6)&amp;"*",[1]Extraídas!A:A,0))="Recibidas",
         "⏳ Pendiente","❌ No ingresada")),
   "❌ No ingresada"
)</f>
        <v>✅ En proceso</v>
      </c>
      <c r="C78" s="255" t="str">
        <f t="array" ref="C78">IFERROR(
   IF(INDEX([1]PCRs!B:B,MATCH(LEFT($A78,6)&amp;"*",[1]PCRs!A:A,0))="Positivo",
      "✅ Positivo",
      IF(INDEX([1]PCRs!B:B,MATCH(LEFT($A78,6)&amp;"*",[1]PCRs!A:A,0))="Negativo",
         "❌ Negativo",
         "⏳ No realizado")),
   "⏳ No realizado"
)</f>
        <v>⏳ No realizado</v>
      </c>
      <c r="D78" s="255" t="str">
        <f>IFERROR(
   CHOOSE(
      MATCH(VLOOKUP(LEFT(A125,6)&amp;"*",'Identificación genética'!A:C,2,FALSE),
               {"En proceso";"Finalizado"},0),
      "🔬 En proceso",
      "🎯 Finalizado"
   ),
"❌ NA")</f>
        <v>❌ NA</v>
      </c>
      <c r="E78" s="255" t="s">
        <v>85</v>
      </c>
      <c r="F78" s="7">
        <v>45957</v>
      </c>
      <c r="G78" t="str">
        <f>_xlfn.XLOOKUP(A78, Extraídas!A:A, Extraídas!G:G, "")</f>
        <v>Trebouxiophyceae</v>
      </c>
    </row>
    <row r="79" spans="1:7" x14ac:dyDescent="0.3">
      <c r="A79" s="629" t="s">
        <v>122</v>
      </c>
      <c r="B79" s="255" t="str">
        <f t="array" ref="B79">IFERROR(
   IF(INDEX([1]Extraídas!B:B,MATCH(LEFT($A79,6)&amp;"*",[1]Extraídas!A:A,0))="Extraídas",
      "✅ En proceso",
      IF(INDEX([1]Extraídas!B:B,MATCH(LEFT($A79,6)&amp;"*",[1]Extraídas!A:A,0))="Recibidas",
         "⏳ Pendiente","❌ No ingresada")),
   "❌ No ingresada"
)</f>
        <v>✅ En proceso</v>
      </c>
      <c r="C79" s="255" t="str">
        <f t="array" ref="C79">IFERROR(
   IF(INDEX([1]PCRs!B:B,MATCH(LEFT($A79,6)&amp;"*",[1]PCRs!A:A,0))="Positivo",
      "✅ Positivo",
      IF(INDEX([1]PCRs!B:B,MATCH(LEFT($A79,6)&amp;"*",[1]PCRs!A:A,0))="Negativo",
         "❌ Negativo",
         "⏳ No realizado")),
   "⏳ No realizado"
)</f>
        <v>⏳ No realizado</v>
      </c>
      <c r="D79" s="255" t="str">
        <f>IFERROR(
   CHOOSE(
      MATCH(VLOOKUP(LEFT(A126,6)&amp;"*",'Identificación genética'!A:C,2,FALSE),
               {"En proceso";"Finalizado"},0),
      "🔬 En proceso",
      "🎯 Finalizado"
   ),
"❌ NA")</f>
        <v>❌ NA</v>
      </c>
      <c r="E79" s="255" t="s">
        <v>85</v>
      </c>
      <c r="F79" s="53">
        <v>45979</v>
      </c>
      <c r="G79" t="str">
        <f>_xlfn.XLOOKUP(A79, Extraídas!A:A, Extraídas!G:G, "")</f>
        <v>Trebouxiophyceae</v>
      </c>
    </row>
    <row r="80" spans="1:7" x14ac:dyDescent="0.3">
      <c r="A80" s="628" t="s">
        <v>123</v>
      </c>
      <c r="B80" s="255" t="str">
        <f t="array" ref="B80">IFERROR(
   IF(INDEX([1]Extraídas!B:B,MATCH(LEFT($A80,6)&amp;"*",[1]Extraídas!A:A,0))="Extraídas",
      "✅ En proceso",
      IF(INDEX([1]Extraídas!B:B,MATCH(LEFT($A80,6)&amp;"*",[1]Extraídas!A:A,0))="Recibidas",
         "⏳ Pendiente","❌ No ingresada")),
   "❌ No ingresada"
)</f>
        <v>✅ En proceso</v>
      </c>
      <c r="C80" s="255" t="str">
        <f t="array" ref="C80">IFERROR(
   IF(INDEX([1]PCRs!B:B,MATCH(LEFT($A80,6)&amp;"*",[1]PCRs!A:A,0))="Positivo",
      "✅ Positivo",
      IF(INDEX([1]PCRs!B:B,MATCH(LEFT($A80,6)&amp;"*",[1]PCRs!A:A,0))="Negativo",
         "❌ Negativo",
         "⏳ No realizado")),
   "⏳ No realizado"
)</f>
        <v>⏳ No realizado</v>
      </c>
      <c r="D80" s="255" t="str">
        <f>IFERROR(
   CHOOSE(
      MATCH(VLOOKUP(LEFT(A127,6)&amp;"*",'Identificación genética'!A:C,2,FALSE),
               {"En proceso";"Finalizado"},0),
      "🔬 En proceso",
      "🎯 Finalizado"
   ),
"❌ NA")</f>
        <v>❌ NA</v>
      </c>
      <c r="E80" s="255" t="s">
        <v>85</v>
      </c>
      <c r="F80" s="55">
        <v>45979</v>
      </c>
      <c r="G80" t="str">
        <f>_xlfn.XLOOKUP(A80, Extraídas!A:A, Extraídas!G:G, "")</f>
        <v>Trebouxiophyceae</v>
      </c>
    </row>
    <row r="81" spans="1:7" x14ac:dyDescent="0.3">
      <c r="A81" s="629" t="s">
        <v>124</v>
      </c>
      <c r="B81" s="255" t="str">
        <f t="array" ref="B81">IFERROR(
   IF(INDEX([1]Extraídas!B:B,MATCH(LEFT($A81,6)&amp;"*",[1]Extraídas!A:A,0))="Extraídas",
      "✅ En proceso",
      IF(INDEX([1]Extraídas!B:B,MATCH(LEFT($A81,6)&amp;"*",[1]Extraídas!A:A,0))="Recibidas",
         "⏳ Pendiente","❌ No ingresada")),
   "❌ No ingresada"
)</f>
        <v>✅ En proceso</v>
      </c>
      <c r="C81" s="255" t="str">
        <f t="array" ref="C81">IFERROR(
   IF(INDEX([1]PCRs!B:B,MATCH(LEFT($A81,6)&amp;"*",[1]PCRs!A:A,0))="Positivo",
      "✅ Positivo",
      IF(INDEX([1]PCRs!B:B,MATCH(LEFT($A81,6)&amp;"*",[1]PCRs!A:A,0))="Negativo",
         "❌ Negativo",
         "⏳ No realizado")),
   "⏳ No realizado"
)</f>
        <v>⏳ No realizado</v>
      </c>
      <c r="D81" s="255" t="str">
        <f>IFERROR(
   CHOOSE(
      MATCH(VLOOKUP(LEFT(A128,6)&amp;"*",'Identificación genética'!A:C,2,FALSE),
               {"En proceso";"Finalizado"},0),
      "🔬 En proceso",
      "🎯 Finalizado"
   ),
"❌ NA")</f>
        <v>❌ NA</v>
      </c>
      <c r="E81" s="255" t="s">
        <v>85</v>
      </c>
      <c r="F81" s="54">
        <v>45968</v>
      </c>
      <c r="G81" t="str">
        <f>_xlfn.XLOOKUP(A81, Extraídas!A:A, Extraídas!G:G, "")</f>
        <v>Trebouxiophyceae</v>
      </c>
    </row>
    <row r="82" spans="1:7" x14ac:dyDescent="0.3">
      <c r="A82" s="629" t="s">
        <v>125</v>
      </c>
      <c r="B82" s="255" t="str">
        <f t="array" ref="B82">IFERROR(
   IF(INDEX([1]Extraídas!B:B,MATCH(LEFT($A82,6)&amp;"*",[1]Extraídas!A:A,0))="Extraídas",
      "✅ En proceso",
      IF(INDEX([1]Extraídas!B:B,MATCH(LEFT($A82,6)&amp;"*",[1]Extraídas!A:A,0))="Recibidas",
         "⏳ Pendiente","❌ No ingresada")),
   "❌ No ingresada"
)</f>
        <v>✅ En proceso</v>
      </c>
      <c r="C82" s="255" t="str">
        <f t="array" ref="C82">IFERROR(
   IF(INDEX([1]PCRs!B:B,MATCH(LEFT($A82,6)&amp;"*",[1]PCRs!A:A,0))="Positivo",
      "✅ Positivo",
      IF(INDEX([1]PCRs!B:B,MATCH(LEFT($A82,6)&amp;"*",[1]PCRs!A:A,0))="Negativo",
         "❌ Negativo",
         "⏳ No realizado")),
   "⏳ No realizado"
)</f>
        <v>⏳ No realizado</v>
      </c>
      <c r="D82" s="255" t="str">
        <f>IFERROR(
   CHOOSE(
      MATCH(VLOOKUP(LEFT(A129,6)&amp;"*",'Identificación genética'!A:C,2,FALSE),
               {"En proceso";"Finalizado"},0),
      "🔬 En proceso",
      "🎯 Finalizado"
   ),
"❌ NA")</f>
        <v>❌ NA</v>
      </c>
      <c r="E82" s="255" t="s">
        <v>85</v>
      </c>
      <c r="F82" s="54">
        <v>45957</v>
      </c>
      <c r="G82" t="str">
        <f>_xlfn.XLOOKUP(A82, Extraídas!A:A, Extraídas!G:G, "")</f>
        <v>Chlorophyceae</v>
      </c>
    </row>
    <row r="83" spans="1:7" x14ac:dyDescent="0.3">
      <c r="A83" s="628" t="s">
        <v>126</v>
      </c>
      <c r="B83" s="255" t="str">
        <f t="array" ref="B83">IFERROR(
   IF(INDEX([1]Extraídas!B:B,MATCH(LEFT($A83,6)&amp;"*",[1]Extraídas!A:A,0))="Extraídas",
      "✅ En proceso",
      IF(INDEX([1]Extraídas!B:B,MATCH(LEFT($A83,6)&amp;"*",[1]Extraídas!A:A,0))="Recibidas",
         "⏳ Pendiente","❌ No ingresada")),
   "❌ No ingresada"
)</f>
        <v>✅ En proceso</v>
      </c>
      <c r="C83" s="255" t="str">
        <f t="array" ref="C83">IFERROR(
   IF(INDEX([1]PCRs!B:B,MATCH(LEFT($A83,6)&amp;"*",[1]PCRs!A:A,0))="Positivo",
      "✅ Positivo",
      IF(INDEX([1]PCRs!B:B,MATCH(LEFT($A83,6)&amp;"*",[1]PCRs!A:A,0))="Negativo",
         "❌ Negativo",
         "⏳ No realizado")),
   "⏳ No realizado"
)</f>
        <v>⏳ No realizado</v>
      </c>
      <c r="D83" s="255" t="str">
        <f>IFERROR(
   CHOOSE(
      MATCH(VLOOKUP(LEFT(A130,6)&amp;"*",'Identificación genética'!A:C,2,FALSE),
               {"En proceso";"Finalizado"},0),
      "🔬 En proceso",
      "🎯 Finalizado"
   ),
"❌ NA")</f>
        <v>❌ NA</v>
      </c>
      <c r="E83" s="255" t="s">
        <v>85</v>
      </c>
      <c r="F83" s="55">
        <v>46000</v>
      </c>
      <c r="G83" t="str">
        <f>_xlfn.XLOOKUP(A83, Extraídas!A:A, Extraídas!G:G, "")</f>
        <v>Chlorophyceae</v>
      </c>
    </row>
    <row r="84" spans="1:7" x14ac:dyDescent="0.3">
      <c r="A84" s="629" t="s">
        <v>127</v>
      </c>
      <c r="B84" s="255" t="str">
        <f t="array" ref="B84">IFERROR(
   IF(INDEX([1]Extraídas!B:B,MATCH(LEFT($A84,6)&amp;"*",[1]Extraídas!A:A,0))="Extraídas",
      "✅ En proceso",
      IF(INDEX([1]Extraídas!B:B,MATCH(LEFT($A84,6)&amp;"*",[1]Extraídas!A:A,0))="Recibidas",
         "⏳ Pendiente","❌ No ingresada")),
   "❌ No ingresada"
)</f>
        <v>✅ En proceso</v>
      </c>
      <c r="C84" s="255" t="str">
        <f t="array" ref="C84">IFERROR(
   IF(INDEX([1]PCRs!B:B,MATCH(LEFT($A84,6)&amp;"*",[1]PCRs!A:A,0))="Positivo",
      "✅ Positivo",
      IF(INDEX([1]PCRs!B:B,MATCH(LEFT($A84,6)&amp;"*",[1]PCRs!A:A,0))="Negativo",
         "❌ Negativo",
         "⏳ No realizado")),
   "⏳ No realizado"
)</f>
        <v>⏳ No realizado</v>
      </c>
      <c r="D84" s="255" t="str">
        <f>IFERROR(
   CHOOSE(
      MATCH(VLOOKUP(LEFT(A131,6)&amp;"*",'Identificación genética'!A:C,2,FALSE),
               {"En proceso";"Finalizado"},0),
      "🔬 En proceso",
      "🎯 Finalizado"
   ),
"❌ NA")</f>
        <v>❌ NA</v>
      </c>
      <c r="E84" s="255" t="s">
        <v>85</v>
      </c>
      <c r="F84" s="53">
        <v>46000</v>
      </c>
      <c r="G84" t="str">
        <f>_xlfn.XLOOKUP(A84, Extraídas!A:A, Extraídas!G:G, "")</f>
        <v>Chlorophyceae</v>
      </c>
    </row>
    <row r="85" spans="1:7" x14ac:dyDescent="0.3">
      <c r="A85" s="628" t="s">
        <v>128</v>
      </c>
      <c r="B85" s="255" t="str">
        <f t="array" ref="B85">IFERROR(
   IF(INDEX([1]Extraídas!B:B,MATCH(LEFT($A85,6)&amp;"*",[1]Extraídas!A:A,0))="Extraídas",
      "✅ En proceso",
      IF(INDEX([1]Extraídas!B:B,MATCH(LEFT($A85,6)&amp;"*",[1]Extraídas!A:A,0))="Recibidas",
         "⏳ Pendiente","❌ No ingresada")),
   "❌ No ingresada"
)</f>
        <v>✅ En proceso</v>
      </c>
      <c r="C85" s="255" t="str">
        <f t="array" ref="C85">IFERROR(
   IF(INDEX([1]PCRs!B:B,MATCH(LEFT($A85,6)&amp;"*",[1]PCRs!A:A,0))="Positivo",
      "✅ Positivo",
      IF(INDEX([1]PCRs!B:B,MATCH(LEFT($A85,6)&amp;"*",[1]PCRs!A:A,0))="Negativo",
         "❌ Negativo",
         "⏳ No realizado")),
   "⏳ No realizado"
)</f>
        <v>⏳ No realizado</v>
      </c>
      <c r="D85" s="255" t="str">
        <f>IFERROR(
   CHOOSE(
      MATCH(VLOOKUP(LEFT(A132,6)&amp;"*",'Identificación genética'!A:C,2,FALSE),
               {"En proceso";"Finalizado"},0),
      "🔬 En proceso",
      "🎯 Finalizado"
   ),
"❌ NA")</f>
        <v>❌ NA</v>
      </c>
      <c r="E85" s="255" t="s">
        <v>85</v>
      </c>
      <c r="F85" s="54">
        <v>45968</v>
      </c>
      <c r="G85" t="str">
        <f>_xlfn.XLOOKUP(A85, Extraídas!A:A, Extraídas!G:G, "")</f>
        <v>Chlorophyceae</v>
      </c>
    </row>
    <row r="86" spans="1:7" x14ac:dyDescent="0.3">
      <c r="A86" s="628" t="s">
        <v>129</v>
      </c>
      <c r="B86" s="255" t="str">
        <f t="array" ref="B86">IFERROR(
   IF(INDEX([1]Extraídas!B:B,MATCH(LEFT($A86,6)&amp;"*",[1]Extraídas!A:A,0))="Extraídas",
      "✅ En proceso",
      IF(INDEX([1]Extraídas!B:B,MATCH(LEFT($A86,6)&amp;"*",[1]Extraídas!A:A,0))="Recibidas",
         "⏳ Pendiente","❌ No ingresada")),
   "❌ No ingresada"
)</f>
        <v>✅ En proceso</v>
      </c>
      <c r="C86" s="255" t="str">
        <f t="array" ref="C86">IFERROR(
   IF(INDEX([1]PCRs!B:B,MATCH(LEFT($A86,6)&amp;"*",[1]PCRs!A:A,0))="Positivo",
      "✅ Positivo",
      IF(INDEX([1]PCRs!B:B,MATCH(LEFT($A86,6)&amp;"*",[1]PCRs!A:A,0))="Negativo",
         "❌ Negativo",
         "⏳ No realizado")),
   "⏳ No realizado"
)</f>
        <v>⏳ No realizado</v>
      </c>
      <c r="D86" s="255" t="str">
        <f>IFERROR(
   CHOOSE(
      MATCH(VLOOKUP(LEFT(A133,6)&amp;"*",'Identificación genética'!A:C,2,FALSE),
               {"En proceso";"Finalizado"},0),
      "🔬 En proceso",
      "🎯 Finalizado"
   ),
"❌ NA")</f>
        <v>❌ NA</v>
      </c>
      <c r="E86" s="255" t="s">
        <v>85</v>
      </c>
      <c r="F86" s="54">
        <v>45957</v>
      </c>
      <c r="G86" t="str">
        <f>_xlfn.XLOOKUP(A86, Extraídas!A:A, Extraídas!G:G, "")</f>
        <v>Chlorophyceae</v>
      </c>
    </row>
    <row r="87" spans="1:7" x14ac:dyDescent="0.3">
      <c r="A87" s="628" t="s">
        <v>130</v>
      </c>
      <c r="B87" s="255" t="str">
        <f t="array" ref="B87">IFERROR(
   IF(INDEX([1]Extraídas!B:B,MATCH(LEFT($A87,6)&amp;"*",[1]Extraídas!A:A,0))="Extraídas",
      "✅ En proceso",
      IF(INDEX([1]Extraídas!B:B,MATCH(LEFT($A87,6)&amp;"*",[1]Extraídas!A:A,0))="Recibidas",
         "⏳ Pendiente","❌ No ingresada")),
   "❌ No ingresada"
)</f>
        <v>✅ En proceso</v>
      </c>
      <c r="C87" s="255" t="str">
        <f t="array" ref="C87">IFERROR(
   IF(INDEX([1]PCRs!B:B,MATCH(LEFT($A87,6)&amp;"*",[1]PCRs!A:A,0))="Positivo",
      "✅ Positivo",
      IF(INDEX([1]PCRs!B:B,MATCH(LEFT($A87,6)&amp;"*",[1]PCRs!A:A,0))="Negativo",
         "❌ Negativo",
         "⏳ No realizado")),
   "⏳ No realizado"
)</f>
        <v>⏳ No realizado</v>
      </c>
      <c r="D87" s="255" t="str">
        <f>IFERROR(
   CHOOSE(
      MATCH(VLOOKUP(LEFT(A134,6)&amp;"*",'Identificación genética'!A:C,2,FALSE),
               {"En proceso";"Finalizado"},0),
      "🔬 En proceso",
      "🎯 Finalizado"
   ),
"❌ NA")</f>
        <v>❌ NA</v>
      </c>
      <c r="E87" s="255" t="s">
        <v>85</v>
      </c>
      <c r="F87" s="55">
        <v>46000</v>
      </c>
      <c r="G87" t="str">
        <f>_xlfn.XLOOKUP(A87, Extraídas!A:A, Extraídas!G:G, "")</f>
        <v>Chlorophyceae</v>
      </c>
    </row>
    <row r="88" spans="1:7" x14ac:dyDescent="0.3">
      <c r="A88" s="629" t="s">
        <v>131</v>
      </c>
      <c r="B88" s="255" t="str">
        <f t="array" ref="B88">IFERROR(
   IF(INDEX([1]Extraídas!B:B,MATCH(LEFT($A88,6)&amp;"*",[1]Extraídas!A:A,0))="Extraídas",
      "✅ En proceso",
      IF(INDEX([1]Extraídas!B:B,MATCH(LEFT($A88,6)&amp;"*",[1]Extraídas!A:A,0))="Recibidas",
         "⏳ Pendiente","❌ No ingresada")),
   "❌ No ingresada"
)</f>
        <v>✅ En proceso</v>
      </c>
      <c r="C88" s="255" t="str">
        <f t="array" ref="C88">IFERROR(
   IF(INDEX([1]PCRs!B:B,MATCH(LEFT($A88,6)&amp;"*",[1]PCRs!A:A,0))="Positivo",
      "✅ Positivo",
      IF(INDEX([1]PCRs!B:B,MATCH(LEFT($A88,6)&amp;"*",[1]PCRs!A:A,0))="Negativo",
         "❌ Negativo",
         "⏳ No realizado")),
   "⏳ No realizado"
)</f>
        <v>⏳ No realizado</v>
      </c>
      <c r="D88" s="255" t="str">
        <f>IFERROR(
   CHOOSE(
      MATCH(VLOOKUP(LEFT(A135,6)&amp;"*",'Identificación genética'!A:C,2,FALSE),
               {"En proceso";"Finalizado"},0),
      "🔬 En proceso",
      "🎯 Finalizado"
   ),
"❌ NA")</f>
        <v>❌ NA</v>
      </c>
      <c r="E88" s="255" t="s">
        <v>85</v>
      </c>
      <c r="F88" s="54">
        <v>45957</v>
      </c>
      <c r="G88" t="str">
        <f>_xlfn.XLOOKUP(A88, Extraídas!A:A, Extraídas!G:G, "")</f>
        <v>Chlorophyceae</v>
      </c>
    </row>
    <row r="89" spans="1:7" x14ac:dyDescent="0.3">
      <c r="A89" s="628" t="s">
        <v>132</v>
      </c>
      <c r="B89" s="255" t="str">
        <f t="array" ref="B89">IFERROR(
   IF(INDEX([1]Extraídas!B:B,MATCH(LEFT($A89,6)&amp;"*",[1]Extraídas!A:A,0))="Extraídas",
      "✅ En proceso",
      IF(INDEX([1]Extraídas!B:B,MATCH(LEFT($A89,6)&amp;"*",[1]Extraídas!A:A,0))="Recibidas",
         "⏳ Pendiente","❌ No ingresada")),
   "❌ No ingresada"
)</f>
        <v>✅ En proceso</v>
      </c>
      <c r="C89" s="255" t="str">
        <f t="array" ref="C89">IFERROR(
   IF(INDEX([1]PCRs!B:B,MATCH(LEFT($A89,6)&amp;"*",[1]PCRs!A:A,0))="Positivo",
      "✅ Positivo",
      IF(INDEX([1]PCRs!B:B,MATCH(LEFT($A89,6)&amp;"*",[1]PCRs!A:A,0))="Negativo",
         "❌ Negativo",
         "⏳ No realizado")),
   "⏳ No realizado"
)</f>
        <v>⏳ No realizado</v>
      </c>
      <c r="D89" s="255" t="str">
        <f>IFERROR(
   CHOOSE(
      MATCH(VLOOKUP(LEFT(A136,6)&amp;"*",'Identificación genética'!A:C,2,FALSE),
               {"En proceso";"Finalizado"},0),
      "🔬 En proceso",
      "🎯 Finalizado"
   ),
"❌ NA")</f>
        <v>❌ NA</v>
      </c>
      <c r="E89" s="255" t="s">
        <v>85</v>
      </c>
      <c r="F89" s="55">
        <v>46000</v>
      </c>
      <c r="G89" t="str">
        <f>_xlfn.XLOOKUP(A89, Extraídas!A:A, Extraídas!G:G, "")</f>
        <v>Trebouxiophyceae</v>
      </c>
    </row>
    <row r="90" spans="1:7" x14ac:dyDescent="0.3">
      <c r="A90" s="628" t="s">
        <v>133</v>
      </c>
      <c r="B90" s="255" t="str">
        <f t="array" ref="B90">IFERROR(
   IF(INDEX([1]Extraídas!B:B,MATCH(LEFT($A90,6)&amp;"*",[1]Extraídas!A:A,0))="Extraídas",
      "✅ En proceso",
      IF(INDEX([1]Extraídas!B:B,MATCH(LEFT($A90,6)&amp;"*",[1]Extraídas!A:A,0))="Recibidas",
         "⏳ Pendiente","❌ No ingresada")),
   "❌ No ingresada"
)</f>
        <v>✅ En proceso</v>
      </c>
      <c r="C90" s="255" t="str">
        <f t="array" ref="C90">IFERROR(
   IF(INDEX([1]PCRs!B:B,MATCH(LEFT($A90,6)&amp;"*",[1]PCRs!A:A,0))="Positivo",
      "✅ Positivo",
      IF(INDEX([1]PCRs!B:B,MATCH(LEFT($A90,6)&amp;"*",[1]PCRs!A:A,0))="Negativo",
         "❌ Negativo",
         "⏳ No realizado")),
   "⏳ No realizado"
)</f>
        <v>⏳ No realizado</v>
      </c>
      <c r="D90" s="255" t="str">
        <f>IFERROR(
   CHOOSE(
      MATCH(VLOOKUP(LEFT(A137,6)&amp;"*",'Identificación genética'!A:C,2,FALSE),
               {"En proceso";"Finalizado"},0),
      "🔬 En proceso",
      "🎯 Finalizado"
   ),
"❌ NA")</f>
        <v>❌ NA</v>
      </c>
      <c r="E90" s="255" t="s">
        <v>85</v>
      </c>
      <c r="F90" s="54">
        <v>45957</v>
      </c>
      <c r="G90" t="str">
        <f>_xlfn.XLOOKUP(A90, Extraídas!A:A, Extraídas!G:G, "")</f>
        <v>Chlorophyceae</v>
      </c>
    </row>
    <row r="91" spans="1:7" x14ac:dyDescent="0.3">
      <c r="A91" s="629" t="s">
        <v>134</v>
      </c>
      <c r="B91" s="255" t="str">
        <f t="array" ref="B91">IFERROR(
   IF(INDEX([1]Extraídas!B:B,MATCH(LEFT($A91,6)&amp;"*",[1]Extraídas!A:A,0))="Extraídas",
      "✅ En proceso",
      IF(INDEX([1]Extraídas!B:B,MATCH(LEFT($A91,6)&amp;"*",[1]Extraídas!A:A,0))="Recibidas",
         "⏳ Pendiente","❌ No ingresada")),
   "❌ No ingresada"
)</f>
        <v>✅ En proceso</v>
      </c>
      <c r="C91" s="255" t="str">
        <f t="array" ref="C91">IFERROR(
   IF(INDEX([1]PCRs!B:B,MATCH(LEFT($A91,6)&amp;"*",[1]PCRs!A:A,0))="Positivo",
      "✅ Positivo",
      IF(INDEX([1]PCRs!B:B,MATCH(LEFT($A91,6)&amp;"*",[1]PCRs!A:A,0))="Negativo",
         "❌ Negativo",
         "⏳ No realizado")),
   "⏳ No realizado"
)</f>
        <v>⏳ No realizado</v>
      </c>
      <c r="D91" s="255" t="str">
        <f>IFERROR(
   CHOOSE(
      MATCH(VLOOKUP(LEFT(A138,6)&amp;"*",'Identificación genética'!A:C,2,FALSE),
               {"En proceso";"Finalizado"},0),
      "🔬 En proceso",
      "🎯 Finalizado"
   ),
"❌ NA")</f>
        <v>❌ NA</v>
      </c>
      <c r="E91" s="255" t="s">
        <v>85</v>
      </c>
      <c r="F91" s="53">
        <v>46000</v>
      </c>
      <c r="G91" t="str">
        <f>_xlfn.XLOOKUP(A91, Extraídas!A:A, Extraídas!G:G, "")</f>
        <v>Chlorophyceae</v>
      </c>
    </row>
    <row r="92" spans="1:7" x14ac:dyDescent="0.3">
      <c r="A92" s="628" t="s">
        <v>136</v>
      </c>
      <c r="B92" s="255" t="str">
        <f t="array" ref="B92">IFERROR(
   IF(INDEX([1]Extraídas!B:B,MATCH(LEFT($A92,6)&amp;"*",[1]Extraídas!A:A,0))="Extraídas",
      "✅ En proceso",
      IF(INDEX([1]Extraídas!B:B,MATCH(LEFT($A92,6)&amp;"*",[1]Extraídas!A:A,0))="Recibidas",
         "⏳ Pendiente","❌ No ingresada")),
   "❌ No ingresada"
)</f>
        <v>✅ En proceso</v>
      </c>
      <c r="C92" s="255" t="str">
        <f t="array" ref="C92">IFERROR(
   IF(INDEX([1]PCRs!B:B,MATCH(LEFT($A92,6)&amp;"*",[1]PCRs!A:A,0))="Positivo",
      "✅ Positivo",
      IF(INDEX([1]PCRs!B:B,MATCH(LEFT($A92,6)&amp;"*",[1]PCRs!A:A,0))="Negativo",
         "❌ Negativo",
         "⏳ No realizado")),
   "⏳ No realizado"
)</f>
        <v>⏳ No realizado</v>
      </c>
      <c r="D92" s="255" t="str">
        <f>IFERROR(
   CHOOSE(
      MATCH(VLOOKUP(LEFT(A139,6)&amp;"*",'Identificación genética'!A:C,2,FALSE),
               {"En proceso";"Finalizado"},0),
      "🔬 En proceso",
      "🎯 Finalizado"
   ),
"❌ NA")</f>
        <v>❌ NA</v>
      </c>
      <c r="E92" s="255" t="s">
        <v>85</v>
      </c>
      <c r="F92" s="55">
        <v>46000</v>
      </c>
      <c r="G92" t="str">
        <f>_xlfn.XLOOKUP(A92, Extraídas!A:A, Extraídas!G:G, "")</f>
        <v>Chlorophyceae</v>
      </c>
    </row>
    <row r="93" spans="1:7" x14ac:dyDescent="0.3">
      <c r="A93" s="629" t="s">
        <v>137</v>
      </c>
      <c r="B93" s="255" t="str">
        <f t="array" ref="B93">IFERROR(
   IF(INDEX([1]Extraídas!B:B,MATCH(LEFT($A93,6)&amp;"*",[1]Extraídas!A:A,0))="Extraídas",
      "✅ En proceso",
      IF(INDEX([1]Extraídas!B:B,MATCH(LEFT($A93,6)&amp;"*",[1]Extraídas!A:A,0))="Recibidas",
         "⏳ Pendiente","❌ No ingresada")),
   "❌ No ingresada"
)</f>
        <v>✅ En proceso</v>
      </c>
      <c r="C93" s="255" t="str">
        <f t="array" ref="C93">IFERROR(
   IF(INDEX([1]PCRs!B:B,MATCH(LEFT($A93,6)&amp;"*",[1]PCRs!A:A,0))="Positivo",
      "✅ Positivo",
      IF(INDEX([1]PCRs!B:B,MATCH(LEFT($A93,6)&amp;"*",[1]PCRs!A:A,0))="Negativo",
         "❌ Negativo",
         "⏳ No realizado")),
   "⏳ No realizado"
)</f>
        <v>⏳ No realizado</v>
      </c>
      <c r="D93" s="255" t="str">
        <f>IFERROR(
   CHOOSE(
      MATCH(VLOOKUP(LEFT(A140,6)&amp;"*",'Identificación genética'!A:C,2,FALSE),
               {"En proceso";"Finalizado"},0),
      "🔬 En proceso",
      "🎯 Finalizado"
   ),
"❌ NA")</f>
        <v>❌ NA</v>
      </c>
      <c r="E93" s="255" t="s">
        <v>85</v>
      </c>
      <c r="F93" s="53">
        <v>46000</v>
      </c>
      <c r="G93" t="str">
        <f>_xlfn.XLOOKUP(A93, Extraídas!A:A, Extraídas!G:G, "")</f>
        <v>Chlorophyceae</v>
      </c>
    </row>
    <row r="94" spans="1:7" x14ac:dyDescent="0.3">
      <c r="A94" s="629" t="s">
        <v>138</v>
      </c>
      <c r="B94" s="255" t="str">
        <f t="array" ref="B94">IFERROR(
   IF(INDEX([1]Extraídas!B:B,MATCH(LEFT($A94,6)&amp;"*",[1]Extraídas!A:A,0))="Extraídas",
      "✅ En proceso",
      IF(INDEX([1]Extraídas!B:B,MATCH(LEFT($A94,6)&amp;"*",[1]Extraídas!A:A,0))="Recibidas",
         "⏳ Pendiente","❌ No ingresada")),
   "❌ No ingresada"
)</f>
        <v>✅ En proceso</v>
      </c>
      <c r="C94" s="255" t="str">
        <f t="array" ref="C94">IFERROR(
   IF(INDEX([1]PCRs!B:B,MATCH(LEFT($A94,6)&amp;"*",[1]PCRs!A:A,0))="Positivo",
      "✅ Positivo",
      IF(INDEX([1]PCRs!B:B,MATCH(LEFT($A94,6)&amp;"*",[1]PCRs!A:A,0))="Negativo",
         "❌ Negativo",
         "⏳ No realizado")),
   "⏳ No realizado"
)</f>
        <v>⏳ No realizado</v>
      </c>
      <c r="D94" s="255" t="str">
        <f>IFERROR(
   CHOOSE(
      MATCH(VLOOKUP(LEFT(A141,6)&amp;"*",'Identificación genética'!A:C,2,FALSE),
               {"En proceso";"Finalizado"},0),
      "🔬 En proceso",
      "🎯 Finalizado"
   ),
"❌ NA")</f>
        <v>❌ NA</v>
      </c>
      <c r="E94" s="255" t="s">
        <v>85</v>
      </c>
      <c r="F94" s="54">
        <v>45957</v>
      </c>
      <c r="G94" t="str">
        <f>_xlfn.XLOOKUP(A94, Extraídas!A:A, Extraídas!G:G, "")</f>
        <v>Chlorophyceae</v>
      </c>
    </row>
    <row r="95" spans="1:7" x14ac:dyDescent="0.3">
      <c r="A95" s="628" t="s">
        <v>139</v>
      </c>
      <c r="B95" s="255" t="str">
        <f t="array" ref="B95">IFERROR(
   IF(INDEX([1]Extraídas!B:B,MATCH(LEFT($A95,6)&amp;"*",[1]Extraídas!A:A,0))="Extraídas",
      "✅ En proceso",
      IF(INDEX([1]Extraídas!B:B,MATCH(LEFT($A95,6)&amp;"*",[1]Extraídas!A:A,0))="Recibidas",
         "⏳ Pendiente","❌ No ingresada")),
   "❌ No ingresada"
)</f>
        <v>✅ En proceso</v>
      </c>
      <c r="C95" s="255" t="str">
        <f t="array" ref="C95">IFERROR(
   IF(INDEX([1]PCRs!B:B,MATCH(LEFT($A95,6)&amp;"*",[1]PCRs!A:A,0))="Positivo",
      "✅ Positivo",
      IF(INDEX([1]PCRs!B:B,MATCH(LEFT($A95,6)&amp;"*",[1]PCRs!A:A,0))="Negativo",
         "❌ Negativo",
         "⏳ No realizado")),
   "⏳ No realizado"
)</f>
        <v>⏳ No realizado</v>
      </c>
      <c r="D95" s="255" t="str">
        <f>IFERROR(
   CHOOSE(
      MATCH(VLOOKUP(LEFT(A142,6)&amp;"*",'Identificación genética'!A:C,2,FALSE),
               {"En proceso";"Finalizado"},0),
      "🔬 En proceso",
      "🎯 Finalizado"
   ),
"❌ NA")</f>
        <v>❌ NA</v>
      </c>
      <c r="E95" s="255" t="s">
        <v>85</v>
      </c>
      <c r="F95" s="55">
        <v>46000</v>
      </c>
      <c r="G95" t="str">
        <f>_xlfn.XLOOKUP(A95, Extraídas!A:A, Extraídas!G:G, "")</f>
        <v>Chlorophyceae</v>
      </c>
    </row>
    <row r="96" spans="1:7" x14ac:dyDescent="0.3">
      <c r="A96" s="628" t="s">
        <v>140</v>
      </c>
      <c r="B96" s="255" t="str">
        <f t="array" ref="B96">IFERROR(
   IF(INDEX([1]Extraídas!B:B,MATCH(LEFT($A96,6)&amp;"*",[1]Extraídas!A:A,0))="Extraídas",
      "✅ En proceso",
      IF(INDEX([1]Extraídas!B:B,MATCH(LEFT($A96,6)&amp;"*",[1]Extraídas!A:A,0))="Recibidas",
         "⏳ Pendiente","❌ No ingresada")),
   "❌ No ingresada"
)</f>
        <v>✅ En proceso</v>
      </c>
      <c r="C96" s="255" t="str">
        <f t="array" ref="C96">IFERROR(
   IF(INDEX([1]PCRs!B:B,MATCH(LEFT($A96,6)&amp;"*",[1]PCRs!A:A,0))="Positivo",
      "✅ Positivo",
      IF(INDEX([1]PCRs!B:B,MATCH(LEFT($A96,6)&amp;"*",[1]PCRs!A:A,0))="Negativo",
         "❌ Negativo",
         "⏳ No realizado")),
   "⏳ No realizado"
)</f>
        <v>⏳ No realizado</v>
      </c>
      <c r="D96" s="255" t="str">
        <f>IFERROR(
   CHOOSE(
      MATCH(VLOOKUP(LEFT(A143,6)&amp;"*",'Identificación genética'!A:C,2,FALSE),
               {"En proceso";"Finalizado"},0),
      "🔬 En proceso",
      "🎯 Finalizado"
   ),
"❌ NA")</f>
        <v>❌ NA</v>
      </c>
      <c r="E96" s="255" t="s">
        <v>85</v>
      </c>
      <c r="F96" s="54">
        <v>45957</v>
      </c>
      <c r="G96" t="str">
        <f>_xlfn.XLOOKUP(A96, Extraídas!A:A, Extraídas!G:G, "")</f>
        <v>Chlorodendrophyceae</v>
      </c>
    </row>
    <row r="97" spans="1:7" x14ac:dyDescent="0.3">
      <c r="A97" s="629" t="s">
        <v>142</v>
      </c>
      <c r="B97" s="255" t="str">
        <f t="array" ref="B97">IFERROR(
   IF(INDEX([1]Extraídas!B:B,MATCH(LEFT($A97,6)&amp;"*",[1]Extraídas!A:A,0))="Extraídas",
      "✅ En proceso",
      IF(INDEX([1]Extraídas!B:B,MATCH(LEFT($A97,6)&amp;"*",[1]Extraídas!A:A,0))="Recibidas",
         "⏳ Pendiente","❌ No ingresada")),
   "❌ No ingresada"
)</f>
        <v>✅ En proceso</v>
      </c>
      <c r="C97" s="255" t="str">
        <f t="array" ref="C97">IFERROR(
   IF(INDEX([1]PCRs!B:B,MATCH(LEFT($A97,6)&amp;"*",[1]PCRs!A:A,0))="Positivo",
      "✅ Positivo",
      IF(INDEX([1]PCRs!B:B,MATCH(LEFT($A97,6)&amp;"*",[1]PCRs!A:A,0))="Negativo",
         "❌ Negativo",
         "⏳ No realizado")),
   "⏳ No realizado"
)</f>
        <v>⏳ No realizado</v>
      </c>
      <c r="D97" s="255" t="str">
        <f>IFERROR(
   CHOOSE(
      MATCH(VLOOKUP(LEFT(A144,6)&amp;"*",'Identificación genética'!A:C,2,FALSE),
               {"En proceso";"Finalizado"},0),
      "🔬 En proceso",
      "🎯 Finalizado"
   ),
"❌ NA")</f>
        <v>❌ NA</v>
      </c>
      <c r="E97" s="255" t="s">
        <v>85</v>
      </c>
      <c r="F97" s="53">
        <v>45979</v>
      </c>
      <c r="G97" t="str">
        <f>_xlfn.XLOOKUP(A97, Extraídas!A:A, Extraídas!G:G, "")</f>
        <v>Chlorophyceae</v>
      </c>
    </row>
    <row r="98" spans="1:7" x14ac:dyDescent="0.3">
      <c r="A98" s="629" t="s">
        <v>143</v>
      </c>
      <c r="B98" s="255" t="str">
        <f t="array" ref="B98">IFERROR(
   IF(INDEX([1]Extraídas!B:B,MATCH(LEFT($A98,6)&amp;"*",[1]Extraídas!A:A,0))="Extraídas",
      "✅ En proceso",
      IF(INDEX([1]Extraídas!B:B,MATCH(LEFT($A98,6)&amp;"*",[1]Extraídas!A:A,0))="Recibidas",
         "⏳ Pendiente","❌ No ingresada")),
   "❌ No ingresada"
)</f>
        <v>✅ En proceso</v>
      </c>
      <c r="C98" s="255" t="str">
        <f t="array" ref="C98">IFERROR(
   IF(INDEX([1]PCRs!B:B,MATCH(LEFT($A98,6)&amp;"*",[1]PCRs!A:A,0))="Positivo",
      "✅ Positivo",
      IF(INDEX([1]PCRs!B:B,MATCH(LEFT($A98,6)&amp;"*",[1]PCRs!A:A,0))="Negativo",
         "❌ Negativo",
         "⏳ No realizado")),
   "⏳ No realizado"
)</f>
        <v>⏳ No realizado</v>
      </c>
      <c r="D98" s="255" t="str">
        <f>IFERROR(
   CHOOSE(
      MATCH(VLOOKUP(LEFT(A145,6)&amp;"*",'Identificación genética'!A:C,2,FALSE),
               {"En proceso";"Finalizado"},0),
      "🔬 En proceso",
      "🎯 Finalizado"
   ),
"❌ NA")</f>
        <v>❌ NA</v>
      </c>
      <c r="E98" s="255" t="s">
        <v>85</v>
      </c>
      <c r="F98" s="54">
        <v>45968</v>
      </c>
      <c r="G98" t="str">
        <f>_xlfn.XLOOKUP(A98, Extraídas!A:A, Extraídas!G:G, "")</f>
        <v>Chlorophyceae</v>
      </c>
    </row>
    <row r="99" spans="1:7" x14ac:dyDescent="0.3">
      <c r="A99" s="633" t="s">
        <v>144</v>
      </c>
      <c r="B99" s="255" t="str">
        <f t="array" ref="B99">IFERROR(
   IF(INDEX([1]Extraídas!B:B,MATCH(LEFT($A99,6)&amp;"*",[1]Extraídas!A:A,0))="Extraídas",
      "✅ En proceso",
      IF(INDEX([1]Extraídas!B:B,MATCH(LEFT($A99,6)&amp;"*",[1]Extraídas!A:A,0))="Recibidas",
         "⏳ Pendiente","❌ No ingresada")),
   "❌ No ingresada"
)</f>
        <v>✅ En proceso</v>
      </c>
      <c r="C99" s="255" t="str">
        <f t="array" ref="C99">IFERROR(
   IF(INDEX([1]PCRs!B:B,MATCH(LEFT($A99,6)&amp;"*",[1]PCRs!A:A,0))="Positivo",
      "✅ Positivo",
      IF(INDEX([1]PCRs!B:B,MATCH(LEFT($A99,6)&amp;"*",[1]PCRs!A:A,0))="Negativo",
         "❌ Negativo",
         "⏳ No realizado")),
   "⏳ No realizado"
)</f>
        <v>⏳ No realizado</v>
      </c>
      <c r="D99" s="255" t="str">
        <f>IFERROR(
   CHOOSE(
      MATCH(VLOOKUP(LEFT(A146,6)&amp;"*",'Identificación genética'!A:C,2,FALSE),
               {"En proceso";"Finalizado"},0),
      "🔬 En proceso",
      "🎯 Finalizado"
   ),
"❌ NA")</f>
        <v>❌ NA</v>
      </c>
      <c r="E99" s="255" t="s">
        <v>85</v>
      </c>
      <c r="F99" s="53">
        <v>45986</v>
      </c>
      <c r="G99" t="str">
        <f>_xlfn.XLOOKUP(A99, Extraídas!A:A, Extraídas!G:G, "")</f>
        <v>Cyanobacteria</v>
      </c>
    </row>
    <row r="100" spans="1:7" x14ac:dyDescent="0.3">
      <c r="A100" s="634" t="s">
        <v>148</v>
      </c>
      <c r="B100" s="255" t="str">
        <f t="array" ref="B100">IFERROR(
   IF(INDEX([1]Extraídas!B:B,MATCH(LEFT($A100,6)&amp;"*",[1]Extraídas!A:A,0))="Extraídas",
      "✅ En proceso",
      IF(INDEX([1]Extraídas!B:B,MATCH(LEFT($A100,6)&amp;"*",[1]Extraídas!A:A,0))="Recibidas",
         "⏳ Pendiente","❌ No ingresada")),
   "❌ No ingresada"
)</f>
        <v>✅ En proceso</v>
      </c>
      <c r="C100" s="255" t="str">
        <f t="array" ref="C100">IFERROR(
   IF(INDEX([1]PCRs!B:B,MATCH(LEFT($A100,6)&amp;"*",[1]PCRs!A:A,0))="Positivo",
      "✅ Positivo",
      IF(INDEX([1]PCRs!B:B,MATCH(LEFT($A100,6)&amp;"*",[1]PCRs!A:A,0))="Negativo",
         "❌ Negativo",
         "⏳ No realizado")),
   "⏳ No realizado"
)</f>
        <v>⏳ No realizado</v>
      </c>
      <c r="D100" s="255" t="str">
        <f>IFERROR(
   CHOOSE(
      MATCH(VLOOKUP(LEFT(A147,6)&amp;"*",'Identificación genética'!A:C,2,FALSE),
               {"En proceso";"Finalizado"},0),
      "🔬 En proceso",
      "🎯 Finalizado"
   ),
"❌ NA")</f>
        <v>❌ NA</v>
      </c>
      <c r="E100" s="255" t="s">
        <v>85</v>
      </c>
      <c r="F100" s="55">
        <v>45960</v>
      </c>
      <c r="G100" t="str">
        <f>_xlfn.XLOOKUP(A100, Extraídas!A:A, Extraídas!G:G, "")</f>
        <v>Cyanobacteria</v>
      </c>
    </row>
    <row r="101" spans="1:7" x14ac:dyDescent="0.3">
      <c r="A101" s="633" t="s">
        <v>151</v>
      </c>
      <c r="B101" s="255" t="str">
        <f t="array" ref="B101">IFERROR(
   IF(INDEX([1]Extraídas!B:B,MATCH(LEFT($A101,6)&amp;"*",[1]Extraídas!A:A,0))="Extraídas",
      "✅ En proceso",
      IF(INDEX([1]Extraídas!B:B,MATCH(LEFT($A101,6)&amp;"*",[1]Extraídas!A:A,0))="Recibidas",
         "⏳ Pendiente","❌ No ingresada")),
   "❌ No ingresada"
)</f>
        <v>✅ En proceso</v>
      </c>
      <c r="C101" s="255" t="str">
        <f t="array" ref="C101">IFERROR(
   IF(INDEX([1]PCRs!B:B,MATCH(LEFT($A101,6)&amp;"*",[1]PCRs!A:A,0))="Positivo",
      "✅ Positivo",
      IF(INDEX([1]PCRs!B:B,MATCH(LEFT($A101,6)&amp;"*",[1]PCRs!A:A,0))="Negativo",
         "❌ Negativo",
         "⏳ No realizado")),
   "⏳ No realizado"
)</f>
        <v>⏳ No realizado</v>
      </c>
      <c r="D101" s="255" t="str">
        <f>IFERROR(
   CHOOSE(
      MATCH(VLOOKUP(LEFT(A148,6)&amp;"*",'Identificación genética'!A:C,2,FALSE),
               {"En proceso";"Finalizado"},0),
      "🔬 En proceso",
      "🎯 Finalizado"
   ),
"❌ NA")</f>
        <v>❌ NA</v>
      </c>
      <c r="E101" s="255" t="s">
        <v>85</v>
      </c>
      <c r="F101" s="53">
        <v>45960</v>
      </c>
      <c r="G101" t="str">
        <f>_xlfn.XLOOKUP(A101, Extraídas!A:A, Extraídas!G:G, "")</f>
        <v>Cyanobacteria</v>
      </c>
    </row>
    <row r="102" spans="1:7" x14ac:dyDescent="0.3">
      <c r="A102" s="634" t="s">
        <v>156</v>
      </c>
      <c r="B102" s="255" t="str">
        <f t="array" ref="B102">IFERROR(
   IF(INDEX([1]Extraídas!B:B,MATCH(LEFT($A102,6)&amp;"*",[1]Extraídas!A:A,0))="Extraídas",
      "✅ En proceso",
      IF(INDEX([1]Extraídas!B:B,MATCH(LEFT($A102,6)&amp;"*",[1]Extraídas!A:A,0))="Recibidas",
         "⏳ Pendiente","❌ No ingresada")),
   "❌ No ingresada"
)</f>
        <v>✅ En proceso</v>
      </c>
      <c r="C102" s="255" t="str">
        <f t="array" ref="C102">IFERROR(
   IF(INDEX([1]PCRs!B:B,MATCH(LEFT($A102,6)&amp;"*",[1]PCRs!A:A,0))="Positivo",
      "✅ Positivo",
      IF(INDEX([1]PCRs!B:B,MATCH(LEFT($A102,6)&amp;"*",[1]PCRs!A:A,0))="Negativo",
         "❌ Negativo",
         "⏳ No realizado")),
   "⏳ No realizado"
)</f>
        <v>⏳ No realizado</v>
      </c>
      <c r="D102" s="255" t="str">
        <f>IFERROR(
   CHOOSE(
      MATCH(VLOOKUP(LEFT(A149,6)&amp;"*",'Identificación genética'!A:C,2,FALSE),
               {"En proceso";"Finalizado"},0),
      "🔬 En proceso",
      "🎯 Finalizado"
   ),
"❌ NA")</f>
        <v>❌ NA</v>
      </c>
      <c r="E102" s="255" t="s">
        <v>85</v>
      </c>
      <c r="F102" s="55">
        <v>45960</v>
      </c>
      <c r="G102" t="str">
        <f>_xlfn.XLOOKUP(A102, Extraídas!A:A, Extraídas!G:G, "")</f>
        <v>Cyanobacteria</v>
      </c>
    </row>
    <row r="103" spans="1:7" x14ac:dyDescent="0.3">
      <c r="A103" s="633" t="s">
        <v>158</v>
      </c>
      <c r="B103" s="255" t="str">
        <f t="array" ref="B103">IFERROR(
   IF(INDEX([1]Extraídas!B:B,MATCH(LEFT($A103,6)&amp;"*",[1]Extraídas!A:A,0))="Extraídas",
      "✅ En proceso",
      IF(INDEX([1]Extraídas!B:B,MATCH(LEFT($A103,6)&amp;"*",[1]Extraídas!A:A,0))="Recibidas",
         "⏳ Pendiente","❌ No ingresada")),
   "❌ No ingresada"
)</f>
        <v>⏳ Pendiente</v>
      </c>
      <c r="C103" s="255" t="str">
        <f t="array" ref="C103">IFERROR(
   IF(INDEX([1]PCRs!B:B,MATCH(LEFT($A103,6)&amp;"*",[1]PCRs!A:A,0))="Positivo",
      "✅ Positivo",
      IF(INDEX([1]PCRs!B:B,MATCH(LEFT($A103,6)&amp;"*",[1]PCRs!A:A,0))="Negativo",
         "❌ Negativo",
         "⏳ No realizado")),
   "⏳ No realizado"
)</f>
        <v>⏳ No realizado</v>
      </c>
      <c r="D103" s="255" t="str">
        <f>IFERROR(
   CHOOSE(
      MATCH(VLOOKUP(LEFT(A150,6)&amp;"*",'Identificación genética'!A:C,2,FALSE),
               {"En proceso";"Finalizado"},0),
      "🔬 En proceso",
      "🎯 Finalizado"
   ),
"❌ NA")</f>
        <v>❌ NA</v>
      </c>
      <c r="E103" s="255" t="s">
        <v>85</v>
      </c>
      <c r="F103" s="53">
        <v>46000</v>
      </c>
      <c r="G103" t="str">
        <f>_xlfn.XLOOKUP(A103, Extraídas!A:A, Extraídas!G:G, "")</f>
        <v>Palmophyllophyceae</v>
      </c>
    </row>
    <row r="104" spans="1:7" x14ac:dyDescent="0.3">
      <c r="A104" s="633" t="s">
        <v>162</v>
      </c>
      <c r="B104" s="255" t="str">
        <f t="array" ref="B104">IFERROR(
   IF(INDEX([1]Extraídas!B:B,MATCH(LEFT($A104,6)&amp;"*",[1]Extraídas!A:A,0))="Extraídas",
      "✅ En proceso",
      IF(INDEX([1]Extraídas!B:B,MATCH(LEFT($A104,6)&amp;"*",[1]Extraídas!A:A,0))="Recibidas",
         "⏳ Pendiente","❌ No ingresada")),
   "❌ No ingresada"
)</f>
        <v>⏳ Pendiente</v>
      </c>
      <c r="C104" s="255" t="str">
        <f t="array" ref="C104">IFERROR(
   IF(INDEX([1]PCRs!B:B,MATCH(LEFT($A104,6)&amp;"*",[1]PCRs!A:A,0))="Positivo",
      "✅ Positivo",
      IF(INDEX([1]PCRs!B:B,MATCH(LEFT($A104,6)&amp;"*",[1]PCRs!A:A,0))="Negativo",
         "❌ Negativo",
         "⏳ No realizado")),
   "⏳ No realizado"
)</f>
        <v>⏳ No realizado</v>
      </c>
      <c r="D104" s="255" t="str">
        <f>IFERROR(
   CHOOSE(
      MATCH(VLOOKUP(LEFT(A151,6)&amp;"*",'Identificación genética'!A:C,2,FALSE),
               {"En proceso";"Finalizado"},0),
      "🔬 En proceso",
      "🎯 Finalizado"
   ),
"❌ NA")</f>
        <v>❌ NA</v>
      </c>
      <c r="E104" s="255" t="s">
        <v>85</v>
      </c>
      <c r="F104" s="53">
        <v>45975</v>
      </c>
      <c r="G104" t="str">
        <f>_xlfn.XLOOKUP(A104, Extraídas!A:A, Extraídas!G:G, "")</f>
        <v>Cyanobacteria</v>
      </c>
    </row>
    <row r="105" spans="1:7" ht="15" thickBot="1" x14ac:dyDescent="0.35">
      <c r="A105" s="633" t="s">
        <v>175</v>
      </c>
      <c r="B105" s="255" t="str">
        <f t="array" ref="B105">IFERROR(
   IF(INDEX([1]Extraídas!B:B,MATCH(LEFT($A105,6)&amp;"*",[1]Extraídas!A:A,0))="Extraídas",
      "✅ En proceso",
      IF(INDEX([1]Extraídas!B:B,MATCH(LEFT($A105,6)&amp;"*",[1]Extraídas!A:A,0))="Recibidas",
         "⏳ Pendiente","❌ No ingresada")),
   "❌ No ingresada"
)</f>
        <v>✅ En proceso</v>
      </c>
      <c r="C105" s="255" t="str">
        <f t="array" ref="C105">IFERROR(
   IF(INDEX([1]PCRs!B:B,MATCH(LEFT($A105,6)&amp;"*",[1]PCRs!A:A,0))="Positivo",
      "✅ Positivo",
      IF(INDEX([1]PCRs!B:B,MATCH(LEFT($A105,6)&amp;"*",[1]PCRs!A:A,0))="Negativo",
         "❌ Negativo",
         "⏳ No realizado")),
   "⏳ No realizado"
)</f>
        <v>⏳ No realizado</v>
      </c>
      <c r="D105" s="255" t="str">
        <f>IFERROR(
   CHOOSE(
      MATCH(VLOOKUP(LEFT(A152,6)&amp;"*",'Identificación genética'!A:C,2,FALSE),
               {"En proceso";"Finalizado"},0),
      "🔬 En proceso",
      "🎯 Finalizado"
   ),
"❌ NA")</f>
        <v>❌ NA</v>
      </c>
      <c r="E105" s="255" t="s">
        <v>85</v>
      </c>
      <c r="F105" s="54">
        <v>45947</v>
      </c>
      <c r="G105" t="str">
        <f>_xlfn.XLOOKUP(A105, Extraídas!A:A, Extraídas!G:G, "")</f>
        <v>Cyanobacteria</v>
      </c>
    </row>
    <row r="106" spans="1:7" ht="15" thickBot="1" x14ac:dyDescent="0.35">
      <c r="A106" s="635" t="s">
        <v>176</v>
      </c>
      <c r="B106" s="255" t="str">
        <f t="array" ref="B106">IFERROR(
   IF(INDEX([1]Extraídas!B:B,MATCH(LEFT($A106,6)&amp;"*",[1]Extraídas!A:A,0))="Extraídas",
      "✅ En proceso",
      IF(INDEX([1]Extraídas!B:B,MATCH(LEFT($A106,6)&amp;"*",[1]Extraídas!A:A,0))="Recibidas",
         "⏳ Pendiente","❌ No ingresada")),
   "❌ No ingresada"
)</f>
        <v>✅ En proceso</v>
      </c>
      <c r="C106" s="255" t="str">
        <f t="array" ref="C106">IFERROR(
   IF(INDEX([1]PCRs!B:B,MATCH(LEFT($A106,6)&amp;"*",[1]PCRs!A:A,0))="Positivo",
      "✅ Positivo",
      IF(INDEX([1]PCRs!B:B,MATCH(LEFT($A106,6)&amp;"*",[1]PCRs!A:A,0))="Negativo",
         "❌ Negativo",
         "⏳ No realizado")),
   "⏳ No realizado"
)</f>
        <v>⏳ No realizado</v>
      </c>
      <c r="D106" s="255" t="str">
        <f>IFERROR(
   CHOOSE(
      MATCH(VLOOKUP(LEFT(A153,6)&amp;"*",'Identificación genética'!A:C,2,FALSE),
               {"En proceso";"Finalizado"},0),
      "🔬 En proceso",
      "🎯 Finalizado"
   ),
"❌ NA")</f>
        <v>❌ NA</v>
      </c>
      <c r="E106" s="255" t="s">
        <v>85</v>
      </c>
      <c r="F106" s="54">
        <v>45947</v>
      </c>
      <c r="G106" t="str">
        <f>_xlfn.XLOOKUP(A106, Extraídas!A:A, Extraídas!G:G, "")</f>
        <v>Cyanobacteria</v>
      </c>
    </row>
    <row r="107" spans="1:7" ht="15" thickBot="1" x14ac:dyDescent="0.35">
      <c r="A107" s="635" t="s">
        <v>179</v>
      </c>
      <c r="B107" s="255" t="str">
        <f t="array" ref="B107">IFERROR(
   IF(INDEX([1]Extraídas!B:B,MATCH(LEFT($A107,6)&amp;"*",[1]Extraídas!A:A,0))="Extraídas",
      "✅ En proceso",
      IF(INDEX([1]Extraídas!B:B,MATCH(LEFT($A107,6)&amp;"*",[1]Extraídas!A:A,0))="Recibidas",
         "⏳ Pendiente","❌ No ingresada")),
   "❌ No ingresada"
)</f>
        <v>✅ En proceso</v>
      </c>
      <c r="C107" s="255" t="str">
        <f t="array" ref="C107">IFERROR(
   IF(INDEX([1]PCRs!B:B,MATCH(LEFT($A107,6)&amp;"*",[1]PCRs!A:A,0))="Positivo",
      "✅ Positivo",
      IF(INDEX([1]PCRs!B:B,MATCH(LEFT($A107,6)&amp;"*",[1]PCRs!A:A,0))="Negativo",
         "❌ Negativo",
         "⏳ No realizado")),
   "⏳ No realizado"
)</f>
        <v>⏳ No realizado</v>
      </c>
      <c r="D107" s="255" t="str">
        <f>IFERROR(
   CHOOSE(
      MATCH(VLOOKUP(LEFT(A154,6)&amp;"*",'Identificación genética'!A:C,2,FALSE),
               {"En proceso";"Finalizado"},0),
      "🔬 En proceso",
      "🎯 Finalizado"
   ),
"❌ NA")</f>
        <v>❌ NA</v>
      </c>
      <c r="E107" s="255" t="s">
        <v>85</v>
      </c>
      <c r="F107" s="54">
        <v>45968</v>
      </c>
      <c r="G107" t="str">
        <f>_xlfn.XLOOKUP(A107, Extraídas!A:A, Extraídas!G:G, "")</f>
        <v>Ulvophyceae</v>
      </c>
    </row>
    <row r="108" spans="1:7" ht="15" thickBot="1" x14ac:dyDescent="0.35">
      <c r="A108" s="636" t="s">
        <v>181</v>
      </c>
      <c r="B108" s="255" t="str">
        <f t="array" ref="B108">IFERROR(
   IF(INDEX([1]Extraídas!B:B,MATCH(LEFT($A108,6)&amp;"*",[1]Extraídas!A:A,0))="Extraídas",
      "✅ En proceso",
      IF(INDEX([1]Extraídas!B:B,MATCH(LEFT($A108,6)&amp;"*",[1]Extraídas!A:A,0))="Recibidas",
         "⏳ Pendiente","❌ No ingresada")),
   "❌ No ingresada"
)</f>
        <v>✅ En proceso</v>
      </c>
      <c r="C108" s="255" t="str">
        <f t="array" ref="C108">IFERROR(
   IF(INDEX([1]PCRs!B:B,MATCH(LEFT($A108,6)&amp;"*",[1]PCRs!A:A,0))="Positivo",
      "✅ Positivo",
      IF(INDEX([1]PCRs!B:B,MATCH(LEFT($A108,6)&amp;"*",[1]PCRs!A:A,0))="Negativo",
         "❌ Negativo",
         "⏳ No realizado")),
   "⏳ No realizado"
)</f>
        <v>⏳ No realizado</v>
      </c>
      <c r="D108" s="255" t="str">
        <f>IFERROR(
   CHOOSE(
      MATCH(VLOOKUP(LEFT(A155,6)&amp;"*",'Identificación genética'!A:C,2,FALSE),
               {"En proceso";"Finalizado"},0),
      "🔬 En proceso",
      "🎯 Finalizado"
   ),
"❌ NA")</f>
        <v>❌ NA</v>
      </c>
      <c r="E108" s="255" t="s">
        <v>85</v>
      </c>
      <c r="F108" s="54">
        <v>45957</v>
      </c>
      <c r="G108" t="str">
        <f>_xlfn.XLOOKUP(A108, Extraídas!A:A, Extraídas!G:G, "")</f>
        <v>Ulvophyceae</v>
      </c>
    </row>
    <row r="109" spans="1:7" ht="15" thickBot="1" x14ac:dyDescent="0.35">
      <c r="A109" s="635" t="s">
        <v>182</v>
      </c>
      <c r="B109" s="255" t="str">
        <f t="array" ref="B109">IFERROR(
   IF(INDEX([1]Extraídas!B:B,MATCH(LEFT($A109,6)&amp;"*",[1]Extraídas!A:A,0))="Extraídas",
      "✅ En proceso",
      IF(INDEX([1]Extraídas!B:B,MATCH(LEFT($A109,6)&amp;"*",[1]Extraídas!A:A,0))="Recibidas",
         "⏳ Pendiente","❌ No ingresada")),
   "❌ No ingresada"
)</f>
        <v>✅ En proceso</v>
      </c>
      <c r="C109" s="255" t="str">
        <f t="array" ref="C109">IFERROR(
   IF(INDEX([1]PCRs!B:B,MATCH(LEFT($A109,6)&amp;"*",[1]PCRs!A:A,0))="Positivo",
      "✅ Positivo",
      IF(INDEX([1]PCRs!B:B,MATCH(LEFT($A109,6)&amp;"*",[1]PCRs!A:A,0))="Negativo",
         "❌ Negativo",
         "⏳ No realizado")),
   "⏳ No realizado"
)</f>
        <v>⏳ No realizado</v>
      </c>
      <c r="D109" s="255" t="str">
        <f>IFERROR(
   CHOOSE(
      MATCH(VLOOKUP(LEFT(A156,6)&amp;"*",'Identificación genética'!A:C,2,FALSE),
               {"En proceso";"Finalizado"},0),
      "🔬 En proceso",
      "🎯 Finalizado"
   ),
"❌ NA")</f>
        <v>❌ NA</v>
      </c>
      <c r="E109" s="255" t="s">
        <v>85</v>
      </c>
      <c r="F109" s="55">
        <v>45958</v>
      </c>
      <c r="G109" t="str">
        <f>_xlfn.XLOOKUP(A109, Extraídas!A:A, Extraídas!G:G, "")</f>
        <v>Klebsormidiophyceae</v>
      </c>
    </row>
    <row r="110" spans="1:7" ht="15" thickBot="1" x14ac:dyDescent="0.35">
      <c r="A110" s="636" t="s">
        <v>184</v>
      </c>
      <c r="B110" s="255" t="str">
        <f t="array" ref="B110">IFERROR(
   IF(INDEX([1]Extraídas!B:B,MATCH(LEFT($A110,6)&amp;"*",[1]Extraídas!A:A,0))="Extraídas",
      "✅ En proceso",
      IF(INDEX([1]Extraídas!B:B,MATCH(LEFT($A110,6)&amp;"*",[1]Extraídas!A:A,0))="Recibidas",
         "⏳ Pendiente","❌ No ingresada")),
   "❌ No ingresada"
)</f>
        <v>✅ En proceso</v>
      </c>
      <c r="C110" s="255" t="str">
        <f t="array" ref="C110">IFERROR(
   IF(INDEX([1]PCRs!B:B,MATCH(LEFT($A110,6)&amp;"*",[1]PCRs!A:A,0))="Positivo",
      "✅ Positivo",
      IF(INDEX([1]PCRs!B:B,MATCH(LEFT($A110,6)&amp;"*",[1]PCRs!A:A,0))="Negativo",
         "❌ Negativo",
         "⏳ No realizado")),
   "⏳ No realizado"
)</f>
        <v>⏳ No realizado</v>
      </c>
      <c r="D110" s="255" t="str">
        <f>IFERROR(
   CHOOSE(
      MATCH(VLOOKUP(LEFT(A157,6)&amp;"*",'Identificación genética'!A:C,2,FALSE),
               {"En proceso";"Finalizado"},0),
      "🔬 En proceso",
      "🎯 Finalizado"
   ),
"❌ NA")</f>
        <v>❌ NA</v>
      </c>
      <c r="E110" s="255" t="s">
        <v>85</v>
      </c>
      <c r="F110" s="53">
        <v>45958</v>
      </c>
      <c r="G110" t="str">
        <f>_xlfn.XLOOKUP(A110, Extraídas!A:A, Extraídas!G:G, "")</f>
        <v>Chlorophyceae</v>
      </c>
    </row>
    <row r="111" spans="1:7" ht="15" thickBot="1" x14ac:dyDescent="0.35">
      <c r="A111" s="635" t="s">
        <v>185</v>
      </c>
      <c r="B111" s="255" t="str">
        <f t="array" ref="B111">IFERROR(
   IF(INDEX([1]Extraídas!B:B,MATCH(LEFT($A111,6)&amp;"*",[1]Extraídas!A:A,0))="Extraídas",
      "✅ En proceso",
      IF(INDEX([1]Extraídas!B:B,MATCH(LEFT($A111,6)&amp;"*",[1]Extraídas!A:A,0))="Recibidas",
         "⏳ Pendiente","❌ No ingresada")),
   "❌ No ingresada"
)</f>
        <v>✅ En proceso</v>
      </c>
      <c r="C111" s="255" t="str">
        <f t="array" ref="C111">IFERROR(
   IF(INDEX([1]PCRs!B:B,MATCH(LEFT($A111,6)&amp;"*",[1]PCRs!A:A,0))="Positivo",
      "✅ Positivo",
      IF(INDEX([1]PCRs!B:B,MATCH(LEFT($A111,6)&amp;"*",[1]PCRs!A:A,0))="Negativo",
         "❌ Negativo",
         "⏳ No realizado")),
   "⏳ No realizado"
)</f>
        <v>⏳ No realizado</v>
      </c>
      <c r="D111" s="255" t="str">
        <f>IFERROR(
   CHOOSE(
      MATCH(VLOOKUP(LEFT(A158,6)&amp;"*",'Identificación genética'!A:C,2,FALSE),
               {"En proceso";"Finalizado"},0),
      "🔬 En proceso",
      "🎯 Finalizado"
   ),
"❌ NA")</f>
        <v>❌ NA</v>
      </c>
      <c r="E111" s="255" t="s">
        <v>85</v>
      </c>
      <c r="F111" s="55">
        <v>45958</v>
      </c>
      <c r="G111" t="str">
        <f>_xlfn.XLOOKUP(A111, Extraídas!A:A, Extraídas!G:G, "")</f>
        <v>Chlorophyceae</v>
      </c>
    </row>
    <row r="112" spans="1:7" ht="15" thickBot="1" x14ac:dyDescent="0.35">
      <c r="A112" s="636" t="s">
        <v>189</v>
      </c>
      <c r="B112" s="255" t="str">
        <f t="array" ref="B112">IFERROR(
   IF(INDEX([1]Extraídas!B:B,MATCH(LEFT($A112,6)&amp;"*",[1]Extraídas!A:A,0))="Extraídas",
      "✅ En proceso",
      IF(INDEX([1]Extraídas!B:B,MATCH(LEFT($A112,6)&amp;"*",[1]Extraídas!A:A,0))="Recibidas",
         "⏳ Pendiente","❌ No ingresada")),
   "❌ No ingresada"
)</f>
        <v>✅ En proceso</v>
      </c>
      <c r="C112" s="255" t="str">
        <f t="array" ref="C112">IFERROR(
   IF(INDEX([1]PCRs!B:B,MATCH(LEFT($A112,6)&amp;"*",[1]PCRs!A:A,0))="Positivo",
      "✅ Positivo",
      IF(INDEX([1]PCRs!B:B,MATCH(LEFT($A112,6)&amp;"*",[1]PCRs!A:A,0))="Negativo",
         "❌ Negativo",
         "⏳ No realizado")),
   "⏳ No realizado"
)</f>
        <v>⏳ No realizado</v>
      </c>
      <c r="D112" s="255" t="str">
        <f>IFERROR(
   CHOOSE(
      MATCH(VLOOKUP(LEFT(A159,6)&amp;"*",'Identificación genética'!A:C,2,FALSE),
               {"En proceso";"Finalizado"},0),
      "🔬 En proceso",
      "🎯 Finalizado"
   ),
"❌ NA")</f>
        <v>❌ NA</v>
      </c>
      <c r="E112" s="255" t="s">
        <v>85</v>
      </c>
      <c r="F112" s="53">
        <v>45960</v>
      </c>
      <c r="G112" t="str">
        <f>_xlfn.XLOOKUP(A112, Extraídas!A:A, Extraídas!G:G, "")</f>
        <v>Cyanobacteria</v>
      </c>
    </row>
    <row r="113" spans="1:7" ht="15" thickBot="1" x14ac:dyDescent="0.35">
      <c r="A113" s="636" t="s">
        <v>192</v>
      </c>
      <c r="B113" s="255" t="str">
        <f t="array" ref="B113">IFERROR(
   IF(INDEX([1]Extraídas!B:B,MATCH(LEFT($A113,6)&amp;"*",[1]Extraídas!A:A,0))="Extraídas",
      "✅ En proceso",
      IF(INDEX([1]Extraídas!B:B,MATCH(LEFT($A113,6)&amp;"*",[1]Extraídas!A:A,0))="Recibidas",
         "⏳ Pendiente","❌ No ingresada")),
   "❌ No ingresada"
)</f>
        <v>✅ En proceso</v>
      </c>
      <c r="C113" s="255" t="str">
        <f t="array" ref="C113">IFERROR(
   IF(INDEX([1]PCRs!B:B,MATCH(LEFT($A113,6)&amp;"*",[1]PCRs!A:A,0))="Positivo",
      "✅ Positivo",
      IF(INDEX([1]PCRs!B:B,MATCH(LEFT($A113,6)&amp;"*",[1]PCRs!A:A,0))="Negativo",
         "❌ Negativo",
         "⏳ No realizado")),
   "⏳ No realizado"
)</f>
        <v>⏳ No realizado</v>
      </c>
      <c r="D113" s="255" t="str">
        <f>IFERROR(
   CHOOSE(
      MATCH(VLOOKUP(LEFT(A160,6)&amp;"*",'Identificación genética'!A:C,2,FALSE),
               {"En proceso";"Finalizado"},0),
      "🔬 En proceso",
      "🎯 Finalizado"
   ),
"❌ NA")</f>
        <v>❌ NA</v>
      </c>
      <c r="E113" s="255" t="s">
        <v>85</v>
      </c>
      <c r="F113" s="54">
        <v>45947</v>
      </c>
      <c r="G113" t="str">
        <f>_xlfn.XLOOKUP(A113, Extraídas!A:A, Extraídas!G:G, "")</f>
        <v>Cyanobacteria</v>
      </c>
    </row>
    <row r="114" spans="1:7" ht="15" thickBot="1" x14ac:dyDescent="0.35">
      <c r="A114" s="635" t="s">
        <v>193</v>
      </c>
      <c r="B114" s="255" t="str">
        <f t="array" ref="B114">IFERROR(
   IF(INDEX([1]Extraídas!B:B,MATCH(LEFT($A114,6)&amp;"*",[1]Extraídas!A:A,0))="Extraídas",
      "✅ En proceso",
      IF(INDEX([1]Extraídas!B:B,MATCH(LEFT($A114,6)&amp;"*",[1]Extraídas!A:A,0))="Recibidas",
         "⏳ Pendiente","❌ No ingresada")),
   "❌ No ingresada"
)</f>
        <v>✅ En proceso</v>
      </c>
      <c r="C114" s="255" t="str">
        <f t="array" ref="C114">IFERROR(
   IF(INDEX([1]PCRs!B:B,MATCH(LEFT($A114,6)&amp;"*",[1]PCRs!A:A,0))="Positivo",
      "✅ Positivo",
      IF(INDEX([1]PCRs!B:B,MATCH(LEFT($A114,6)&amp;"*",[1]PCRs!A:A,0))="Negativo",
         "❌ Negativo",
         "⏳ No realizado")),
   "⏳ No realizado"
)</f>
        <v>⏳ No realizado</v>
      </c>
      <c r="D114" s="255" t="str">
        <f>IFERROR(
   CHOOSE(
      MATCH(VLOOKUP(LEFT(A161,6)&amp;"*",'Identificación genética'!A:C,2,FALSE),
               {"En proceso";"Finalizado"},0),
      "🔬 En proceso",
      "🎯 Finalizado"
   ),
"❌ NA")</f>
        <v>❌ NA</v>
      </c>
      <c r="E114" s="255" t="s">
        <v>85</v>
      </c>
      <c r="F114" s="72">
        <v>45947</v>
      </c>
      <c r="G114" t="str">
        <f>_xlfn.XLOOKUP(A114, Extraídas!A:A, Extraídas!G:G, "")</f>
        <v>Cyanobacteria</v>
      </c>
    </row>
    <row r="115" spans="1:7" ht="15" thickBot="1" x14ac:dyDescent="0.35">
      <c r="A115" s="636" t="s">
        <v>199</v>
      </c>
      <c r="B115" s="255" t="str">
        <f t="array" ref="B115">IFERROR(
   IF(INDEX([1]Extraídas!B:B,MATCH(LEFT($A115,6)&amp;"*",[1]Extraídas!A:A,0))="Extraídas",
      "✅ En proceso",
      IF(INDEX([1]Extraídas!B:B,MATCH(LEFT($A115,6)&amp;"*",[1]Extraídas!A:A,0))="Recibidas",
         "⏳ Pendiente","❌ No ingresada")),
   "❌ No ingresada"
)</f>
        <v>✅ En proceso</v>
      </c>
      <c r="C115" s="255" t="str">
        <f t="array" ref="C115">IFERROR(
   IF(INDEX([1]PCRs!B:B,MATCH(LEFT($A115,6)&amp;"*",[1]PCRs!A:A,0))="Positivo",
      "✅ Positivo",
      IF(INDEX([1]PCRs!B:B,MATCH(LEFT($A115,6)&amp;"*",[1]PCRs!A:A,0))="Negativo",
         "❌ Negativo",
         "⏳ No realizado")),
   "⏳ No realizado"
)</f>
        <v>⏳ No realizado</v>
      </c>
      <c r="D115" s="255" t="str">
        <f>IFERROR(
   CHOOSE(
      MATCH(VLOOKUP(LEFT(A162,6)&amp;"*",'Identificación genética'!A:C,2,FALSE),
               {"En proceso";"Finalizado"},0),
      "🔬 En proceso",
      "🎯 Finalizado"
   ),
"❌ NA")</f>
        <v>❌ NA</v>
      </c>
      <c r="E115" s="255" t="s">
        <v>85</v>
      </c>
      <c r="F115" s="68">
        <v>45958</v>
      </c>
      <c r="G115" t="str">
        <f>_xlfn.XLOOKUP(A115, Extraídas!A:A, Extraídas!G:G, "")</f>
        <v>Chlorophyceae</v>
      </c>
    </row>
    <row r="116" spans="1:7" ht="15" thickBot="1" x14ac:dyDescent="0.35">
      <c r="A116" s="635" t="s">
        <v>200</v>
      </c>
      <c r="B116" s="255" t="str">
        <f t="array" ref="B116">IFERROR(
   IF(INDEX([1]Extraídas!B:B,MATCH(LEFT($A116,6)&amp;"*",[1]Extraídas!A:A,0))="Extraídas",
      "✅ En proceso",
      IF(INDEX([1]Extraídas!B:B,MATCH(LEFT($A116,6)&amp;"*",[1]Extraídas!A:A,0))="Recibidas",
         "⏳ Pendiente","❌ No ingresada")),
   "❌ No ingresada"
)</f>
        <v>✅ En proceso</v>
      </c>
      <c r="C116" s="255" t="str">
        <f t="array" ref="C116">IFERROR(
   IF(INDEX([1]PCRs!B:B,MATCH(LEFT($A116,6)&amp;"*",[1]PCRs!A:A,0))="Positivo",
      "✅ Positivo",
      IF(INDEX([1]PCRs!B:B,MATCH(LEFT($A116,6)&amp;"*",[1]PCRs!A:A,0))="Negativo",
         "❌ Negativo",
         "⏳ No realizado")),
   "⏳ No realizado"
)</f>
        <v>⏳ No realizado</v>
      </c>
      <c r="D116" s="255" t="str">
        <f>IFERROR(
   CHOOSE(
      MATCH(VLOOKUP(LEFT(A163,6)&amp;"*",'Identificación genética'!A:C,2,FALSE),
               {"En proceso";"Finalizado"},0),
      "🔬 En proceso",
      "🎯 Finalizado"
   ),
"❌ NA")</f>
        <v>❌ NA</v>
      </c>
      <c r="E116" s="255" t="s">
        <v>85</v>
      </c>
      <c r="F116" s="77">
        <v>45958</v>
      </c>
      <c r="G116" t="str">
        <f>_xlfn.XLOOKUP(A116, Extraídas!A:A, Extraídas!G:G, "")</f>
        <v>Chlorophyceae</v>
      </c>
    </row>
    <row r="117" spans="1:7" ht="15" thickBot="1" x14ac:dyDescent="0.35">
      <c r="A117" s="636" t="s">
        <v>201</v>
      </c>
      <c r="B117" s="255" t="str">
        <f t="array" ref="B117">IFERROR(
   IF(INDEX([1]Extraídas!B:B,MATCH(LEFT($A117,6)&amp;"*",[1]Extraídas!A:A,0))="Extraídas",
      "✅ En proceso",
      IF(INDEX([1]Extraídas!B:B,MATCH(LEFT($A117,6)&amp;"*",[1]Extraídas!A:A,0))="Recibidas",
         "⏳ Pendiente","❌ No ingresada")),
   "❌ No ingresada"
)</f>
        <v>✅ En proceso</v>
      </c>
      <c r="C117" s="255" t="str">
        <f t="array" ref="C117">IFERROR(
   IF(INDEX([1]PCRs!B:B,MATCH(LEFT($A117,6)&amp;"*",[1]PCRs!A:A,0))="Positivo",
      "✅ Positivo",
      IF(INDEX([1]PCRs!B:B,MATCH(LEFT($A117,6)&amp;"*",[1]PCRs!A:A,0))="Negativo",
         "❌ Negativo",
         "⏳ No realizado")),
   "⏳ No realizado"
)</f>
        <v>⏳ No realizado</v>
      </c>
      <c r="D117" s="255" t="str">
        <f>IFERROR(
   CHOOSE(
      MATCH(VLOOKUP(LEFT(A164,6)&amp;"*",'Identificación genética'!A:C,2,FALSE),
               {"En proceso";"Finalizado"},0),
      "🔬 En proceso",
      "🎯 Finalizado"
   ),
"❌ NA")</f>
        <v>❌ NA</v>
      </c>
      <c r="E117" s="255" t="s">
        <v>85</v>
      </c>
      <c r="F117" s="54">
        <v>45968</v>
      </c>
      <c r="G117" t="str">
        <f>_xlfn.XLOOKUP(A117, Extraídas!A:A, Extraídas!G:G, "")</f>
        <v>Trebouxiophyceae</v>
      </c>
    </row>
    <row r="118" spans="1:7" ht="15" thickBot="1" x14ac:dyDescent="0.35">
      <c r="A118" s="635" t="s">
        <v>202</v>
      </c>
      <c r="B118" s="255" t="str">
        <f t="array" ref="B118">IFERROR(
   IF(INDEX([1]Extraídas!B:B,MATCH(LEFT($A118,6)&amp;"*",[1]Extraídas!A:A,0))="Extraídas",
      "✅ En proceso",
      IF(INDEX([1]Extraídas!B:B,MATCH(LEFT($A118,6)&amp;"*",[1]Extraídas!A:A,0))="Recibidas",
         "⏳ Pendiente","❌ No ingresada")),
   "❌ No ingresada"
)</f>
        <v>✅ En proceso</v>
      </c>
      <c r="C118" s="255" t="str">
        <f t="array" ref="C118">IFERROR(
   IF(INDEX([1]PCRs!B:B,MATCH(LEFT($A118,6)&amp;"*",[1]PCRs!A:A,0))="Positivo",
      "✅ Positivo",
      IF(INDEX([1]PCRs!B:B,MATCH(LEFT($A118,6)&amp;"*",[1]PCRs!A:A,0))="Negativo",
         "❌ Negativo",
         "⏳ No realizado")),
   "⏳ No realizado"
)</f>
        <v>⏳ No realizado</v>
      </c>
      <c r="D118" s="255" t="str">
        <f>IFERROR(
   CHOOSE(
      MATCH(VLOOKUP(LEFT(A165,6)&amp;"*",'Identificación genética'!A:C,2,FALSE),
               {"En proceso";"Finalizado"},0),
      "🔬 En proceso",
      "🎯 Finalizado"
   ),
"❌ NA")</f>
        <v>❌ NA</v>
      </c>
      <c r="E118" s="255" t="s">
        <v>85</v>
      </c>
      <c r="F118" s="54">
        <v>45957</v>
      </c>
      <c r="G118" t="str">
        <f>_xlfn.XLOOKUP(A118, Extraídas!A:A, Extraídas!G:G, "")</f>
        <v>Chlorophyceae</v>
      </c>
    </row>
    <row r="119" spans="1:7" ht="15" thickBot="1" x14ac:dyDescent="0.35">
      <c r="A119" s="636" t="s">
        <v>205</v>
      </c>
      <c r="B119" s="255" t="str">
        <f t="array" ref="B119">IFERROR(
   IF(INDEX([1]Extraídas!B:B,MATCH(LEFT($A119,6)&amp;"*",[1]Extraídas!A:A,0))="Extraídas",
      "✅ En proceso",
      IF(INDEX([1]Extraídas!B:B,MATCH(LEFT($A119,6)&amp;"*",[1]Extraídas!A:A,0))="Recibidas",
         "⏳ Pendiente","❌ No ingresada")),
   "❌ No ingresada"
)</f>
        <v>✅ En proceso</v>
      </c>
      <c r="C119" s="255" t="str">
        <f t="array" ref="C119">IFERROR(
   IF(INDEX([1]PCRs!B:B,MATCH(LEFT($A119,6)&amp;"*",[1]PCRs!A:A,0))="Positivo",
      "✅ Positivo",
      IF(INDEX([1]PCRs!B:B,MATCH(LEFT($A119,6)&amp;"*",[1]PCRs!A:A,0))="Negativo",
         "❌ Negativo",
         "⏳ No realizado")),
   "⏳ No realizado"
)</f>
        <v>⏳ No realizado</v>
      </c>
      <c r="D119" s="255" t="str">
        <f>IFERROR(
   CHOOSE(
      MATCH(VLOOKUP(LEFT(A166,6)&amp;"*",'Identificación genética'!A:C,2,FALSE),
               {"En proceso";"Finalizado"},0),
      "🔬 En proceso",
      "🎯 Finalizado"
   ),
"❌ NA")</f>
        <v>❌ NA</v>
      </c>
      <c r="E119" s="255" t="s">
        <v>85</v>
      </c>
      <c r="F119" s="54">
        <v>45957</v>
      </c>
      <c r="G119" t="str">
        <f>_xlfn.XLOOKUP(A119, Extraídas!A:A, Extraídas!G:G, "")</f>
        <v>Chlorophyceae</v>
      </c>
    </row>
    <row r="120" spans="1:7" ht="15" thickBot="1" x14ac:dyDescent="0.35">
      <c r="A120" s="635" t="s">
        <v>206</v>
      </c>
      <c r="B120" s="255" t="str">
        <f t="array" ref="B120">IFERROR(
   IF(INDEX([1]Extraídas!B:B,MATCH(LEFT($A120,6)&amp;"*",[1]Extraídas!A:A,0))="Extraídas",
      "✅ En proceso",
      IF(INDEX([1]Extraídas!B:B,MATCH(LEFT($A120,6)&amp;"*",[1]Extraídas!A:A,0))="Recibidas",
         "⏳ Pendiente","❌ No ingresada")),
   "❌ No ingresada"
)</f>
        <v>✅ En proceso</v>
      </c>
      <c r="C120" s="255" t="str">
        <f t="array" ref="C120">IFERROR(
   IF(INDEX([1]PCRs!B:B,MATCH(LEFT($A120,6)&amp;"*",[1]PCRs!A:A,0))="Positivo",
      "✅ Positivo",
      IF(INDEX([1]PCRs!B:B,MATCH(LEFT($A120,6)&amp;"*",[1]PCRs!A:A,0))="Negativo",
         "❌ Negativo",
         "⏳ No realizado")),
   "⏳ No realizado"
)</f>
        <v>⏳ No realizado</v>
      </c>
      <c r="D120" s="255" t="str">
        <f>IFERROR(
   CHOOSE(
      MATCH(VLOOKUP(LEFT(A167,6)&amp;"*",'Identificación genética'!A:C,2,FALSE),
               {"En proceso";"Finalizado"},0),
      "🔬 En proceso",
      "🎯 Finalizado"
   ),
"❌ NA")</f>
        <v>❌ NA</v>
      </c>
      <c r="E120" s="255" t="s">
        <v>85</v>
      </c>
      <c r="F120" s="54">
        <v>45957</v>
      </c>
      <c r="G120" t="str">
        <f>_xlfn.XLOOKUP(A120, Extraídas!A:A, Extraídas!G:G, "")</f>
        <v>Chlorophyceae</v>
      </c>
    </row>
    <row r="121" spans="1:7" ht="15" thickBot="1" x14ac:dyDescent="0.35">
      <c r="A121" s="636" t="s">
        <v>207</v>
      </c>
      <c r="B121" s="255" t="str">
        <f t="array" ref="B121">IFERROR(
   IF(INDEX([1]Extraídas!B:B,MATCH(LEFT($A121,6)&amp;"*",[1]Extraídas!A:A,0))="Extraídas",
      "✅ En proceso",
      IF(INDEX([1]Extraídas!B:B,MATCH(LEFT($A121,6)&amp;"*",[1]Extraídas!A:A,0))="Recibidas",
         "⏳ Pendiente","❌ No ingresada")),
   "❌ No ingresada"
)</f>
        <v>✅ En proceso</v>
      </c>
      <c r="C121" s="255" t="str">
        <f t="array" ref="C121">IFERROR(
   IF(INDEX([1]PCRs!B:B,MATCH(LEFT($A121,6)&amp;"*",[1]PCRs!A:A,0))="Positivo",
      "✅ Positivo",
      IF(INDEX([1]PCRs!B:B,MATCH(LEFT($A121,6)&amp;"*",[1]PCRs!A:A,0))="Negativo",
         "❌ Negativo",
         "⏳ No realizado")),
   "⏳ No realizado"
)</f>
        <v>⏳ No realizado</v>
      </c>
      <c r="D121" s="255" t="str">
        <f>IFERROR(
   CHOOSE(
      MATCH(VLOOKUP(LEFT(A168,6)&amp;"*",'Identificación genética'!A:C,2,FALSE),
               {"En proceso";"Finalizado"},0),
      "🔬 En proceso",
      "🎯 Finalizado"
   ),
"❌ NA")</f>
        <v>❌ NA</v>
      </c>
      <c r="E121" s="255" t="s">
        <v>85</v>
      </c>
      <c r="F121" s="54">
        <v>45957</v>
      </c>
      <c r="G121" t="str">
        <f>_xlfn.XLOOKUP(A121, Extraídas!A:A, Extraídas!G:G, "")</f>
        <v>Chlorophyceae</v>
      </c>
    </row>
    <row r="122" spans="1:7" ht="15" thickBot="1" x14ac:dyDescent="0.35">
      <c r="A122" s="635" t="s">
        <v>208</v>
      </c>
      <c r="B122" s="255" t="str">
        <f t="array" ref="B122">IFERROR(
   IF(INDEX([1]Extraídas!B:B,MATCH(LEFT($A122,6)&amp;"*",[1]Extraídas!A:A,0))="Extraídas",
      "✅ En proceso",
      IF(INDEX([1]Extraídas!B:B,MATCH(LEFT($A122,6)&amp;"*",[1]Extraídas!A:A,0))="Recibidas",
         "⏳ Pendiente","❌ No ingresada")),
   "❌ No ingresada"
)</f>
        <v>✅ En proceso</v>
      </c>
      <c r="C122" s="255" t="str">
        <f t="array" ref="C122">IFERROR(
   IF(INDEX([1]PCRs!B:B,MATCH(LEFT($A122,6)&amp;"*",[1]PCRs!A:A,0))="Positivo",
      "✅ Positivo",
      IF(INDEX([1]PCRs!B:B,MATCH(LEFT($A122,6)&amp;"*",[1]PCRs!A:A,0))="Negativo",
         "❌ Negativo",
         "⏳ No realizado")),
   "⏳ No realizado"
)</f>
        <v>⏳ No realizado</v>
      </c>
      <c r="D122" s="255" t="str">
        <f>IFERROR(
   CHOOSE(
      MATCH(VLOOKUP(LEFT(A169,6)&amp;"*",'Identificación genética'!A:C,2,FALSE),
               {"En proceso";"Finalizado"},0),
      "🔬 En proceso",
      "🎯 Finalizado"
   ),
"❌ NA")</f>
        <v>❌ NA</v>
      </c>
      <c r="E122" s="255" t="s">
        <v>85</v>
      </c>
      <c r="F122" s="54">
        <v>45957</v>
      </c>
      <c r="G122" t="str">
        <f>_xlfn.XLOOKUP(A122, Extraídas!A:A, Extraídas!G:G, "")</f>
        <v>Chlorophyceae</v>
      </c>
    </row>
    <row r="123" spans="1:7" ht="15" thickBot="1" x14ac:dyDescent="0.35">
      <c r="A123" s="636" t="s">
        <v>209</v>
      </c>
      <c r="B123" s="255" t="str">
        <f t="array" ref="B123">IFERROR(
   IF(INDEX([1]Extraídas!B:B,MATCH(LEFT($A123,6)&amp;"*",[1]Extraídas!A:A,0))="Extraídas",
      "✅ En proceso",
      IF(INDEX([1]Extraídas!B:B,MATCH(LEFT($A123,6)&amp;"*",[1]Extraídas!A:A,0))="Recibidas",
         "⏳ Pendiente","❌ No ingresada")),
   "❌ No ingresada"
)</f>
        <v>✅ En proceso</v>
      </c>
      <c r="C123" s="255" t="str">
        <f t="array" ref="C123">IFERROR(
   IF(INDEX([1]PCRs!B:B,MATCH(LEFT($A123,6)&amp;"*",[1]PCRs!A:A,0))="Positivo",
      "✅ Positivo",
      IF(INDEX([1]PCRs!B:B,MATCH(LEFT($A123,6)&amp;"*",[1]PCRs!A:A,0))="Negativo",
         "❌ Negativo",
         "⏳ No realizado")),
   "⏳ No realizado"
)</f>
        <v>⏳ No realizado</v>
      </c>
      <c r="D123" s="255" t="str">
        <f>IFERROR(
   CHOOSE(
      MATCH(VLOOKUP(LEFT(A170,6)&amp;"*",'Identificación genética'!A:C,2,FALSE),
               {"En proceso";"Finalizado"},0),
      "🔬 En proceso",
      "🎯 Finalizado"
   ),
"❌ NA")</f>
        <v>❌ NA</v>
      </c>
      <c r="E123" s="255" t="s">
        <v>85</v>
      </c>
      <c r="F123" s="54">
        <v>45957</v>
      </c>
      <c r="G123" t="str">
        <f>_xlfn.XLOOKUP(A123, Extraídas!A:A, Extraídas!G:G, "")</f>
        <v>Chlorophyceae</v>
      </c>
    </row>
    <row r="124" spans="1:7" ht="15" thickBot="1" x14ac:dyDescent="0.35">
      <c r="A124" s="635" t="s">
        <v>210</v>
      </c>
      <c r="B124" s="255" t="str">
        <f t="array" ref="B124">IFERROR(
   IF(INDEX([1]Extraídas!B:B,MATCH(LEFT($A124,6)&amp;"*",[1]Extraídas!A:A,0))="Extraídas",
      "✅ En proceso",
      IF(INDEX([1]Extraídas!B:B,MATCH(LEFT($A124,6)&amp;"*",[1]Extraídas!A:A,0))="Recibidas",
         "⏳ Pendiente","❌ No ingresada")),
   "❌ No ingresada"
)</f>
        <v>✅ En proceso</v>
      </c>
      <c r="C124" s="255" t="str">
        <f t="array" ref="C124">IFERROR(
   IF(INDEX([1]PCRs!B:B,MATCH(LEFT($A124,6)&amp;"*",[1]PCRs!A:A,0))="Positivo",
      "✅ Positivo",
      IF(INDEX([1]PCRs!B:B,MATCH(LEFT($A124,6)&amp;"*",[1]PCRs!A:A,0))="Negativo",
         "❌ Negativo",
         "⏳ No realizado")),
   "⏳ No realizado"
)</f>
        <v>⏳ No realizado</v>
      </c>
      <c r="D124" s="255" t="str">
        <f>IFERROR(
   CHOOSE(
      MATCH(VLOOKUP(LEFT(A171,6)&amp;"*",'Identificación genética'!A:C,2,FALSE),
               {"En proceso";"Finalizado"},0),
      "🔬 En proceso",
      "🎯 Finalizado"
   ),
"❌ NA")</f>
        <v>❌ NA</v>
      </c>
      <c r="E124" s="255" t="s">
        <v>85</v>
      </c>
      <c r="F124" s="54">
        <v>45957</v>
      </c>
      <c r="G124" t="str">
        <f>_xlfn.XLOOKUP(A124, Extraídas!A:A, Extraídas!G:G, "")</f>
        <v>Trebouxiophyceae</v>
      </c>
    </row>
    <row r="125" spans="1:7" ht="15" thickBot="1" x14ac:dyDescent="0.35">
      <c r="A125" s="635" t="s">
        <v>212</v>
      </c>
      <c r="B125" s="255" t="str">
        <f t="array" ref="B125">IFERROR(
   IF(INDEX([1]Extraídas!B:B,MATCH(LEFT($A125,6)&amp;"*",[1]Extraídas!A:A,0))="Extraídas",
      "✅ En proceso",
      IF(INDEX([1]Extraídas!B:B,MATCH(LEFT($A125,6)&amp;"*",[1]Extraídas!A:A,0))="Recibidas",
         "⏳ Pendiente","❌ No ingresada")),
   "❌ No ingresada"
)</f>
        <v>✅ En proceso</v>
      </c>
      <c r="C125" s="255" t="str">
        <f t="array" ref="C125">IFERROR(
   IF(INDEX([1]PCRs!B:B,MATCH(LEFT($A125,6)&amp;"*",[1]PCRs!A:A,0))="Positivo",
      "✅ Positivo",
      IF(INDEX([1]PCRs!B:B,MATCH(LEFT($A125,6)&amp;"*",[1]PCRs!A:A,0))="Negativo",
         "❌ Negativo",
         "⏳ No realizado")),
   "⏳ No realizado"
)</f>
        <v>⏳ No realizado</v>
      </c>
      <c r="D125" s="255" t="str">
        <f>IFERROR(
   CHOOSE(
      MATCH(VLOOKUP(LEFT(A172,6)&amp;"*",'Identificación genética'!A:C,2,FALSE),
               {"En proceso";"Finalizado"},0),
      "🔬 En proceso",
      "🎯 Finalizado"
   ),
"❌ NA")</f>
        <v>❌ NA</v>
      </c>
      <c r="E125" s="255" t="s">
        <v>85</v>
      </c>
      <c r="F125" s="55">
        <v>46000</v>
      </c>
      <c r="G125" t="str">
        <f>_xlfn.XLOOKUP(A125, Extraídas!A:A, Extraídas!G:G, "")</f>
        <v>Cianobacterias</v>
      </c>
    </row>
    <row r="126" spans="1:7" ht="15" thickBot="1" x14ac:dyDescent="0.35">
      <c r="A126" s="636" t="s">
        <v>213</v>
      </c>
      <c r="B126" s="255" t="str">
        <f t="array" ref="B126">IFERROR(
   IF(INDEX([1]Extraídas!B:B,MATCH(LEFT($A126,6)&amp;"*",[1]Extraídas!A:A,0))="Extraídas",
      "✅ En proceso",
      IF(INDEX([1]Extraídas!B:B,MATCH(LEFT($A126,6)&amp;"*",[1]Extraídas!A:A,0))="Recibidas",
         "⏳ Pendiente","❌ No ingresada")),
   "❌ No ingresada"
)</f>
        <v>✅ En proceso</v>
      </c>
      <c r="C126" s="255" t="str">
        <f t="array" ref="C126">IFERROR(
   IF(INDEX([1]PCRs!B:B,MATCH(LEFT($A126,6)&amp;"*",[1]PCRs!A:A,0))="Positivo",
      "✅ Positivo",
      IF(INDEX([1]PCRs!B:B,MATCH(LEFT($A126,6)&amp;"*",[1]PCRs!A:A,0))="Negativo",
         "❌ Negativo",
         "⏳ No realizado")),
   "⏳ No realizado"
)</f>
        <v>⏳ No realizado</v>
      </c>
      <c r="D126" s="255" t="str">
        <f>IFERROR(
   CHOOSE(
      MATCH(VLOOKUP(LEFT(A173,6)&amp;"*",'Identificación genética'!A:C,2,FALSE),
               {"En proceso";"Finalizado"},0),
      "🔬 En proceso",
      "🎯 Finalizado"
   ),
"❌ NA")</f>
        <v>❌ NA</v>
      </c>
      <c r="E126" s="255" t="s">
        <v>85</v>
      </c>
      <c r="F126" s="53">
        <v>46000</v>
      </c>
      <c r="G126" t="str">
        <f>_xlfn.XLOOKUP(A126, Extraídas!A:A, Extraídas!G:G, "")</f>
        <v>Cyanobacteria</v>
      </c>
    </row>
    <row r="127" spans="1:7" ht="15" thickBot="1" x14ac:dyDescent="0.35">
      <c r="A127" s="635" t="s">
        <v>219</v>
      </c>
      <c r="B127" s="255" t="str">
        <f t="array" ref="B127">IFERROR(
   IF(INDEX([1]Extraídas!B:B,MATCH(LEFT($A127,6)&amp;"*",[1]Extraídas!A:A,0))="Extraídas",
      "✅ En proceso",
      IF(INDEX([1]Extraídas!B:B,MATCH(LEFT($A127,6)&amp;"*",[1]Extraídas!A:A,0))="Recibidas",
         "⏳ Pendiente","❌ No ingresada")),
   "❌ No ingresada"
)</f>
        <v>✅ En proceso</v>
      </c>
      <c r="C127" s="255" t="str">
        <f t="array" ref="C127">IFERROR(
   IF(INDEX([1]PCRs!B:B,MATCH(LEFT($A127,6)&amp;"*",[1]PCRs!A:A,0))="Positivo",
      "✅ Positivo",
      IF(INDEX([1]PCRs!B:B,MATCH(LEFT($A127,6)&amp;"*",[1]PCRs!A:A,0))="Negativo",
         "❌ Negativo",
         "⏳ No realizado")),
   "⏳ No realizado"
)</f>
        <v>⏳ No realizado</v>
      </c>
      <c r="D127" s="255" t="str">
        <f>IFERROR(
   CHOOSE(
      MATCH(VLOOKUP(LEFT(A174,6)&amp;"*",'Identificación genética'!A:C,2,FALSE),
               {"En proceso";"Finalizado"},0),
      "🔬 En proceso",
      "🎯 Finalizado"
   ),
"❌ NA")</f>
        <v>❌ NA</v>
      </c>
      <c r="E127" s="255" t="s">
        <v>85</v>
      </c>
      <c r="F127" s="55">
        <v>46000</v>
      </c>
      <c r="G127" t="str">
        <f>_xlfn.XLOOKUP(A127, Extraídas!A:A, Extraídas!G:G, "")</f>
        <v>Cyanobacteria</v>
      </c>
    </row>
    <row r="128" spans="1:7" ht="15" thickBot="1" x14ac:dyDescent="0.35">
      <c r="A128" s="635" t="s">
        <v>221</v>
      </c>
      <c r="B128" s="255" t="str">
        <f t="array" ref="B128">IFERROR(
   IF(INDEX([1]Extraídas!B:B,MATCH(LEFT($A128,6)&amp;"*",[1]Extraídas!A:A,0))="Extraídas",
      "✅ En proceso",
      IF(INDEX([1]Extraídas!B:B,MATCH(LEFT($A128,6)&amp;"*",[1]Extraídas!A:A,0))="Recibidas",
         "⏳ Pendiente","❌ No ingresada")),
   "❌ No ingresada"
)</f>
        <v>✅ En proceso</v>
      </c>
      <c r="C128" s="255" t="str">
        <f t="array" ref="C128">IFERROR(
   IF(INDEX([1]PCRs!B:B,MATCH(LEFT($A128,6)&amp;"*",[1]PCRs!A:A,0))="Positivo",
      "✅ Positivo",
      IF(INDEX([1]PCRs!B:B,MATCH(LEFT($A128,6)&amp;"*",[1]PCRs!A:A,0))="Negativo",
         "❌ Negativo",
         "⏳ No realizado")),
   "⏳ No realizado"
)</f>
        <v>⏳ No realizado</v>
      </c>
      <c r="D128" s="255" t="str">
        <f>IFERROR(
   CHOOSE(
      MATCH(VLOOKUP(LEFT(A175,6)&amp;"*",'Identificación genética'!A:C,2,FALSE),
               {"En proceso";"Finalizado"},0),
      "🔬 En proceso",
      "🎯 Finalizado"
   ),
"❌ NA")</f>
        <v>❌ NA</v>
      </c>
      <c r="E128" s="255" t="s">
        <v>85</v>
      </c>
      <c r="F128" s="55">
        <v>45960</v>
      </c>
      <c r="G128" t="str">
        <f>_xlfn.XLOOKUP(A128, Extraídas!A:A, Extraídas!G:G, "")</f>
        <v>Cyanobacteria</v>
      </c>
    </row>
    <row r="129" spans="1:7" ht="15" thickBot="1" x14ac:dyDescent="0.35">
      <c r="A129" s="636" t="s">
        <v>226</v>
      </c>
      <c r="B129" s="255" t="str">
        <f t="array" ref="B129">IFERROR(
   IF(INDEX([1]Extraídas!B:B,MATCH(LEFT($A129,6)&amp;"*",[1]Extraídas!A:A,0))="Extraídas",
      "✅ En proceso",
      IF(INDEX([1]Extraídas!B:B,MATCH(LEFT($A129,6)&amp;"*",[1]Extraídas!A:A,0))="Recibidas",
         "⏳ Pendiente","❌ No ingresada")),
   "❌ No ingresada"
)</f>
        <v>✅ En proceso</v>
      </c>
      <c r="C129" s="255" t="str">
        <f t="array" ref="C129">IFERROR(
   IF(INDEX([1]PCRs!B:B,MATCH(LEFT($A129,6)&amp;"*",[1]PCRs!A:A,0))="Positivo",
      "✅ Positivo",
      IF(INDEX([1]PCRs!B:B,MATCH(LEFT($A129,6)&amp;"*",[1]PCRs!A:A,0))="Negativo",
         "❌ Negativo",
         "⏳ No realizado")),
   "⏳ No realizado"
)</f>
        <v>⏳ No realizado</v>
      </c>
      <c r="D129" s="255" t="str">
        <f>IFERROR(
   CHOOSE(
      MATCH(VLOOKUP(LEFT(A176,6)&amp;"*",'Identificación genética'!A:C,2,FALSE),
               {"En proceso";"Finalizado"},0),
      "🔬 En proceso",
      "🎯 Finalizado"
   ),
"❌ NA")</f>
        <v>❌ NA</v>
      </c>
      <c r="E129" s="255" t="s">
        <v>85</v>
      </c>
      <c r="F129" s="54">
        <v>45957</v>
      </c>
      <c r="G129" t="str">
        <f>_xlfn.XLOOKUP(A129, Extraídas!A:A, Extraídas!G:G, "")</f>
        <v>Cyanobacteria</v>
      </c>
    </row>
    <row r="130" spans="1:7" ht="15" thickBot="1" x14ac:dyDescent="0.35">
      <c r="A130" s="636" t="s">
        <v>231</v>
      </c>
      <c r="B130" s="255" t="str">
        <f t="array" ref="B130">IFERROR(
   IF(INDEX([1]Extraídas!B:B,MATCH(LEFT($A130,6)&amp;"*",[1]Extraídas!A:A,0))="Extraídas",
      "✅ En proceso",
      IF(INDEX([1]Extraídas!B:B,MATCH(LEFT($A130,6)&amp;"*",[1]Extraídas!A:A,0))="Recibidas",
         "⏳ Pendiente","❌ No ingresada")),
   "❌ No ingresada"
)</f>
        <v>✅ En proceso</v>
      </c>
      <c r="C130" s="255" t="str">
        <f t="array" ref="C130">IFERROR(
   IF(INDEX([1]PCRs!B:B,MATCH(LEFT($A130,6)&amp;"*",[1]PCRs!A:A,0))="Positivo",
      "✅ Positivo",
      IF(INDEX([1]PCRs!B:B,MATCH(LEFT($A130,6)&amp;"*",[1]PCRs!A:A,0))="Negativo",
         "❌ Negativo",
         "⏳ No realizado")),
   "⏳ No realizado"
)</f>
        <v>⏳ No realizado</v>
      </c>
      <c r="D130" s="255" t="str">
        <f>IFERROR(
   CHOOSE(
      MATCH(VLOOKUP(LEFT(A177,6)&amp;"*",'Identificación genética'!A:C,2,FALSE),
               {"En proceso";"Finalizado"},0),
      "🔬 En proceso",
      "🎯 Finalizado"
   ),
"❌ NA")</f>
        <v>❌ NA</v>
      </c>
      <c r="E130" s="255" t="s">
        <v>85</v>
      </c>
      <c r="F130" s="72">
        <v>45947</v>
      </c>
      <c r="G130" t="str">
        <f>_xlfn.XLOOKUP(A130, Extraídas!A:A, Extraídas!G:G, "")</f>
        <v>Cyanobacteria</v>
      </c>
    </row>
    <row r="131" spans="1:7" ht="15" thickBot="1" x14ac:dyDescent="0.35">
      <c r="A131" s="636" t="s">
        <v>233</v>
      </c>
      <c r="B131" s="255" t="str">
        <f t="array" ref="B131">IFERROR(
   IF(INDEX([1]Extraídas!B:B,MATCH(LEFT($A131,6)&amp;"*",[1]Extraídas!A:A,0))="Extraídas",
      "✅ En proceso",
      IF(INDEX([1]Extraídas!B:B,MATCH(LEFT($A131,6)&amp;"*",[1]Extraídas!A:A,0))="Recibidas",
         "⏳ Pendiente","❌ No ingresada")),
   "❌ No ingresada"
)</f>
        <v>✅ En proceso</v>
      </c>
      <c r="C131" s="255" t="str">
        <f t="array" ref="C131">IFERROR(
   IF(INDEX([1]PCRs!B:B,MATCH(LEFT($A131,6)&amp;"*",[1]PCRs!A:A,0))="Positivo",
      "✅ Positivo",
      IF(INDEX([1]PCRs!B:B,MATCH(LEFT($A131,6)&amp;"*",[1]PCRs!A:A,0))="Negativo",
         "❌ Negativo",
         "⏳ No realizado")),
   "⏳ No realizado"
)</f>
        <v>⏳ No realizado</v>
      </c>
      <c r="D131" s="255" t="str">
        <f>IFERROR(
   CHOOSE(
      MATCH(VLOOKUP(LEFT(A178,6)&amp;"*",'Identificación genética'!A:C,2,FALSE),
               {"En proceso";"Finalizado"},0),
      "🔬 En proceso",
      "🎯 Finalizado"
   ),
"❌ NA")</f>
        <v>❌ NA</v>
      </c>
      <c r="E131" s="255" t="s">
        <v>85</v>
      </c>
      <c r="F131" s="68">
        <v>46000</v>
      </c>
      <c r="G131" t="str">
        <f>_xlfn.XLOOKUP(A131, Extraídas!A:A, Extraídas!G:G, "")</f>
        <v>Cyanobacteria</v>
      </c>
    </row>
    <row r="132" spans="1:7" ht="15" thickBot="1" x14ac:dyDescent="0.35">
      <c r="A132" s="635" t="s">
        <v>236</v>
      </c>
      <c r="B132" s="255" t="str">
        <f t="array" ref="B132">IFERROR(
   IF(INDEX([1]Extraídas!B:B,MATCH(LEFT($A132,6)&amp;"*",[1]Extraídas!A:A,0))="Extraídas",
      "✅ En proceso",
      IF(INDEX([1]Extraídas!B:B,MATCH(LEFT($A132,6)&amp;"*",[1]Extraídas!A:A,0))="Recibidas",
         "⏳ Pendiente","❌ No ingresada")),
   "❌ No ingresada"
)</f>
        <v>✅ En proceso</v>
      </c>
      <c r="C132" s="255" t="str">
        <f t="array" ref="C132">IFERROR(
   IF(INDEX([1]PCRs!B:B,MATCH(LEFT($A132,6)&amp;"*",[1]PCRs!A:A,0))="Positivo",
      "✅ Positivo",
      IF(INDEX([1]PCRs!B:B,MATCH(LEFT($A132,6)&amp;"*",[1]PCRs!A:A,0))="Negativo",
         "❌ Negativo",
         "⏳ No realizado")),
   "⏳ No realizado"
)</f>
        <v>⏳ No realizado</v>
      </c>
      <c r="D132" s="255" t="str">
        <f>IFERROR(
   CHOOSE(
      MATCH(VLOOKUP(LEFT(A179,6)&amp;"*",'Identificación genética'!A:C,2,FALSE),
               {"En proceso";"Finalizado"},0),
      "🔬 En proceso",
      "🎯 Finalizado"
   ),
"❌ NA")</f>
        <v>❌ NA</v>
      </c>
      <c r="E132" s="255" t="s">
        <v>85</v>
      </c>
      <c r="F132" s="72">
        <v>45968</v>
      </c>
      <c r="G132" t="str">
        <f>_xlfn.XLOOKUP(A132, Extraídas!A:A, Extraídas!G:G, "")</f>
        <v>Chlorophyceae</v>
      </c>
    </row>
    <row r="133" spans="1:7" ht="15" thickBot="1" x14ac:dyDescent="0.35">
      <c r="A133" s="629" t="s">
        <v>239</v>
      </c>
      <c r="B133" s="255" t="str">
        <f t="array" ref="B133">IFERROR(
   IF(INDEX([1]Extraídas!B:B,MATCH(LEFT($A133,6)&amp;"*",[1]Extraídas!A:A,0))="Extraídas",
      "✅ En proceso",
      IF(INDEX([1]Extraídas!B:B,MATCH(LEFT($A133,6)&amp;"*",[1]Extraídas!A:A,0))="Recibidas",
         "⏳ Pendiente","❌ No ingresada")),
   "❌ No ingresada"
)</f>
        <v>✅ En proceso</v>
      </c>
      <c r="C133" s="255" t="str">
        <f t="array" ref="C133">IFERROR(
   IF(INDEX([1]PCRs!B:B,MATCH(LEFT($A133,6)&amp;"*",[1]PCRs!A:A,0))="Positivo",
      "✅ Positivo",
      IF(INDEX([1]PCRs!B:B,MATCH(LEFT($A133,6)&amp;"*",[1]PCRs!A:A,0))="Negativo",
         "❌ Negativo",
         "⏳ No realizado")),
   "⏳ No realizado"
)</f>
        <v>⏳ No realizado</v>
      </c>
      <c r="D133" s="255" t="str">
        <f>IFERROR(
   CHOOSE(
      MATCH(VLOOKUP(LEFT(A180,6)&amp;"*",'Identificación genética'!A:C,2,FALSE),
               {"En proceso";"Finalizado"},0),
      "🔬 En proceso",
      "🎯 Finalizado"
   ),
"❌ NA")</f>
        <v>❌ NA</v>
      </c>
      <c r="E133" s="255" t="s">
        <v>85</v>
      </c>
      <c r="F133" s="72">
        <v>45968</v>
      </c>
      <c r="G133" t="str">
        <f>_xlfn.XLOOKUP(A133, Extraídas!A:A, Extraídas!G:G, "")</f>
        <v>Chlorophyceae</v>
      </c>
    </row>
    <row r="134" spans="1:7" ht="15" thickBot="1" x14ac:dyDescent="0.35">
      <c r="A134" s="628" t="s">
        <v>241</v>
      </c>
      <c r="B134" s="255" t="str">
        <f t="array" ref="B134">IFERROR(
   IF(INDEX([1]Extraídas!B:B,MATCH(LEFT($A134,6)&amp;"*",[1]Extraídas!A:A,0))="Extraídas",
      "✅ En proceso",
      IF(INDEX([1]Extraídas!B:B,MATCH(LEFT($A134,6)&amp;"*",[1]Extraídas!A:A,0))="Recibidas",
         "⏳ Pendiente","❌ No ingresada")),
   "❌ No ingresada"
)</f>
        <v>✅ En proceso</v>
      </c>
      <c r="C134" s="255" t="str">
        <f t="array" ref="C134">IFERROR(
   IF(INDEX([1]PCRs!B:B,MATCH(LEFT($A134,6)&amp;"*",[1]PCRs!A:A,0))="Positivo",
      "✅ Positivo",
      IF(INDEX([1]PCRs!B:B,MATCH(LEFT($A134,6)&amp;"*",[1]PCRs!A:A,0))="Negativo",
         "❌ Negativo",
         "⏳ No realizado")),
   "⏳ No realizado"
)</f>
        <v>⏳ No realizado</v>
      </c>
      <c r="D134" s="255" t="str">
        <f>IFERROR(
   CHOOSE(
      MATCH(VLOOKUP(LEFT(A181,6)&amp;"*",'Identificación genética'!A:C,2,FALSE),
               {"En proceso";"Finalizado"},0),
      "🔬 En proceso",
      "🎯 Finalizado"
   ),
"❌ NA")</f>
        <v>❌ NA</v>
      </c>
      <c r="E134" s="255" t="s">
        <v>85</v>
      </c>
      <c r="F134" s="77">
        <v>46000</v>
      </c>
      <c r="G134" t="str">
        <f>_xlfn.XLOOKUP(A134, Extraídas!A:A, Extraídas!G:G, "")</f>
        <v>Dinophyceae</v>
      </c>
    </row>
    <row r="135" spans="1:7" x14ac:dyDescent="0.3">
      <c r="A135" s="629" t="s">
        <v>243</v>
      </c>
      <c r="B135" s="255" t="str">
        <f t="array" ref="B135">IFERROR(
   IF(INDEX([1]Extraídas!B:B,MATCH(LEFT($A135,6)&amp;"*",[1]Extraídas!A:A,0))="Extraídas",
      "✅ En proceso",
      IF(INDEX([1]Extraídas!B:B,MATCH(LEFT($A135,6)&amp;"*",[1]Extraídas!A:A,0))="Recibidas",
         "⏳ Pendiente","❌ No ingresada")),
   "❌ No ingresada"
)</f>
        <v>✅ En proceso</v>
      </c>
      <c r="C135" s="255" t="str">
        <f t="array" ref="C135">IFERROR(
   IF(INDEX([1]PCRs!B:B,MATCH(LEFT($A135,6)&amp;"*",[1]PCRs!A:A,0))="Positivo",
      "✅ Positivo",
      IF(INDEX([1]PCRs!B:B,MATCH(LEFT($A135,6)&amp;"*",[1]PCRs!A:A,0))="Negativo",
         "❌ Negativo",
         "⏳ No realizado")),
   "⏳ No realizado"
)</f>
        <v>⏳ No realizado</v>
      </c>
      <c r="D135" s="255" t="str">
        <f>IFERROR(
   CHOOSE(
      MATCH(VLOOKUP(LEFT(A182,6)&amp;"*",'Identificación genética'!A:C,2,FALSE),
               {"En proceso";"Finalizado"},0),
      "🔬 En proceso",
      "🎯 Finalizado"
   ),
"❌ NA")</f>
        <v>❌ NA</v>
      </c>
      <c r="E135" s="255" t="s">
        <v>85</v>
      </c>
      <c r="F135" s="32">
        <v>45986</v>
      </c>
      <c r="G135" t="str">
        <f>_xlfn.XLOOKUP(A135, Extraídas!A:A, Extraídas!G:G, "")</f>
        <v>Ulvophyceae</v>
      </c>
    </row>
    <row r="136" spans="1:7" x14ac:dyDescent="0.3">
      <c r="A136" s="633" t="s">
        <v>247</v>
      </c>
      <c r="B136" s="255" t="str">
        <f t="array" ref="B136">IFERROR(
   IF(INDEX([1]Extraídas!B:B,MATCH(LEFT($A136,6)&amp;"*",[1]Extraídas!A:A,0))="Extraídas",
      "✅ En proceso",
      IF(INDEX([1]Extraídas!B:B,MATCH(LEFT($A136,6)&amp;"*",[1]Extraídas!A:A,0))="Recibidas",
         "⏳ Pendiente","❌ No ingresada")),
   "❌ No ingresada"
)</f>
        <v>✅ En proceso</v>
      </c>
      <c r="C136" s="255" t="str">
        <f t="array" ref="C136">IFERROR(
   IF(INDEX([1]PCRs!B:B,MATCH(LEFT($A136,6)&amp;"*",[1]PCRs!A:A,0))="Positivo",
      "✅ Positivo",
      IF(INDEX([1]PCRs!B:B,MATCH(LEFT($A136,6)&amp;"*",[1]PCRs!A:A,0))="Negativo",
         "❌ Negativo",
         "⏳ No realizado")),
   "⏳ No realizado"
)</f>
        <v>⏳ No realizado</v>
      </c>
      <c r="D136" s="255" t="str">
        <f>IFERROR(
   CHOOSE(
      MATCH(VLOOKUP(LEFT(A183,6)&amp;"*",'Identificación genética'!A:C,2,FALSE),
               {"En proceso";"Finalizado"},0),
      "🔬 En proceso",
      "🎯 Finalizado"
   ),
"❌ NA")</f>
        <v>❌ NA</v>
      </c>
      <c r="E136" s="255" t="s">
        <v>85</v>
      </c>
      <c r="F136" s="32">
        <v>46000</v>
      </c>
      <c r="G136" t="str">
        <f>_xlfn.XLOOKUP(A136, Extraídas!A:A, Extraídas!G:G, "")</f>
        <v>Cyanobacteria</v>
      </c>
    </row>
    <row r="137" spans="1:7" x14ac:dyDescent="0.3">
      <c r="A137" s="634" t="s">
        <v>248</v>
      </c>
      <c r="B137" s="255" t="str">
        <f t="array" ref="B137">IFERROR(
   IF(INDEX([1]Extraídas!B:B,MATCH(LEFT($A137,6)&amp;"*",[1]Extraídas!A:A,0))="Extraídas",
      "✅ En proceso",
      IF(INDEX([1]Extraídas!B:B,MATCH(LEFT($A137,6)&amp;"*",[1]Extraídas!A:A,0))="Recibidas",
         "⏳ Pendiente","❌ No ingresada")),
   "❌ No ingresada"
)</f>
        <v>✅ En proceso</v>
      </c>
      <c r="C137" s="255" t="str">
        <f t="array" ref="C137">IFERROR(
   IF(INDEX([1]PCRs!B:B,MATCH(LEFT($A137,6)&amp;"*",[1]PCRs!A:A,0))="Positivo",
      "✅ Positivo",
      IF(INDEX([1]PCRs!B:B,MATCH(LEFT($A137,6)&amp;"*",[1]PCRs!A:A,0))="Negativo",
         "❌ Negativo",
         "⏳ No realizado")),
   "⏳ No realizado"
)</f>
        <v>⏳ No realizado</v>
      </c>
      <c r="D137" s="255" t="str">
        <f>IFERROR(
   CHOOSE(
      MATCH(VLOOKUP(LEFT(A184,6)&amp;"*",'Identificación genética'!A:C,2,FALSE),
               {"En proceso";"Finalizado"},0),
      "🔬 En proceso",
      "🎯 Finalizado"
   ),
"❌ NA")</f>
        <v>❌ NA</v>
      </c>
      <c r="E137" s="255" t="s">
        <v>85</v>
      </c>
      <c r="F137" s="50">
        <v>45979</v>
      </c>
      <c r="G137" t="str">
        <f>_xlfn.XLOOKUP(A137, Extraídas!A:A, Extraídas!G:G, "")</f>
        <v>Chlorophyceae</v>
      </c>
    </row>
    <row r="138" spans="1:7" x14ac:dyDescent="0.3">
      <c r="A138" s="629" t="s">
        <v>249</v>
      </c>
      <c r="B138" s="255" t="str">
        <f t="array" ref="B138">IFERROR(
   IF(INDEX([1]Extraídas!B:B,MATCH(LEFT($A138,6)&amp;"*",[1]Extraídas!A:A,0))="Extraídas",
      "✅ En proceso",
      IF(INDEX([1]Extraídas!B:B,MATCH(LEFT($A138,6)&amp;"*",[1]Extraídas!A:A,0))="Recibidas",
         "⏳ Pendiente","❌ No ingresada")),
   "❌ No ingresada"
)</f>
        <v>✅ En proceso</v>
      </c>
      <c r="C138" s="255" t="str">
        <f t="array" ref="C138">IFERROR(
   IF(INDEX([1]PCRs!B:B,MATCH(LEFT($A138,6)&amp;"*",[1]PCRs!A:A,0))="Positivo",
      "✅ Positivo",
      IF(INDEX([1]PCRs!B:B,MATCH(LEFT($A138,6)&amp;"*",[1]PCRs!A:A,0))="Negativo",
         "❌ Negativo",
         "⏳ No realizado")),
   "⏳ No realizado"
)</f>
        <v>⏳ No realizado</v>
      </c>
      <c r="D138" s="255" t="str">
        <f>IFERROR(
   CHOOSE(
      MATCH(VLOOKUP(LEFT(A185,6)&amp;"*",'Identificación genética'!A:C,2,FALSE),
               {"En proceso";"Finalizado"},0),
      "🔬 En proceso",
      "🎯 Finalizado"
   ),
"❌ NA")</f>
        <v>❌ NA</v>
      </c>
      <c r="E138" s="255" t="s">
        <v>85</v>
      </c>
      <c r="F138" s="32">
        <v>45958</v>
      </c>
      <c r="G138" t="str">
        <f>_xlfn.XLOOKUP(A138, Extraídas!A:A, Extraídas!G:G, "")</f>
        <v>Chlorophyceae</v>
      </c>
    </row>
    <row r="139" spans="1:7" x14ac:dyDescent="0.3">
      <c r="A139" s="633" t="s">
        <v>250</v>
      </c>
      <c r="B139" s="255" t="str">
        <f t="array" ref="B139">IFERROR(
   IF(INDEX([1]Extraídas!B:B,MATCH(LEFT($A139,6)&amp;"*",[1]Extraídas!A:A,0))="Extraídas",
      "✅ En proceso",
      IF(INDEX([1]Extraídas!B:B,MATCH(LEFT($A139,6)&amp;"*",[1]Extraídas!A:A,0))="Recibidas",
         "⏳ Pendiente","❌ No ingresada")),
   "❌ No ingresada"
)</f>
        <v>✅ En proceso</v>
      </c>
      <c r="C139" s="255" t="str">
        <f t="array" ref="C139">IFERROR(
   IF(INDEX([1]PCRs!B:B,MATCH(LEFT($A139,6)&amp;"*",[1]PCRs!A:A,0))="Positivo",
      "✅ Positivo",
      IF(INDEX([1]PCRs!B:B,MATCH(LEFT($A139,6)&amp;"*",[1]PCRs!A:A,0))="Negativo",
         "❌ Negativo",
         "⏳ No realizado")),
   "⏳ No realizado"
)</f>
        <v>⏳ No realizado</v>
      </c>
      <c r="D139" s="255" t="str">
        <f>IFERROR(
   CHOOSE(
      MATCH(VLOOKUP(LEFT(A186,6)&amp;"*",'Identificación genética'!A:C,2,FALSE),
               {"En proceso";"Finalizado"},0),
      "🔬 En proceso",
      "🎯 Finalizado"
   ),
"❌ NA")</f>
        <v>❌ NA</v>
      </c>
      <c r="E139" s="255" t="s">
        <v>85</v>
      </c>
      <c r="F139" s="32">
        <v>45979</v>
      </c>
      <c r="G139" t="str">
        <f>_xlfn.XLOOKUP(A139, Extraídas!A:A, Extraídas!G:G, "")</f>
        <v>Zygnematophyceae</v>
      </c>
    </row>
    <row r="140" spans="1:7" x14ac:dyDescent="0.3">
      <c r="A140" s="634" t="s">
        <v>256</v>
      </c>
      <c r="B140" s="255" t="str">
        <f t="array" ref="B140">IFERROR(
   IF(INDEX([1]Extraídas!B:B,MATCH(LEFT($A140,6)&amp;"*",[1]Extraídas!A:A,0))="Extraídas",
      "✅ En proceso",
      IF(INDEX([1]Extraídas!B:B,MATCH(LEFT($A140,6)&amp;"*",[1]Extraídas!A:A,0))="Recibidas",
         "⏳ Pendiente","❌ No ingresada")),
   "❌ No ingresada"
)</f>
        <v>✅ En proceso</v>
      </c>
      <c r="C140" s="255" t="str">
        <f t="array" ref="C140">IFERROR(
   IF(INDEX([1]PCRs!B:B,MATCH(LEFT($A140,6)&amp;"*",[1]PCRs!A:A,0))="Positivo",
      "✅ Positivo",
      IF(INDEX([1]PCRs!B:B,MATCH(LEFT($A140,6)&amp;"*",[1]PCRs!A:A,0))="Negativo",
         "❌ Negativo",
         "⏳ No realizado")),
   "⏳ No realizado"
)</f>
        <v>⏳ No realizado</v>
      </c>
      <c r="D140" s="255" t="str">
        <f>IFERROR(
   CHOOSE(
      MATCH(VLOOKUP(LEFT(A187,6)&amp;"*",'Identificación genética'!A:C,2,FALSE),
               {"En proceso";"Finalizado"},0),
      "🔬 En proceso",
      "🎯 Finalizado"
   ),
"❌ NA")</f>
        <v>❌ NA</v>
      </c>
      <c r="E140" s="255" t="s">
        <v>85</v>
      </c>
      <c r="F140" s="50">
        <v>45960</v>
      </c>
      <c r="G140" t="str">
        <f>_xlfn.XLOOKUP(A140, Extraídas!A:A, Extraídas!G:G, "")</f>
        <v>Cyanobacteria</v>
      </c>
    </row>
    <row r="141" spans="1:7" x14ac:dyDescent="0.3">
      <c r="A141" s="634" t="s">
        <v>257</v>
      </c>
      <c r="B141" s="255" t="str">
        <f t="array" ref="B141">IFERROR(
   IF(INDEX([1]Extraídas!B:B,MATCH(LEFT($A141,6)&amp;"*",[1]Extraídas!A:A,0))="Extraídas",
      "✅ En proceso",
      IF(INDEX([1]Extraídas!B:B,MATCH(LEFT($A141,6)&amp;"*",[1]Extraídas!A:A,0))="Recibidas",
         "⏳ Pendiente","❌ No ingresada")),
   "❌ No ingresada"
)</f>
        <v>✅ En proceso</v>
      </c>
      <c r="C141" s="255" t="str">
        <f t="array" ref="C141">IFERROR(
   IF(INDEX([1]PCRs!B:B,MATCH(LEFT($A141,6)&amp;"*",[1]PCRs!A:A,0))="Positivo",
      "✅ Positivo",
      IF(INDEX([1]PCRs!B:B,MATCH(LEFT($A141,6)&amp;"*",[1]PCRs!A:A,0))="Negativo",
         "❌ Negativo",
         "⏳ No realizado")),
   "⏳ No realizado"
)</f>
        <v>⏳ No realizado</v>
      </c>
      <c r="D141" s="255" t="str">
        <f>IFERROR(
   CHOOSE(
      MATCH(VLOOKUP(LEFT(A188,6)&amp;"*",'Identificación genética'!A:C,2,FALSE),
               {"En proceso";"Finalizado"},0),
      "🔬 En proceso",
      "🎯 Finalizado"
   ),
"❌ NA")</f>
        <v>❌ NA</v>
      </c>
      <c r="E141" s="255" t="s">
        <v>85</v>
      </c>
      <c r="F141" s="50">
        <v>46000</v>
      </c>
      <c r="G141" t="str">
        <f>_xlfn.XLOOKUP(A141, Extraídas!A:A, Extraídas!G:G, "")</f>
        <v>Cianobacterias</v>
      </c>
    </row>
    <row r="142" spans="1:7" x14ac:dyDescent="0.3">
      <c r="A142" s="634" t="s">
        <v>261</v>
      </c>
      <c r="B142" s="255" t="str">
        <f t="array" ref="B142">IFERROR(
   IF(INDEX([1]Extraídas!B:B,MATCH(LEFT($A142,6)&amp;"*",[1]Extraídas!A:A,0))="Extraídas",
      "✅ En proceso",
      IF(INDEX([1]Extraídas!B:B,MATCH(LEFT($A142,6)&amp;"*",[1]Extraídas!A:A,0))="Recibidas",
         "⏳ Pendiente","❌ No ingresada")),
   "❌ No ingresada"
)</f>
        <v>✅ En proceso</v>
      </c>
      <c r="C142" s="255" t="str">
        <f t="array" ref="C142">IFERROR(
   IF(INDEX([1]PCRs!B:B,MATCH(LEFT($A142,6)&amp;"*",[1]PCRs!A:A,0))="Positivo",
      "✅ Positivo",
      IF(INDEX([1]PCRs!B:B,MATCH(LEFT($A142,6)&amp;"*",[1]PCRs!A:A,0))="Negativo",
         "❌ Negativo",
         "⏳ No realizado")),
   "⏳ No realizado"
)</f>
        <v>⏳ No realizado</v>
      </c>
      <c r="D142" s="255" t="str">
        <f>IFERROR(
   CHOOSE(
      MATCH(VLOOKUP(LEFT(A189,6)&amp;"*",'Identificación genética'!A:C,2,FALSE),
               {"En proceso";"Finalizado"},0),
      "🔬 En proceso",
      "🎯 Finalizado"
   ),
"❌ NA")</f>
        <v>❌ NA</v>
      </c>
      <c r="E142" s="255" t="s">
        <v>85</v>
      </c>
      <c r="F142" s="50">
        <v>45975</v>
      </c>
      <c r="G142" t="str">
        <f>_xlfn.XLOOKUP(A142, Extraídas!A:A, Extraídas!G:G, "")</f>
        <v>Cyanobacteria</v>
      </c>
    </row>
    <row r="143" spans="1:7" x14ac:dyDescent="0.3">
      <c r="A143" s="633" t="s">
        <v>262</v>
      </c>
      <c r="B143" s="255" t="str">
        <f t="array" ref="B143">IFERROR(
   IF(INDEX([1]Extraídas!B:B,MATCH(LEFT($A143,6)&amp;"*",[1]Extraídas!A:A,0))="Extraídas",
      "✅ En proceso",
      IF(INDEX([1]Extraídas!B:B,MATCH(LEFT($A143,6)&amp;"*",[1]Extraídas!A:A,0))="Recibidas",
         "⏳ Pendiente","❌ No ingresada")),
   "❌ No ingresada"
)</f>
        <v>✅ En proceso</v>
      </c>
      <c r="C143" s="255" t="str">
        <f t="array" ref="C143">IFERROR(
   IF(INDEX([1]PCRs!B:B,MATCH(LEFT($A143,6)&amp;"*",[1]PCRs!A:A,0))="Positivo",
      "✅ Positivo",
      IF(INDEX([1]PCRs!B:B,MATCH(LEFT($A143,6)&amp;"*",[1]PCRs!A:A,0))="Negativo",
         "❌ Negativo",
         "⏳ No realizado")),
   "⏳ No realizado"
)</f>
        <v>⏳ No realizado</v>
      </c>
      <c r="D143" s="255" t="str">
        <f>IFERROR(
   CHOOSE(
      MATCH(VLOOKUP(LEFT(A190,6)&amp;"*",'Identificación genética'!A:C,2,FALSE),
               {"En proceso";"Finalizado"},0),
      "🔬 En proceso",
      "🎯 Finalizado"
   ),
"❌ NA")</f>
        <v>❌ NA</v>
      </c>
      <c r="E143" s="255" t="s">
        <v>85</v>
      </c>
      <c r="F143" s="32">
        <v>46000</v>
      </c>
      <c r="G143" t="str">
        <f>_xlfn.XLOOKUP(A143, Extraídas!A:A, Extraídas!G:G, "")</f>
        <v>Cianobacterias</v>
      </c>
    </row>
    <row r="144" spans="1:7" x14ac:dyDescent="0.3">
      <c r="A144" s="629" t="s">
        <v>266</v>
      </c>
      <c r="B144" s="255" t="str">
        <f t="array" ref="B144">IFERROR(
   IF(INDEX([1]Extraídas!B:B,MATCH(LEFT($A144,6)&amp;"*",[1]Extraídas!A:A,0))="Extraídas",
      "✅ En proceso",
      IF(INDEX([1]Extraídas!B:B,MATCH(LEFT($A144,6)&amp;"*",[1]Extraídas!A:A,0))="Recibidas",
         "⏳ Pendiente","❌ No ingresada")),
   "❌ No ingresada"
)</f>
        <v>✅ En proceso</v>
      </c>
      <c r="C144" s="255" t="str">
        <f t="array" ref="C144">IFERROR(
   IF(INDEX([1]PCRs!B:B,MATCH(LEFT($A144,6)&amp;"*",[1]PCRs!A:A,0))="Positivo",
      "✅ Positivo",
      IF(INDEX([1]PCRs!B:B,MATCH(LEFT($A144,6)&amp;"*",[1]PCRs!A:A,0))="Negativo",
         "❌ Negativo",
         "⏳ No realizado")),
   "⏳ No realizado"
)</f>
        <v>⏳ No realizado</v>
      </c>
      <c r="D144" s="255" t="str">
        <f>IFERROR(
   CHOOSE(
      MATCH(VLOOKUP(LEFT(A191,6)&amp;"*",'Identificación genética'!A:C,2,FALSE),
               {"En proceso";"Finalizado"},0),
      "🔬 En proceso",
      "🎯 Finalizado"
   ),
"❌ NA")</f>
        <v>❌ NA</v>
      </c>
      <c r="E144" s="255" t="s">
        <v>85</v>
      </c>
      <c r="F144" s="32">
        <v>45975</v>
      </c>
      <c r="G144" t="str">
        <f>_xlfn.XLOOKUP(A144, Extraídas!A:A, Extraídas!G:G, "")</f>
        <v>Cyanobacteria</v>
      </c>
    </row>
    <row r="145" spans="1:7" x14ac:dyDescent="0.3">
      <c r="A145" s="634" t="s">
        <v>270</v>
      </c>
      <c r="B145" s="255" t="str">
        <f t="array" ref="B145">IFERROR(
   IF(INDEX([1]Extraídas!B:B,MATCH(LEFT($A145,6)&amp;"*",[1]Extraídas!A:A,0))="Extraídas",
      "✅ En proceso",
      IF(INDEX([1]Extraídas!B:B,MATCH(LEFT($A145,6)&amp;"*",[1]Extraídas!A:A,0))="Recibidas",
         "⏳ Pendiente","❌ No ingresada")),
   "❌ No ingresada"
)</f>
        <v>✅ En proceso</v>
      </c>
      <c r="C145" s="255" t="str">
        <f t="array" ref="C145">IFERROR(
   IF(INDEX([1]PCRs!B:B,MATCH(LEFT($A145,6)&amp;"*",[1]PCRs!A:A,0))="Positivo",
      "✅ Positivo",
      IF(INDEX([1]PCRs!B:B,MATCH(LEFT($A145,6)&amp;"*",[1]PCRs!A:A,0))="Negativo",
         "❌ Negativo",
         "⏳ No realizado")),
   "⏳ No realizado"
)</f>
        <v>⏳ No realizado</v>
      </c>
      <c r="D145" s="255" t="str">
        <f>IFERROR(
   CHOOSE(
      MATCH(VLOOKUP(LEFT(A192,6)&amp;"*",'Identificación genética'!A:C,2,FALSE),
               {"En proceso";"Finalizado"},0),
      "🔬 En proceso",
      "🎯 Finalizado"
   ),
"❌ NA")</f>
        <v>❌ NA</v>
      </c>
      <c r="E145" s="255" t="s">
        <v>85</v>
      </c>
      <c r="F145" s="7">
        <v>45968</v>
      </c>
      <c r="G145" t="str">
        <f>_xlfn.XLOOKUP(A145, Extraídas!A:A, Extraídas!G:G, "")</f>
        <v>Zygnematophyceae</v>
      </c>
    </row>
    <row r="146" spans="1:7" x14ac:dyDescent="0.3">
      <c r="A146" s="629" t="s">
        <v>271</v>
      </c>
      <c r="B146" s="255" t="str">
        <f t="array" ref="B146">IFERROR(
   IF(INDEX([1]Extraídas!B:B,MATCH(LEFT($A146,6)&amp;"*",[1]Extraídas!A:A,0))="Extraídas",
      "✅ En proceso",
      IF(INDEX([1]Extraídas!B:B,MATCH(LEFT($A146,6)&amp;"*",[1]Extraídas!A:A,0))="Recibidas",
         "⏳ Pendiente","❌ No ingresada")),
   "❌ No ingresada"
)</f>
        <v>✅ En proceso</v>
      </c>
      <c r="C146" s="255" t="str">
        <f t="array" ref="C146">IFERROR(
   IF(INDEX([1]PCRs!B:B,MATCH(LEFT($A146,6)&amp;"*",[1]PCRs!A:A,0))="Positivo",
      "✅ Positivo",
      IF(INDEX([1]PCRs!B:B,MATCH(LEFT($A146,6)&amp;"*",[1]PCRs!A:A,0))="Negativo",
         "❌ Negativo",
         "⏳ No realizado")),
   "⏳ No realizado"
)</f>
        <v>⏳ No realizado</v>
      </c>
      <c r="D146" s="255" t="str">
        <f>IFERROR(
   CHOOSE(
      MATCH(VLOOKUP(LEFT(A193,6)&amp;"*",'Identificación genética'!A:C,2,FALSE),
               {"En proceso";"Finalizado"},0),
      "🔬 En proceso",
      "🎯 Finalizado"
   ),
"❌ NA")</f>
        <v>❌ NA</v>
      </c>
      <c r="E146" s="255" t="s">
        <v>85</v>
      </c>
      <c r="F146" s="7">
        <v>45968</v>
      </c>
      <c r="G146" t="str">
        <f>_xlfn.XLOOKUP(A146, Extraídas!A:A, Extraídas!G:G, "")</f>
        <v>Chlorophyceae</v>
      </c>
    </row>
    <row r="147" spans="1:7" x14ac:dyDescent="0.3">
      <c r="A147" s="637" t="s">
        <v>273</v>
      </c>
      <c r="B147" s="255" t="str">
        <f t="array" ref="B147">IFERROR(
   IF(INDEX([1]Extraídas!B:B,MATCH(LEFT($A147,6)&amp;"*",[1]Extraídas!A:A,0))="Extraídas",
      "✅ En proceso",
      IF(INDEX([1]Extraídas!B:B,MATCH(LEFT($A147,6)&amp;"*",[1]Extraídas!A:A,0))="Recibidas",
         "⏳ Pendiente","❌ No ingresada")),
   "❌ No ingresada"
)</f>
        <v>✅ En proceso</v>
      </c>
      <c r="C147" s="255" t="str">
        <f t="array" ref="C147">IFERROR(
   IF(INDEX([1]PCRs!B:B,MATCH(LEFT($A147,6)&amp;"*",[1]PCRs!A:A,0))="Positivo",
      "✅ Positivo",
      IF(INDEX([1]PCRs!B:B,MATCH(LEFT($A147,6)&amp;"*",[1]PCRs!A:A,0))="Negativo",
         "❌ Negativo",
         "⏳ No realizado")),
   "⏳ No realizado"
)</f>
        <v>⏳ No realizado</v>
      </c>
      <c r="D147" s="255" t="str">
        <f>IFERROR(
   CHOOSE(
      MATCH(VLOOKUP(LEFT(A194,6)&amp;"*",'Identificación genética'!A:C,2,FALSE),
               {"En proceso";"Finalizado"},0),
      "🔬 En proceso",
      "🎯 Finalizado"
   ),
"❌ NA")</f>
        <v>❌ NA</v>
      </c>
      <c r="E147" s="255" t="s">
        <v>85</v>
      </c>
      <c r="F147" s="50">
        <v>45986</v>
      </c>
      <c r="G147" t="str">
        <f>_xlfn.XLOOKUP(A147, Extraídas!A:A, Extraídas!G:G, "")</f>
        <v>Chlorophyceae</v>
      </c>
    </row>
    <row r="148" spans="1:7" x14ac:dyDescent="0.3">
      <c r="A148" s="634" t="s">
        <v>274</v>
      </c>
      <c r="B148" s="255" t="str">
        <f t="array" ref="B148">IFERROR(
   IF(INDEX([1]Extraídas!B:B,MATCH(LEFT($A148,6)&amp;"*",[1]Extraídas!A:A,0))="Extraídas",
      "✅ En proceso",
      IF(INDEX([1]Extraídas!B:B,MATCH(LEFT($A148,6)&amp;"*",[1]Extraídas!A:A,0))="Recibidas",
         "⏳ Pendiente","❌ No ingresada")),
   "❌ No ingresada"
)</f>
        <v>✅ En proceso</v>
      </c>
      <c r="C148" s="255" t="str">
        <f t="array" ref="C148">IFERROR(
   IF(INDEX([1]PCRs!B:B,MATCH(LEFT($A148,6)&amp;"*",[1]PCRs!A:A,0))="Positivo",
      "✅ Positivo",
      IF(INDEX([1]PCRs!B:B,MATCH(LEFT($A148,6)&amp;"*",[1]PCRs!A:A,0))="Negativo",
         "❌ Negativo",
         "⏳ No realizado")),
   "⏳ No realizado"
)</f>
        <v>⏳ No realizado</v>
      </c>
      <c r="D148" s="255" t="str">
        <f>IFERROR(
   CHOOSE(
      MATCH(VLOOKUP(LEFT(A195,6)&amp;"*",'Identificación genética'!A:C,2,FALSE),
               {"En proceso";"Finalizado"},0),
      "🔬 En proceso",
      "🎯 Finalizado"
   ),
"❌ NA")</f>
        <v>❌ NA</v>
      </c>
      <c r="E148" s="255" t="s">
        <v>85</v>
      </c>
      <c r="F148" s="50">
        <v>45979</v>
      </c>
      <c r="G148" t="str">
        <f>_xlfn.XLOOKUP(A148, Extraídas!A:A, Extraídas!G:G, "")</f>
        <v>Chlorophyceae</v>
      </c>
    </row>
    <row r="149" spans="1:7" x14ac:dyDescent="0.3">
      <c r="A149" s="628" t="s">
        <v>275</v>
      </c>
      <c r="B149" s="255" t="str">
        <f t="array" ref="B149">IFERROR(
   IF(INDEX([1]Extraídas!B:B,MATCH(LEFT($A149,6)&amp;"*",[1]Extraídas!A:A,0))="Extraídas",
      "✅ En proceso",
      IF(INDEX([1]Extraídas!B:B,MATCH(LEFT($A149,6)&amp;"*",[1]Extraídas!A:A,0))="Recibidas",
         "⏳ Pendiente","❌ No ingresada")),
   "❌ No ingresada"
)</f>
        <v>✅ En proceso</v>
      </c>
      <c r="C149" s="255" t="str">
        <f t="array" ref="C149">IFERROR(
   IF(INDEX([1]PCRs!B:B,MATCH(LEFT($A149,6)&amp;"*",[1]PCRs!A:A,0))="Positivo",
      "✅ Positivo",
      IF(INDEX([1]PCRs!B:B,MATCH(LEFT($A149,6)&amp;"*",[1]PCRs!A:A,0))="Negativo",
         "❌ Negativo",
         "⏳ No realizado")),
   "⏳ No realizado"
)</f>
        <v>⏳ No realizado</v>
      </c>
      <c r="D149" s="255" t="str">
        <f>IFERROR(
   CHOOSE(
      MATCH(VLOOKUP(LEFT(A196,6)&amp;"*",'Identificación genética'!A:C,2,FALSE),
               {"En proceso";"Finalizado"},0),
      "🔬 En proceso",
      "🎯 Finalizado"
   ),
"❌ NA")</f>
        <v>❌ NA</v>
      </c>
      <c r="E149" s="255" t="s">
        <v>85</v>
      </c>
      <c r="F149" s="50">
        <v>46000</v>
      </c>
      <c r="G149" t="str">
        <f>_xlfn.XLOOKUP(A149, Extraídas!A:A, Extraídas!G:G, "")</f>
        <v>Coccolithophyceae</v>
      </c>
    </row>
    <row r="150" spans="1:7" x14ac:dyDescent="0.3">
      <c r="A150" s="629" t="s">
        <v>277</v>
      </c>
      <c r="B150" s="255" t="str">
        <f t="array" ref="B150">IFERROR(
   IF(INDEX([1]Extraídas!B:B,MATCH(LEFT($A150,6)&amp;"*",[1]Extraídas!A:A,0))="Extraídas",
      "✅ En proceso",
      IF(INDEX([1]Extraídas!B:B,MATCH(LEFT($A150,6)&amp;"*",[1]Extraídas!A:A,0))="Recibidas",
         "⏳ Pendiente","❌ No ingresada")),
   "❌ No ingresada"
)</f>
        <v>✅ En proceso</v>
      </c>
      <c r="C150" s="255" t="str">
        <f t="array" ref="C150">IFERROR(
   IF(INDEX([1]PCRs!B:B,MATCH(LEFT($A150,6)&amp;"*",[1]PCRs!A:A,0))="Positivo",
      "✅ Positivo",
      IF(INDEX([1]PCRs!B:B,MATCH(LEFT($A150,6)&amp;"*",[1]PCRs!A:A,0))="Negativo",
         "❌ Negativo",
         "⏳ No realizado")),
   "⏳ No realizado"
)</f>
        <v>⏳ No realizado</v>
      </c>
      <c r="D150" s="255" t="str">
        <f>IFERROR(
   CHOOSE(
      MATCH(VLOOKUP(LEFT(A197,6)&amp;"*",'Identificación genética'!A:C,2,FALSE),
               {"En proceso";"Finalizado"},0),
      "🔬 En proceso",
      "🎯 Finalizado"
   ),
"❌ NA")</f>
        <v>❌ NA</v>
      </c>
      <c r="E150" s="255" t="s">
        <v>85</v>
      </c>
      <c r="F150" s="32">
        <v>45960</v>
      </c>
      <c r="G150" t="str">
        <f>_xlfn.XLOOKUP(A150, Extraídas!A:A, Extraídas!G:G, "")</f>
        <v>Cyanobacteria</v>
      </c>
    </row>
    <row r="151" spans="1:7" x14ac:dyDescent="0.3">
      <c r="A151" s="628" t="s">
        <v>278</v>
      </c>
      <c r="B151" s="255" t="str">
        <f t="array" ref="B151">IFERROR(
   IF(INDEX([1]Extraídas!B:B,MATCH(LEFT($A151,6)&amp;"*",[1]Extraídas!A:A,0))="Extraídas",
      "✅ En proceso",
      IF(INDEX([1]Extraídas!B:B,MATCH(LEFT($A151,6)&amp;"*",[1]Extraídas!A:A,0))="Recibidas",
         "⏳ Pendiente","❌ No ingresada")),
   "❌ No ingresada"
)</f>
        <v>✅ En proceso</v>
      </c>
      <c r="C151" s="255" t="str">
        <f t="array" ref="C151">IFERROR(
   IF(INDEX([1]PCRs!B:B,MATCH(LEFT($A151,6)&amp;"*",[1]PCRs!A:A,0))="Positivo",
      "✅ Positivo",
      IF(INDEX([1]PCRs!B:B,MATCH(LEFT($A151,6)&amp;"*",[1]PCRs!A:A,0))="Negativo",
         "❌ Negativo",
         "⏳ No realizado")),
   "⏳ No realizado"
)</f>
        <v>⏳ No realizado</v>
      </c>
      <c r="D151" s="255" t="str">
        <f>IFERROR(
   CHOOSE(
      MATCH(VLOOKUP(LEFT(A198,6)&amp;"*",'Identificación genética'!A:C,2,FALSE),
               {"En proceso";"Finalizado"},0),
      "🔬 En proceso",
      "🎯 Finalizado"
   ),
"❌ NA")</f>
        <v>❌ NA</v>
      </c>
      <c r="E151" s="255" t="s">
        <v>85</v>
      </c>
      <c r="F151" s="50">
        <v>45960</v>
      </c>
      <c r="G151" t="str">
        <f>_xlfn.XLOOKUP(A151, Extraídas!A:A, Extraídas!G:G, "")</f>
        <v>Cyanobacteria</v>
      </c>
    </row>
    <row r="152" spans="1:7" x14ac:dyDescent="0.3">
      <c r="A152" s="633" t="s">
        <v>280</v>
      </c>
      <c r="B152" s="255" t="str">
        <f t="array" ref="B152">IFERROR(
   IF(INDEX([1]Extraídas!B:B,MATCH(LEFT($A152,6)&amp;"*",[1]Extraídas!A:A,0))="Extraídas",
      "✅ En proceso",
      IF(INDEX([1]Extraídas!B:B,MATCH(LEFT($A152,6)&amp;"*",[1]Extraídas!A:A,0))="Recibidas",
         "⏳ Pendiente","❌ No ingresada")),
   "❌ No ingresada"
)</f>
        <v>✅ En proceso</v>
      </c>
      <c r="C152" s="255" t="str">
        <f t="array" ref="C152">IFERROR(
   IF(INDEX([1]PCRs!B:B,MATCH(LEFT($A152,6)&amp;"*",[1]PCRs!A:A,0))="Positivo",
      "✅ Positivo",
      IF(INDEX([1]PCRs!B:B,MATCH(LEFT($A152,6)&amp;"*",[1]PCRs!A:A,0))="Negativo",
         "❌ Negativo",
         "⏳ No realizado")),
   "⏳ No realizado"
)</f>
        <v>⏳ No realizado</v>
      </c>
      <c r="D152" s="255" t="str">
        <f>IFERROR(
   CHOOSE(
      MATCH(VLOOKUP(LEFT(A199,6)&amp;"*",'Identificación genética'!A:C,2,FALSE),
               {"En proceso";"Finalizado"},0),
      "🔬 En proceso",
      "🎯 Finalizado"
   ),
"❌ NA")</f>
        <v>❌ NA</v>
      </c>
      <c r="E152" s="255" t="s">
        <v>85</v>
      </c>
      <c r="F152" s="7">
        <v>45947</v>
      </c>
      <c r="G152" t="str">
        <f>_xlfn.XLOOKUP(A152, Extraídas!A:A, Extraídas!G:G, "")</f>
        <v>Cyanobacteria</v>
      </c>
    </row>
    <row r="153" spans="1:7" x14ac:dyDescent="0.3">
      <c r="A153" s="628" t="s">
        <v>281</v>
      </c>
      <c r="B153" s="255" t="str">
        <f t="array" ref="B153">IFERROR(
   IF(INDEX([1]Extraídas!B:B,MATCH(LEFT($A153,6)&amp;"*",[1]Extraídas!A:A,0))="Extraídas",
      "✅ En proceso",
      IF(INDEX([1]Extraídas!B:B,MATCH(LEFT($A153,6)&amp;"*",[1]Extraídas!A:A,0))="Recibidas",
         "⏳ Pendiente","❌ No ingresada")),
   "❌ No ingresada"
)</f>
        <v>✅ En proceso</v>
      </c>
      <c r="C153" s="255" t="str">
        <f t="array" ref="C153">IFERROR(
   IF(INDEX([1]PCRs!B:B,MATCH(LEFT($A153,6)&amp;"*",[1]PCRs!A:A,0))="Positivo",
      "✅ Positivo",
      IF(INDEX([1]PCRs!B:B,MATCH(LEFT($A153,6)&amp;"*",[1]PCRs!A:A,0))="Negativo",
         "❌ Negativo",
         "⏳ No realizado")),
   "⏳ No realizado"
)</f>
        <v>⏳ No realizado</v>
      </c>
      <c r="D153" s="255" t="str">
        <f>IFERROR(
   CHOOSE(
      MATCH(VLOOKUP(LEFT(A200,6)&amp;"*",'Identificación genética'!A:C,2,FALSE),
               {"En proceso";"Finalizado"},0),
      "🔬 En proceso",
      "🎯 Finalizado"
   ),
"❌ NA")</f>
        <v>❌ NA</v>
      </c>
      <c r="E153" s="255" t="s">
        <v>85</v>
      </c>
      <c r="F153" s="7">
        <v>45947</v>
      </c>
      <c r="G153" t="str">
        <f>_xlfn.XLOOKUP(A153, Extraídas!A:A, Extraídas!G:G, "")</f>
        <v>Cyanobacteria</v>
      </c>
    </row>
    <row r="154" spans="1:7" x14ac:dyDescent="0.3">
      <c r="A154" s="633" t="s">
        <v>287</v>
      </c>
      <c r="B154" s="255" t="str">
        <f t="array" ref="B154">IFERROR(
   IF(INDEX([1]Extraídas!B:B,MATCH(LEFT($A154,6)&amp;"*",[1]Extraídas!A:A,0))="Extraídas",
      "✅ En proceso",
      IF(INDEX([1]Extraídas!B:B,MATCH(LEFT($A154,6)&amp;"*",[1]Extraídas!A:A,0))="Recibidas",
         "⏳ Pendiente","❌ No ingresada")),
   "❌ No ingresada"
)</f>
        <v>✅ En proceso</v>
      </c>
      <c r="C154" s="255" t="str">
        <f t="array" ref="C154">IFERROR(
   IF(INDEX([1]PCRs!B:B,MATCH(LEFT($A154,6)&amp;"*",[1]PCRs!A:A,0))="Positivo",
      "✅ Positivo",
      IF(INDEX([1]PCRs!B:B,MATCH(LEFT($A154,6)&amp;"*",[1]PCRs!A:A,0))="Negativo",
         "❌ Negativo",
         "⏳ No realizado")),
   "⏳ No realizado"
)</f>
        <v>⏳ No realizado</v>
      </c>
      <c r="D154" s="255" t="str">
        <f>IFERROR(
   CHOOSE(
      MATCH(VLOOKUP(LEFT(A201,6)&amp;"*",'Identificación genética'!A:C,2,FALSE),
               {"En proceso";"Finalizado"},0),
      "🔬 En proceso",
      "🎯 Finalizado"
   ),
"❌ NA")</f>
        <v>❌ NA</v>
      </c>
      <c r="E154" s="255" t="s">
        <v>85</v>
      </c>
      <c r="F154" s="32">
        <v>45960</v>
      </c>
      <c r="G154" t="str">
        <f>_xlfn.XLOOKUP(A154, Extraídas!A:A, Extraídas!G:G, "")</f>
        <v>Cianobacterias</v>
      </c>
    </row>
    <row r="155" spans="1:7" x14ac:dyDescent="0.3">
      <c r="A155" s="634" t="s">
        <v>290</v>
      </c>
      <c r="B155" s="255" t="str">
        <f t="array" ref="B155">IFERROR(
   IF(INDEX([1]Extraídas!B:B,MATCH(LEFT($A155,6)&amp;"*",[1]Extraídas!A:A,0))="Extraídas",
      "✅ En proceso",
      IF(INDEX([1]Extraídas!B:B,MATCH(LEFT($A155,6)&amp;"*",[1]Extraídas!A:A,0))="Recibidas",
         "⏳ Pendiente","❌ No ingresada")),
   "❌ No ingresada"
)</f>
        <v>✅ En proceso</v>
      </c>
      <c r="C155" s="255" t="str">
        <f t="array" ref="C155">IFERROR(
   IF(INDEX([1]PCRs!B:B,MATCH(LEFT($A155,6)&amp;"*",[1]PCRs!A:A,0))="Positivo",
      "✅ Positivo",
      IF(INDEX([1]PCRs!B:B,MATCH(LEFT($A155,6)&amp;"*",[1]PCRs!A:A,0))="Negativo",
         "❌ Negativo",
         "⏳ No realizado")),
   "⏳ No realizado"
)</f>
        <v>⏳ No realizado</v>
      </c>
      <c r="D155" s="255" t="str">
        <f>IFERROR(
   CHOOSE(
      MATCH(VLOOKUP(LEFT(A202,6)&amp;"*",'Identificación genética'!A:C,2,FALSE),
               {"En proceso";"Finalizado"},0),
      "🔬 En proceso",
      "🎯 Finalizado"
   ),
"❌ NA")</f>
        <v>❌ NA</v>
      </c>
      <c r="E155" s="255" t="s">
        <v>85</v>
      </c>
      <c r="F155" s="50">
        <v>45960</v>
      </c>
      <c r="G155" t="str">
        <f>_xlfn.XLOOKUP(A155, Extraídas!A:A, Extraídas!G:G, "")</f>
        <v>Cyanobacteria</v>
      </c>
    </row>
    <row r="156" spans="1:7" x14ac:dyDescent="0.3">
      <c r="A156" s="633" t="s">
        <v>294</v>
      </c>
      <c r="B156" s="255" t="str">
        <f t="array" ref="B156">IFERROR(
   IF(INDEX([1]Extraídas!B:B,MATCH(LEFT($A156,6)&amp;"*",[1]Extraídas!A:A,0))="Extraídas",
      "✅ En proceso",
      IF(INDEX([1]Extraídas!B:B,MATCH(LEFT($A156,6)&amp;"*",[1]Extraídas!A:A,0))="Recibidas",
         "⏳ Pendiente","❌ No ingresada")),
   "❌ No ingresada"
)</f>
        <v>✅ En proceso</v>
      </c>
      <c r="C156" s="255" t="str">
        <f t="array" ref="C156">IFERROR(
   IF(INDEX([1]PCRs!B:B,MATCH(LEFT($A156,6)&amp;"*",[1]PCRs!A:A,0))="Positivo",
      "✅ Positivo",
      IF(INDEX([1]PCRs!B:B,MATCH(LEFT($A156,6)&amp;"*",[1]PCRs!A:A,0))="Negativo",
         "❌ Negativo",
         "⏳ No realizado")),
   "⏳ No realizado"
)</f>
        <v>⏳ No realizado</v>
      </c>
      <c r="D156" s="255" t="str">
        <f>IFERROR(
   CHOOSE(
      MATCH(VLOOKUP(LEFT(A203,6)&amp;"*",'Identificación genética'!A:C,2,FALSE),
               {"En proceso";"Finalizado"},0),
      "🔬 En proceso",
      "🎯 Finalizado"
   ),
"❌ NA")</f>
        <v>❌ NA</v>
      </c>
      <c r="E156" s="255" t="s">
        <v>85</v>
      </c>
      <c r="F156" s="32">
        <v>45960</v>
      </c>
      <c r="G156" t="str">
        <f>_xlfn.XLOOKUP(A156, Extraídas!A:A, Extraídas!G:G, "")</f>
        <v>Cianobacterias</v>
      </c>
    </row>
    <row r="157" spans="1:7" x14ac:dyDescent="0.3">
      <c r="A157" s="628" t="s">
        <v>296</v>
      </c>
      <c r="B157" s="255" t="str">
        <f t="array" ref="B157">IFERROR(
   IF(INDEX([1]Extraídas!B:B,MATCH(LEFT($A157,6)&amp;"*",[1]Extraídas!A:A,0))="Extraídas",
      "✅ En proceso",
      IF(INDEX([1]Extraídas!B:B,MATCH(LEFT($A157,6)&amp;"*",[1]Extraídas!A:A,0))="Recibidas",
         "⏳ Pendiente","❌ No ingresada")),
   "❌ No ingresada"
)</f>
        <v>✅ En proceso</v>
      </c>
      <c r="C157" s="255" t="str">
        <f t="array" ref="C157">IFERROR(
   IF(INDEX([1]PCRs!B:B,MATCH(LEFT($A157,6)&amp;"*",[1]PCRs!A:A,0))="Positivo",
      "✅ Positivo",
      IF(INDEX([1]PCRs!B:B,MATCH(LEFT($A157,6)&amp;"*",[1]PCRs!A:A,0))="Negativo",
         "❌ Negativo",
         "⏳ No realizado")),
   "⏳ No realizado"
)</f>
        <v>⏳ No realizado</v>
      </c>
      <c r="D157" s="255" t="str">
        <f>IFERROR(
   CHOOSE(
      MATCH(VLOOKUP(LEFT(A204,6)&amp;"*",'Identificación genética'!A:C,2,FALSE),
               {"En proceso";"Finalizado"},0),
      "🔬 En proceso",
      "🎯 Finalizado"
   ),
"❌ NA")</f>
        <v>❌ NA</v>
      </c>
      <c r="E157" s="255" t="s">
        <v>85</v>
      </c>
      <c r="F157" s="50">
        <v>45975</v>
      </c>
      <c r="G157" t="str">
        <f>_xlfn.XLOOKUP(A157, Extraídas!A:A, Extraídas!G:G, "")</f>
        <v>Cyanobacteria</v>
      </c>
    </row>
    <row r="158" spans="1:7" x14ac:dyDescent="0.3">
      <c r="A158" s="629" t="s">
        <v>300</v>
      </c>
      <c r="B158" s="255" t="str">
        <f t="array" ref="B158">IFERROR(
   IF(INDEX([1]Extraídas!B:B,MATCH(LEFT($A158,6)&amp;"*",[1]Extraídas!A:A,0))="Extraídas",
      "✅ En proceso",
      IF(INDEX([1]Extraídas!B:B,MATCH(LEFT($A158,6)&amp;"*",[1]Extraídas!A:A,0))="Recibidas",
         "⏳ Pendiente","❌ No ingresada")),
   "❌ No ingresada"
)</f>
        <v>✅ En proceso</v>
      </c>
      <c r="C158" s="255" t="str">
        <f t="array" ref="C158">IFERROR(
   IF(INDEX([1]PCRs!B:B,MATCH(LEFT($A158,6)&amp;"*",[1]PCRs!A:A,0))="Positivo",
      "✅ Positivo",
      IF(INDEX([1]PCRs!B:B,MATCH(LEFT($A158,6)&amp;"*",[1]PCRs!A:A,0))="Negativo",
         "❌ Negativo",
         "⏳ No realizado")),
   "⏳ No realizado"
)</f>
        <v>⏳ No realizado</v>
      </c>
      <c r="D158" s="255" t="str">
        <f>IFERROR(
   CHOOSE(
      MATCH(VLOOKUP(LEFT(A205,6)&amp;"*",'Identificación genética'!A:C,2,FALSE),
               {"En proceso";"Finalizado"},0),
      "🔬 En proceso",
      "🎯 Finalizado"
   ),
"❌ NA")</f>
        <v>❌ NA</v>
      </c>
      <c r="E158" s="255" t="s">
        <v>85</v>
      </c>
      <c r="F158" s="32">
        <v>45976</v>
      </c>
      <c r="G158" t="str">
        <f>_xlfn.XLOOKUP(A158, Extraídas!A:A, Extraídas!G:G, "")</f>
        <v>Cyanobacteria</v>
      </c>
    </row>
    <row r="159" spans="1:7" x14ac:dyDescent="0.3">
      <c r="A159" s="634" t="s">
        <v>301</v>
      </c>
      <c r="B159" s="255" t="str">
        <f t="array" ref="B159">IFERROR(
   IF(INDEX([1]Extraídas!B:B,MATCH(LEFT($A159,6)&amp;"*",[1]Extraídas!A:A,0))="Extraídas",
      "✅ En proceso",
      IF(INDEX([1]Extraídas!B:B,MATCH(LEFT($A159,6)&amp;"*",[1]Extraídas!A:A,0))="Recibidas",
         "⏳ Pendiente","❌ No ingresada")),
   "❌ No ingresada"
)</f>
        <v>✅ En proceso</v>
      </c>
      <c r="C159" s="255" t="str">
        <f t="array" ref="C159">IFERROR(
   IF(INDEX([1]PCRs!B:B,MATCH(LEFT($A159,6)&amp;"*",[1]PCRs!A:A,0))="Positivo",
      "✅ Positivo",
      IF(INDEX([1]PCRs!B:B,MATCH(LEFT($A159,6)&amp;"*",[1]PCRs!A:A,0))="Negativo",
         "❌ Negativo",
         "⏳ No realizado")),
   "⏳ No realizado"
)</f>
        <v>⏳ No realizado</v>
      </c>
      <c r="D159" s="255" t="str">
        <f>IFERROR(
   CHOOSE(
      MATCH(VLOOKUP(LEFT(A206,6)&amp;"*",'Identificación genética'!A:C,2,FALSE),
               {"En proceso";"Finalizado"},0),
      "🔬 En proceso",
      "🎯 Finalizado"
   ),
"❌ NA")</f>
        <v>❌ NA</v>
      </c>
      <c r="E159" s="255" t="s">
        <v>85</v>
      </c>
      <c r="F159" s="50">
        <v>45960</v>
      </c>
      <c r="G159" t="str">
        <f>_xlfn.XLOOKUP(A159, Extraídas!A:A, Extraídas!G:G, "")</f>
        <v>Cyanobacteria</v>
      </c>
    </row>
    <row r="160" spans="1:7" x14ac:dyDescent="0.3">
      <c r="A160" s="633" t="s">
        <v>302</v>
      </c>
      <c r="B160" s="255" t="str">
        <f t="array" ref="B160">IFERROR(
   IF(INDEX([1]Extraídas!B:B,MATCH(LEFT($A160,6)&amp;"*",[1]Extraídas!A:A,0))="Extraídas",
      "✅ En proceso",
      IF(INDEX([1]Extraídas!B:B,MATCH(LEFT($A160,6)&amp;"*",[1]Extraídas!A:A,0))="Recibidas",
         "⏳ Pendiente","❌ No ingresada")),
   "❌ No ingresada"
)</f>
        <v>✅ En proceso</v>
      </c>
      <c r="C160" s="255" t="str">
        <f t="array" ref="C160">IFERROR(
   IF(INDEX([1]PCRs!B:B,MATCH(LEFT($A160,6)&amp;"*",[1]PCRs!A:A,0))="Positivo",
      "✅ Positivo",
      IF(INDEX([1]PCRs!B:B,MATCH(LEFT($A160,6)&amp;"*",[1]PCRs!A:A,0))="Negativo",
         "❌ Negativo",
         "⏳ No realizado")),
   "⏳ No realizado"
)</f>
        <v>⏳ No realizado</v>
      </c>
      <c r="D160" s="255" t="str">
        <f>IFERROR(
   CHOOSE(
      MATCH(VLOOKUP(LEFT(A207,6)&amp;"*",'Identificación genética'!A:C,2,FALSE),
               {"En proceso";"Finalizado"},0),
      "🔬 En proceso",
      "🎯 Finalizado"
   ),
"❌ NA")</f>
        <v>❌ NA</v>
      </c>
      <c r="E160" s="255" t="s">
        <v>85</v>
      </c>
      <c r="F160" s="32">
        <v>45960</v>
      </c>
      <c r="G160" t="str">
        <f>_xlfn.XLOOKUP(A160, Extraídas!A:A, Extraídas!G:G, "")</f>
        <v>Cianobacterias</v>
      </c>
    </row>
    <row r="161" spans="1:7" x14ac:dyDescent="0.3">
      <c r="A161" s="634" t="s">
        <v>304</v>
      </c>
      <c r="B161" s="255" t="str">
        <f t="array" ref="B161">IFERROR(
   IF(INDEX([1]Extraídas!B:B,MATCH(LEFT($A161,6)&amp;"*",[1]Extraídas!A:A,0))="Extraídas",
      "✅ En proceso",
      IF(INDEX([1]Extraídas!B:B,MATCH(LEFT($A161,6)&amp;"*",[1]Extraídas!A:A,0))="Recibidas",
         "⏳ Pendiente","❌ No ingresada")),
   "❌ No ingresada"
)</f>
        <v>✅ En proceso</v>
      </c>
      <c r="C161" s="255" t="str">
        <f t="array" ref="C161">IFERROR(
   IF(INDEX([1]PCRs!B:B,MATCH(LEFT($A161,6)&amp;"*",[1]PCRs!A:A,0))="Positivo",
      "✅ Positivo",
      IF(INDEX([1]PCRs!B:B,MATCH(LEFT($A161,6)&amp;"*",[1]PCRs!A:A,0))="Negativo",
         "❌ Negativo",
         "⏳ No realizado")),
   "⏳ No realizado"
)</f>
        <v>⏳ No realizado</v>
      </c>
      <c r="D161" s="255" t="str">
        <f>IFERROR(
   CHOOSE(
      MATCH(VLOOKUP(LEFT(A208,6)&amp;"*",'Identificación genética'!A:C,2,FALSE),
               {"En proceso";"Finalizado"},0),
      "🔬 En proceso",
      "🎯 Finalizado"
   ),
"❌ NA")</f>
        <v>❌ NA</v>
      </c>
      <c r="E161" s="255" t="s">
        <v>85</v>
      </c>
      <c r="F161" s="50">
        <v>45975</v>
      </c>
      <c r="G161" t="str">
        <f>_xlfn.XLOOKUP(A161, Extraídas!A:A, Extraídas!G:G, "")</f>
        <v>Cyanobacteria</v>
      </c>
    </row>
    <row r="162" spans="1:7" x14ac:dyDescent="0.3">
      <c r="A162" s="634" t="s">
        <v>305</v>
      </c>
      <c r="B162" s="255" t="str">
        <f t="array" ref="B162">IFERROR(
   IF(INDEX([1]Extraídas!B:B,MATCH(LEFT($A162,6)&amp;"*",[1]Extraídas!A:A,0))="Extraídas",
      "✅ En proceso",
      IF(INDEX([1]Extraídas!B:B,MATCH(LEFT($A162,6)&amp;"*",[1]Extraídas!A:A,0))="Recibidas",
         "⏳ Pendiente","❌ No ingresada")),
   "❌ No ingresada"
)</f>
        <v>✅ En proceso</v>
      </c>
      <c r="C162" s="255" t="str">
        <f t="array" ref="C162">IFERROR(
   IF(INDEX([1]PCRs!B:B,MATCH(LEFT($A162,6)&amp;"*",[1]PCRs!A:A,0))="Positivo",
      "✅ Positivo",
      IF(INDEX([1]PCRs!B:B,MATCH(LEFT($A162,6)&amp;"*",[1]PCRs!A:A,0))="Negativo",
         "❌ Negativo",
         "⏳ No realizado")),
   "⏳ No realizado"
)</f>
        <v>⏳ No realizado</v>
      </c>
      <c r="D162" s="255" t="str">
        <f>IFERROR(
   CHOOSE(
      MATCH(VLOOKUP(LEFT(A209,6)&amp;"*",'Identificación genética'!A:C,2,FALSE),
               {"En proceso";"Finalizado"},0),
      "🔬 En proceso",
      "🎯 Finalizado"
   ),
"❌ NA")</f>
        <v>❌ NA</v>
      </c>
      <c r="E162" s="255" t="s">
        <v>85</v>
      </c>
      <c r="F162" s="50">
        <v>45960</v>
      </c>
      <c r="G162" t="str">
        <f>_xlfn.XLOOKUP(A162, Extraídas!A:A, Extraídas!G:G, "")</f>
        <v>Cianobacterias</v>
      </c>
    </row>
    <row r="163" spans="1:7" x14ac:dyDescent="0.3">
      <c r="A163" s="633" t="s">
        <v>306</v>
      </c>
      <c r="B163" s="255" t="str">
        <f t="array" ref="B163">IFERROR(
   IF(INDEX([1]Extraídas!B:B,MATCH(LEFT($A163,6)&amp;"*",[1]Extraídas!A:A,0))="Extraídas",
      "✅ En proceso",
      IF(INDEX([1]Extraídas!B:B,MATCH(LEFT($A163,6)&amp;"*",[1]Extraídas!A:A,0))="Recibidas",
         "⏳ Pendiente","❌ No ingresada")),
   "❌ No ingresada"
)</f>
        <v>✅ En proceso</v>
      </c>
      <c r="C163" s="255" t="str">
        <f t="array" ref="C163">IFERROR(
   IF(INDEX([1]PCRs!B:B,MATCH(LEFT($A163,6)&amp;"*",[1]PCRs!A:A,0))="Positivo",
      "✅ Positivo",
      IF(INDEX([1]PCRs!B:B,MATCH(LEFT($A163,6)&amp;"*",[1]PCRs!A:A,0))="Negativo",
         "❌ Negativo",
         "⏳ No realizado")),
   "⏳ No realizado"
)</f>
        <v>⏳ No realizado</v>
      </c>
      <c r="D163" s="255" t="str">
        <f>IFERROR(
   CHOOSE(
      MATCH(VLOOKUP(LEFT(A210,6)&amp;"*",'Identificación genética'!A:C,2,FALSE),
               {"En proceso";"Finalizado"},0),
      "🔬 En proceso",
      "🎯 Finalizado"
   ),
"❌ NA")</f>
        <v>❌ NA</v>
      </c>
      <c r="E163" s="255" t="s">
        <v>85</v>
      </c>
      <c r="F163" s="32">
        <v>46000</v>
      </c>
      <c r="G163" t="str">
        <f>_xlfn.XLOOKUP(A163, Extraídas!A:A, Extraídas!G:G, "")</f>
        <v>Cyanobacteria</v>
      </c>
    </row>
    <row r="164" spans="1:7" x14ac:dyDescent="0.3">
      <c r="A164" s="628" t="s">
        <v>312</v>
      </c>
      <c r="B164" s="255" t="str">
        <f t="array" ref="B164">IFERROR(
   IF(INDEX([1]Extraídas!B:B,MATCH(LEFT($A164,6)&amp;"*",[1]Extraídas!A:A,0))="Extraídas",
      "✅ En proceso",
      IF(INDEX([1]Extraídas!B:B,MATCH(LEFT($A164,6)&amp;"*",[1]Extraídas!A:A,0))="Recibidas",
         "⏳ Pendiente","❌ No ingresada")),
   "❌ No ingresada"
)</f>
        <v>✅ En proceso</v>
      </c>
      <c r="C164" s="255" t="str">
        <f t="array" ref="C164">IFERROR(
   IF(INDEX([1]PCRs!B:B,MATCH(LEFT($A164,6)&amp;"*",[1]PCRs!A:A,0))="Positivo",
      "✅ Positivo",
      IF(INDEX([1]PCRs!B:B,MATCH(LEFT($A164,6)&amp;"*",[1]PCRs!A:A,0))="Negativo",
         "❌ Negativo",
         "⏳ No realizado")),
   "⏳ No realizado"
)</f>
        <v>⏳ No realizado</v>
      </c>
      <c r="D164" s="255" t="str">
        <f>IFERROR(
   CHOOSE(
      MATCH(VLOOKUP(LEFT(A211,6)&amp;"*",'Identificación genética'!A:C,2,FALSE),
               {"En proceso";"Finalizado"},0),
      "🔬 En proceso",
      "🎯 Finalizado"
   ),
"❌ NA")</f>
        <v>❌ NA</v>
      </c>
      <c r="E164" s="255" t="s">
        <v>85</v>
      </c>
      <c r="F164" s="50">
        <v>46000</v>
      </c>
      <c r="G164" t="str">
        <f>_xlfn.XLOOKUP(A164, Extraídas!A:A, Extraídas!G:G, "")</f>
        <v>Palmophyllophyceae</v>
      </c>
    </row>
    <row r="165" spans="1:7" x14ac:dyDescent="0.3">
      <c r="A165" s="633" t="s">
        <v>313</v>
      </c>
      <c r="B165" s="255" t="str">
        <f t="array" ref="B165">IFERROR(
   IF(INDEX([1]Extraídas!B:B,MATCH(LEFT($A165,6)&amp;"*",[1]Extraídas!A:A,0))="Extraídas",
      "✅ En proceso",
      IF(INDEX([1]Extraídas!B:B,MATCH(LEFT($A165,6)&amp;"*",[1]Extraídas!A:A,0))="Recibidas",
         "⏳ Pendiente","❌ No ingresada")),
   "❌ No ingresada"
)</f>
        <v>✅ En proceso</v>
      </c>
      <c r="C165" s="255" t="str">
        <f t="array" ref="C165">IFERROR(
   IF(INDEX([1]PCRs!B:B,MATCH(LEFT($A165,6)&amp;"*",[1]PCRs!A:A,0))="Positivo",
      "✅ Positivo",
      IF(INDEX([1]PCRs!B:B,MATCH(LEFT($A165,6)&amp;"*",[1]PCRs!A:A,0))="Negativo",
         "❌ Negativo",
         "⏳ No realizado")),
   "⏳ No realizado"
)</f>
        <v>⏳ No realizado</v>
      </c>
      <c r="D165" s="255" t="str">
        <f>IFERROR(
   CHOOSE(
      MATCH(VLOOKUP(LEFT(A212,6)&amp;"*",'Identificación genética'!A:C,2,FALSE),
               {"En proceso";"Finalizado"},0),
      "🔬 En proceso",
      "🎯 Finalizado"
   ),
"❌ NA")</f>
        <v>❌ NA</v>
      </c>
      <c r="E165" s="255" t="s">
        <v>85</v>
      </c>
      <c r="F165" s="32">
        <v>46000</v>
      </c>
      <c r="G165" t="str">
        <f>_xlfn.XLOOKUP(A165, Extraídas!A:A, Extraídas!G:G, "")</f>
        <v>Palmophyllophyceae</v>
      </c>
    </row>
    <row r="166" spans="1:7" x14ac:dyDescent="0.3">
      <c r="A166" s="634" t="s">
        <v>314</v>
      </c>
      <c r="B166" s="255" t="str">
        <f t="array" ref="B166">IFERROR(
   IF(INDEX([1]Extraídas!B:B,MATCH(LEFT($A166,6)&amp;"*",[1]Extraídas!A:A,0))="Extraídas",
      "✅ En proceso",
      IF(INDEX([1]Extraídas!B:B,MATCH(LEFT($A166,6)&amp;"*",[1]Extraídas!A:A,0))="Recibidas",
         "⏳ Pendiente","❌ No ingresada")),
   "❌ No ingresada"
)</f>
        <v>✅ En proceso</v>
      </c>
      <c r="C166" s="255" t="str">
        <f t="array" ref="C166">IFERROR(
   IF(INDEX([1]PCRs!B:B,MATCH(LEFT($A166,6)&amp;"*",[1]PCRs!A:A,0))="Positivo",
      "✅ Positivo",
      IF(INDEX([1]PCRs!B:B,MATCH(LEFT($A166,6)&amp;"*",[1]PCRs!A:A,0))="Negativo",
         "❌ Negativo",
         "⏳ No realizado")),
   "⏳ No realizado"
)</f>
        <v>⏳ No realizado</v>
      </c>
      <c r="D166" s="255" t="str">
        <f>IFERROR(
   CHOOSE(
      MATCH(VLOOKUP(LEFT(A213,6)&amp;"*",'Identificación genética'!A:C,2,FALSE),
               {"En proceso";"Finalizado"},0),
      "🔬 En proceso",
      "🎯 Finalizado"
   ),
"❌ NA")</f>
        <v>❌ NA</v>
      </c>
      <c r="E166" s="255" t="s">
        <v>85</v>
      </c>
      <c r="F166" s="50">
        <v>46000</v>
      </c>
      <c r="G166" t="str">
        <f>_xlfn.XLOOKUP(A166, Extraídas!A:A, Extraídas!G:G, "")</f>
        <v>Dinophyceae</v>
      </c>
    </row>
    <row r="167" spans="1:7" x14ac:dyDescent="0.3">
      <c r="A167" s="633" t="s">
        <v>315</v>
      </c>
      <c r="B167" s="255" t="str">
        <f t="array" ref="B167">IFERROR(
   IF(INDEX([1]Extraídas!B:B,MATCH(LEFT($A167,6)&amp;"*",[1]Extraídas!A:A,0))="Extraídas",
      "✅ En proceso",
      IF(INDEX([1]Extraídas!B:B,MATCH(LEFT($A167,6)&amp;"*",[1]Extraídas!A:A,0))="Recibidas",
         "⏳ Pendiente","❌ No ingresada")),
   "❌ No ingresada"
)</f>
        <v>✅ En proceso</v>
      </c>
      <c r="C167" s="255" t="str">
        <f t="array" ref="C167">IFERROR(
   IF(INDEX([1]PCRs!B:B,MATCH(LEFT($A167,6)&amp;"*",[1]PCRs!A:A,0))="Positivo",
      "✅ Positivo",
      IF(INDEX([1]PCRs!B:B,MATCH(LEFT($A167,6)&amp;"*",[1]PCRs!A:A,0))="Negativo",
         "❌ Negativo",
         "⏳ No realizado")),
   "⏳ No realizado"
)</f>
        <v>⏳ No realizado</v>
      </c>
      <c r="D167" s="255" t="str">
        <f>IFERROR(
   CHOOSE(
      MATCH(VLOOKUP(LEFT(A214,6)&amp;"*",'Identificación genética'!A:C,2,FALSE),
               {"En proceso";"Finalizado"},0),
      "🔬 En proceso",
      "🎯 Finalizado"
   ),
"❌ NA")</f>
        <v>❌ NA</v>
      </c>
      <c r="E167" s="255" t="s">
        <v>85</v>
      </c>
      <c r="F167" s="32">
        <v>46000</v>
      </c>
      <c r="G167" t="str">
        <f>_xlfn.XLOOKUP(A167, Extraídas!A:A, Extraídas!G:G, "")</f>
        <v>Dinophyceae</v>
      </c>
    </row>
    <row r="168" spans="1:7" x14ac:dyDescent="0.3">
      <c r="A168" s="634" t="s">
        <v>317</v>
      </c>
      <c r="B168" s="255" t="str">
        <f t="array" ref="B168">IFERROR(
   IF(INDEX([1]Extraídas!B:B,MATCH(LEFT($A168,6)&amp;"*",[1]Extraídas!A:A,0))="Extraídas",
      "✅ En proceso",
      IF(INDEX([1]Extraídas!B:B,MATCH(LEFT($A168,6)&amp;"*",[1]Extraídas!A:A,0))="Recibidas",
         "⏳ Pendiente","❌ No ingresada")),
   "❌ No ingresada"
)</f>
        <v>✅ En proceso</v>
      </c>
      <c r="C168" s="255" t="str">
        <f t="array" ref="C168">IFERROR(
   IF(INDEX([1]PCRs!B:B,MATCH(LEFT($A168,6)&amp;"*",[1]PCRs!A:A,0))="Positivo",
      "✅ Positivo",
      IF(INDEX([1]PCRs!B:B,MATCH(LEFT($A168,6)&amp;"*",[1]PCRs!A:A,0))="Negativo",
         "❌ Negativo",
         "⏳ No realizado")),
   "⏳ No realizado"
)</f>
        <v>⏳ No realizado</v>
      </c>
      <c r="D168" s="255" t="str">
        <f>IFERROR(
   CHOOSE(
      MATCH(VLOOKUP(LEFT(A215,6)&amp;"*",'Identificación genética'!A:C,2,FALSE),
               {"En proceso";"Finalizado"},0),
      "🔬 En proceso",
      "🎯 Finalizado"
   ),
"❌ NA")</f>
        <v>❌ NA</v>
      </c>
      <c r="E168" s="255" t="s">
        <v>85</v>
      </c>
      <c r="F168" s="7">
        <v>45952</v>
      </c>
      <c r="G168" t="str">
        <f>_xlfn.XLOOKUP(A168, Extraídas!A:A, Extraídas!G:G, "")</f>
        <v>Bacillariophyceae</v>
      </c>
    </row>
    <row r="169" spans="1:7" x14ac:dyDescent="0.3">
      <c r="A169" s="634" t="s">
        <v>319</v>
      </c>
      <c r="B169" s="255" t="str">
        <f t="array" ref="B169">IFERROR(
   IF(INDEX([1]Extraídas!B:B,MATCH(LEFT($A169,6)&amp;"*",[1]Extraídas!A:A,0))="Extraídas",
      "✅ En proceso",
      IF(INDEX([1]Extraídas!B:B,MATCH(LEFT($A169,6)&amp;"*",[1]Extraídas!A:A,0))="Recibidas",
         "⏳ Pendiente","❌ No ingresada")),
   "❌ No ingresada"
)</f>
        <v>✅ En proceso</v>
      </c>
      <c r="C169" s="255" t="str">
        <f t="array" ref="C169">IFERROR(
   IF(INDEX([1]PCRs!B:B,MATCH(LEFT($A169,6)&amp;"*",[1]PCRs!A:A,0))="Positivo",
      "✅ Positivo",
      IF(INDEX([1]PCRs!B:B,MATCH(LEFT($A169,6)&amp;"*",[1]PCRs!A:A,0))="Negativo",
         "❌ Negativo",
         "⏳ No realizado")),
   "⏳ No realizado"
)</f>
        <v>⏳ No realizado</v>
      </c>
      <c r="D169" s="255" t="str">
        <f>IFERROR(
   CHOOSE(
      MATCH(VLOOKUP(LEFT(A216,6)&amp;"*",'Identificación genética'!A:C,2,FALSE),
               {"En proceso";"Finalizado"},0),
      "🔬 En proceso",
      "🎯 Finalizado"
   ),
"❌ NA")</f>
        <v>❌ NA</v>
      </c>
      <c r="E169" s="255" t="s">
        <v>85</v>
      </c>
      <c r="F169" s="50">
        <v>46000</v>
      </c>
      <c r="G169" t="str">
        <f>_xlfn.XLOOKUP(A169, Extraídas!A:A, Extraídas!G:G, "")</f>
        <v>Dinophyceae</v>
      </c>
    </row>
    <row r="170" spans="1:7" x14ac:dyDescent="0.3">
      <c r="A170" s="633" t="s">
        <v>320</v>
      </c>
      <c r="B170" s="255" t="str">
        <f t="array" ref="B170">IFERROR(
   IF(INDEX([1]Extraídas!B:B,MATCH(LEFT($A170,6)&amp;"*",[1]Extraídas!A:A,0))="Extraídas",
      "✅ En proceso",
      IF(INDEX([1]Extraídas!B:B,MATCH(LEFT($A170,6)&amp;"*",[1]Extraídas!A:A,0))="Recibidas",
         "⏳ Pendiente","❌ No ingresada")),
   "❌ No ingresada"
)</f>
        <v>✅ En proceso</v>
      </c>
      <c r="C170" s="255" t="str">
        <f t="array" ref="C170">IFERROR(
   IF(INDEX([1]PCRs!B:B,MATCH(LEFT($A170,6)&amp;"*",[1]PCRs!A:A,0))="Positivo",
      "✅ Positivo",
      IF(INDEX([1]PCRs!B:B,MATCH(LEFT($A170,6)&amp;"*",[1]PCRs!A:A,0))="Negativo",
         "❌ Negativo",
         "⏳ No realizado")),
   "⏳ No realizado"
)</f>
        <v>⏳ No realizado</v>
      </c>
      <c r="D170" s="255" t="str">
        <f>IFERROR(
   CHOOSE(
      MATCH(VLOOKUP(LEFT(A217,6)&amp;"*",'Identificación genética'!A:C,2,FALSE),
               {"En proceso";"Finalizado"},0),
      "🔬 En proceso",
      "🎯 Finalizado"
   ),
"❌ NA")</f>
        <v>❌ NA</v>
      </c>
      <c r="E170" s="255" t="s">
        <v>85</v>
      </c>
      <c r="F170" s="7">
        <v>45952</v>
      </c>
      <c r="G170" t="str">
        <f>_xlfn.XLOOKUP(A170, Extraídas!A:A, Extraídas!G:G, "")</f>
        <v>Dinophyceae</v>
      </c>
    </row>
    <row r="171" spans="1:7" x14ac:dyDescent="0.3">
      <c r="A171" s="633" t="s">
        <v>321</v>
      </c>
      <c r="B171" s="255" t="str">
        <f t="array" ref="B171">IFERROR(
   IF(INDEX([1]Extraídas!B:B,MATCH(LEFT($A171,6)&amp;"*",[1]Extraídas!A:A,0))="Extraídas",
      "✅ En proceso",
      IF(INDEX([1]Extraídas!B:B,MATCH(LEFT($A171,6)&amp;"*",[1]Extraídas!A:A,0))="Recibidas",
         "⏳ Pendiente","❌ No ingresada")),
   "❌ No ingresada"
)</f>
        <v>✅ En proceso</v>
      </c>
      <c r="C171" s="255" t="str">
        <f t="array" ref="C171">IFERROR(
   IF(INDEX([1]PCRs!B:B,MATCH(LEFT($A171,6)&amp;"*",[1]PCRs!A:A,0))="Positivo",
      "✅ Positivo",
      IF(INDEX([1]PCRs!B:B,MATCH(LEFT($A171,6)&amp;"*",[1]PCRs!A:A,0))="Negativo",
         "❌ Negativo",
         "⏳ No realizado")),
   "⏳ No realizado"
)</f>
        <v>⏳ No realizado</v>
      </c>
      <c r="D171" s="255" t="str">
        <f>IFERROR(
   CHOOSE(
      MATCH(VLOOKUP(LEFT(A218,6)&amp;"*",'Identificación genética'!A:C,2,FALSE),
               {"En proceso";"Finalizado"},0),
      "🔬 En proceso",
      "🎯 Finalizado"
   ),
"❌ NA")</f>
        <v>❌ NA</v>
      </c>
      <c r="E171" s="255" t="s">
        <v>85</v>
      </c>
      <c r="F171" s="32">
        <v>46000</v>
      </c>
      <c r="G171" t="str">
        <f>_xlfn.XLOOKUP(A171, Extraídas!A:A, Extraídas!G:G, "")</f>
        <v>Dinophyceae</v>
      </c>
    </row>
    <row r="172" spans="1:7" x14ac:dyDescent="0.3">
      <c r="A172" s="634" t="s">
        <v>322</v>
      </c>
      <c r="B172" s="255" t="str">
        <f t="array" ref="B172">IFERROR(
   IF(INDEX([1]Extraídas!B:B,MATCH(LEFT($A172,6)&amp;"*",[1]Extraídas!A:A,0))="Extraídas",
      "✅ En proceso",
      IF(INDEX([1]Extraídas!B:B,MATCH(LEFT($A172,6)&amp;"*",[1]Extraídas!A:A,0))="Recibidas",
         "⏳ Pendiente","❌ No ingresada")),
   "❌ No ingresada"
)</f>
        <v>✅ En proceso</v>
      </c>
      <c r="C172" s="255" t="str">
        <f t="array" ref="C172">IFERROR(
   IF(INDEX([1]PCRs!B:B,MATCH(LEFT($A172,6)&amp;"*",[1]PCRs!A:A,0))="Positivo",
      "✅ Positivo",
      IF(INDEX([1]PCRs!B:B,MATCH(LEFT($A172,6)&amp;"*",[1]PCRs!A:A,0))="Negativo",
         "❌ Negativo",
         "⏳ No realizado")),
   "⏳ No realizado"
)</f>
        <v>⏳ No realizado</v>
      </c>
      <c r="D172" s="255" t="str">
        <f>IFERROR(
   CHOOSE(
      MATCH(VLOOKUP(LEFT(A219,6)&amp;"*",'Identificación genética'!A:C,2,FALSE),
               {"En proceso";"Finalizado"},0),
      "🔬 En proceso",
      "🎯 Finalizado"
   ),
"❌ NA")</f>
        <v>❌ NA</v>
      </c>
      <c r="E172" s="255" t="s">
        <v>85</v>
      </c>
      <c r="F172" s="7">
        <v>45968</v>
      </c>
      <c r="G172" t="str">
        <f>_xlfn.XLOOKUP(A172, Extraídas!A:A, Extraídas!G:G, "")</f>
        <v>Chlorophyceae</v>
      </c>
    </row>
    <row r="173" spans="1:7" x14ac:dyDescent="0.3">
      <c r="A173" s="634" t="s">
        <v>323</v>
      </c>
      <c r="B173" s="255" t="str">
        <f t="array" ref="B173">IFERROR(
   IF(INDEX([1]Extraídas!B:B,MATCH(LEFT($A173,6)&amp;"*",[1]Extraídas!A:A,0))="Extraídas",
      "✅ En proceso",
      IF(INDEX([1]Extraídas!B:B,MATCH(LEFT($A173,6)&amp;"*",[1]Extraídas!A:A,0))="Recibidas",
         "⏳ Pendiente","❌ No ingresada")),
   "❌ No ingresada"
)</f>
        <v>✅ En proceso</v>
      </c>
      <c r="C173" s="255" t="str">
        <f t="array" ref="C173">IFERROR(
   IF(INDEX([1]PCRs!B:B,MATCH(LEFT($A173,6)&amp;"*",[1]PCRs!A:A,0))="Positivo",
      "✅ Positivo",
      IF(INDEX([1]PCRs!B:B,MATCH(LEFT($A173,6)&amp;"*",[1]PCRs!A:A,0))="Negativo",
         "❌ Negativo",
         "⏳ No realizado")),
   "⏳ No realizado"
)</f>
        <v>⏳ No realizado</v>
      </c>
      <c r="D173" s="255" t="str">
        <f>IFERROR(
   CHOOSE(
      MATCH(VLOOKUP(LEFT(A220,6)&amp;"*",'Identificación genética'!A:C,2,FALSE),
               {"En proceso";"Finalizado"},0),
      "🔬 En proceso",
      "🎯 Finalizado"
   ),
"❌ NA")</f>
        <v>❌ NA</v>
      </c>
      <c r="E173" s="255" t="s">
        <v>85</v>
      </c>
      <c r="F173" s="50">
        <v>46000</v>
      </c>
      <c r="G173" t="str">
        <f>_xlfn.XLOOKUP(A173, Extraídas!A:A, Extraídas!G:G, "")</f>
        <v>Dinophyceae</v>
      </c>
    </row>
    <row r="174" spans="1:7" x14ac:dyDescent="0.3">
      <c r="A174" s="633" t="s">
        <v>324</v>
      </c>
      <c r="B174" s="255" t="str">
        <f t="array" ref="B174">IFERROR(
   IF(INDEX([1]Extraídas!B:B,MATCH(LEFT($A174,6)&amp;"*",[1]Extraídas!A:A,0))="Extraídas",
      "✅ En proceso",
      IF(INDEX([1]Extraídas!B:B,MATCH(LEFT($A174,6)&amp;"*",[1]Extraídas!A:A,0))="Recibidas",
         "⏳ Pendiente","❌ No ingresada")),
   "❌ No ingresada"
)</f>
        <v>✅ En proceso</v>
      </c>
      <c r="C174" s="255" t="str">
        <f t="array" ref="C174">IFERROR(
   IF(INDEX([1]PCRs!B:B,MATCH(LEFT($A174,6)&amp;"*",[1]PCRs!A:A,0))="Positivo",
      "✅ Positivo",
      IF(INDEX([1]PCRs!B:B,MATCH(LEFT($A174,6)&amp;"*",[1]PCRs!A:A,0))="Negativo",
         "❌ Negativo",
         "⏳ No realizado")),
   "⏳ No realizado"
)</f>
        <v>⏳ No realizado</v>
      </c>
      <c r="D174" s="255" t="str">
        <f>IFERROR(
   CHOOSE(
      MATCH(VLOOKUP(LEFT(A221,6)&amp;"*",'Identificación genética'!A:C,2,FALSE),
               {"En proceso";"Finalizado"},0),
      "🔬 En proceso",
      "🎯 Finalizado"
   ),
"❌ NA")</f>
        <v>❌ NA</v>
      </c>
      <c r="E174" s="255" t="s">
        <v>85</v>
      </c>
      <c r="F174" s="7">
        <v>45968</v>
      </c>
      <c r="G174" t="str">
        <f>_xlfn.XLOOKUP(A174, Extraídas!A:A, Extraídas!G:G, "")</f>
        <v>Chlorophyceae</v>
      </c>
    </row>
    <row r="175" spans="1:7" x14ac:dyDescent="0.3">
      <c r="A175" s="633" t="s">
        <v>325</v>
      </c>
      <c r="B175" s="255" t="str">
        <f t="array" ref="B175">IFERROR(
   IF(INDEX([1]Extraídas!B:B,MATCH(LEFT($A175,6)&amp;"*",[1]Extraídas!A:A,0))="Extraídas",
      "✅ En proceso",
      IF(INDEX([1]Extraídas!B:B,MATCH(LEFT($A175,6)&amp;"*",[1]Extraídas!A:A,0))="Recibidas",
         "⏳ Pendiente","❌ No ingresada")),
   "❌ No ingresada"
)</f>
        <v>✅ En proceso</v>
      </c>
      <c r="C175" s="255" t="str">
        <f t="array" ref="C175">IFERROR(
   IF(INDEX([1]PCRs!B:B,MATCH(LEFT($A175,6)&amp;"*",[1]PCRs!A:A,0))="Positivo",
      "✅ Positivo",
      IF(INDEX([1]PCRs!B:B,MATCH(LEFT($A175,6)&amp;"*",[1]PCRs!A:A,0))="Negativo",
         "❌ Negativo",
         "⏳ No realizado")),
   "⏳ No realizado"
)</f>
        <v>⏳ No realizado</v>
      </c>
      <c r="D175" s="255" t="str">
        <f>IFERROR(
   CHOOSE(
      MATCH(VLOOKUP(LEFT(A222,6)&amp;"*",'Identificación genética'!A:C,2,FALSE),
               {"En proceso";"Finalizado"},0),
      "🔬 En proceso",
      "🎯 Finalizado"
   ),
"❌ NA")</f>
        <v>❌ NA</v>
      </c>
      <c r="E175" s="255" t="s">
        <v>85</v>
      </c>
      <c r="F175" s="32">
        <v>45979</v>
      </c>
      <c r="G175" t="str">
        <f>_xlfn.XLOOKUP(A175, Extraídas!A:A, Extraídas!G:G, "")</f>
        <v>Zygnematophyceae</v>
      </c>
    </row>
    <row r="176" spans="1:7" x14ac:dyDescent="0.3">
      <c r="A176" s="634" t="s">
        <v>326</v>
      </c>
      <c r="B176" s="255" t="str">
        <f t="array" ref="B176">IFERROR(
   IF(INDEX([1]Extraídas!B:B,MATCH(LEFT($A176,6)&amp;"*",[1]Extraídas!A:A,0))="Extraídas",
      "✅ En proceso",
      IF(INDEX([1]Extraídas!B:B,MATCH(LEFT($A176,6)&amp;"*",[1]Extraídas!A:A,0))="Recibidas",
         "⏳ Pendiente","❌ No ingresada")),
   "❌ No ingresada"
)</f>
        <v>✅ En proceso</v>
      </c>
      <c r="C176" s="255" t="str">
        <f t="array" ref="C176">IFERROR(
   IF(INDEX([1]PCRs!B:B,MATCH(LEFT($A176,6)&amp;"*",[1]PCRs!A:A,0))="Positivo",
      "✅ Positivo",
      IF(INDEX([1]PCRs!B:B,MATCH(LEFT($A176,6)&amp;"*",[1]PCRs!A:A,0))="Negativo",
         "❌ Negativo",
         "⏳ No realizado")),
   "⏳ No realizado"
)</f>
        <v>⏳ No realizado</v>
      </c>
      <c r="D176" s="255" t="str">
        <f>IFERROR(
   CHOOSE(
      MATCH(VLOOKUP(LEFT(A223,6)&amp;"*",'Identificación genética'!A:C,2,FALSE),
               {"En proceso";"Finalizado"},0),
      "🔬 En proceso",
      "🎯 Finalizado"
   ),
"❌ NA")</f>
        <v>❌ NA</v>
      </c>
      <c r="E176" s="255" t="s">
        <v>85</v>
      </c>
      <c r="F176" s="50">
        <v>45979</v>
      </c>
      <c r="G176" t="str">
        <f>_xlfn.XLOOKUP(A176, Extraídas!A:A, Extraídas!G:G, "")</f>
        <v>Chlorophyceae</v>
      </c>
    </row>
    <row r="177" spans="1:7" x14ac:dyDescent="0.3">
      <c r="A177" s="633" t="s">
        <v>329</v>
      </c>
      <c r="B177" s="255" t="str">
        <f t="array" ref="B177">IFERROR(
   IF(INDEX([1]Extraídas!B:B,MATCH(LEFT($A177,6)&amp;"*",[1]Extraídas!A:A,0))="Extraídas",
      "✅ En proceso",
      IF(INDEX([1]Extraídas!B:B,MATCH(LEFT($A177,6)&amp;"*",[1]Extraídas!A:A,0))="Recibidas",
         "⏳ Pendiente","❌ No ingresada")),
   "❌ No ingresada"
)</f>
        <v>✅ En proceso</v>
      </c>
      <c r="C177" s="255" t="str">
        <f t="array" ref="C177">IFERROR(
   IF(INDEX([1]PCRs!B:B,MATCH(LEFT($A177,6)&amp;"*",[1]PCRs!A:A,0))="Positivo",
      "✅ Positivo",
      IF(INDEX([1]PCRs!B:B,MATCH(LEFT($A177,6)&amp;"*",[1]PCRs!A:A,0))="Negativo",
         "❌ Negativo",
         "⏳ No realizado")),
   "⏳ No realizado"
)</f>
        <v>⏳ No realizado</v>
      </c>
      <c r="D177" s="255" t="str">
        <f>IFERROR(
   CHOOSE(
      MATCH(VLOOKUP(LEFT(A224,6)&amp;"*",'Identificación genética'!A:C,2,FALSE),
               {"En proceso";"Finalizado"},0),
      "🔬 En proceso",
      "🎯 Finalizado"
   ),
"❌ NA")</f>
        <v>❌ NA</v>
      </c>
      <c r="E177" s="255" t="s">
        <v>85</v>
      </c>
      <c r="F177" s="32">
        <v>45979</v>
      </c>
      <c r="G177" t="str">
        <f>_xlfn.XLOOKUP(A177, Extraídas!A:A, Extraídas!G:G, "")</f>
        <v>Chlorophyceae</v>
      </c>
    </row>
    <row r="178" spans="1:7" x14ac:dyDescent="0.3">
      <c r="A178" s="634" t="s">
        <v>330</v>
      </c>
      <c r="B178" s="255" t="str">
        <f t="array" ref="B178">IFERROR(
   IF(INDEX([1]Extraídas!B:B,MATCH(LEFT($A178,6)&amp;"*",[1]Extraídas!A:A,0))="Extraídas",
      "✅ En proceso",
      IF(INDEX([1]Extraídas!B:B,MATCH(LEFT($A178,6)&amp;"*",[1]Extraídas!A:A,0))="Recibidas",
         "⏳ Pendiente","❌ No ingresada")),
   "❌ No ingresada"
)</f>
        <v>✅ En proceso</v>
      </c>
      <c r="C178" s="255" t="str">
        <f t="array" ref="C178">IFERROR(
   IF(INDEX([1]PCRs!B:B,MATCH(LEFT($A178,6)&amp;"*",[1]PCRs!A:A,0))="Positivo",
      "✅ Positivo",
      IF(INDEX([1]PCRs!B:B,MATCH(LEFT($A178,6)&amp;"*",[1]PCRs!A:A,0))="Negativo",
         "❌ Negativo",
         "⏳ No realizado")),
   "⏳ No realizado"
)</f>
        <v>⏳ No realizado</v>
      </c>
      <c r="D178" s="255" t="str">
        <f>IFERROR(
   CHOOSE(
      MATCH(VLOOKUP(LEFT(A225,6)&amp;"*",'Identificación genética'!A:C,2,FALSE),
               {"En proceso";"Finalizado"},0),
      "🔬 En proceso",
      "🎯 Finalizado"
   ),
"❌ NA")</f>
        <v>❌ NA</v>
      </c>
      <c r="E178" s="255" t="s">
        <v>85</v>
      </c>
      <c r="F178" s="50">
        <v>45979</v>
      </c>
      <c r="G178" t="str">
        <f>_xlfn.XLOOKUP(A178, Extraídas!A:A, Extraídas!G:G, "")</f>
        <v>Chlorophyceae</v>
      </c>
    </row>
    <row r="179" spans="1:7" x14ac:dyDescent="0.3">
      <c r="A179" s="634" t="s">
        <v>331</v>
      </c>
      <c r="B179" s="255" t="str">
        <f t="array" ref="B179">IFERROR(
   IF(INDEX([1]Extraídas!B:B,MATCH(LEFT($A179,6)&amp;"*",[1]Extraídas!A:A,0))="Extraídas",
      "✅ En proceso",
      IF(INDEX([1]Extraídas!B:B,MATCH(LEFT($A179,6)&amp;"*",[1]Extraídas!A:A,0))="Recibidas",
         "⏳ Pendiente","❌ No ingresada")),
   "❌ No ingresada"
)</f>
        <v>✅ En proceso</v>
      </c>
      <c r="C179" s="255" t="str">
        <f t="array" ref="C179">IFERROR(
   IF(INDEX([1]PCRs!B:B,MATCH(LEFT($A179,6)&amp;"*",[1]PCRs!A:A,0))="Positivo",
      "✅ Positivo",
      IF(INDEX([1]PCRs!B:B,MATCH(LEFT($A179,6)&amp;"*",[1]PCRs!A:A,0))="Negativo",
         "❌ Negativo",
         "⏳ No realizado")),
   "⏳ No realizado"
)</f>
        <v>⏳ No realizado</v>
      </c>
      <c r="D179" s="255" t="str">
        <f>IFERROR(
   CHOOSE(
      MATCH(VLOOKUP(LEFT(A226,6)&amp;"*",'Identificación genética'!A:C,2,FALSE),
               {"En proceso";"Finalizado"},0),
      "🔬 En proceso",
      "🎯 Finalizado"
   ),
"❌ NA")</f>
        <v>❌ NA</v>
      </c>
      <c r="E179" s="255" t="s">
        <v>85</v>
      </c>
      <c r="F179" s="7">
        <v>45952</v>
      </c>
      <c r="G179" t="str">
        <f>_xlfn.XLOOKUP(A179, Extraídas!A:A, Extraídas!G:G, "")</f>
        <v>Cyanobacteria</v>
      </c>
    </row>
    <row r="180" spans="1:7" x14ac:dyDescent="0.3">
      <c r="A180" s="633" t="s">
        <v>340</v>
      </c>
      <c r="B180" s="255" t="str">
        <f t="array" ref="B180">IFERROR(
   IF(INDEX([1]Extraídas!B:B,MATCH(LEFT($A180,6)&amp;"*",[1]Extraídas!A:A,0))="Extraídas",
      "✅ En proceso",
      IF(INDEX([1]Extraídas!B:B,MATCH(LEFT($A180,6)&amp;"*",[1]Extraídas!A:A,0))="Recibidas",
         "⏳ Pendiente","❌ No ingresada")),
   "❌ No ingresada"
)</f>
        <v>✅ En proceso</v>
      </c>
      <c r="C180" s="255" t="str">
        <f t="array" ref="C180">IFERROR(
   IF(INDEX([1]PCRs!B:B,MATCH(LEFT($A180,6)&amp;"*",[1]PCRs!A:A,0))="Positivo",
      "✅ Positivo",
      IF(INDEX([1]PCRs!B:B,MATCH(LEFT($A180,6)&amp;"*",[1]PCRs!A:A,0))="Negativo",
         "❌ Negativo",
         "⏳ No realizado")),
   "⏳ No realizado"
)</f>
        <v>⏳ No realizado</v>
      </c>
      <c r="D180" s="255" t="str">
        <f>IFERROR(
   CHOOSE(
      MATCH(VLOOKUP(LEFT(A227,6)&amp;"*",'Identificación genética'!A:C,2,FALSE),
               {"En proceso";"Finalizado"},0),
      "🔬 En proceso",
      "🎯 Finalizado"
   ),
"❌ NA")</f>
        <v>❌ NA</v>
      </c>
      <c r="E180" s="255" t="s">
        <v>85</v>
      </c>
      <c r="F180" s="32">
        <v>45960</v>
      </c>
      <c r="G180" t="str">
        <f>_xlfn.XLOOKUP(A180, Extraídas!A:A, Extraídas!G:G, "")</f>
        <v>Cyanobacteria</v>
      </c>
    </row>
    <row r="181" spans="1:7" x14ac:dyDescent="0.3">
      <c r="A181" s="633" t="s">
        <v>341</v>
      </c>
      <c r="B181" s="255" t="str">
        <f t="array" ref="B181">IFERROR(
   IF(INDEX([1]Extraídas!B:B,MATCH(LEFT($A181,6)&amp;"*",[1]Extraídas!A:A,0))="Extraídas",
      "✅ En proceso",
      IF(INDEX([1]Extraídas!B:B,MATCH(LEFT($A181,6)&amp;"*",[1]Extraídas!A:A,0))="Recibidas",
         "⏳ Pendiente","❌ No ingresada")),
   "❌ No ingresada"
)</f>
        <v>✅ En proceso</v>
      </c>
      <c r="C181" s="255" t="str">
        <f t="array" ref="C181">IFERROR(
   IF(INDEX([1]PCRs!B:B,MATCH(LEFT($A181,6)&amp;"*",[1]PCRs!A:A,0))="Positivo",
      "✅ Positivo",
      IF(INDEX([1]PCRs!B:B,MATCH(LEFT($A181,6)&amp;"*",[1]PCRs!A:A,0))="Negativo",
         "❌ Negativo",
         "⏳ No realizado")),
   "⏳ No realizado"
)</f>
        <v>⏳ No realizado</v>
      </c>
      <c r="D181" s="255" t="str">
        <f>IFERROR(
   CHOOSE(
      MATCH(VLOOKUP(LEFT(A228,6)&amp;"*",'Identificación genética'!A:C,2,FALSE),
               {"En proceso";"Finalizado"},0),
      "🔬 En proceso",
      "🎯 Finalizado"
   ),
"❌ NA")</f>
        <v>❌ NA</v>
      </c>
      <c r="E181" s="255" t="s">
        <v>85</v>
      </c>
      <c r="F181" s="32">
        <v>45975</v>
      </c>
      <c r="G181" t="str">
        <f>_xlfn.XLOOKUP(A181, Extraídas!A:A, Extraídas!G:G, "")</f>
        <v>Cyanobacteria</v>
      </c>
    </row>
    <row r="182" spans="1:7" x14ac:dyDescent="0.3">
      <c r="A182" s="633" t="s">
        <v>343</v>
      </c>
      <c r="B182" s="255" t="str">
        <f t="array" ref="B182">IFERROR(
   IF(INDEX([1]Extraídas!B:B,MATCH(LEFT($A182,6)&amp;"*",[1]Extraídas!A:A,0))="Extraídas",
      "✅ En proceso",
      IF(INDEX([1]Extraídas!B:B,MATCH(LEFT($A182,6)&amp;"*",[1]Extraídas!A:A,0))="Recibidas",
         "⏳ Pendiente","❌ No ingresada")),
   "❌ No ingresada"
)</f>
        <v>✅ En proceso</v>
      </c>
      <c r="C182" s="255" t="str">
        <f t="array" ref="C182">IFERROR(
   IF(INDEX([1]PCRs!B:B,MATCH(LEFT($A182,6)&amp;"*",[1]PCRs!A:A,0))="Positivo",
      "✅ Positivo",
      IF(INDEX([1]PCRs!B:B,MATCH(LEFT($A182,6)&amp;"*",[1]PCRs!A:A,0))="Negativo",
         "❌ Negativo",
         "⏳ No realizado")),
   "⏳ No realizado"
)</f>
        <v>⏳ No realizado</v>
      </c>
      <c r="D182" s="255" t="str">
        <f>IFERROR(
   CHOOSE(
      MATCH(VLOOKUP(LEFT(A229,6)&amp;"*",'Identificación genética'!A:C,2,FALSE),
               {"En proceso";"Finalizado"},0),
      "🔬 En proceso",
      "🎯 Finalizado"
   ),
"❌ NA")</f>
        <v>❌ NA</v>
      </c>
      <c r="E182" s="255" t="s">
        <v>85</v>
      </c>
      <c r="F182" s="7">
        <v>45952</v>
      </c>
      <c r="G182" t="str">
        <f>_xlfn.XLOOKUP(A182, Extraídas!A:A, Extraídas!G:G, "")</f>
        <v>Chlorophyceae</v>
      </c>
    </row>
    <row r="183" spans="1:7" x14ac:dyDescent="0.3">
      <c r="A183" s="634" t="s">
        <v>345</v>
      </c>
      <c r="B183" s="255" t="str">
        <f t="array" ref="B183">IFERROR(
   IF(INDEX([1]Extraídas!B:B,MATCH(LEFT($A183,6)&amp;"*",[1]Extraídas!A:A,0))="Extraídas",
      "✅ En proceso",
      IF(INDEX([1]Extraídas!B:B,MATCH(LEFT($A183,6)&amp;"*",[1]Extraídas!A:A,0))="Recibidas",
         "⏳ Pendiente","❌ No ingresada")),
   "❌ No ingresada"
)</f>
        <v>✅ En proceso</v>
      </c>
      <c r="C183" s="255" t="str">
        <f t="array" ref="C183">IFERROR(
   IF(INDEX([1]PCRs!B:B,MATCH(LEFT($A183,6)&amp;"*",[1]PCRs!A:A,0))="Positivo",
      "✅ Positivo",
      IF(INDEX([1]PCRs!B:B,MATCH(LEFT($A183,6)&amp;"*",[1]PCRs!A:A,0))="Negativo",
         "❌ Negativo",
         "⏳ No realizado")),
   "⏳ No realizado"
)</f>
        <v>⏳ No realizado</v>
      </c>
      <c r="D183" s="255" t="str">
        <f>IFERROR(
   CHOOSE(
      MATCH(VLOOKUP(LEFT(A230,6)&amp;"*",'Identificación genética'!A:C,2,FALSE),
               {"En proceso";"Finalizado"},0),
      "🔬 En proceso",
      "🎯 Finalizado"
   ),
"❌ NA")</f>
        <v>❌ NA</v>
      </c>
      <c r="E183" s="255" t="s">
        <v>85</v>
      </c>
      <c r="F183" s="50">
        <v>45958</v>
      </c>
      <c r="G183" t="str">
        <f>_xlfn.XLOOKUP(A183, Extraídas!A:A, Extraídas!G:G, "")</f>
        <v>Chlorophyceae</v>
      </c>
    </row>
    <row r="184" spans="1:7" x14ac:dyDescent="0.3">
      <c r="A184" s="633" t="s">
        <v>346</v>
      </c>
      <c r="B184" s="255" t="str">
        <f t="array" ref="B184">IFERROR(
   IF(INDEX([1]Extraídas!B:B,MATCH(LEFT($A184,6)&amp;"*",[1]Extraídas!A:A,0))="Extraídas",
      "✅ En proceso",
      IF(INDEX([1]Extraídas!B:B,MATCH(LEFT($A184,6)&amp;"*",[1]Extraídas!A:A,0))="Recibidas",
         "⏳ Pendiente","❌ No ingresada")),
   "❌ No ingresada"
)</f>
        <v>✅ En proceso</v>
      </c>
      <c r="C184" s="255" t="str">
        <f t="array" ref="C184">IFERROR(
   IF(INDEX([1]PCRs!B:B,MATCH(LEFT($A184,6)&amp;"*",[1]PCRs!A:A,0))="Positivo",
      "✅ Positivo",
      IF(INDEX([1]PCRs!B:B,MATCH(LEFT($A184,6)&amp;"*",[1]PCRs!A:A,0))="Negativo",
         "❌ Negativo",
         "⏳ No realizado")),
   "⏳ No realizado"
)</f>
        <v>⏳ No realizado</v>
      </c>
      <c r="D184" s="255" t="str">
        <f>IFERROR(
   CHOOSE(
      MATCH(VLOOKUP(LEFT(A231,6)&amp;"*",'Identificación genética'!A:C,2,FALSE),
               {"En proceso";"Finalizado"},0),
      "🔬 En proceso",
      "🎯 Finalizado"
   ),
"❌ NA")</f>
        <v>❌ NA</v>
      </c>
      <c r="E184" s="255" t="s">
        <v>85</v>
      </c>
      <c r="F184" s="32">
        <v>45958</v>
      </c>
      <c r="G184" t="str">
        <f>_xlfn.XLOOKUP(A184, Extraídas!A:A, Extraídas!G:G, "")</f>
        <v>Chlorophyceae</v>
      </c>
    </row>
    <row r="185" spans="1:7" x14ac:dyDescent="0.3">
      <c r="A185" s="634" t="s">
        <v>347</v>
      </c>
      <c r="B185" s="255" t="str">
        <f t="array" ref="B185">IFERROR(
   IF(INDEX([1]Extraídas!B:B,MATCH(LEFT($A185,6)&amp;"*",[1]Extraídas!A:A,0))="Extraídas",
      "✅ En proceso",
      IF(INDEX([1]Extraídas!B:B,MATCH(LEFT($A185,6)&amp;"*",[1]Extraídas!A:A,0))="Recibidas",
         "⏳ Pendiente","❌ No ingresada")),
   "❌ No ingresada"
)</f>
        <v>✅ En proceso</v>
      </c>
      <c r="C185" s="255" t="str">
        <f t="array" ref="C185">IFERROR(
   IF(INDEX([1]PCRs!B:B,MATCH(LEFT($A185,6)&amp;"*",[1]PCRs!A:A,0))="Positivo",
      "✅ Positivo",
      IF(INDEX([1]PCRs!B:B,MATCH(LEFT($A185,6)&amp;"*",[1]PCRs!A:A,0))="Negativo",
         "❌ Negativo",
         "⏳ No realizado")),
   "⏳ No realizado"
)</f>
        <v>⏳ No realizado</v>
      </c>
      <c r="D185" s="255" t="str">
        <f>IFERROR(
   CHOOSE(
      MATCH(VLOOKUP(LEFT(A232,6)&amp;"*",'Identificación genética'!A:C,2,FALSE),
               {"En proceso";"Finalizado"},0),
      "🔬 En proceso",
      "🎯 Finalizado"
   ),
"❌ NA")</f>
        <v>❌ NA</v>
      </c>
      <c r="E185" s="255" t="s">
        <v>85</v>
      </c>
      <c r="F185" s="50">
        <v>45958</v>
      </c>
      <c r="G185" t="str">
        <f>_xlfn.XLOOKUP(A185, Extraídas!A:A, Extraídas!G:G, "")</f>
        <v>Chlorophyceae</v>
      </c>
    </row>
    <row r="186" spans="1:7" x14ac:dyDescent="0.3">
      <c r="A186" s="633" t="s">
        <v>348</v>
      </c>
      <c r="B186" s="255" t="str">
        <f t="array" ref="B186">IFERROR(
   IF(INDEX([1]Extraídas!B:B,MATCH(LEFT($A186,6)&amp;"*",[1]Extraídas!A:A,0))="Extraídas",
      "✅ En proceso",
      IF(INDEX([1]Extraídas!B:B,MATCH(LEFT($A186,6)&amp;"*",[1]Extraídas!A:A,0))="Recibidas",
         "⏳ Pendiente","❌ No ingresada")),
   "❌ No ingresada"
)</f>
        <v>✅ En proceso</v>
      </c>
      <c r="C186" s="255" t="str">
        <f t="array" ref="C186">IFERROR(
   IF(INDEX([1]PCRs!B:B,MATCH(LEFT($A186,6)&amp;"*",[1]PCRs!A:A,0))="Positivo",
      "✅ Positivo",
      IF(INDEX([1]PCRs!B:B,MATCH(LEFT($A186,6)&amp;"*",[1]PCRs!A:A,0))="Negativo",
         "❌ Negativo",
         "⏳ No realizado")),
   "⏳ No realizado"
)</f>
        <v>⏳ No realizado</v>
      </c>
      <c r="D186" s="255" t="str">
        <f>IFERROR(
   CHOOSE(
      MATCH(VLOOKUP(LEFT(A233,6)&amp;"*",'Identificación genética'!A:C,2,FALSE),
               {"En proceso";"Finalizado"},0),
      "🔬 En proceso",
      "🎯 Finalizado"
   ),
"❌ NA")</f>
        <v>❌ NA</v>
      </c>
      <c r="E186" s="255" t="s">
        <v>85</v>
      </c>
      <c r="F186" s="32">
        <v>45958</v>
      </c>
      <c r="G186" t="str">
        <f>_xlfn.XLOOKUP(A186, Extraídas!A:A, Extraídas!G:G, "")</f>
        <v>Chlorophyceae</v>
      </c>
    </row>
    <row r="187" spans="1:7" x14ac:dyDescent="0.3">
      <c r="A187" s="634" t="s">
        <v>349</v>
      </c>
      <c r="B187" s="255" t="str">
        <f t="array" ref="B187">IFERROR(
   IF(INDEX([1]Extraídas!B:B,MATCH(LEFT($A187,6)&amp;"*",[1]Extraídas!A:A,0))="Extraídas",
      "✅ En proceso",
      IF(INDEX([1]Extraídas!B:B,MATCH(LEFT($A187,6)&amp;"*",[1]Extraídas!A:A,0))="Recibidas",
         "⏳ Pendiente","❌ No ingresada")),
   "❌ No ingresada"
)</f>
        <v>✅ En proceso</v>
      </c>
      <c r="C187" s="255" t="str">
        <f t="array" ref="C187">IFERROR(
   IF(INDEX([1]PCRs!B:B,MATCH(LEFT($A187,6)&amp;"*",[1]PCRs!A:A,0))="Positivo",
      "✅ Positivo",
      IF(INDEX([1]PCRs!B:B,MATCH(LEFT($A187,6)&amp;"*",[1]PCRs!A:A,0))="Negativo",
         "❌ Negativo",
         "⏳ No realizado")),
   "⏳ No realizado"
)</f>
        <v>⏳ No realizado</v>
      </c>
      <c r="D187" s="255" t="str">
        <f>IFERROR(
   CHOOSE(
      MATCH(VLOOKUP(LEFT(A234,6)&amp;"*",'Identificación genética'!A:C,2,FALSE),
               {"En proceso";"Finalizado"},0),
      "🔬 En proceso",
      "🎯 Finalizado"
   ),
"❌ NA")</f>
        <v>❌ NA</v>
      </c>
      <c r="E187" s="255" t="s">
        <v>85</v>
      </c>
      <c r="F187" s="50">
        <v>45958</v>
      </c>
      <c r="G187" t="str">
        <f>_xlfn.XLOOKUP(A187, Extraídas!A:A, Extraídas!G:G, "")</f>
        <v>Chlorophyceae</v>
      </c>
    </row>
    <row r="188" spans="1:7" x14ac:dyDescent="0.3">
      <c r="A188" s="633" t="s">
        <v>350</v>
      </c>
      <c r="B188" s="255" t="str">
        <f t="array" ref="B188">IFERROR(
   IF(INDEX([1]Extraídas!B:B,MATCH(LEFT($A188,6)&amp;"*",[1]Extraídas!A:A,0))="Extraídas",
      "✅ En proceso",
      IF(INDEX([1]Extraídas!B:B,MATCH(LEFT($A188,6)&amp;"*",[1]Extraídas!A:A,0))="Recibidas",
         "⏳ Pendiente","❌ No ingresada")),
   "❌ No ingresada"
)</f>
        <v>✅ En proceso</v>
      </c>
      <c r="C188" s="255" t="str">
        <f t="array" ref="C188">IFERROR(
   IF(INDEX([1]PCRs!B:B,MATCH(LEFT($A188,6)&amp;"*",[1]PCRs!A:A,0))="Positivo",
      "✅ Positivo",
      IF(INDEX([1]PCRs!B:B,MATCH(LEFT($A188,6)&amp;"*",[1]PCRs!A:A,0))="Negativo",
         "❌ Negativo",
         "⏳ No realizado")),
   "⏳ No realizado"
)</f>
        <v>⏳ No realizado</v>
      </c>
      <c r="D188" s="255" t="str">
        <f>IFERROR(
   CHOOSE(
      MATCH(VLOOKUP(LEFT(A235,6)&amp;"*",'Identificación genética'!A:C,2,FALSE),
               {"En proceso";"Finalizado"},0),
      "🔬 En proceso",
      "🎯 Finalizado"
   ),
"❌ NA")</f>
        <v>❌ NA</v>
      </c>
      <c r="E188" s="255" t="s">
        <v>85</v>
      </c>
      <c r="F188" s="32">
        <v>45958</v>
      </c>
      <c r="G188" t="str">
        <f>_xlfn.XLOOKUP(A188, Extraídas!A:A, Extraídas!G:G, "")</f>
        <v>Bacillariophyceae</v>
      </c>
    </row>
    <row r="189" spans="1:7" x14ac:dyDescent="0.3">
      <c r="A189" s="634" t="s">
        <v>351</v>
      </c>
      <c r="B189" s="255" t="str">
        <f t="array" ref="B189">IFERROR(
   IF(INDEX([1]Extraídas!B:B,MATCH(LEFT($A189,6)&amp;"*",[1]Extraídas!A:A,0))="Extraídas",
      "✅ En proceso",
      IF(INDEX([1]Extraídas!B:B,MATCH(LEFT($A189,6)&amp;"*",[1]Extraídas!A:A,0))="Recibidas",
         "⏳ Pendiente","❌ No ingresada")),
   "❌ No ingresada"
)</f>
        <v>✅ En proceso</v>
      </c>
      <c r="C189" s="255" t="str">
        <f t="array" ref="C189">IFERROR(
   IF(INDEX([1]PCRs!B:B,MATCH(LEFT($A189,6)&amp;"*",[1]PCRs!A:A,0))="Positivo",
      "✅ Positivo",
      IF(INDEX([1]PCRs!B:B,MATCH(LEFT($A189,6)&amp;"*",[1]PCRs!A:A,0))="Negativo",
         "❌ Negativo",
         "⏳ No realizado")),
   "⏳ No realizado"
)</f>
        <v>⏳ No realizado</v>
      </c>
      <c r="D189" s="255" t="str">
        <f>IFERROR(
   CHOOSE(
      MATCH(VLOOKUP(LEFT(A236,6)&amp;"*",'Identificación genética'!A:C,2,FALSE),
               {"En proceso";"Finalizado"},0),
      "🔬 En proceso",
      "🎯 Finalizado"
   ),
"❌ NA")</f>
        <v>❌ NA</v>
      </c>
      <c r="E189" s="255" t="s">
        <v>85</v>
      </c>
      <c r="F189" s="7">
        <v>45952</v>
      </c>
      <c r="G189" t="str">
        <f>_xlfn.XLOOKUP(A189, Extraídas!A:A, Extraídas!G:G, "")</f>
        <v>Bacillariophyceae</v>
      </c>
    </row>
    <row r="190" spans="1:7" x14ac:dyDescent="0.3">
      <c r="A190" s="634" t="s">
        <v>354</v>
      </c>
      <c r="B190" s="255" t="str">
        <f t="array" ref="B190">IFERROR(
   IF(INDEX([1]Extraídas!B:B,MATCH(LEFT($A190,6)&amp;"*",[1]Extraídas!A:A,0))="Extraídas",
      "✅ En proceso",
      IF(INDEX([1]Extraídas!B:B,MATCH(LEFT($A190,6)&amp;"*",[1]Extraídas!A:A,0))="Recibidas",
         "⏳ Pendiente","❌ No ingresada")),
   "❌ No ingresada"
)</f>
        <v>✅ En proceso</v>
      </c>
      <c r="C190" s="255" t="str">
        <f t="array" ref="C190">IFERROR(
   IF(INDEX([1]PCRs!B:B,MATCH(LEFT($A190,6)&amp;"*",[1]PCRs!A:A,0))="Positivo",
      "✅ Positivo",
      IF(INDEX([1]PCRs!B:B,MATCH(LEFT($A190,6)&amp;"*",[1]PCRs!A:A,0))="Negativo",
         "❌ Negativo",
         "⏳ No realizado")),
   "⏳ No realizado"
)</f>
        <v>⏳ No realizado</v>
      </c>
      <c r="D190" s="255" t="str">
        <f>IFERROR(
   CHOOSE(
      MATCH(VLOOKUP(LEFT(A237,6)&amp;"*",'Identificación genética'!A:C,2,FALSE),
               {"En proceso";"Finalizado"},0),
      "🔬 En proceso",
      "🎯 Finalizado"
   ),
"❌ NA")</f>
        <v>❌ NA</v>
      </c>
      <c r="E190" s="255" t="s">
        <v>85</v>
      </c>
      <c r="F190" s="50">
        <v>45975</v>
      </c>
      <c r="G190" t="str">
        <f>_xlfn.XLOOKUP(A190, Extraídas!A:A, Extraídas!G:G, "")</f>
        <v>Cyanobacteria</v>
      </c>
    </row>
    <row r="191" spans="1:7" x14ac:dyDescent="0.3">
      <c r="A191" s="628" t="s">
        <v>355</v>
      </c>
      <c r="B191" s="255" t="str">
        <f t="array" ref="B191">IFERROR(
   IF(INDEX([1]Extraídas!B:B,MATCH(LEFT($A191,6)&amp;"*",[1]Extraídas!A:A,0))="Extraídas",
      "✅ En proceso",
      IF(INDEX([1]Extraídas!B:B,MATCH(LEFT($A191,6)&amp;"*",[1]Extraídas!A:A,0))="Recibidas",
         "⏳ Pendiente","❌ No ingresada")),
   "❌ No ingresada"
)</f>
        <v>✅ En proceso</v>
      </c>
      <c r="C191" s="255" t="str">
        <f t="array" ref="C191">IFERROR(
   IF(INDEX([1]PCRs!B:B,MATCH(LEFT($A191,6)&amp;"*",[1]PCRs!A:A,0))="Positivo",
      "✅ Positivo",
      IF(INDEX([1]PCRs!B:B,MATCH(LEFT($A191,6)&amp;"*",[1]PCRs!A:A,0))="Negativo",
         "❌ Negativo",
         "⏳ No realizado")),
   "⏳ No realizado"
)</f>
        <v>⏳ No realizado</v>
      </c>
      <c r="D191" s="255" t="str">
        <f>IFERROR(
   CHOOSE(
      MATCH(VLOOKUP(LEFT(A238,6)&amp;"*",'Identificación genética'!A:C,2,FALSE),
               {"En proceso";"Finalizado"},0),
      "🔬 En proceso",
      "🎯 Finalizado"
   ),
"❌ NA")</f>
        <v>❌ NA</v>
      </c>
      <c r="E191" s="255" t="s">
        <v>85</v>
      </c>
      <c r="F191" s="50">
        <v>45958</v>
      </c>
      <c r="G191" t="str">
        <f>_xlfn.XLOOKUP(A191, Extraídas!A:A, Extraídas!G:G, "")</f>
        <v>Chlorophyceae</v>
      </c>
    </row>
    <row r="192" spans="1:7" x14ac:dyDescent="0.3">
      <c r="A192" s="629" t="s">
        <v>356</v>
      </c>
      <c r="B192" s="255" t="str">
        <f t="array" ref="B192">IFERROR(
   IF(INDEX([1]Extraídas!B:B,MATCH(LEFT($A192,6)&amp;"*",[1]Extraídas!A:A,0))="Extraídas",
      "✅ En proceso",
      IF(INDEX([1]Extraídas!B:B,MATCH(LEFT($A192,6)&amp;"*",[1]Extraídas!A:A,0))="Recibidas",
         "⏳ Pendiente","❌ No ingresada")),
   "❌ No ingresada"
)</f>
        <v>✅ En proceso</v>
      </c>
      <c r="C192" s="255" t="str">
        <f t="array" ref="C192">IFERROR(
   IF(INDEX([1]PCRs!B:B,MATCH(LEFT($A192,6)&amp;"*",[1]PCRs!A:A,0))="Positivo",
      "✅ Positivo",
      IF(INDEX([1]PCRs!B:B,MATCH(LEFT($A192,6)&amp;"*",[1]PCRs!A:A,0))="Negativo",
         "❌ Negativo",
         "⏳ No realizado")),
   "⏳ No realizado"
)</f>
        <v>⏳ No realizado</v>
      </c>
      <c r="D192" s="255" t="str">
        <f>IFERROR(
   CHOOSE(
      MATCH(VLOOKUP(LEFT(A239,6)&amp;"*",'Identificación genética'!A:C,2,FALSE),
               {"En proceso";"Finalizado"},0),
      "🔬 En proceso",
      "🎯 Finalizado"
   ),
"❌ NA")</f>
        <v>❌ NA</v>
      </c>
      <c r="E192" s="255" t="s">
        <v>85</v>
      </c>
      <c r="F192" s="32">
        <v>45979</v>
      </c>
      <c r="G192" t="str">
        <f>_xlfn.XLOOKUP(A192, Extraídas!A:A, Extraídas!G:G, "")</f>
        <v>Chlorophyceae</v>
      </c>
    </row>
    <row r="193" spans="1:7" x14ac:dyDescent="0.3">
      <c r="A193" s="628" t="s">
        <v>357</v>
      </c>
      <c r="B193" s="255" t="str">
        <f t="array" ref="B193">IFERROR(
   IF(INDEX([1]Extraídas!B:B,MATCH(LEFT($A193,6)&amp;"*",[1]Extraídas!A:A,0))="Extraídas",
      "✅ En proceso",
      IF(INDEX([1]Extraídas!B:B,MATCH(LEFT($A193,6)&amp;"*",[1]Extraídas!A:A,0))="Recibidas",
         "⏳ Pendiente","❌ No ingresada")),
   "❌ No ingresada"
)</f>
        <v>✅ En proceso</v>
      </c>
      <c r="C193" s="255" t="str">
        <f t="array" ref="C193">IFERROR(
   IF(INDEX([1]PCRs!B:B,MATCH(LEFT($A193,6)&amp;"*",[1]PCRs!A:A,0))="Positivo",
      "✅ Positivo",
      IF(INDEX([1]PCRs!B:B,MATCH(LEFT($A193,6)&amp;"*",[1]PCRs!A:A,0))="Negativo",
         "❌ Negativo",
         "⏳ No realizado")),
   "⏳ No realizado"
)</f>
        <v>⏳ No realizado</v>
      </c>
      <c r="D193" s="255" t="str">
        <f>IFERROR(
   CHOOSE(
      MATCH(VLOOKUP(LEFT(A240,6)&amp;"*",'Identificación genética'!A:C,2,FALSE),
               {"En proceso";"Finalizado"},0),
      "🔬 En proceso",
      "🎯 Finalizado"
   ),
"❌ NA")</f>
        <v>❌ NA</v>
      </c>
      <c r="E193" s="255" t="s">
        <v>85</v>
      </c>
      <c r="F193" s="54">
        <v>45968</v>
      </c>
      <c r="G193" t="str">
        <f>_xlfn.XLOOKUP(A193, Extraídas!A:A, Extraídas!G:G, "")</f>
        <v>Chlorophyceae</v>
      </c>
    </row>
    <row r="194" spans="1:7" x14ac:dyDescent="0.3">
      <c r="A194" s="629" t="s">
        <v>358</v>
      </c>
      <c r="B194" s="255" t="str">
        <f t="array" ref="B194">IFERROR(
   IF(INDEX([1]Extraídas!B:B,MATCH(LEFT($A194,6)&amp;"*",[1]Extraídas!A:A,0))="Extraídas",
      "✅ En proceso",
      IF(INDEX([1]Extraídas!B:B,MATCH(LEFT($A194,6)&amp;"*",[1]Extraídas!A:A,0))="Recibidas",
         "⏳ Pendiente","❌ No ingresada")),
   "❌ No ingresada"
)</f>
        <v>✅ En proceso</v>
      </c>
      <c r="C194" s="255" t="str">
        <f t="array" ref="C194">IFERROR(
   IF(INDEX([1]PCRs!B:B,MATCH(LEFT($A194,6)&amp;"*",[1]PCRs!A:A,0))="Positivo",
      "✅ Positivo",
      IF(INDEX([1]PCRs!B:B,MATCH(LEFT($A194,6)&amp;"*",[1]PCRs!A:A,0))="Negativo",
         "❌ Negativo",
         "⏳ No realizado")),
   "⏳ No realizado"
)</f>
        <v>⏳ No realizado</v>
      </c>
      <c r="D194" s="255" t="str">
        <f>IFERROR(
   CHOOSE(
      MATCH(VLOOKUP(LEFT(A241,6)&amp;"*",'Identificación genética'!A:C,2,FALSE),
               {"En proceso";"Finalizado"},0),
      "🔬 En proceso",
      "🎯 Finalizado"
   ),
"❌ NA")</f>
        <v>❌ NA</v>
      </c>
      <c r="E194" s="255" t="s">
        <v>85</v>
      </c>
      <c r="F194" s="53">
        <v>45958</v>
      </c>
      <c r="G194" t="str">
        <f>_xlfn.XLOOKUP(A194, Extraídas!A:A, Extraídas!G:G, "")</f>
        <v>Chlorophyceae</v>
      </c>
    </row>
    <row r="195" spans="1:7" x14ac:dyDescent="0.3">
      <c r="A195" s="629" t="s">
        <v>359</v>
      </c>
      <c r="B195" s="255" t="str">
        <f t="array" ref="B195">IFERROR(
   IF(INDEX([1]Extraídas!B:B,MATCH(LEFT($A195,6)&amp;"*",[1]Extraídas!A:A,0))="Extraídas",
      "✅ En proceso",
      IF(INDEX([1]Extraídas!B:B,MATCH(LEFT($A195,6)&amp;"*",[1]Extraídas!A:A,0))="Recibidas",
         "⏳ Pendiente","❌ No ingresada")),
   "❌ No ingresada"
)</f>
        <v>✅ En proceso</v>
      </c>
      <c r="C195" s="255" t="str">
        <f t="array" ref="C195">IFERROR(
   IF(INDEX([1]PCRs!B:B,MATCH(LEFT($A195,6)&amp;"*",[1]PCRs!A:A,0))="Positivo",
      "✅ Positivo",
      IF(INDEX([1]PCRs!B:B,MATCH(LEFT($A195,6)&amp;"*",[1]PCRs!A:A,0))="Negativo",
         "❌ Negativo",
         "⏳ No realizado")),
   "⏳ No realizado"
)</f>
        <v>⏳ No realizado</v>
      </c>
      <c r="D195" s="255" t="str">
        <f>IFERROR(
   CHOOSE(
      MATCH(VLOOKUP(LEFT(A242,6)&amp;"*",'Identificación genética'!A:C,2,FALSE),
               {"En proceso";"Finalizado"},0),
      "🔬 En proceso",
      "🎯 Finalizado"
   ),
"❌ NA")</f>
        <v>❌ NA</v>
      </c>
      <c r="E195" s="255" t="s">
        <v>85</v>
      </c>
      <c r="F195" s="53">
        <v>46000</v>
      </c>
      <c r="G195" t="str">
        <f>_xlfn.XLOOKUP(A195, Extraídas!A:A, Extraídas!G:G, "")</f>
        <v>Bangiophyceae</v>
      </c>
    </row>
    <row r="196" spans="1:7" x14ac:dyDescent="0.3">
      <c r="A196" s="628" t="s">
        <v>362</v>
      </c>
      <c r="B196" s="255" t="str">
        <f t="array" ref="B196">IFERROR(
   IF(INDEX([1]Extraídas!B:B,MATCH(LEFT($A196,6)&amp;"*",[1]Extraídas!A:A,0))="Extraídas",
      "✅ En proceso",
      IF(INDEX([1]Extraídas!B:B,MATCH(LEFT($A196,6)&amp;"*",[1]Extraídas!A:A,0))="Recibidas",
         "⏳ Pendiente","❌ No ingresada")),
   "❌ No ingresada"
)</f>
        <v>✅ En proceso</v>
      </c>
      <c r="C196" s="255" t="str">
        <f t="array" ref="C196">IFERROR(
   IF(INDEX([1]PCRs!B:B,MATCH(LEFT($A196,6)&amp;"*",[1]PCRs!A:A,0))="Positivo",
      "✅ Positivo",
      IF(INDEX([1]PCRs!B:B,MATCH(LEFT($A196,6)&amp;"*",[1]PCRs!A:A,0))="Negativo",
         "❌ Negativo",
         "⏳ No realizado")),
   "⏳ No realizado"
)</f>
        <v>⏳ No realizado</v>
      </c>
      <c r="D196" s="255" t="str">
        <f>IFERROR(
   CHOOSE(
      MATCH(VLOOKUP(LEFT(A243,6)&amp;"*",'Identificación genética'!A:C,2,FALSE),
               {"En proceso";"Finalizado"},0),
      "🔬 En proceso",
      "🎯 Finalizado"
   ),
"❌ NA")</f>
        <v>❌ NA</v>
      </c>
      <c r="E196" s="255" t="s">
        <v>85</v>
      </c>
      <c r="F196" s="55">
        <v>45979</v>
      </c>
      <c r="G196" t="str">
        <f>_xlfn.XLOOKUP(A196, Extraídas!A:A, Extraídas!G:G, "")</f>
        <v>Chlorophyceae</v>
      </c>
    </row>
    <row r="197" spans="1:7" x14ac:dyDescent="0.3">
      <c r="A197" s="629" t="s">
        <v>363</v>
      </c>
      <c r="B197" s="255" t="str">
        <f t="array" ref="B197">IFERROR(
   IF(INDEX([1]Extraídas!B:B,MATCH(LEFT($A197,6)&amp;"*",[1]Extraídas!A:A,0))="Extraídas",
      "✅ En proceso",
      IF(INDEX([1]Extraídas!B:B,MATCH(LEFT($A197,6)&amp;"*",[1]Extraídas!A:A,0))="Recibidas",
         "⏳ Pendiente","❌ No ingresada")),
   "❌ No ingresada"
)</f>
        <v>✅ En proceso</v>
      </c>
      <c r="C197" s="255" t="str">
        <f t="array" ref="C197">IFERROR(
   IF(INDEX([1]PCRs!B:B,MATCH(LEFT($A197,6)&amp;"*",[1]PCRs!A:A,0))="Positivo",
      "✅ Positivo",
      IF(INDEX([1]PCRs!B:B,MATCH(LEFT($A197,6)&amp;"*",[1]PCRs!A:A,0))="Negativo",
         "❌ Negativo",
         "⏳ No realizado")),
   "⏳ No realizado"
)</f>
        <v>⏳ No realizado</v>
      </c>
      <c r="D197" s="255" t="str">
        <f>IFERROR(
   CHOOSE(
      MATCH(VLOOKUP(LEFT(A244,6)&amp;"*",'Identificación genética'!A:C,2,FALSE),
               {"En proceso";"Finalizado"},0),
      "🔬 En proceso",
      "🎯 Finalizado"
   ),
"❌ NA")</f>
        <v>❌ NA</v>
      </c>
      <c r="E197" s="255" t="s">
        <v>85</v>
      </c>
      <c r="F197" s="53">
        <v>45979</v>
      </c>
      <c r="G197" t="str">
        <f>_xlfn.XLOOKUP(A197, Extraídas!A:A, Extraídas!G:G, "")</f>
        <v>Chlorophyceae</v>
      </c>
    </row>
    <row r="198" spans="1:7" x14ac:dyDescent="0.3">
      <c r="A198" s="628" t="s">
        <v>364</v>
      </c>
      <c r="B198" s="255" t="str">
        <f t="array" ref="B198">IFERROR(
   IF(INDEX([1]Extraídas!B:B,MATCH(LEFT($A198,6)&amp;"*",[1]Extraídas!A:A,0))="Extraídas",
      "✅ En proceso",
      IF(INDEX([1]Extraídas!B:B,MATCH(LEFT($A198,6)&amp;"*",[1]Extraídas!A:A,0))="Recibidas",
         "⏳ Pendiente","❌ No ingresada")),
   "❌ No ingresada"
)</f>
        <v>✅ En proceso</v>
      </c>
      <c r="C198" s="255" t="str">
        <f t="array" ref="C198">IFERROR(
   IF(INDEX([1]PCRs!B:B,MATCH(LEFT($A198,6)&amp;"*",[1]PCRs!A:A,0))="Positivo",
      "✅ Positivo",
      IF(INDEX([1]PCRs!B:B,MATCH(LEFT($A198,6)&amp;"*",[1]PCRs!A:A,0))="Negativo",
         "❌ Negativo",
         "⏳ No realizado")),
   "⏳ No realizado"
)</f>
        <v>⏳ No realizado</v>
      </c>
      <c r="D198" s="255" t="str">
        <f>IFERROR(
   CHOOSE(
      MATCH(VLOOKUP(LEFT(A245,6)&amp;"*",'Identificación genética'!A:C,2,FALSE),
               {"En proceso";"Finalizado"},0),
      "🔬 En proceso",
      "🎯 Finalizado"
   ),
"❌ NA")</f>
        <v>❌ NA</v>
      </c>
      <c r="E198" s="255" t="s">
        <v>85</v>
      </c>
      <c r="F198" s="55">
        <v>45979</v>
      </c>
      <c r="G198" t="str">
        <f>_xlfn.XLOOKUP(A198, Extraídas!A:A, Extraídas!G:G, "")</f>
        <v>Chlorophyceae</v>
      </c>
    </row>
    <row r="199" spans="1:7" x14ac:dyDescent="0.3">
      <c r="A199" s="628" t="s">
        <v>365</v>
      </c>
      <c r="B199" s="255" t="str">
        <f t="array" ref="B199">IFERROR(
   IF(INDEX([1]Extraídas!B:B,MATCH(LEFT($A199,6)&amp;"*",[1]Extraídas!A:A,0))="Extraídas",
      "✅ En proceso",
      IF(INDEX([1]Extraídas!B:B,MATCH(LEFT($A199,6)&amp;"*",[1]Extraídas!A:A,0))="Recibidas",
         "⏳ Pendiente","❌ No ingresada")),
   "❌ No ingresada"
)</f>
        <v>✅ En proceso</v>
      </c>
      <c r="C199" s="255" t="str">
        <f t="array" ref="C199">IFERROR(
   IF(INDEX([1]PCRs!B:B,MATCH(LEFT($A199,6)&amp;"*",[1]PCRs!A:A,0))="Positivo",
      "✅ Positivo",
      IF(INDEX([1]PCRs!B:B,MATCH(LEFT($A199,6)&amp;"*",[1]PCRs!A:A,0))="Negativo",
         "❌ Negativo",
         "⏳ No realizado")),
   "⏳ No realizado"
)</f>
        <v>⏳ No realizado</v>
      </c>
      <c r="D199" s="255" t="str">
        <f>IFERROR(
   CHOOSE(
      MATCH(VLOOKUP(LEFT(A246,6)&amp;"*",'Identificación genética'!A:C,2,FALSE),
               {"En proceso";"Finalizado"},0),
      "🔬 En proceso",
      "🎯 Finalizado"
   ),
"❌ NA")</f>
        <v>❌ NA</v>
      </c>
      <c r="E199" s="255" t="s">
        <v>85</v>
      </c>
      <c r="F199" s="55">
        <v>45958</v>
      </c>
      <c r="G199" t="str">
        <f>_xlfn.XLOOKUP(A199, Extraídas!A:A, Extraídas!G:G, "")</f>
        <v>Chlorophyceae</v>
      </c>
    </row>
    <row r="200" spans="1:7" x14ac:dyDescent="0.3">
      <c r="A200" s="629" t="s">
        <v>366</v>
      </c>
      <c r="B200" s="255" t="str">
        <f t="array" ref="B200">IFERROR(
   IF(INDEX([1]Extraídas!B:B,MATCH(LEFT($A200,6)&amp;"*",[1]Extraídas!A:A,0))="Extraídas",
      "✅ En proceso",
      IF(INDEX([1]Extraídas!B:B,MATCH(LEFT($A200,6)&amp;"*",[1]Extraídas!A:A,0))="Recibidas",
         "⏳ Pendiente","❌ No ingresada")),
   "❌ No ingresada"
)</f>
        <v>✅ En proceso</v>
      </c>
      <c r="C200" s="255" t="str">
        <f t="array" ref="C200">IFERROR(
   IF(INDEX([1]PCRs!B:B,MATCH(LEFT($A200,6)&amp;"*",[1]PCRs!A:A,0))="Positivo",
      "✅ Positivo",
      IF(INDEX([1]PCRs!B:B,MATCH(LEFT($A200,6)&amp;"*",[1]PCRs!A:A,0))="Negativo",
         "❌ Negativo",
         "⏳ No realizado")),
   "⏳ No realizado"
)</f>
        <v>⏳ No realizado</v>
      </c>
      <c r="D200" s="255" t="str">
        <f>IFERROR(
   CHOOSE(
      MATCH(VLOOKUP(LEFT(A247,6)&amp;"*",'Identificación genética'!A:C,2,FALSE),
               {"En proceso";"Finalizado"},0),
      "🔬 En proceso",
      "🎯 Finalizado"
   ),
"❌ NA")</f>
        <v>❌ NA</v>
      </c>
      <c r="E200" s="255" t="s">
        <v>85</v>
      </c>
      <c r="F200" s="53">
        <v>45958</v>
      </c>
      <c r="G200" t="str">
        <f>_xlfn.XLOOKUP(A200, Extraídas!A:A, Extraídas!G:G, "")</f>
        <v>Chlorophyceae</v>
      </c>
    </row>
    <row r="201" spans="1:7" x14ac:dyDescent="0.3">
      <c r="A201" s="628" t="s">
        <v>367</v>
      </c>
      <c r="B201" s="255" t="str">
        <f t="array" ref="B201">IFERROR(
   IF(INDEX([1]Extraídas!B:B,MATCH(LEFT($A201,6)&amp;"*",[1]Extraídas!A:A,0))="Extraídas",
      "✅ En proceso",
      IF(INDEX([1]Extraídas!B:B,MATCH(LEFT($A201,6)&amp;"*",[1]Extraídas!A:A,0))="Recibidas",
         "⏳ Pendiente","❌ No ingresada")),
   "❌ No ingresada"
)</f>
        <v>✅ En proceso</v>
      </c>
      <c r="C201" s="255" t="str">
        <f t="array" ref="C201">IFERROR(
   IF(INDEX([1]PCRs!B:B,MATCH(LEFT($A201,6)&amp;"*",[1]PCRs!A:A,0))="Positivo",
      "✅ Positivo",
      IF(INDEX([1]PCRs!B:B,MATCH(LEFT($A201,6)&amp;"*",[1]PCRs!A:A,0))="Negativo",
         "❌ Negativo",
         "⏳ No realizado")),
   "⏳ No realizado"
)</f>
        <v>⏳ No realizado</v>
      </c>
      <c r="D201" s="255" t="str">
        <f>IFERROR(
   CHOOSE(
      MATCH(VLOOKUP(LEFT(A248,6)&amp;"*",'Identificación genética'!A:C,2,FALSE),
               {"En proceso";"Finalizado"},0),
      "🔬 En proceso",
      "🎯 Finalizado"
   ),
"❌ NA")</f>
        <v>❌ NA</v>
      </c>
      <c r="E201" s="255" t="s">
        <v>85</v>
      </c>
      <c r="F201" s="55">
        <v>46000</v>
      </c>
      <c r="G201" t="str">
        <f>_xlfn.XLOOKUP(A201, Extraídas!A:A, Extraídas!G:G, "")</f>
        <v>Cianobacterias</v>
      </c>
    </row>
    <row r="202" spans="1:7" x14ac:dyDescent="0.3">
      <c r="A202" s="628" t="s">
        <v>368</v>
      </c>
      <c r="B202" s="255" t="str">
        <f t="array" ref="B202">IFERROR(
   IF(INDEX([1]Extraídas!B:B,MATCH(LEFT($A202,6)&amp;"*",[1]Extraídas!A:A,0))="Extraídas",
      "✅ En proceso",
      IF(INDEX([1]Extraídas!B:B,MATCH(LEFT($A202,6)&amp;"*",[1]Extraídas!A:A,0))="Recibidas",
         "⏳ Pendiente","❌ No ingresada")),
   "❌ No ingresada"
)</f>
        <v>✅ En proceso</v>
      </c>
      <c r="C202" s="255" t="str">
        <f t="array" ref="C202">IFERROR(
   IF(INDEX([1]PCRs!B:B,MATCH(LEFT($A202,6)&amp;"*",[1]PCRs!A:A,0))="Positivo",
      "✅ Positivo",
      IF(INDEX([1]PCRs!B:B,MATCH(LEFT($A202,6)&amp;"*",[1]PCRs!A:A,0))="Negativo",
         "❌ Negativo",
         "⏳ No realizado")),
   "⏳ No realizado"
)</f>
        <v>⏳ No realizado</v>
      </c>
      <c r="D202" s="255" t="str">
        <f>IFERROR(
   CHOOSE(
      MATCH(VLOOKUP(LEFT(A249,6)&amp;"*",'Identificación genética'!A:C,2,FALSE),
               {"En proceso";"Finalizado"},0),
      "🔬 En proceso",
      "🎯 Finalizado"
   ),
"❌ NA")</f>
        <v>❌ NA</v>
      </c>
      <c r="E202" s="255" t="s">
        <v>85</v>
      </c>
      <c r="F202" s="55">
        <v>45958</v>
      </c>
      <c r="G202" t="str">
        <f>_xlfn.XLOOKUP(A202, Extraídas!A:A, Extraídas!G:G, "")</f>
        <v>Chlorophyceae</v>
      </c>
    </row>
    <row r="203" spans="1:7" x14ac:dyDescent="0.3">
      <c r="A203" s="629" t="s">
        <v>369</v>
      </c>
      <c r="B203" s="255" t="str">
        <f t="array" ref="B203">IFERROR(
   IF(INDEX([1]Extraídas!B:B,MATCH(LEFT($A203,6)&amp;"*",[1]Extraídas!A:A,0))="Extraídas",
      "✅ En proceso",
      IF(INDEX([1]Extraídas!B:B,MATCH(LEFT($A203,6)&amp;"*",[1]Extraídas!A:A,0))="Recibidas",
         "⏳ Pendiente","❌ No ingresada")),
   "❌ No ingresada"
)</f>
        <v>✅ En proceso</v>
      </c>
      <c r="C203" s="255" t="str">
        <f t="array" ref="C203">IFERROR(
   IF(INDEX([1]PCRs!B:B,MATCH(LEFT($A203,6)&amp;"*",[1]PCRs!A:A,0))="Positivo",
      "✅ Positivo",
      IF(INDEX([1]PCRs!B:B,MATCH(LEFT($A203,6)&amp;"*",[1]PCRs!A:A,0))="Negativo",
         "❌ Negativo",
         "⏳ No realizado")),
   "⏳ No realizado"
)</f>
        <v>⏳ No realizado</v>
      </c>
      <c r="D203" s="255" t="str">
        <f>IFERROR(
   CHOOSE(
      MATCH(VLOOKUP(LEFT(A250,6)&amp;"*",'Identificación genética'!A:C,2,FALSE),
               {"En proceso";"Finalizado"},0),
      "🔬 En proceso",
      "🎯 Finalizado"
   ),
"❌ NA")</f>
        <v>❌ NA</v>
      </c>
      <c r="E203" s="255" t="s">
        <v>85</v>
      </c>
      <c r="F203" s="54">
        <v>45952</v>
      </c>
      <c r="G203" t="str">
        <f>_xlfn.XLOOKUP(A203, Extraídas!A:A, Extraídas!G:G, "")</f>
        <v>Chlorophyceae</v>
      </c>
    </row>
    <row r="204" spans="1:7" x14ac:dyDescent="0.3">
      <c r="A204" s="628" t="s">
        <v>370</v>
      </c>
      <c r="B204" s="255" t="str">
        <f t="array" ref="B204">IFERROR(
   IF(INDEX([1]Extraídas!B:B,MATCH(LEFT($A204,6)&amp;"*",[1]Extraídas!A:A,0))="Extraídas",
      "✅ En proceso",
      IF(INDEX([1]Extraídas!B:B,MATCH(LEFT($A204,6)&amp;"*",[1]Extraídas!A:A,0))="Recibidas",
         "⏳ Pendiente","❌ No ingresada")),
   "❌ No ingresada"
)</f>
        <v>✅ En proceso</v>
      </c>
      <c r="C204" s="255" t="str">
        <f t="array" ref="C204">IFERROR(
   IF(INDEX([1]PCRs!B:B,MATCH(LEFT($A204,6)&amp;"*",[1]PCRs!A:A,0))="Positivo",
      "✅ Positivo",
      IF(INDEX([1]PCRs!B:B,MATCH(LEFT($A204,6)&amp;"*",[1]PCRs!A:A,0))="Negativo",
         "❌ Negativo",
         "⏳ No realizado")),
   "⏳ No realizado"
)</f>
        <v>⏳ No realizado</v>
      </c>
      <c r="D204" s="255" t="str">
        <f>IFERROR(
   CHOOSE(
      MATCH(VLOOKUP(LEFT(A251,6)&amp;"*",'Identificación genética'!A:C,2,FALSE),
               {"En proceso";"Finalizado"},0),
      "🔬 En proceso",
      "🎯 Finalizado"
   ),
"❌ NA")</f>
        <v>❌ NA</v>
      </c>
      <c r="E204" s="255" t="s">
        <v>85</v>
      </c>
      <c r="F204" s="54">
        <v>45952</v>
      </c>
      <c r="G204" t="str">
        <f>_xlfn.XLOOKUP(A204, Extraídas!A:A, Extraídas!G:G, "")</f>
        <v>Chlorophyceae</v>
      </c>
    </row>
    <row r="205" spans="1:7" x14ac:dyDescent="0.3">
      <c r="A205" s="629" t="s">
        <v>371</v>
      </c>
      <c r="B205" s="255" t="str">
        <f t="array" ref="B205">IFERROR(
   IF(INDEX([1]Extraídas!B:B,MATCH(LEFT($A205,6)&amp;"*",[1]Extraídas!A:A,0))="Extraídas",
      "✅ En proceso",
      IF(INDEX([1]Extraídas!B:B,MATCH(LEFT($A205,6)&amp;"*",[1]Extraídas!A:A,0))="Recibidas",
         "⏳ Pendiente","❌ No ingresada")),
   "❌ No ingresada"
)</f>
        <v>✅ En proceso</v>
      </c>
      <c r="C205" s="255" t="str">
        <f t="array" ref="C205">IFERROR(
   IF(INDEX([1]PCRs!B:B,MATCH(LEFT($A205,6)&amp;"*",[1]PCRs!A:A,0))="Positivo",
      "✅ Positivo",
      IF(INDEX([1]PCRs!B:B,MATCH(LEFT($A205,6)&amp;"*",[1]PCRs!A:A,0))="Negativo",
         "❌ Negativo",
         "⏳ No realizado")),
   "⏳ No realizado"
)</f>
        <v>⏳ No realizado</v>
      </c>
      <c r="D205" s="255" t="str">
        <f>IFERROR(
   CHOOSE(
      MATCH(VLOOKUP(LEFT(A252,6)&amp;"*",'Identificación genética'!A:C,2,FALSE),
               {"En proceso";"Finalizado"},0),
      "🔬 En proceso",
      "🎯 Finalizado"
   ),
"❌ NA")</f>
        <v>❌ NA</v>
      </c>
      <c r="E205" s="255" t="s">
        <v>85</v>
      </c>
      <c r="F205" s="54">
        <v>45952</v>
      </c>
      <c r="G205" t="str">
        <f>_xlfn.XLOOKUP(A205, Extraídas!A:A, Extraídas!G:G, "")</f>
        <v>Trebouxiophyceae</v>
      </c>
    </row>
    <row r="206" spans="1:7" x14ac:dyDescent="0.3">
      <c r="A206" s="628" t="s">
        <v>372</v>
      </c>
      <c r="B206" s="255" t="str">
        <f t="array" ref="B206">IFERROR(
   IF(INDEX([1]Extraídas!B:B,MATCH(LEFT($A206,6)&amp;"*",[1]Extraídas!A:A,0))="Extraídas",
      "✅ En proceso",
      IF(INDEX([1]Extraídas!B:B,MATCH(LEFT($A206,6)&amp;"*",[1]Extraídas!A:A,0))="Recibidas",
         "⏳ Pendiente","❌ No ingresada")),
   "❌ No ingresada"
)</f>
        <v>✅ En proceso</v>
      </c>
      <c r="C206" s="255" t="str">
        <f t="array" ref="C206">IFERROR(
   IF(INDEX([1]PCRs!B:B,MATCH(LEFT($A206,6)&amp;"*",[1]PCRs!A:A,0))="Positivo",
      "✅ Positivo",
      IF(INDEX([1]PCRs!B:B,MATCH(LEFT($A206,6)&amp;"*",[1]PCRs!A:A,0))="Negativo",
         "❌ Negativo",
         "⏳ No realizado")),
   "⏳ No realizado"
)</f>
        <v>⏳ No realizado</v>
      </c>
      <c r="D206" s="255" t="str">
        <f>IFERROR(
   CHOOSE(
      MATCH(VLOOKUP(LEFT(A253,6)&amp;"*",'Identificación genética'!A:C,2,FALSE),
               {"En proceso";"Finalizado"},0),
      "🔬 En proceso",
      "🎯 Finalizado"
   ),
"❌ NA")</f>
        <v>❌ NA</v>
      </c>
      <c r="E206" s="255" t="s">
        <v>85</v>
      </c>
      <c r="F206" s="54">
        <v>45952</v>
      </c>
      <c r="G206" t="str">
        <f>_xlfn.XLOOKUP(A206, Extraídas!A:A, Extraídas!G:G, "")</f>
        <v>Trebouxiophyceae</v>
      </c>
    </row>
    <row r="207" spans="1:7" x14ac:dyDescent="0.3">
      <c r="A207" s="629" t="s">
        <v>373</v>
      </c>
      <c r="B207" s="255" t="str">
        <f t="array" ref="B207">IFERROR(
   IF(INDEX([1]Extraídas!B:B,MATCH(LEFT($A207,6)&amp;"*",[1]Extraídas!A:A,0))="Extraídas",
      "✅ En proceso",
      IF(INDEX([1]Extraídas!B:B,MATCH(LEFT($A207,6)&amp;"*",[1]Extraídas!A:A,0))="Recibidas",
         "⏳ Pendiente","❌ No ingresada")),
   "❌ No ingresada"
)</f>
        <v>✅ En proceso</v>
      </c>
      <c r="C207" s="255" t="str">
        <f t="array" ref="C207">IFERROR(
   IF(INDEX([1]PCRs!B:B,MATCH(LEFT($A207,6)&amp;"*",[1]PCRs!A:A,0))="Positivo",
      "✅ Positivo",
      IF(INDEX([1]PCRs!B:B,MATCH(LEFT($A207,6)&amp;"*",[1]PCRs!A:A,0))="Negativo",
         "❌ Negativo",
         "⏳ No realizado")),
   "⏳ No realizado"
)</f>
        <v>⏳ No realizado</v>
      </c>
      <c r="D207" s="255" t="str">
        <f>IFERROR(
   CHOOSE(
      MATCH(VLOOKUP(LEFT(A254,6)&amp;"*",'Identificación genética'!A:C,2,FALSE),
               {"En proceso";"Finalizado"},0),
      "🔬 En proceso",
      "🎯 Finalizado"
   ),
"❌ NA")</f>
        <v>❌ NA</v>
      </c>
      <c r="E207" s="255" t="s">
        <v>85</v>
      </c>
      <c r="F207" s="53">
        <v>45971</v>
      </c>
      <c r="G207" t="str">
        <f>_xlfn.XLOOKUP(A207, Extraídas!A:A, Extraídas!G:G, "")</f>
        <v>Chlorophyceae</v>
      </c>
    </row>
    <row r="208" spans="1:7" x14ac:dyDescent="0.3">
      <c r="A208" s="629" t="s">
        <v>374</v>
      </c>
      <c r="B208" s="255" t="str">
        <f t="array" ref="B208">IFERROR(
   IF(INDEX([1]Extraídas!B:B,MATCH(LEFT($A208,6)&amp;"*",[1]Extraídas!A:A,0))="Extraídas",
      "✅ En proceso",
      IF(INDEX([1]Extraídas!B:B,MATCH(LEFT($A208,6)&amp;"*",[1]Extraídas!A:A,0))="Recibidas",
         "⏳ Pendiente","❌ No ingresada")),
   "❌ No ingresada"
)</f>
        <v>✅ En proceso</v>
      </c>
      <c r="C208" s="255" t="str">
        <f t="array" ref="C208">IFERROR(
   IF(INDEX([1]PCRs!B:B,MATCH(LEFT($A208,6)&amp;"*",[1]PCRs!A:A,0))="Positivo",
      "✅ Positivo",
      IF(INDEX([1]PCRs!B:B,MATCH(LEFT($A208,6)&amp;"*",[1]PCRs!A:A,0))="Negativo",
         "❌ Negativo",
         "⏳ No realizado")),
   "⏳ No realizado"
)</f>
        <v>⏳ No realizado</v>
      </c>
      <c r="D208" s="255" t="str">
        <f>IFERROR(
   CHOOSE(
      MATCH(VLOOKUP(LEFT(A255,6)&amp;"*",'Identificación genética'!A:C,2,FALSE),
               {"En proceso";"Finalizado"},0),
      "🔬 En proceso",
      "🎯 Finalizado"
   ),
"❌ NA")</f>
        <v>❌ NA</v>
      </c>
      <c r="E208" s="255" t="s">
        <v>85</v>
      </c>
      <c r="F208" s="53">
        <v>45986</v>
      </c>
      <c r="G208" t="str">
        <f>_xlfn.XLOOKUP(A208, Extraídas!A:A, Extraídas!G:G, "")</f>
        <v>Chlorophyceae</v>
      </c>
    </row>
    <row r="209" spans="1:7" x14ac:dyDescent="0.3">
      <c r="A209" s="628" t="s">
        <v>375</v>
      </c>
      <c r="B209" s="255" t="str">
        <f t="array" ref="B209">IFERROR(
   IF(INDEX([1]Extraídas!B:B,MATCH(LEFT($A209,6)&amp;"*",[1]Extraídas!A:A,0))="Extraídas",
      "✅ En proceso",
      IF(INDEX([1]Extraídas!B:B,MATCH(LEFT($A209,6)&amp;"*",[1]Extraídas!A:A,0))="Recibidas",
         "⏳ Pendiente","❌ No ingresada")),
   "❌ No ingresada"
)</f>
        <v>✅ En proceso</v>
      </c>
      <c r="C209" s="255" t="str">
        <f t="array" ref="C209">IFERROR(
   IF(INDEX([1]PCRs!B:B,MATCH(LEFT($A209,6)&amp;"*",[1]PCRs!A:A,0))="Positivo",
      "✅ Positivo",
      IF(INDEX([1]PCRs!B:B,MATCH(LEFT($A209,6)&amp;"*",[1]PCRs!A:A,0))="Negativo",
         "❌ Negativo",
         "⏳ No realizado")),
   "⏳ No realizado"
)</f>
        <v>⏳ No realizado</v>
      </c>
      <c r="D209" s="255" t="str">
        <f>IFERROR(
   CHOOSE(
      MATCH(VLOOKUP(LEFT(A256,6)&amp;"*",'Identificación genética'!A:C,2,FALSE),
               {"En proceso";"Finalizado"},0),
      "🔬 En proceso",
      "🎯 Finalizado"
   ),
"❌ NA")</f>
        <v>❌ NA</v>
      </c>
      <c r="E209" s="255" t="s">
        <v>85</v>
      </c>
      <c r="F209" s="55">
        <v>45971</v>
      </c>
      <c r="G209" t="str">
        <f>_xlfn.XLOOKUP(A209, Extraídas!A:A, Extraídas!G:G, "")</f>
        <v>Chlorophyceae</v>
      </c>
    </row>
    <row r="210" spans="1:7" x14ac:dyDescent="0.3">
      <c r="A210" s="629" t="s">
        <v>376</v>
      </c>
      <c r="B210" s="255" t="str">
        <f t="array" ref="B210">IFERROR(
   IF(INDEX([1]Extraídas!B:B,MATCH(LEFT($A210,6)&amp;"*",[1]Extraídas!A:A,0))="Extraídas",
      "✅ En proceso",
      IF(INDEX([1]Extraídas!B:B,MATCH(LEFT($A210,6)&amp;"*",[1]Extraídas!A:A,0))="Recibidas",
         "⏳ Pendiente","❌ No ingresada")),
   "❌ No ingresada"
)</f>
        <v>✅ En proceso</v>
      </c>
      <c r="C210" s="255" t="str">
        <f t="array" ref="C210">IFERROR(
   IF(INDEX([1]PCRs!B:B,MATCH(LEFT($A210,6)&amp;"*",[1]PCRs!A:A,0))="Positivo",
      "✅ Positivo",
      IF(INDEX([1]PCRs!B:B,MATCH(LEFT($A210,6)&amp;"*",[1]PCRs!A:A,0))="Negativo",
         "❌ Negativo",
         "⏳ No realizado")),
   "⏳ No realizado"
)</f>
        <v>⏳ No realizado</v>
      </c>
      <c r="D210" s="255" t="str">
        <f>IFERROR(
   CHOOSE(
      MATCH(VLOOKUP(LEFT(A257,6)&amp;"*",'Identificación genética'!A:C,2,FALSE),
               {"En proceso";"Finalizado"},0),
      "🔬 En proceso",
      "🎯 Finalizado"
   ),
"❌ NA")</f>
        <v>❌ NA</v>
      </c>
      <c r="E210" s="255" t="s">
        <v>85</v>
      </c>
      <c r="F210" s="53">
        <v>45971</v>
      </c>
      <c r="G210" t="str">
        <f>_xlfn.XLOOKUP(A210, Extraídas!A:A, Extraídas!G:G, "")</f>
        <v>Trebouxiophyceae</v>
      </c>
    </row>
    <row r="211" spans="1:7" x14ac:dyDescent="0.3">
      <c r="A211" s="628" t="s">
        <v>377</v>
      </c>
      <c r="B211" s="255" t="str">
        <f t="array" ref="B211">IFERROR(
   IF(INDEX([1]Extraídas!B:B,MATCH(LEFT($A211,6)&amp;"*",[1]Extraídas!A:A,0))="Extraídas",
      "✅ En proceso",
      IF(INDEX([1]Extraídas!B:B,MATCH(LEFT($A211,6)&amp;"*",[1]Extraídas!A:A,0))="Recibidas",
         "⏳ Pendiente","❌ No ingresada")),
   "❌ No ingresada"
)</f>
        <v>✅ En proceso</v>
      </c>
      <c r="C211" s="255" t="str">
        <f t="array" ref="C211">IFERROR(
   IF(INDEX([1]PCRs!B:B,MATCH(LEFT($A211,6)&amp;"*",[1]PCRs!A:A,0))="Positivo",
      "✅ Positivo",
      IF(INDEX([1]PCRs!B:B,MATCH(LEFT($A211,6)&amp;"*",[1]PCRs!A:A,0))="Negativo",
         "❌ Negativo",
         "⏳ No realizado")),
   "⏳ No realizado"
)</f>
        <v>⏳ No realizado</v>
      </c>
      <c r="D211" s="255" t="str">
        <f>IFERROR(
   CHOOSE(
      MATCH(VLOOKUP(LEFT(A258,6)&amp;"*",'Identificación genética'!A:C,2,FALSE),
               {"En proceso";"Finalizado"},0),
      "🔬 En proceso",
      "🎯 Finalizado"
   ),
"❌ NA")</f>
        <v>❌ NA</v>
      </c>
      <c r="E211" s="255" t="s">
        <v>85</v>
      </c>
      <c r="F211" s="55">
        <v>45971</v>
      </c>
      <c r="G211" t="str">
        <f>_xlfn.XLOOKUP(A211, Extraídas!A:A, Extraídas!G:G, "")</f>
        <v>Chlorophyceae</v>
      </c>
    </row>
    <row r="212" spans="1:7" x14ac:dyDescent="0.3">
      <c r="A212" s="629" t="s">
        <v>378</v>
      </c>
      <c r="B212" s="255" t="str">
        <f t="array" ref="B212">IFERROR(
   IF(INDEX([1]Extraídas!B:B,MATCH(LEFT($A212,6)&amp;"*",[1]Extraídas!A:A,0))="Extraídas",
      "✅ En proceso",
      IF(INDEX([1]Extraídas!B:B,MATCH(LEFT($A212,6)&amp;"*",[1]Extraídas!A:A,0))="Recibidas",
         "⏳ Pendiente","❌ No ingresada")),
   "❌ No ingresada"
)</f>
        <v>✅ En proceso</v>
      </c>
      <c r="C212" s="255" t="str">
        <f t="array" ref="C212">IFERROR(
   IF(INDEX([1]PCRs!B:B,MATCH(LEFT($A212,6)&amp;"*",[1]PCRs!A:A,0))="Positivo",
      "✅ Positivo",
      IF(INDEX([1]PCRs!B:B,MATCH(LEFT($A212,6)&amp;"*",[1]PCRs!A:A,0))="Negativo",
         "❌ Negativo",
         "⏳ No realizado")),
   "⏳ No realizado"
)</f>
        <v>⏳ No realizado</v>
      </c>
      <c r="D212" s="255" t="str">
        <f>IFERROR(
   CHOOSE(
      MATCH(VLOOKUP(LEFT(A259,6)&amp;"*",'Identificación genética'!A:C,2,FALSE),
               {"En proceso";"Finalizado"},0),
      "🔬 En proceso",
      "🎯 Finalizado"
   ),
"❌ NA")</f>
        <v>🎯 Finalizado</v>
      </c>
      <c r="E212" s="255" t="s">
        <v>85</v>
      </c>
      <c r="F212" s="53">
        <v>45971</v>
      </c>
      <c r="G212" t="str">
        <f>_xlfn.XLOOKUP(A212, Extraídas!A:A, Extraídas!G:G, "")</f>
        <v>Trebouxiophyceae</v>
      </c>
    </row>
    <row r="213" spans="1:7" x14ac:dyDescent="0.3">
      <c r="A213" s="628" t="s">
        <v>379</v>
      </c>
      <c r="B213" s="255" t="str">
        <f t="array" ref="B213">IFERROR(
   IF(INDEX([1]Extraídas!B:B,MATCH(LEFT($A213,6)&amp;"*",[1]Extraídas!A:A,0))="Extraídas",
      "✅ En proceso",
      IF(INDEX([1]Extraídas!B:B,MATCH(LEFT($A213,6)&amp;"*",[1]Extraídas!A:A,0))="Recibidas",
         "⏳ Pendiente","❌ No ingresada")),
   "❌ No ingresada"
)</f>
        <v>✅ En proceso</v>
      </c>
      <c r="C213" s="255" t="str">
        <f t="array" ref="C213">IFERROR(
   IF(INDEX([1]PCRs!B:B,MATCH(LEFT($A213,6)&amp;"*",[1]PCRs!A:A,0))="Positivo",
      "✅ Positivo",
      IF(INDEX([1]PCRs!B:B,MATCH(LEFT($A213,6)&amp;"*",[1]PCRs!A:A,0))="Negativo",
         "❌ Negativo",
         "⏳ No realizado")),
   "⏳ No realizado"
)</f>
        <v>⏳ No realizado</v>
      </c>
      <c r="D213" s="255" t="str">
        <f>IFERROR(
   CHOOSE(
      MATCH(VLOOKUP(LEFT(A260,6)&amp;"*",'Identificación genética'!A:C,2,FALSE),
               {"En proceso";"Finalizado"},0),
      "🔬 En proceso",
      "🎯 Finalizado"
   ),
"❌ NA")</f>
        <v>🎯 Finalizado</v>
      </c>
      <c r="E213" s="255" t="s">
        <v>85</v>
      </c>
      <c r="F213" s="55">
        <v>45971</v>
      </c>
      <c r="G213" t="str">
        <f>_xlfn.XLOOKUP(A213, Extraídas!A:A, Extraídas!G:G, "")</f>
        <v>Chlorophyceae</v>
      </c>
    </row>
    <row r="214" spans="1:7" x14ac:dyDescent="0.3">
      <c r="A214" s="629" t="s">
        <v>380</v>
      </c>
      <c r="B214" s="255" t="str">
        <f t="array" ref="B214">IFERROR(
   IF(INDEX([1]Extraídas!B:B,MATCH(LEFT($A214,6)&amp;"*",[1]Extraídas!A:A,0))="Extraídas",
      "✅ En proceso",
      IF(INDEX([1]Extraídas!B:B,MATCH(LEFT($A214,6)&amp;"*",[1]Extraídas!A:A,0))="Recibidas",
         "⏳ Pendiente","❌ No ingresada")),
   "❌ No ingresada"
)</f>
        <v>✅ En proceso</v>
      </c>
      <c r="C214" s="255" t="str">
        <f t="array" ref="C214">IFERROR(
   IF(INDEX([1]PCRs!B:B,MATCH(LEFT($A214,6)&amp;"*",[1]PCRs!A:A,0))="Positivo",
      "✅ Positivo",
      IF(INDEX([1]PCRs!B:B,MATCH(LEFT($A214,6)&amp;"*",[1]PCRs!A:A,0))="Negativo",
         "❌ Negativo",
         "⏳ No realizado")),
   "⏳ No realizado"
)</f>
        <v>⏳ No realizado</v>
      </c>
      <c r="D214" s="255" t="str">
        <f>IFERROR(
   CHOOSE(
      MATCH(VLOOKUP(LEFT(A261,6)&amp;"*",'Identificación genética'!A:C,2,FALSE),
               {"En proceso";"Finalizado"},0),
      "🔬 En proceso",
      "🎯 Finalizado"
   ),
"❌ NA")</f>
        <v>🎯 Finalizado</v>
      </c>
      <c r="E214" s="255" t="s">
        <v>85</v>
      </c>
      <c r="F214" s="53">
        <v>45971</v>
      </c>
      <c r="G214" t="str">
        <f>_xlfn.XLOOKUP(A214, Extraídas!A:A, Extraídas!G:G, "")</f>
        <v>Chlorophyceae</v>
      </c>
    </row>
    <row r="215" spans="1:7" x14ac:dyDescent="0.3">
      <c r="A215" s="628" t="s">
        <v>381</v>
      </c>
      <c r="B215" s="255" t="str">
        <f t="array" ref="B215">IFERROR(
   IF(INDEX([1]Extraídas!B:B,MATCH(LEFT($A215,6)&amp;"*",[1]Extraídas!A:A,0))="Extraídas",
      "✅ En proceso",
      IF(INDEX([1]Extraídas!B:B,MATCH(LEFT($A215,6)&amp;"*",[1]Extraídas!A:A,0))="Recibidas",
         "⏳ Pendiente","❌ No ingresada")),
   "❌ No ingresada"
)</f>
        <v>✅ En proceso</v>
      </c>
      <c r="C215" s="255" t="str">
        <f t="array" ref="C215">IFERROR(
   IF(INDEX([1]PCRs!B:B,MATCH(LEFT($A215,6)&amp;"*",[1]PCRs!A:A,0))="Positivo",
      "✅ Positivo",
      IF(INDEX([1]PCRs!B:B,MATCH(LEFT($A215,6)&amp;"*",[1]PCRs!A:A,0))="Negativo",
         "❌ Negativo",
         "⏳ No realizado")),
   "⏳ No realizado"
)</f>
        <v>⏳ No realizado</v>
      </c>
      <c r="D215" s="255" t="str">
        <f>IFERROR(
   CHOOSE(
      MATCH(VLOOKUP(LEFT(A262,6)&amp;"*",'Identificación genética'!A:C,2,FALSE),
               {"En proceso";"Finalizado"},0),
      "🔬 En proceso",
      "🎯 Finalizado"
   ),
"❌ NA")</f>
        <v>❌ NA</v>
      </c>
      <c r="E215" s="255" t="s">
        <v>85</v>
      </c>
      <c r="F215" s="55">
        <v>45971</v>
      </c>
      <c r="G215" t="str">
        <f>_xlfn.XLOOKUP(A215, Extraídas!A:A, Extraídas!G:G, "")</f>
        <v>Chlorophyceae</v>
      </c>
    </row>
    <row r="216" spans="1:7" x14ac:dyDescent="0.3">
      <c r="A216" s="629" t="s">
        <v>382</v>
      </c>
      <c r="B216" s="255" t="str">
        <f t="array" ref="B216">IFERROR(
   IF(INDEX([1]Extraídas!B:B,MATCH(LEFT($A216,6)&amp;"*",[1]Extraídas!A:A,0))="Extraídas",
      "✅ En proceso",
      IF(INDEX([1]Extraídas!B:B,MATCH(LEFT($A216,6)&amp;"*",[1]Extraídas!A:A,0))="Recibidas",
         "⏳ Pendiente","❌ No ingresada")),
   "❌ No ingresada"
)</f>
        <v>✅ En proceso</v>
      </c>
      <c r="C216" s="255" t="str">
        <f t="array" ref="C216">IFERROR(
   IF(INDEX([1]PCRs!B:B,MATCH(LEFT($A216,6)&amp;"*",[1]PCRs!A:A,0))="Positivo",
      "✅ Positivo",
      IF(INDEX([1]PCRs!B:B,MATCH(LEFT($A216,6)&amp;"*",[1]PCRs!A:A,0))="Negativo",
         "❌ Negativo",
         "⏳ No realizado")),
   "⏳ No realizado"
)</f>
        <v>⏳ No realizado</v>
      </c>
      <c r="D216" s="255" t="str">
        <f>IFERROR(
   CHOOSE(
      MATCH(VLOOKUP(LEFT(A263,6)&amp;"*",'Identificación genética'!A:C,2,FALSE),
               {"En proceso";"Finalizado"},0),
      "🔬 En proceso",
      "🎯 Finalizado"
   ),
"❌ NA")</f>
        <v>❌ NA</v>
      </c>
      <c r="E216" s="255" t="s">
        <v>85</v>
      </c>
      <c r="F216" s="53">
        <v>45971</v>
      </c>
      <c r="G216" t="str">
        <f>_xlfn.XLOOKUP(A216, Extraídas!A:A, Extraídas!G:G, "")</f>
        <v>Chlorophyceae</v>
      </c>
    </row>
    <row r="217" spans="1:7" x14ac:dyDescent="0.3">
      <c r="A217" s="628" t="s">
        <v>383</v>
      </c>
      <c r="B217" s="255" t="str">
        <f t="array" ref="B217">IFERROR(
   IF(INDEX([1]Extraídas!B:B,MATCH(LEFT($A217,6)&amp;"*",[1]Extraídas!A:A,0))="Extraídas",
      "✅ En proceso",
      IF(INDEX([1]Extraídas!B:B,MATCH(LEFT($A217,6)&amp;"*",[1]Extraídas!A:A,0))="Recibidas",
         "⏳ Pendiente","❌ No ingresada")),
   "❌ No ingresada"
)</f>
        <v>✅ En proceso</v>
      </c>
      <c r="C217" s="255" t="str">
        <f t="array" ref="C217">IFERROR(
   IF(INDEX([1]PCRs!B:B,MATCH(LEFT($A217,6)&amp;"*",[1]PCRs!A:A,0))="Positivo",
      "✅ Positivo",
      IF(INDEX([1]PCRs!B:B,MATCH(LEFT($A217,6)&amp;"*",[1]PCRs!A:A,0))="Negativo",
         "❌ Negativo",
         "⏳ No realizado")),
   "⏳ No realizado"
)</f>
        <v>⏳ No realizado</v>
      </c>
      <c r="D217" s="255" t="str">
        <f>IFERROR(
   CHOOSE(
      MATCH(VLOOKUP(LEFT(A264,6)&amp;"*",'Identificación genética'!A:C,2,FALSE),
               {"En proceso";"Finalizado"},0),
      "🔬 En proceso",
      "🎯 Finalizado"
   ),
"❌ NA")</f>
        <v>❌ NA</v>
      </c>
      <c r="E217" s="255" t="s">
        <v>85</v>
      </c>
      <c r="F217" s="55">
        <v>45971</v>
      </c>
      <c r="G217" t="str">
        <f>_xlfn.XLOOKUP(A217, Extraídas!A:A, Extraídas!G:G, "")</f>
        <v>Chlorophyceae</v>
      </c>
    </row>
    <row r="218" spans="1:7" x14ac:dyDescent="0.3">
      <c r="A218" s="629" t="s">
        <v>384</v>
      </c>
      <c r="B218" s="255" t="str">
        <f t="array" ref="B218">IFERROR(
   IF(INDEX([1]Extraídas!B:B,MATCH(LEFT($A218,6)&amp;"*",[1]Extraídas!A:A,0))="Extraídas",
      "✅ En proceso",
      IF(INDEX([1]Extraídas!B:B,MATCH(LEFT($A218,6)&amp;"*",[1]Extraídas!A:A,0))="Recibidas",
         "⏳ Pendiente","❌ No ingresada")),
   "❌ No ingresada"
)</f>
        <v>✅ En proceso</v>
      </c>
      <c r="C218" s="255" t="str">
        <f t="array" ref="C218">IFERROR(
   IF(INDEX([1]PCRs!B:B,MATCH(LEFT($A218,6)&amp;"*",[1]PCRs!A:A,0))="Positivo",
      "✅ Positivo",
      IF(INDEX([1]PCRs!B:B,MATCH(LEFT($A218,6)&amp;"*",[1]PCRs!A:A,0))="Negativo",
         "❌ Negativo",
         "⏳ No realizado")),
   "⏳ No realizado"
)</f>
        <v>⏳ No realizado</v>
      </c>
      <c r="D218" s="255" t="str">
        <f>IFERROR(
   CHOOSE(
      MATCH(VLOOKUP(LEFT(A265,6)&amp;"*",'Identificación genética'!A:C,2,FALSE),
               {"En proceso";"Finalizado"},0),
      "🔬 En proceso",
      "🎯 Finalizado"
   ),
"❌ NA")</f>
        <v>🎯 Finalizado</v>
      </c>
      <c r="E218" s="255" t="s">
        <v>85</v>
      </c>
      <c r="F218" s="53">
        <v>45971</v>
      </c>
      <c r="G218" t="str">
        <f>_xlfn.XLOOKUP(A218, Extraídas!A:A, Extraídas!G:G, "")</f>
        <v>Chlorophyceae</v>
      </c>
    </row>
    <row r="219" spans="1:7" x14ac:dyDescent="0.3">
      <c r="A219" s="628" t="s">
        <v>385</v>
      </c>
      <c r="B219" s="255" t="str">
        <f t="array" ref="B219">IFERROR(
   IF(INDEX([1]Extraídas!B:B,MATCH(LEFT($A219,6)&amp;"*",[1]Extraídas!A:A,0))="Extraídas",
      "✅ En proceso",
      IF(INDEX([1]Extraídas!B:B,MATCH(LEFT($A219,6)&amp;"*",[1]Extraídas!A:A,0))="Recibidas",
         "⏳ Pendiente","❌ No ingresada")),
   "❌ No ingresada"
)</f>
        <v>✅ En proceso</v>
      </c>
      <c r="C219" s="255" t="str">
        <f t="array" ref="C219">IFERROR(
   IF(INDEX([1]PCRs!B:B,MATCH(LEFT($A219,6)&amp;"*",[1]PCRs!A:A,0))="Positivo",
      "✅ Positivo",
      IF(INDEX([1]PCRs!B:B,MATCH(LEFT($A219,6)&amp;"*",[1]PCRs!A:A,0))="Negativo",
         "❌ Negativo",
         "⏳ No realizado")),
   "⏳ No realizado"
)</f>
        <v>⏳ No realizado</v>
      </c>
      <c r="D219" s="255" t="str">
        <f>IFERROR(
   CHOOSE(
      MATCH(VLOOKUP(LEFT(A266,6)&amp;"*",'Identificación genética'!A:C,2,FALSE),
               {"En proceso";"Finalizado"},0),
      "🔬 En proceso",
      "🎯 Finalizado"
   ),
"❌ NA")</f>
        <v>🎯 Finalizado</v>
      </c>
      <c r="E219" s="255" t="s">
        <v>85</v>
      </c>
      <c r="F219" s="55">
        <v>45971</v>
      </c>
      <c r="G219" t="str">
        <f>_xlfn.XLOOKUP(A219, Extraídas!A:A, Extraídas!G:G, "")</f>
        <v>Chlorophyceae</v>
      </c>
    </row>
    <row r="220" spans="1:7" x14ac:dyDescent="0.3">
      <c r="A220" s="629" t="s">
        <v>386</v>
      </c>
      <c r="B220" s="255" t="str">
        <f t="array" ref="B220">IFERROR(
   IF(INDEX([1]Extraídas!B:B,MATCH(LEFT($A220,6)&amp;"*",[1]Extraídas!A:A,0))="Extraídas",
      "✅ En proceso",
      IF(INDEX([1]Extraídas!B:B,MATCH(LEFT($A220,6)&amp;"*",[1]Extraídas!A:A,0))="Recibidas",
         "⏳ Pendiente","❌ No ingresada")),
   "❌ No ingresada"
)</f>
        <v>✅ En proceso</v>
      </c>
      <c r="C220" s="255" t="str">
        <f t="array" ref="C220">IFERROR(
   IF(INDEX([1]PCRs!B:B,MATCH(LEFT($A220,6)&amp;"*",[1]PCRs!A:A,0))="Positivo",
      "✅ Positivo",
      IF(INDEX([1]PCRs!B:B,MATCH(LEFT($A220,6)&amp;"*",[1]PCRs!A:A,0))="Negativo",
         "❌ Negativo",
         "⏳ No realizado")),
   "⏳ No realizado"
)</f>
        <v>⏳ No realizado</v>
      </c>
      <c r="D220" s="255" t="str">
        <f>IFERROR(
   CHOOSE(
      MATCH(VLOOKUP(LEFT(A267,6)&amp;"*",'Identificación genética'!A:C,2,FALSE),
               {"En proceso";"Finalizado"},0),
      "🔬 En proceso",
      "🎯 Finalizado"
   ),
"❌ NA")</f>
        <v>🎯 Finalizado</v>
      </c>
      <c r="E220" s="255" t="s">
        <v>85</v>
      </c>
      <c r="F220" s="53">
        <v>45971</v>
      </c>
      <c r="G220" t="str">
        <f>_xlfn.XLOOKUP(A220, Extraídas!A:A, Extraídas!G:G, "")</f>
        <v>Chlorophyceae</v>
      </c>
    </row>
    <row r="221" spans="1:7" x14ac:dyDescent="0.3">
      <c r="A221" s="628" t="s">
        <v>387</v>
      </c>
      <c r="B221" s="255" t="str">
        <f t="array" ref="B221">IFERROR(
   IF(INDEX([1]Extraídas!B:B,MATCH(LEFT($A221,6)&amp;"*",[1]Extraídas!A:A,0))="Extraídas",
      "✅ En proceso",
      IF(INDEX([1]Extraídas!B:B,MATCH(LEFT($A221,6)&amp;"*",[1]Extraídas!A:A,0))="Recibidas",
         "⏳ Pendiente","❌ No ingresada")),
   "❌ No ingresada"
)</f>
        <v>✅ En proceso</v>
      </c>
      <c r="C221" s="255" t="str">
        <f t="array" ref="C221">IFERROR(
   IF(INDEX([1]PCRs!B:B,MATCH(LEFT($A221,6)&amp;"*",[1]PCRs!A:A,0))="Positivo",
      "✅ Positivo",
      IF(INDEX([1]PCRs!B:B,MATCH(LEFT($A221,6)&amp;"*",[1]PCRs!A:A,0))="Negativo",
         "❌ Negativo",
         "⏳ No realizado")),
   "⏳ No realizado"
)</f>
        <v>⏳ No realizado</v>
      </c>
      <c r="D221" s="255" t="str">
        <f>IFERROR(
   CHOOSE(
      MATCH(VLOOKUP(LEFT(A268,6)&amp;"*",'Identificación genética'!A:C,2,FALSE),
               {"En proceso";"Finalizado"},0),
      "🔬 En proceso",
      "🎯 Finalizado"
   ),
"❌ NA")</f>
        <v>🎯 Finalizado</v>
      </c>
      <c r="E221" s="255" t="s">
        <v>85</v>
      </c>
      <c r="F221" s="55">
        <v>45971</v>
      </c>
      <c r="G221" t="str">
        <f>_xlfn.XLOOKUP(A221, Extraídas!A:A, Extraídas!G:G, "")</f>
        <v>Chlorophyceae</v>
      </c>
    </row>
    <row r="222" spans="1:7" x14ac:dyDescent="0.3">
      <c r="A222" s="629" t="s">
        <v>388</v>
      </c>
      <c r="B222" s="255" t="str">
        <f t="array" ref="B222">IFERROR(
   IF(INDEX([1]Extraídas!B:B,MATCH(LEFT($A222,6)&amp;"*",[1]Extraídas!A:A,0))="Extraídas",
      "✅ En proceso",
      IF(INDEX([1]Extraídas!B:B,MATCH(LEFT($A222,6)&amp;"*",[1]Extraídas!A:A,0))="Recibidas",
         "⏳ Pendiente","❌ No ingresada")),
   "❌ No ingresada"
)</f>
        <v>✅ En proceso</v>
      </c>
      <c r="C222" s="255" t="str">
        <f t="array" ref="C222">IFERROR(
   IF(INDEX([1]PCRs!B:B,MATCH(LEFT($A222,6)&amp;"*",[1]PCRs!A:A,0))="Positivo",
      "✅ Positivo",
      IF(INDEX([1]PCRs!B:B,MATCH(LEFT($A222,6)&amp;"*",[1]PCRs!A:A,0))="Negativo",
         "❌ Negativo",
         "⏳ No realizado")),
   "⏳ No realizado"
)</f>
        <v>⏳ No realizado</v>
      </c>
      <c r="D222" s="255" t="str">
        <f>IFERROR(
   CHOOSE(
      MATCH(VLOOKUP(LEFT(A269,6)&amp;"*",'Identificación genética'!A:C,2,FALSE),
               {"En proceso";"Finalizado"},0),
      "🔬 En proceso",
      "🎯 Finalizado"
   ),
"❌ NA")</f>
        <v>🎯 Finalizado</v>
      </c>
      <c r="E222" s="255" t="s">
        <v>85</v>
      </c>
      <c r="F222" s="53">
        <v>45971</v>
      </c>
      <c r="G222" t="str">
        <f>_xlfn.XLOOKUP(A222, Extraídas!A:A, Extraídas!G:G, "")</f>
        <v>Chlorophyceae</v>
      </c>
    </row>
    <row r="223" spans="1:7" x14ac:dyDescent="0.3">
      <c r="A223" s="628" t="s">
        <v>389</v>
      </c>
      <c r="B223" s="255" t="str">
        <f t="array" ref="B223">IFERROR(
   IF(INDEX([1]Extraídas!B:B,MATCH(LEFT($A223,6)&amp;"*",[1]Extraídas!A:A,0))="Extraídas",
      "✅ En proceso",
      IF(INDEX([1]Extraídas!B:B,MATCH(LEFT($A223,6)&amp;"*",[1]Extraídas!A:A,0))="Recibidas",
         "⏳ Pendiente","❌ No ingresada")),
   "❌ No ingresada"
)</f>
        <v>✅ En proceso</v>
      </c>
      <c r="C223" s="255" t="str">
        <f t="array" ref="C223">IFERROR(
   IF(INDEX([1]PCRs!B:B,MATCH(LEFT($A223,6)&amp;"*",[1]PCRs!A:A,0))="Positivo",
      "✅ Positivo",
      IF(INDEX([1]PCRs!B:B,MATCH(LEFT($A223,6)&amp;"*",[1]PCRs!A:A,0))="Negativo",
         "❌ Negativo",
         "⏳ No realizado")),
   "⏳ No realizado"
)</f>
        <v>⏳ No realizado</v>
      </c>
      <c r="D223" s="255" t="str">
        <f>IFERROR(
   CHOOSE(
      MATCH(VLOOKUP(LEFT(A270,6)&amp;"*",'Identificación genética'!A:C,2,FALSE),
               {"En proceso";"Finalizado"},0),
      "🔬 En proceso",
      "🎯 Finalizado"
   ),
"❌ NA")</f>
        <v>🎯 Finalizado</v>
      </c>
      <c r="E223" s="255" t="s">
        <v>85</v>
      </c>
      <c r="F223" s="55">
        <v>45971</v>
      </c>
      <c r="G223" t="str">
        <f>_xlfn.XLOOKUP(A223, Extraídas!A:A, Extraídas!G:G, "")</f>
        <v>Chlorophyceae</v>
      </c>
    </row>
    <row r="224" spans="1:7" x14ac:dyDescent="0.3">
      <c r="A224" s="629" t="s">
        <v>390</v>
      </c>
      <c r="B224" s="255" t="str">
        <f t="array" ref="B224">IFERROR(
   IF(INDEX([1]Extraídas!B:B,MATCH(LEFT($A224,6)&amp;"*",[1]Extraídas!A:A,0))="Extraídas",
      "✅ En proceso",
      IF(INDEX([1]Extraídas!B:B,MATCH(LEFT($A224,6)&amp;"*",[1]Extraídas!A:A,0))="Recibidas",
         "⏳ Pendiente","❌ No ingresada")),
   "❌ No ingresada"
)</f>
        <v>✅ En proceso</v>
      </c>
      <c r="C224" s="255" t="str">
        <f t="array" ref="C224">IFERROR(
   IF(INDEX([1]PCRs!B:B,MATCH(LEFT($A224,6)&amp;"*",[1]PCRs!A:A,0))="Positivo",
      "✅ Positivo",
      IF(INDEX([1]PCRs!B:B,MATCH(LEFT($A224,6)&amp;"*",[1]PCRs!A:A,0))="Negativo",
         "❌ Negativo",
         "⏳ No realizado")),
   "⏳ No realizado"
)</f>
        <v>⏳ No realizado</v>
      </c>
      <c r="D224" s="255" t="str">
        <f>IFERROR(
   CHOOSE(
      MATCH(VLOOKUP(LEFT(A271,6)&amp;"*",'Identificación genética'!A:C,2,FALSE),
               {"En proceso";"Finalizado"},0),
      "🔬 En proceso",
      "🎯 Finalizado"
   ),
"❌ NA")</f>
        <v>🎯 Finalizado</v>
      </c>
      <c r="E224" s="255" t="s">
        <v>85</v>
      </c>
      <c r="F224" s="7">
        <v>45952</v>
      </c>
      <c r="G224" t="str">
        <f>_xlfn.XLOOKUP(A224, Extraídas!A:A, Extraídas!G:G, "")</f>
        <v>Chlorophyceae</v>
      </c>
    </row>
    <row r="225" spans="1:7" x14ac:dyDescent="0.3">
      <c r="A225" s="628" t="s">
        <v>391</v>
      </c>
      <c r="B225" s="255" t="str">
        <f t="array" ref="B225">IFERROR(
   IF(INDEX([1]Extraídas!B:B,MATCH(LEFT($A225,6)&amp;"*",[1]Extraídas!A:A,0))="Extraídas",
      "✅ En proceso",
      IF(INDEX([1]Extraídas!B:B,MATCH(LEFT($A225,6)&amp;"*",[1]Extraídas!A:A,0))="Recibidas",
         "⏳ Pendiente","❌ No ingresada")),
   "❌ No ingresada"
)</f>
        <v>✅ En proceso</v>
      </c>
      <c r="C225" s="255" t="str">
        <f t="array" ref="C225">IFERROR(
   IF(INDEX([1]PCRs!B:B,MATCH(LEFT($A225,6)&amp;"*",[1]PCRs!A:A,0))="Positivo",
      "✅ Positivo",
      IF(INDEX([1]PCRs!B:B,MATCH(LEFT($A225,6)&amp;"*",[1]PCRs!A:A,0))="Negativo",
         "❌ Negativo",
         "⏳ No realizado")),
   "⏳ No realizado"
)</f>
        <v>⏳ No realizado</v>
      </c>
      <c r="D225" s="255" t="str">
        <f>IFERROR(
   CHOOSE(
      MATCH(VLOOKUP(LEFT(A272,6)&amp;"*",'Identificación genética'!A:C,2,FALSE),
               {"En proceso";"Finalizado"},0),
      "🔬 En proceso",
      "🎯 Finalizado"
   ),
"❌ NA")</f>
        <v>🎯 Finalizado</v>
      </c>
      <c r="E225" s="255" t="s">
        <v>85</v>
      </c>
      <c r="F225" s="7">
        <v>45952</v>
      </c>
      <c r="G225" t="str">
        <f>_xlfn.XLOOKUP(A225, Extraídas!A:A, Extraídas!G:G, "")</f>
        <v>Chlorodendrophyceae</v>
      </c>
    </row>
    <row r="226" spans="1:7" x14ac:dyDescent="0.3">
      <c r="A226" s="628" t="s">
        <v>392</v>
      </c>
      <c r="B226" s="255" t="str">
        <f t="array" ref="B226">IFERROR(
   IF(INDEX([1]Extraídas!B:B,MATCH(LEFT($A226,6)&amp;"*",[1]Extraídas!A:A,0))="Extraídas",
      "✅ En proceso",
      IF(INDEX([1]Extraídas!B:B,MATCH(LEFT($A226,6)&amp;"*",[1]Extraídas!A:A,0))="Recibidas",
         "⏳ Pendiente","❌ No ingresada")),
   "❌ No ingresada"
)</f>
        <v>✅ En proceso</v>
      </c>
      <c r="C226" s="255" t="str">
        <f t="array" ref="C226">IFERROR(
   IF(INDEX([1]PCRs!B:B,MATCH(LEFT($A226,6)&amp;"*",[1]PCRs!A:A,0))="Positivo",
      "✅ Positivo",
      IF(INDEX([1]PCRs!B:B,MATCH(LEFT($A226,6)&amp;"*",[1]PCRs!A:A,0))="Negativo",
         "❌ Negativo",
         "⏳ No realizado")),
   "⏳ No realizado"
)</f>
        <v>⏳ No realizado</v>
      </c>
      <c r="D226" s="255" t="str">
        <f>IFERROR(
   CHOOSE(
      MATCH(VLOOKUP(LEFT(A273,6)&amp;"*",'Identificación genética'!A:C,2,FALSE),
               {"En proceso";"Finalizado"},0),
      "🔬 En proceso",
      "🎯 Finalizado"
   ),
"❌ NA")</f>
        <v>🎯 Finalizado</v>
      </c>
      <c r="E226" s="255" t="s">
        <v>85</v>
      </c>
      <c r="F226" s="54">
        <v>45940</v>
      </c>
      <c r="G226" t="str">
        <f>_xlfn.XLOOKUP(A226, Extraídas!A:A, Extraídas!G:G, "")</f>
        <v>Chlorophyceae</v>
      </c>
    </row>
    <row r="227" spans="1:7" x14ac:dyDescent="0.3">
      <c r="A227" s="629" t="s">
        <v>393</v>
      </c>
      <c r="B227" s="255" t="str">
        <f t="array" ref="B227">IFERROR(
   IF(INDEX([1]Extraídas!B:B,MATCH(LEFT($A227,6)&amp;"*",[1]Extraídas!A:A,0))="Extraídas",
      "✅ En proceso",
      IF(INDEX([1]Extraídas!B:B,MATCH(LEFT($A227,6)&amp;"*",[1]Extraídas!A:A,0))="Recibidas",
         "⏳ Pendiente","❌ No ingresada")),
   "❌ No ingresada"
)</f>
        <v>✅ En proceso</v>
      </c>
      <c r="C227" s="255" t="str">
        <f t="array" ref="C227">IFERROR(
   IF(INDEX([1]PCRs!B:B,MATCH(LEFT($A227,6)&amp;"*",[1]PCRs!A:A,0))="Positivo",
      "✅ Positivo",
      IF(INDEX([1]PCRs!B:B,MATCH(LEFT($A227,6)&amp;"*",[1]PCRs!A:A,0))="Negativo",
         "❌ Negativo",
         "⏳ No realizado")),
   "⏳ No realizado"
)</f>
        <v>⏳ No realizado</v>
      </c>
      <c r="D227" s="255" t="str">
        <f>IFERROR(
   CHOOSE(
      MATCH(VLOOKUP(LEFT(A274,6)&amp;"*",'Identificación genética'!A:C,2,FALSE),
               {"En proceso";"Finalizado"},0),
      "🔬 En proceso",
      "🎯 Finalizado"
   ),
"❌ NA")</f>
        <v>🎯 Finalizado</v>
      </c>
      <c r="E227" s="255" t="s">
        <v>85</v>
      </c>
      <c r="F227" s="54">
        <v>45952</v>
      </c>
      <c r="G227" t="str">
        <f>_xlfn.XLOOKUP(A227, Extraídas!A:A, Extraídas!G:G, "")</f>
        <v>Chlorophyceae</v>
      </c>
    </row>
    <row r="228" spans="1:7" x14ac:dyDescent="0.3">
      <c r="A228" s="629" t="s">
        <v>394</v>
      </c>
      <c r="B228" s="255" t="str">
        <f t="array" ref="B228">IFERROR(
   IF(INDEX([1]Extraídas!B:B,MATCH(LEFT($A228,6)&amp;"*",[1]Extraídas!A:A,0))="Extraídas",
      "✅ En proceso",
      IF(INDEX([1]Extraídas!B:B,MATCH(LEFT($A228,6)&amp;"*",[1]Extraídas!A:A,0))="Recibidas",
         "⏳ Pendiente","❌ No ingresada")),
   "❌ No ingresada"
)</f>
        <v>✅ En proceso</v>
      </c>
      <c r="C228" s="255" t="str">
        <f t="array" ref="C228">IFERROR(
   IF(INDEX([1]PCRs!B:B,MATCH(LEFT($A228,6)&amp;"*",[1]PCRs!A:A,0))="Positivo",
      "✅ Positivo",
      IF(INDEX([1]PCRs!B:B,MATCH(LEFT($A228,6)&amp;"*",[1]PCRs!A:A,0))="Negativo",
         "❌ Negativo",
         "⏳ No realizado")),
   "⏳ No realizado"
)</f>
        <v>⏳ No realizado</v>
      </c>
      <c r="D228" s="255" t="str">
        <f>IFERROR(
   CHOOSE(
      MATCH(VLOOKUP(LEFT(A275,6)&amp;"*",'Identificación genética'!A:C,2,FALSE),
               {"En proceso";"Finalizado"},0),
      "🔬 En proceso",
      "🎯 Finalizado"
   ),
"❌ NA")</f>
        <v>🎯 Finalizado</v>
      </c>
      <c r="E228" s="255" t="s">
        <v>85</v>
      </c>
      <c r="F228" s="53">
        <v>45958</v>
      </c>
      <c r="G228" t="str">
        <f>_xlfn.XLOOKUP(A228, Extraídas!A:A, Extraídas!G:G, "")</f>
        <v>Bacillariophyceae</v>
      </c>
    </row>
    <row r="229" spans="1:7" x14ac:dyDescent="0.3">
      <c r="A229" s="629" t="s">
        <v>395</v>
      </c>
      <c r="B229" s="255" t="str">
        <f t="array" ref="B229">IFERROR(
   IF(INDEX([1]Extraídas!B:B,MATCH(LEFT($A229,6)&amp;"*",[1]Extraídas!A:A,0))="Extraídas",
      "✅ En proceso",
      IF(INDEX([1]Extraídas!B:B,MATCH(LEFT($A229,6)&amp;"*",[1]Extraídas!A:A,0))="Recibidas",
         "⏳ Pendiente","❌ No ingresada")),
   "❌ No ingresada"
)</f>
        <v>✅ En proceso</v>
      </c>
      <c r="C229" s="255" t="str">
        <f t="array" ref="C229">IFERROR(
   IF(INDEX([1]PCRs!B:B,MATCH(LEFT($A229,6)&amp;"*",[1]PCRs!A:A,0))="Positivo",
      "✅ Positivo",
      IF(INDEX([1]PCRs!B:B,MATCH(LEFT($A229,6)&amp;"*",[1]PCRs!A:A,0))="Negativo",
         "❌ Negativo",
         "⏳ No realizado")),
   "⏳ No realizado"
)</f>
        <v>⏳ No realizado</v>
      </c>
      <c r="D229" s="255" t="str">
        <f>IFERROR(
   CHOOSE(
      MATCH(VLOOKUP(LEFT(A276,6)&amp;"*",'Identificación genética'!A:C,2,FALSE),
               {"En proceso";"Finalizado"},0),
      "🔬 En proceso",
      "🎯 Finalizado"
   ),
"❌ NA")</f>
        <v>🎯 Finalizado</v>
      </c>
      <c r="E229" s="255" t="s">
        <v>85</v>
      </c>
      <c r="F229" s="54">
        <v>45946</v>
      </c>
      <c r="G229" t="str">
        <f>_xlfn.XLOOKUP(A229, Extraídas!A:A, Extraídas!G:G, "")</f>
        <v>Bacillariophyceae</v>
      </c>
    </row>
    <row r="230" spans="1:7" x14ac:dyDescent="0.3">
      <c r="A230" s="633" t="s">
        <v>396</v>
      </c>
      <c r="B230" s="255" t="str">
        <f t="array" ref="B230">IFERROR(
   IF(INDEX([1]Extraídas!B:B,MATCH(LEFT($A230,6)&amp;"*",[1]Extraídas!A:A,0))="Extraídas",
      "✅ En proceso",
      IF(INDEX([1]Extraídas!B:B,MATCH(LEFT($A230,6)&amp;"*",[1]Extraídas!A:A,0))="Recibidas",
         "⏳ Pendiente","❌ No ingresada")),
   "❌ No ingresada"
)</f>
        <v>✅ En proceso</v>
      </c>
      <c r="C230" s="255" t="str">
        <f t="array" ref="C230">IFERROR(
   IF(INDEX([1]PCRs!B:B,MATCH(LEFT($A230,6)&amp;"*",[1]PCRs!A:A,0))="Positivo",
      "✅ Positivo",
      IF(INDEX([1]PCRs!B:B,MATCH(LEFT($A230,6)&amp;"*",[1]PCRs!A:A,0))="Negativo",
         "❌ Negativo",
         "⏳ No realizado")),
   "⏳ No realizado"
)</f>
        <v>⏳ No realizado</v>
      </c>
      <c r="D230" s="255" t="str">
        <f>IFERROR(
   CHOOSE(
      MATCH(VLOOKUP(LEFT(A277,6)&amp;"*",'Identificación genética'!A:C,2,FALSE),
               {"En proceso";"Finalizado"},0),
      "🔬 En proceso",
      "🎯 Finalizado"
   ),
"❌ NA")</f>
        <v>🎯 Finalizado</v>
      </c>
      <c r="E230" s="255" t="s">
        <v>85</v>
      </c>
      <c r="F230" s="54">
        <v>45968</v>
      </c>
      <c r="G230" t="str">
        <f>_xlfn.XLOOKUP(A230, Extraídas!A:A, Extraídas!G:G, "")</f>
        <v>Chlorophyceae</v>
      </c>
    </row>
    <row r="231" spans="1:7" x14ac:dyDescent="0.3">
      <c r="A231" s="634" t="s">
        <v>398</v>
      </c>
      <c r="B231" s="255" t="str">
        <f t="array" ref="B231">IFERROR(
   IF(INDEX([1]Extraídas!B:B,MATCH(LEFT($A231,6)&amp;"*",[1]Extraídas!A:A,0))="Extraídas",
      "✅ En proceso",
      IF(INDEX([1]Extraídas!B:B,MATCH(LEFT($A231,6)&amp;"*",[1]Extraídas!A:A,0))="Recibidas",
         "⏳ Pendiente","❌ No ingresada")),
   "❌ No ingresada"
)</f>
        <v>✅ En proceso</v>
      </c>
      <c r="C231" s="255" t="str">
        <f t="array" ref="C231">IFERROR(
   IF(INDEX([1]PCRs!B:B,MATCH(LEFT($A231,6)&amp;"*",[1]PCRs!A:A,0))="Positivo",
      "✅ Positivo",
      IF(INDEX([1]PCRs!B:B,MATCH(LEFT($A231,6)&amp;"*",[1]PCRs!A:A,0))="Negativo",
         "❌ Negativo",
         "⏳ No realizado")),
   "⏳ No realizado"
)</f>
        <v>⏳ No realizado</v>
      </c>
      <c r="D231" s="255" t="str">
        <f>IFERROR(
   CHOOSE(
      MATCH(VLOOKUP(LEFT(A278,6)&amp;"*",'Identificación genética'!A:C,2,FALSE),
               {"En proceso";"Finalizado"},0),
      "🔬 En proceso",
      "🎯 Finalizado"
   ),
"❌ NA")</f>
        <v>❌ NA</v>
      </c>
      <c r="E231" s="255" t="s">
        <v>85</v>
      </c>
      <c r="F231" s="54">
        <v>45968</v>
      </c>
      <c r="G231" t="str">
        <f>_xlfn.XLOOKUP(A231, Extraídas!A:A, Extraídas!G:G, "")</f>
        <v>Chlorophyceae</v>
      </c>
    </row>
    <row r="232" spans="1:7" x14ac:dyDescent="0.3">
      <c r="A232" s="634" t="s">
        <v>400</v>
      </c>
      <c r="B232" s="255" t="str">
        <f t="array" ref="B232">IFERROR(
   IF(INDEX([1]Extraídas!B:B,MATCH(LEFT($A232,6)&amp;"*",[1]Extraídas!A:A,0))="Extraídas",
      "✅ En proceso",
      IF(INDEX([1]Extraídas!B:B,MATCH(LEFT($A232,6)&amp;"*",[1]Extraídas!A:A,0))="Recibidas",
         "⏳ Pendiente","❌ No ingresada")),
   "❌ No ingresada"
)</f>
        <v>✅ En proceso</v>
      </c>
      <c r="C232" s="255" t="str">
        <f t="array" ref="C232">IFERROR(
   IF(INDEX([1]PCRs!B:B,MATCH(LEFT($A232,6)&amp;"*",[1]PCRs!A:A,0))="Positivo",
      "✅ Positivo",
      IF(INDEX([1]PCRs!B:B,MATCH(LEFT($A232,6)&amp;"*",[1]PCRs!A:A,0))="Negativo",
         "❌ Negativo",
         "⏳ No realizado")),
   "⏳ No realizado"
)</f>
        <v>⏳ No realizado</v>
      </c>
      <c r="D232" s="255" t="str">
        <f>IFERROR(
   CHOOSE(
      MATCH(VLOOKUP(LEFT(A279,6)&amp;"*",'Identificación genética'!A:C,2,FALSE),
               {"En proceso";"Finalizado"},0),
      "🔬 En proceso",
      "🎯 Finalizado"
   ),
"❌ NA")</f>
        <v>❌ NA</v>
      </c>
      <c r="E232" s="255" t="s">
        <v>85</v>
      </c>
      <c r="F232" s="55">
        <v>45958</v>
      </c>
      <c r="G232" t="str">
        <f>_xlfn.XLOOKUP(A232, Extraídas!A:A, Extraídas!G:G, "")</f>
        <v>Chlorophyceae</v>
      </c>
    </row>
    <row r="233" spans="1:7" x14ac:dyDescent="0.3">
      <c r="A233" s="633" t="s">
        <v>401</v>
      </c>
      <c r="B233" s="255" t="str">
        <f t="array" ref="B233">IFERROR(
   IF(INDEX([1]Extraídas!B:B,MATCH(LEFT($A233,6)&amp;"*",[1]Extraídas!A:A,0))="Extraídas",
      "✅ En proceso",
      IF(INDEX([1]Extraídas!B:B,MATCH(LEFT($A233,6)&amp;"*",[1]Extraídas!A:A,0))="Recibidas",
         "⏳ Pendiente","❌ No ingresada")),
   "❌ No ingresada"
)</f>
        <v>✅ En proceso</v>
      </c>
      <c r="C233" s="255" t="str">
        <f t="array" ref="C233">IFERROR(
   IF(INDEX([1]PCRs!B:B,MATCH(LEFT($A233,6)&amp;"*",[1]PCRs!A:A,0))="Positivo",
      "✅ Positivo",
      IF(INDEX([1]PCRs!B:B,MATCH(LEFT($A233,6)&amp;"*",[1]PCRs!A:A,0))="Negativo",
         "❌ Negativo",
         "⏳ No realizado")),
   "⏳ No realizado"
)</f>
        <v>⏳ No realizado</v>
      </c>
      <c r="D233" s="255" t="str">
        <f>IFERROR(
   CHOOSE(
      MATCH(VLOOKUP(LEFT(A280,6)&amp;"*",'Identificación genética'!A:C,2,FALSE),
               {"En proceso";"Finalizado"},0),
      "🔬 En proceso",
      "🎯 Finalizado"
   ),
"❌ NA")</f>
        <v>❌ NA</v>
      </c>
      <c r="E233" s="255" t="s">
        <v>85</v>
      </c>
      <c r="F233" s="53">
        <v>45958</v>
      </c>
      <c r="G233" t="str">
        <f>_xlfn.XLOOKUP(A233, Extraídas!A:A, Extraídas!G:G, "")</f>
        <v>Chlorophyceae</v>
      </c>
    </row>
    <row r="234" spans="1:7" x14ac:dyDescent="0.3">
      <c r="A234" s="633" t="s">
        <v>402</v>
      </c>
      <c r="B234" s="255" t="str">
        <f t="array" ref="B234">IFERROR(
   IF(INDEX([1]Extraídas!B:B,MATCH(LEFT($A234,6)&amp;"*",[1]Extraídas!A:A,0))="Extraídas",
      "✅ En proceso",
      IF(INDEX([1]Extraídas!B:B,MATCH(LEFT($A234,6)&amp;"*",[1]Extraídas!A:A,0))="Recibidas",
         "⏳ Pendiente","❌ No ingresada")),
   "❌ No ingresada"
)</f>
        <v>✅ En proceso</v>
      </c>
      <c r="C234" s="255" t="str">
        <f t="array" ref="C234">IFERROR(
   IF(INDEX([1]PCRs!B:B,MATCH(LEFT($A234,6)&amp;"*",[1]PCRs!A:A,0))="Positivo",
      "✅ Positivo",
      IF(INDEX([1]PCRs!B:B,MATCH(LEFT($A234,6)&amp;"*",[1]PCRs!A:A,0))="Negativo",
         "❌ Negativo",
         "⏳ No realizado")),
   "⏳ No realizado"
)</f>
        <v>⏳ No realizado</v>
      </c>
      <c r="D234" s="255" t="str">
        <f>IFERROR(
   CHOOSE(
      MATCH(VLOOKUP(LEFT(A281,6)&amp;"*",'Identificación genética'!A:C,2,FALSE),
               {"En proceso";"Finalizado"},0),
      "🔬 En proceso",
      "🎯 Finalizado"
   ),
"❌ NA")</f>
        <v>❌ NA</v>
      </c>
      <c r="E234" s="255" t="s">
        <v>85</v>
      </c>
      <c r="F234" s="53">
        <v>46000</v>
      </c>
      <c r="G234" t="str">
        <f>_xlfn.XLOOKUP(A234, Extraídas!A:A, Extraídas!G:G, "")</f>
        <v>macroalgas</v>
      </c>
    </row>
    <row r="235" spans="1:7" x14ac:dyDescent="0.3">
      <c r="A235" s="633" t="s">
        <v>404</v>
      </c>
      <c r="B235" s="255" t="str">
        <f t="array" ref="B235">IFERROR(
   IF(INDEX([1]Extraídas!B:B,MATCH(LEFT($A235,6)&amp;"*",[1]Extraídas!A:A,0))="Extraídas",
      "✅ En proceso",
      IF(INDEX([1]Extraídas!B:B,MATCH(LEFT($A235,6)&amp;"*",[1]Extraídas!A:A,0))="Recibidas",
         "⏳ Pendiente","❌ No ingresada")),
   "❌ No ingresada"
)</f>
        <v>✅ En proceso</v>
      </c>
      <c r="C235" s="255" t="str">
        <f t="array" ref="C235">IFERROR(
   IF(INDEX([1]PCRs!B:B,MATCH(LEFT($A235,6)&amp;"*",[1]PCRs!A:A,0))="Positivo",
      "✅ Positivo",
      IF(INDEX([1]PCRs!B:B,MATCH(LEFT($A235,6)&amp;"*",[1]PCRs!A:A,0))="Negativo",
         "❌ Negativo",
         "⏳ No realizado")),
   "⏳ No realizado"
)</f>
        <v>⏳ No realizado</v>
      </c>
      <c r="D235" s="255" t="str">
        <f>IFERROR(
   CHOOSE(
      MATCH(VLOOKUP(LEFT(A282,6)&amp;"*",'Identificación genética'!A:C,2,FALSE),
               {"En proceso";"Finalizado"},0),
      "🔬 En proceso",
      "🎯 Finalizado"
   ),
"❌ NA")</f>
        <v>❌ NA</v>
      </c>
      <c r="E235" s="255" t="s">
        <v>85</v>
      </c>
      <c r="F235" s="54">
        <v>45952</v>
      </c>
      <c r="G235" t="str">
        <f>_xlfn.XLOOKUP(A235, Extraídas!A:A, Extraídas!G:G, "")</f>
        <v>microalgas</v>
      </c>
    </row>
    <row r="236" spans="1:7" x14ac:dyDescent="0.3">
      <c r="A236" s="634" t="s">
        <v>406</v>
      </c>
      <c r="B236" s="255" t="str">
        <f t="array" ref="B236">IFERROR(
   IF(INDEX([1]Extraídas!B:B,MATCH(LEFT($A236,6)&amp;"*",[1]Extraídas!A:A,0))="Extraídas",
      "✅ En proceso",
      IF(INDEX([1]Extraídas!B:B,MATCH(LEFT($A236,6)&amp;"*",[1]Extraídas!A:A,0))="Recibidas",
         "⏳ Pendiente","❌ No ingresada")),
   "❌ No ingresada"
)</f>
        <v>✅ En proceso</v>
      </c>
      <c r="C236" s="255" t="str">
        <f t="array" ref="C236">IFERROR(
   IF(INDEX([1]PCRs!B:B,MATCH(LEFT($A236,6)&amp;"*",[1]PCRs!A:A,0))="Positivo",
      "✅ Positivo",
      IF(INDEX([1]PCRs!B:B,MATCH(LEFT($A236,6)&amp;"*",[1]PCRs!A:A,0))="Negativo",
         "❌ Negativo",
         "⏳ No realizado")),
   "⏳ No realizado"
)</f>
        <v>⏳ No realizado</v>
      </c>
      <c r="D236" s="255" t="str">
        <f>IFERROR(
   CHOOSE(
      MATCH(VLOOKUP(LEFT(A283,6)&amp;"*",'Identificación genética'!A:C,2,FALSE),
               {"En proceso";"Finalizado"},0),
      "🔬 En proceso",
      "🎯 Finalizado"
   ),
"❌ NA")</f>
        <v>❌ NA</v>
      </c>
      <c r="E236" s="255" t="s">
        <v>85</v>
      </c>
      <c r="F236" s="54">
        <v>45952</v>
      </c>
      <c r="G236" t="str">
        <f>_xlfn.XLOOKUP(A236, Extraídas!A:A, Extraídas!G:G, "")</f>
        <v>microalgas</v>
      </c>
    </row>
    <row r="237" spans="1:7" x14ac:dyDescent="0.3">
      <c r="A237" s="634" t="s">
        <v>407</v>
      </c>
      <c r="B237" s="255" t="str">
        <f t="array" ref="B237">IFERROR(
   IF(INDEX([1]Extraídas!B:B,MATCH(LEFT($A237,6)&amp;"*",[1]Extraídas!A:A,0))="Extraídas",
      "✅ En proceso",
      IF(INDEX([1]Extraídas!B:B,MATCH(LEFT($A237,6)&amp;"*",[1]Extraídas!A:A,0))="Recibidas",
         "⏳ Pendiente","❌ No ingresada")),
   "❌ No ingresada"
)</f>
        <v>✅ En proceso</v>
      </c>
      <c r="C237" s="255" t="str">
        <f t="array" ref="C237">IFERROR(
   IF(INDEX([1]PCRs!B:B,MATCH(LEFT($A237,6)&amp;"*",[1]PCRs!A:A,0))="Positivo",
      "✅ Positivo",
      IF(INDEX([1]PCRs!B:B,MATCH(LEFT($A237,6)&amp;"*",[1]PCRs!A:A,0))="Negativo",
         "❌ Negativo",
         "⏳ No realizado")),
   "⏳ No realizado"
)</f>
        <v>⏳ No realizado</v>
      </c>
      <c r="D237" s="255" t="str">
        <f>IFERROR(
   CHOOSE(
      MATCH(VLOOKUP(LEFT(A284,6)&amp;"*",'Identificación genética'!A:C,2,FALSE),
               {"En proceso";"Finalizado"},0),
      "🔬 En proceso",
      "🎯 Finalizado"
   ),
"❌ NA")</f>
        <v>❌ NA</v>
      </c>
      <c r="E237" s="255" t="s">
        <v>85</v>
      </c>
      <c r="F237" s="54">
        <v>45952</v>
      </c>
      <c r="G237" t="str">
        <f>_xlfn.XLOOKUP(A237, Extraídas!A:A, Extraídas!G:G, "")</f>
        <v>Ulvophyceae</v>
      </c>
    </row>
    <row r="238" spans="1:7" x14ac:dyDescent="0.3">
      <c r="A238" s="633" t="s">
        <v>408</v>
      </c>
      <c r="B238" s="255" t="str">
        <f t="array" ref="B238">IFERROR(
   IF(INDEX([1]Extraídas!B:B,MATCH(LEFT($A238,6)&amp;"*",[1]Extraídas!A:A,0))="Extraídas",
      "✅ En proceso",
      IF(INDEX([1]Extraídas!B:B,MATCH(LEFT($A238,6)&amp;"*",[1]Extraídas!A:A,0))="Recibidas",
         "⏳ Pendiente","❌ No ingresada")),
   "❌ No ingresada"
)</f>
        <v>✅ En proceso</v>
      </c>
      <c r="C238" s="255" t="str">
        <f t="array" ref="C238">IFERROR(
   IF(INDEX([1]PCRs!B:B,MATCH(LEFT($A238,6)&amp;"*",[1]PCRs!A:A,0))="Positivo",
      "✅ Positivo",
      IF(INDEX([1]PCRs!B:B,MATCH(LEFT($A238,6)&amp;"*",[1]PCRs!A:A,0))="Negativo",
         "❌ Negativo",
         "⏳ No realizado")),
   "⏳ No realizado"
)</f>
        <v>⏳ No realizado</v>
      </c>
      <c r="D238" s="255" t="str">
        <f>IFERROR(
   CHOOSE(
      MATCH(VLOOKUP(LEFT(A285,6)&amp;"*",'Identificación genética'!A:C,2,FALSE),
               {"En proceso";"Finalizado"},0),
      "🔬 En proceso",
      "🎯 Finalizado"
   ),
"❌ NA")</f>
        <v>❌ NA</v>
      </c>
      <c r="E238" s="255" t="s">
        <v>85</v>
      </c>
      <c r="F238" s="53">
        <v>45986</v>
      </c>
      <c r="G238" t="str">
        <f>_xlfn.XLOOKUP(A238, Extraídas!A:A, Extraídas!G:G, "")</f>
        <v>Ulvophyceae</v>
      </c>
    </row>
    <row r="239" spans="1:7" x14ac:dyDescent="0.3">
      <c r="A239" s="633" t="s">
        <v>409</v>
      </c>
      <c r="B239" s="255" t="str">
        <f t="array" ref="B239">IFERROR(
   IF(INDEX([1]Extraídas!B:B,MATCH(LEFT($A239,6)&amp;"*",[1]Extraídas!A:A,0))="Extraídas",
      "✅ En proceso",
      IF(INDEX([1]Extraídas!B:B,MATCH(LEFT($A239,6)&amp;"*",[1]Extraídas!A:A,0))="Recibidas",
         "⏳ Pendiente","❌ No ingresada")),
   "❌ No ingresada"
)</f>
        <v>✅ En proceso</v>
      </c>
      <c r="C239" s="255" t="str">
        <f t="array" ref="C239">IFERROR(
   IF(INDEX([1]PCRs!B:B,MATCH(LEFT($A239,6)&amp;"*",[1]PCRs!A:A,0))="Positivo",
      "✅ Positivo",
      IF(INDEX([1]PCRs!B:B,MATCH(LEFT($A239,6)&amp;"*",[1]PCRs!A:A,0))="Negativo",
         "❌ Negativo",
         "⏳ No realizado")),
   "⏳ No realizado"
)</f>
        <v>⏳ No realizado</v>
      </c>
      <c r="D239" s="255" t="str">
        <f>IFERROR(
   CHOOSE(
      MATCH(VLOOKUP(LEFT(A286,6)&amp;"*",'Identificación genética'!A:C,2,FALSE),
               {"En proceso";"Finalizado"},0),
      "🔬 En proceso",
      "🎯 Finalizado"
   ),
"❌ NA")</f>
        <v>❌ NA</v>
      </c>
      <c r="E239" s="255" t="s">
        <v>85</v>
      </c>
      <c r="F239" s="54">
        <v>45952</v>
      </c>
      <c r="G239" t="str">
        <f>_xlfn.XLOOKUP(A239, Extraídas!A:A, Extraídas!G:G, "")</f>
        <v>Chlorophyceae</v>
      </c>
    </row>
    <row r="240" spans="1:7" x14ac:dyDescent="0.3">
      <c r="A240" s="634" t="s">
        <v>410</v>
      </c>
      <c r="B240" s="255" t="str">
        <f t="array" ref="B240">IFERROR(
   IF(INDEX([1]Extraídas!B:B,MATCH(LEFT($A240,6)&amp;"*",[1]Extraídas!A:A,0))="Extraídas",
      "✅ En proceso",
      IF(INDEX([1]Extraídas!B:B,MATCH(LEFT($A240,6)&amp;"*",[1]Extraídas!A:A,0))="Recibidas",
         "⏳ Pendiente","❌ No ingresada")),
   "❌ No ingresada"
)</f>
        <v>✅ En proceso</v>
      </c>
      <c r="C240" s="255" t="str">
        <f t="array" ref="C240">IFERROR(
   IF(INDEX([1]PCRs!B:B,MATCH(LEFT($A240,6)&amp;"*",[1]PCRs!A:A,0))="Positivo",
      "✅ Positivo",
      IF(INDEX([1]PCRs!B:B,MATCH(LEFT($A240,6)&amp;"*",[1]PCRs!A:A,0))="Negativo",
         "❌ Negativo",
         "⏳ No realizado")),
   "⏳ No realizado"
)</f>
        <v>⏳ No realizado</v>
      </c>
      <c r="D240" s="255" t="str">
        <f>IFERROR(
   CHOOSE(
      MATCH(VLOOKUP(LEFT(A287,6)&amp;"*",'Identificación genética'!A:C,2,FALSE),
               {"En proceso";"Finalizado"},0),
      "🔬 En proceso",
      "🎯 Finalizado"
   ),
"❌ NA")</f>
        <v>❌ NA</v>
      </c>
      <c r="E240" s="255" t="s">
        <v>85</v>
      </c>
      <c r="F240" s="54">
        <v>45952</v>
      </c>
      <c r="G240" t="str">
        <f>_xlfn.XLOOKUP(A240, Extraídas!A:A, Extraídas!G:G, "")</f>
        <v>Chlorophyceae</v>
      </c>
    </row>
    <row r="241" spans="1:7" x14ac:dyDescent="0.3">
      <c r="A241" s="633" t="s">
        <v>411</v>
      </c>
      <c r="B241" s="255" t="str">
        <f t="array" ref="B241">IFERROR(
   IF(INDEX([1]Extraídas!B:B,MATCH(LEFT($A241,6)&amp;"*",[1]Extraídas!A:A,0))="Extraídas",
      "✅ En proceso",
      IF(INDEX([1]Extraídas!B:B,MATCH(LEFT($A241,6)&amp;"*",[1]Extraídas!A:A,0))="Recibidas",
         "⏳ Pendiente","❌ No ingresada")),
   "❌ No ingresada"
)</f>
        <v>✅ En proceso</v>
      </c>
      <c r="C241" s="255" t="str">
        <f t="array" ref="C241">IFERROR(
   IF(INDEX([1]PCRs!B:B,MATCH(LEFT($A241,6)&amp;"*",[1]PCRs!A:A,0))="Positivo",
      "✅ Positivo",
      IF(INDEX([1]PCRs!B:B,MATCH(LEFT($A241,6)&amp;"*",[1]PCRs!A:A,0))="Negativo",
         "❌ Negativo",
         "⏳ No realizado")),
   "⏳ No realizado"
)</f>
        <v>⏳ No realizado</v>
      </c>
      <c r="D241" s="255" t="str">
        <f>IFERROR(
   CHOOSE(
      MATCH(VLOOKUP(LEFT(A288,6)&amp;"*",'Identificación genética'!A:C,2,FALSE),
               {"En proceso";"Finalizado"},0),
      "🔬 En proceso",
      "🎯 Finalizado"
   ),
"❌ NA")</f>
        <v>🎯 Finalizado</v>
      </c>
      <c r="E241" s="255" t="s">
        <v>85</v>
      </c>
      <c r="F241" s="54">
        <v>45952</v>
      </c>
      <c r="G241" t="str">
        <f>_xlfn.XLOOKUP(A241, Extraídas!A:A, Extraídas!G:G, "")</f>
        <v>Chlorophyceae</v>
      </c>
    </row>
    <row r="242" spans="1:7" x14ac:dyDescent="0.3">
      <c r="A242" s="634" t="s">
        <v>412</v>
      </c>
      <c r="B242" s="255" t="str">
        <f t="array" ref="B242">IFERROR(
   IF(INDEX([1]Extraídas!B:B,MATCH(LEFT($A242,6)&amp;"*",[1]Extraídas!A:A,0))="Extraídas",
      "✅ En proceso",
      IF(INDEX([1]Extraídas!B:B,MATCH(LEFT($A242,6)&amp;"*",[1]Extraídas!A:A,0))="Recibidas",
         "⏳ Pendiente","❌ No ingresada")),
   "❌ No ingresada"
)</f>
        <v>✅ En proceso</v>
      </c>
      <c r="C242" s="255" t="str">
        <f t="array" ref="C242">IFERROR(
   IF(INDEX([1]PCRs!B:B,MATCH(LEFT($A242,6)&amp;"*",[1]PCRs!A:A,0))="Positivo",
      "✅ Positivo",
      IF(INDEX([1]PCRs!B:B,MATCH(LEFT($A242,6)&amp;"*",[1]PCRs!A:A,0))="Negativo",
         "❌ Negativo",
         "⏳ No realizado")),
   "⏳ No realizado"
)</f>
        <v>⏳ No realizado</v>
      </c>
      <c r="D242" s="255" t="str">
        <f>IFERROR(
   CHOOSE(
      MATCH(VLOOKUP(LEFT(A289,6)&amp;"*",'Identificación genética'!A:C,2,FALSE),
               {"En proceso";"Finalizado"},0),
      "🔬 En proceso",
      "🎯 Finalizado"
   ),
"❌ NA")</f>
        <v>❌ NA</v>
      </c>
      <c r="E242" s="255" t="s">
        <v>85</v>
      </c>
      <c r="F242" s="54">
        <v>45952</v>
      </c>
      <c r="G242" t="str">
        <f>_xlfn.XLOOKUP(A242, Extraídas!A:A, Extraídas!G:G, "")</f>
        <v>Chlorophyceae</v>
      </c>
    </row>
    <row r="243" spans="1:7" x14ac:dyDescent="0.3">
      <c r="A243" s="633" t="s">
        <v>413</v>
      </c>
      <c r="B243" s="255" t="str">
        <f t="array" ref="B243">IFERROR(
   IF(INDEX([1]Extraídas!B:B,MATCH(LEFT($A243,6)&amp;"*",[1]Extraídas!A:A,0))="Extraídas",
      "✅ En proceso",
      IF(INDEX([1]Extraídas!B:B,MATCH(LEFT($A243,6)&amp;"*",[1]Extraídas!A:A,0))="Recibidas",
         "⏳ Pendiente","❌ No ingresada")),
   "❌ No ingresada"
)</f>
        <v>✅ En proceso</v>
      </c>
      <c r="C243" s="255" t="str">
        <f t="array" ref="C243">IFERROR(
   IF(INDEX([1]PCRs!B:B,MATCH(LEFT($A243,6)&amp;"*",[1]PCRs!A:A,0))="Positivo",
      "✅ Positivo",
      IF(INDEX([1]PCRs!B:B,MATCH(LEFT($A243,6)&amp;"*",[1]PCRs!A:A,0))="Negativo",
         "❌ Negativo",
         "⏳ No realizado")),
   "⏳ No realizado"
)</f>
        <v>⏳ No realizado</v>
      </c>
      <c r="D243" s="255" t="str">
        <f>IFERROR(
   CHOOSE(
      MATCH(VLOOKUP(LEFT(A290,6)&amp;"*",'Identificación genética'!A:C,2,FALSE),
               {"En proceso";"Finalizado"},0),
      "🔬 En proceso",
      "🎯 Finalizado"
   ),
"❌ NA")</f>
        <v>❌ NA</v>
      </c>
      <c r="E243" s="255" t="s">
        <v>85</v>
      </c>
      <c r="F243" s="53">
        <v>45940</v>
      </c>
      <c r="G243" t="str">
        <f>_xlfn.XLOOKUP(A243, Extraídas!A:A, Extraídas!G:G, "")</f>
        <v>Cyanobacteria</v>
      </c>
    </row>
    <row r="244" spans="1:7" x14ac:dyDescent="0.3">
      <c r="A244" s="634" t="s">
        <v>414</v>
      </c>
      <c r="B244" s="255" t="str">
        <f t="array" ref="B244">IFERROR(
   IF(INDEX([1]Extraídas!B:B,MATCH(LEFT($A244,6)&amp;"*",[1]Extraídas!A:A,0))="Extraídas",
      "✅ En proceso",
      IF(INDEX([1]Extraídas!B:B,MATCH(LEFT($A244,6)&amp;"*",[1]Extraídas!A:A,0))="Recibidas",
         "⏳ Pendiente","❌ No ingresada")),
   "❌ No ingresada"
)</f>
        <v>✅ En proceso</v>
      </c>
      <c r="C244" s="255" t="str">
        <f t="array" ref="C244">IFERROR(
   IF(INDEX([1]PCRs!B:B,MATCH(LEFT($A244,6)&amp;"*",[1]PCRs!A:A,0))="Positivo",
      "✅ Positivo",
      IF(INDEX([1]PCRs!B:B,MATCH(LEFT($A244,6)&amp;"*",[1]PCRs!A:A,0))="Negativo",
         "❌ Negativo",
         "⏳ No realizado")),
   "⏳ No realizado"
)</f>
        <v>⏳ No realizado</v>
      </c>
      <c r="D244" s="255" t="str">
        <f>IFERROR(
   CHOOSE(
      MATCH(VLOOKUP(LEFT(A291,6)&amp;"*",'Identificación genética'!A:C,2,FALSE),
               {"En proceso";"Finalizado"},0),
      "🔬 En proceso",
      "🎯 Finalizado"
   ),
"❌ NA")</f>
        <v>❌ NA</v>
      </c>
      <c r="E244" s="255" t="s">
        <v>85</v>
      </c>
      <c r="F244" s="55">
        <v>45940</v>
      </c>
      <c r="G244" t="str">
        <f>_xlfn.XLOOKUP(A244, Extraídas!A:A, Extraídas!G:G, "")</f>
        <v>Cyanobacteria</v>
      </c>
    </row>
    <row r="245" spans="1:7" x14ac:dyDescent="0.3">
      <c r="A245" s="633" t="s">
        <v>415</v>
      </c>
      <c r="B245" s="255" t="str">
        <f t="array" ref="B245">IFERROR(
   IF(INDEX([1]Extraídas!B:B,MATCH(LEFT($A245,6)&amp;"*",[1]Extraídas!A:A,0))="Extraídas",
      "✅ En proceso",
      IF(INDEX([1]Extraídas!B:B,MATCH(LEFT($A245,6)&amp;"*",[1]Extraídas!A:A,0))="Recibidas",
         "⏳ Pendiente","❌ No ingresada")),
   "❌ No ingresada"
)</f>
        <v>✅ En proceso</v>
      </c>
      <c r="C245" s="255" t="str">
        <f t="array" ref="C245">IFERROR(
   IF(INDEX([1]PCRs!B:B,MATCH(LEFT($A245,6)&amp;"*",[1]PCRs!A:A,0))="Positivo",
      "✅ Positivo",
      IF(INDEX([1]PCRs!B:B,MATCH(LEFT($A245,6)&amp;"*",[1]PCRs!A:A,0))="Negativo",
         "❌ Negativo",
         "⏳ No realizado")),
   "⏳ No realizado"
)</f>
        <v>⏳ No realizado</v>
      </c>
      <c r="D245" s="255" t="str">
        <f>IFERROR(
   CHOOSE(
      MATCH(VLOOKUP(LEFT(A292,6)&amp;"*",'Identificación genética'!A:C,2,FALSE),
               {"En proceso";"Finalizado"},0),
      "🔬 En proceso",
      "🎯 Finalizado"
   ),
"❌ NA")</f>
        <v>❌ NA</v>
      </c>
      <c r="E245" s="255" t="s">
        <v>85</v>
      </c>
      <c r="F245" s="53">
        <v>45940</v>
      </c>
      <c r="G245" t="str">
        <f>_xlfn.XLOOKUP(A245, Extraídas!A:A, Extraídas!G:G, "")</f>
        <v>Cyanobacteria</v>
      </c>
    </row>
    <row r="246" spans="1:7" x14ac:dyDescent="0.3">
      <c r="A246" s="634" t="s">
        <v>416</v>
      </c>
      <c r="B246" s="255" t="str">
        <f t="array" ref="B246">IFERROR(
   IF(INDEX([1]Extraídas!B:B,MATCH(LEFT($A246,6)&amp;"*",[1]Extraídas!A:A,0))="Extraídas",
      "✅ En proceso",
      IF(INDEX([1]Extraídas!B:B,MATCH(LEFT($A246,6)&amp;"*",[1]Extraídas!A:A,0))="Recibidas",
         "⏳ Pendiente","❌ No ingresada")),
   "❌ No ingresada"
)</f>
        <v>✅ En proceso</v>
      </c>
      <c r="C246" s="255" t="str">
        <f t="array" ref="C246">IFERROR(
   IF(INDEX([1]PCRs!B:B,MATCH(LEFT($A246,6)&amp;"*",[1]PCRs!A:A,0))="Positivo",
      "✅ Positivo",
      IF(INDEX([1]PCRs!B:B,MATCH(LEFT($A246,6)&amp;"*",[1]PCRs!A:A,0))="Negativo",
         "❌ Negativo",
         "⏳ No realizado")),
   "⏳ No realizado"
)</f>
        <v>⏳ No realizado</v>
      </c>
      <c r="D246" s="255" t="str">
        <f>IFERROR(
   CHOOSE(
      MATCH(VLOOKUP(LEFT(A293,6)&amp;"*",'Identificación genética'!A:C,2,FALSE),
               {"En proceso";"Finalizado"},0),
      "🔬 En proceso",
      "🎯 Finalizado"
   ),
"❌ NA")</f>
        <v>🎯 Finalizado</v>
      </c>
      <c r="E246" s="255" t="s">
        <v>85</v>
      </c>
      <c r="F246" s="55">
        <v>46000</v>
      </c>
      <c r="G246" t="str">
        <f>_xlfn.XLOOKUP(A246, Extraídas!A:A, Extraídas!G:G, "")</f>
        <v>Dinophyceae</v>
      </c>
    </row>
    <row r="247" spans="1:7" x14ac:dyDescent="0.3">
      <c r="A247" s="634" t="s">
        <v>417</v>
      </c>
      <c r="B247" s="255" t="str">
        <f t="array" ref="B247">IFERROR(
   IF(INDEX([1]Extraídas!B:B,MATCH(LEFT($A247,6)&amp;"*",[1]Extraídas!A:A,0))="Extraídas",
      "✅ En proceso",
      IF(INDEX([1]Extraídas!B:B,MATCH(LEFT($A247,6)&amp;"*",[1]Extraídas!A:A,0))="Recibidas",
         "⏳ Pendiente","❌ No ingresada")),
   "❌ No ingresada"
)</f>
        <v>✅ En proceso</v>
      </c>
      <c r="C247" s="255" t="str">
        <f t="array" ref="C247">IFERROR(
   IF(INDEX([1]PCRs!B:B,MATCH(LEFT($A247,6)&amp;"*",[1]PCRs!A:A,0))="Positivo",
      "✅ Positivo",
      IF(INDEX([1]PCRs!B:B,MATCH(LEFT($A247,6)&amp;"*",[1]PCRs!A:A,0))="Negativo",
         "❌ Negativo",
         "⏳ No realizado")),
   "⏳ No realizado"
)</f>
        <v>⏳ No realizado</v>
      </c>
      <c r="D247" s="255" t="str">
        <f>IFERROR(
   CHOOSE(
      MATCH(VLOOKUP(LEFT(A294,6)&amp;"*",'Identificación genética'!A:C,2,FALSE),
               {"En proceso";"Finalizado"},0),
      "🔬 En proceso",
      "🎯 Finalizado"
   ),
"❌ NA")</f>
        <v>🎯 Finalizado</v>
      </c>
      <c r="E247" s="255" t="s">
        <v>85</v>
      </c>
      <c r="F247" s="55">
        <v>45986</v>
      </c>
      <c r="G247" t="str">
        <f>_xlfn.XLOOKUP(A247, Extraídas!A:A, Extraídas!G:G, "")</f>
        <v>Chlorophyceae</v>
      </c>
    </row>
    <row r="248" spans="1:7" x14ac:dyDescent="0.3">
      <c r="A248" s="634" t="s">
        <v>418</v>
      </c>
      <c r="B248" s="255" t="str">
        <f t="array" ref="B248">IFERROR(
   IF(INDEX([1]Extraídas!B:B,MATCH(LEFT($A248,6)&amp;"*",[1]Extraídas!A:A,0))="Extraídas",
      "✅ En proceso",
      IF(INDEX([1]Extraídas!B:B,MATCH(LEFT($A248,6)&amp;"*",[1]Extraídas!A:A,0))="Recibidas",
         "⏳ Pendiente","❌ No ingresada")),
   "❌ No ingresada"
)</f>
        <v>✅ En proceso</v>
      </c>
      <c r="C248" s="255" t="str">
        <f t="array" ref="C248">IFERROR(
   IF(INDEX([1]PCRs!B:B,MATCH(LEFT($A248,6)&amp;"*",[1]PCRs!A:A,0))="Positivo",
      "✅ Positivo",
      IF(INDEX([1]PCRs!B:B,MATCH(LEFT($A248,6)&amp;"*",[1]PCRs!A:A,0))="Negativo",
         "❌ Negativo",
         "⏳ No realizado")),
   "⏳ No realizado"
)</f>
        <v>⏳ No realizado</v>
      </c>
      <c r="D248" s="255" t="str">
        <f>IFERROR(
   CHOOSE(
      MATCH(VLOOKUP(LEFT(A295,6)&amp;"*",'Identificación genética'!A:C,2,FALSE),
               {"En proceso";"Finalizado"},0),
      "🔬 En proceso",
      "🎯 Finalizado"
   ),
"❌ NA")</f>
        <v>🎯 Finalizado</v>
      </c>
      <c r="E248" s="255" t="s">
        <v>85</v>
      </c>
      <c r="F248" s="55">
        <v>45958</v>
      </c>
      <c r="G248" t="str">
        <f>_xlfn.XLOOKUP(A248, Extraídas!A:A, Extraídas!G:G, "")</f>
        <v>Chlorophyceae</v>
      </c>
    </row>
    <row r="249" spans="1:7" x14ac:dyDescent="0.3">
      <c r="A249" s="633" t="s">
        <v>419</v>
      </c>
      <c r="B249" s="255" t="str">
        <f t="array" ref="B249">IFERROR(
   IF(INDEX([1]Extraídas!B:B,MATCH(LEFT($A249,6)&amp;"*",[1]Extraídas!A:A,0))="Extraídas",
      "✅ En proceso",
      IF(INDEX([1]Extraídas!B:B,MATCH(LEFT($A249,6)&amp;"*",[1]Extraídas!A:A,0))="Recibidas",
         "⏳ Pendiente","❌ No ingresada")),
   "❌ No ingresada"
)</f>
        <v>✅ En proceso</v>
      </c>
      <c r="C249" s="255" t="str">
        <f t="array" ref="C249">IFERROR(
   IF(INDEX([1]PCRs!B:B,MATCH(LEFT($A249,6)&amp;"*",[1]PCRs!A:A,0))="Positivo",
      "✅ Positivo",
      IF(INDEX([1]PCRs!B:B,MATCH(LEFT($A249,6)&amp;"*",[1]PCRs!A:A,0))="Negativo",
         "❌ Negativo",
         "⏳ No realizado")),
   "⏳ No realizado"
)</f>
        <v>⏳ No realizado</v>
      </c>
      <c r="D249" s="255" t="str">
        <f>IFERROR(
   CHOOSE(
      MATCH(VLOOKUP(LEFT(A296,6)&amp;"*",'Identificación genética'!A:C,2,FALSE),
               {"En proceso";"Finalizado"},0),
      "🔬 En proceso",
      "🎯 Finalizado"
   ),
"❌ NA")</f>
        <v>🎯 Finalizado</v>
      </c>
      <c r="E249" s="255" t="s">
        <v>85</v>
      </c>
      <c r="F249" s="53">
        <v>45958</v>
      </c>
      <c r="G249" t="str">
        <f>_xlfn.XLOOKUP(A249, Extraídas!A:A, Extraídas!G:G, "")</f>
        <v>Cyanobacteria</v>
      </c>
    </row>
    <row r="250" spans="1:7" x14ac:dyDescent="0.3">
      <c r="A250" s="634" t="s">
        <v>420</v>
      </c>
      <c r="B250" s="255" t="str">
        <f t="array" ref="B250">IFERROR(
   IF(INDEX([1]Extraídas!B:B,MATCH(LEFT($A250,6)&amp;"*",[1]Extraídas!A:A,0))="Extraídas",
      "✅ En proceso",
      IF(INDEX([1]Extraídas!B:B,MATCH(LEFT($A250,6)&amp;"*",[1]Extraídas!A:A,0))="Recibidas",
         "⏳ Pendiente","❌ No ingresada")),
   "❌ No ingresada"
)</f>
        <v>✅ En proceso</v>
      </c>
      <c r="C250" s="255" t="str">
        <f t="array" ref="C250">IFERROR(
   IF(INDEX([1]PCRs!B:B,MATCH(LEFT($A250,6)&amp;"*",[1]PCRs!A:A,0))="Positivo",
      "✅ Positivo",
      IF(INDEX([1]PCRs!B:B,MATCH(LEFT($A250,6)&amp;"*",[1]PCRs!A:A,0))="Negativo",
         "❌ Negativo",
         "⏳ No realizado")),
   "⏳ No realizado"
)</f>
        <v>⏳ No realizado</v>
      </c>
      <c r="D250" s="255" t="str">
        <f>IFERROR(
   CHOOSE(
      MATCH(VLOOKUP(LEFT(A297,6)&amp;"*",'Identificación genética'!A:C,2,FALSE),
               {"En proceso";"Finalizado"},0),
      "🔬 En proceso",
      "🎯 Finalizado"
   ),
"❌ NA")</f>
        <v>🎯 Finalizado</v>
      </c>
      <c r="E250" s="255" t="s">
        <v>85</v>
      </c>
      <c r="F250" s="55">
        <v>45940</v>
      </c>
      <c r="G250" t="str">
        <f>_xlfn.XLOOKUP(A250, Extraídas!A:A, Extraídas!G:G, "")</f>
        <v>Cyanobacteria</v>
      </c>
    </row>
    <row r="251" spans="1:7" x14ac:dyDescent="0.3">
      <c r="A251" s="633" t="s">
        <v>421</v>
      </c>
      <c r="B251" s="255" t="str">
        <f t="array" ref="B251">IFERROR(
   IF(INDEX([1]Extraídas!B:B,MATCH(LEFT($A251,6)&amp;"*",[1]Extraídas!A:A,0))="Extraídas",
      "✅ En proceso",
      IF(INDEX([1]Extraídas!B:B,MATCH(LEFT($A251,6)&amp;"*",[1]Extraídas!A:A,0))="Recibidas",
         "⏳ Pendiente","❌ No ingresada")),
   "❌ No ingresada"
)</f>
        <v>✅ En proceso</v>
      </c>
      <c r="C251" s="255" t="str">
        <f t="array" ref="C251">IFERROR(
   IF(INDEX([1]PCRs!B:B,MATCH(LEFT($A251,6)&amp;"*",[1]PCRs!A:A,0))="Positivo",
      "✅ Positivo",
      IF(INDEX([1]PCRs!B:B,MATCH(LEFT($A251,6)&amp;"*",[1]PCRs!A:A,0))="Negativo",
         "❌ Negativo",
         "⏳ No realizado")),
   "⏳ No realizado"
)</f>
        <v>⏳ No realizado</v>
      </c>
      <c r="D251" s="255" t="str">
        <f>IFERROR(
   CHOOSE(
      MATCH(VLOOKUP(LEFT(A298,6)&amp;"*",'Identificación genética'!A:C,2,FALSE),
               {"En proceso";"Finalizado"},0),
      "🔬 En proceso",
      "🎯 Finalizado"
   ),
"❌ NA")</f>
        <v>🎯 Finalizado</v>
      </c>
      <c r="E251" s="255" t="s">
        <v>85</v>
      </c>
      <c r="F251" s="53">
        <v>45978</v>
      </c>
      <c r="G251" t="str">
        <f>_xlfn.XLOOKUP(A251, Extraídas!A:A, Extraídas!G:G, "")</f>
        <v>Bacillariophyceae</v>
      </c>
    </row>
    <row r="252" spans="1:7" x14ac:dyDescent="0.3">
      <c r="A252" s="633" t="s">
        <v>422</v>
      </c>
      <c r="B252" s="255" t="str">
        <f t="array" ref="B252">IFERROR(
   IF(INDEX([1]Extraídas!B:B,MATCH(LEFT($A252,6)&amp;"*",[1]Extraídas!A:A,0))="Extraídas",
      "✅ En proceso",
      IF(INDEX([1]Extraídas!B:B,MATCH(LEFT($A252,6)&amp;"*",[1]Extraídas!A:A,0))="Recibidas",
         "⏳ Pendiente","❌ No ingresada")),
   "❌ No ingresada"
)</f>
        <v>✅ En proceso</v>
      </c>
      <c r="C252" s="255" t="str">
        <f t="array" ref="C252">IFERROR(
   IF(INDEX([1]PCRs!B:B,MATCH(LEFT($A252,6)&amp;"*",[1]PCRs!A:A,0))="Positivo",
      "✅ Positivo",
      IF(INDEX([1]PCRs!B:B,MATCH(LEFT($A252,6)&amp;"*",[1]PCRs!A:A,0))="Negativo",
         "❌ Negativo",
         "⏳ No realizado")),
   "⏳ No realizado"
)</f>
        <v>⏳ No realizado</v>
      </c>
      <c r="D252" s="255" t="str">
        <f>IFERROR(
   CHOOSE(
      MATCH(VLOOKUP(LEFT(A299,6)&amp;"*",'Identificación genética'!A:C,2,FALSE),
               {"En proceso";"Finalizado"},0),
      "🔬 En proceso",
      "🎯 Finalizado"
   ),
"❌ NA")</f>
        <v>🎯 Finalizado</v>
      </c>
      <c r="E252" s="255" t="s">
        <v>85</v>
      </c>
      <c r="F252" s="53">
        <v>45940</v>
      </c>
      <c r="G252" t="str">
        <f>_xlfn.XLOOKUP(A252, Extraídas!A:A, Extraídas!G:G, "")</f>
        <v>Cyanobacteria</v>
      </c>
    </row>
    <row r="253" spans="1:7" x14ac:dyDescent="0.3">
      <c r="A253" s="634" t="s">
        <v>423</v>
      </c>
      <c r="B253" s="255" t="str">
        <f t="array" ref="B253">IFERROR(
   IF(INDEX([1]Extraídas!B:B,MATCH(LEFT($A253,6)&amp;"*",[1]Extraídas!A:A,0))="Extraídas",
      "✅ En proceso",
      IF(INDEX([1]Extraídas!B:B,MATCH(LEFT($A253,6)&amp;"*",[1]Extraídas!A:A,0))="Recibidas",
         "⏳ Pendiente","❌ No ingresada")),
   "❌ No ingresada"
)</f>
        <v>✅ En proceso</v>
      </c>
      <c r="C253" s="255" t="str">
        <f t="array" ref="C253">IFERROR(
   IF(INDEX([1]PCRs!B:B,MATCH(LEFT($A253,6)&amp;"*",[1]PCRs!A:A,0))="Positivo",
      "✅ Positivo",
      IF(INDEX([1]PCRs!B:B,MATCH(LEFT($A253,6)&amp;"*",[1]PCRs!A:A,0))="Negativo",
         "❌ Negativo",
         "⏳ No realizado")),
   "⏳ No realizado"
)</f>
        <v>⏳ No realizado</v>
      </c>
      <c r="D253" s="255" t="str">
        <f>IFERROR(
   CHOOSE(
      MATCH(VLOOKUP(LEFT(A300,6)&amp;"*",'Identificación genética'!A:C,2,FALSE),
               {"En proceso";"Finalizado"},0),
      "🔬 En proceso",
      "🎯 Finalizado"
   ),
"❌ NA")</f>
        <v>🎯 Finalizado</v>
      </c>
      <c r="E253" s="255" t="s">
        <v>85</v>
      </c>
      <c r="F253" s="55">
        <v>45940</v>
      </c>
      <c r="G253" t="str">
        <f>_xlfn.XLOOKUP(A253, Extraídas!A:A, Extraídas!G:G, "")</f>
        <v>Rodophyceae</v>
      </c>
    </row>
    <row r="254" spans="1:7" x14ac:dyDescent="0.3">
      <c r="A254" s="634" t="s">
        <v>425</v>
      </c>
      <c r="B254" s="255" t="str">
        <f t="array" ref="B254">IFERROR(
   IF(INDEX([1]Extraídas!B:B,MATCH(LEFT($A254,6)&amp;"*",[1]Extraídas!A:A,0))="Extraídas",
      "✅ En proceso",
      IF(INDEX([1]Extraídas!B:B,MATCH(LEFT($A254,6)&amp;"*",[1]Extraídas!A:A,0))="Recibidas",
         "⏳ Pendiente","❌ No ingresada")),
   "❌ No ingresada"
)</f>
        <v>✅ En proceso</v>
      </c>
      <c r="C254" s="255" t="str">
        <f t="array" ref="C254">IFERROR(
   IF(INDEX([1]PCRs!B:B,MATCH(LEFT($A254,6)&amp;"*",[1]PCRs!A:A,0))="Positivo",
      "✅ Positivo",
      IF(INDEX([1]PCRs!B:B,MATCH(LEFT($A254,6)&amp;"*",[1]PCRs!A:A,0))="Negativo",
         "❌ Negativo",
         "⏳ No realizado")),
   "⏳ No realizado"
)</f>
        <v>⏳ No realizado</v>
      </c>
      <c r="D254" s="255" t="str">
        <f>IFERROR(
   CHOOSE(
      MATCH(VLOOKUP(LEFT(A301,6)&amp;"*",'Identificación genética'!A:C,2,FALSE),
               {"En proceso";"Finalizado"},0),
      "🔬 En proceso",
      "🎯 Finalizado"
   ),
"❌ NA")</f>
        <v>❌ NA</v>
      </c>
      <c r="E254" s="255" t="s">
        <v>85</v>
      </c>
      <c r="F254" s="55">
        <v>45978</v>
      </c>
      <c r="G254" t="str">
        <f>_xlfn.XLOOKUP(A254, Extraídas!A:A, Extraídas!G:G, "")</f>
        <v>Phaeophyceae</v>
      </c>
    </row>
    <row r="255" spans="1:7" x14ac:dyDescent="0.3">
      <c r="A255" s="633" t="s">
        <v>427</v>
      </c>
      <c r="B255" s="255" t="str">
        <f t="array" ref="B255">IFERROR(
   IF(INDEX([1]Extraídas!B:B,MATCH(LEFT($A255,6)&amp;"*",[1]Extraídas!A:A,0))="Extraídas",
      "✅ En proceso",
      IF(INDEX([1]Extraídas!B:B,MATCH(LEFT($A255,6)&amp;"*",[1]Extraídas!A:A,0))="Recibidas",
         "⏳ Pendiente","❌ No ingresada")),
   "❌ No ingresada"
)</f>
        <v>✅ En proceso</v>
      </c>
      <c r="C255" s="255" t="str">
        <f t="array" ref="C255">IFERROR(
   IF(INDEX([1]PCRs!B:B,MATCH(LEFT($A255,6)&amp;"*",[1]PCRs!A:A,0))="Positivo",
      "✅ Positivo",
      IF(INDEX([1]PCRs!B:B,MATCH(LEFT($A255,6)&amp;"*",[1]PCRs!A:A,0))="Negativo",
         "❌ Negativo",
         "⏳ No realizado")),
   "⏳ No realizado"
)</f>
        <v>⏳ No realizado</v>
      </c>
      <c r="D255" s="255" t="str">
        <f>IFERROR(
   CHOOSE(
      MATCH(VLOOKUP(LEFT(A302,6)&amp;"*",'Identificación genética'!A:C,2,FALSE),
               {"En proceso";"Finalizado"},0),
      "🔬 En proceso",
      "🎯 Finalizado"
   ),
"❌ NA")</f>
        <v>❌ NA</v>
      </c>
      <c r="E255" s="255" t="s">
        <v>85</v>
      </c>
      <c r="F255" s="53">
        <v>45978</v>
      </c>
      <c r="G255" t="str">
        <f>_xlfn.XLOOKUP(A255, Extraídas!A:A, Extraídas!G:G, "")</f>
        <v>Bacillariophyceae</v>
      </c>
    </row>
    <row r="256" spans="1:7" x14ac:dyDescent="0.3">
      <c r="A256" s="634" t="s">
        <v>428</v>
      </c>
      <c r="B256" s="255" t="str">
        <f t="array" ref="B256">IFERROR(
   IF(INDEX([1]Extraídas!B:B,MATCH(LEFT($A256,6)&amp;"*",[1]Extraídas!A:A,0))="Extraídas",
      "✅ En proceso",
      IF(INDEX([1]Extraídas!B:B,MATCH(LEFT($A256,6)&amp;"*",[1]Extraídas!A:A,0))="Recibidas",
         "⏳ Pendiente","❌ No ingresada")),
   "❌ No ingresada"
)</f>
        <v>✅ En proceso</v>
      </c>
      <c r="C256" s="255" t="str">
        <f t="array" ref="C256">IFERROR(
   IF(INDEX([1]PCRs!B:B,MATCH(LEFT($A256,6)&amp;"*",[1]PCRs!A:A,0))="Positivo",
      "✅ Positivo",
      IF(INDEX([1]PCRs!B:B,MATCH(LEFT($A256,6)&amp;"*",[1]PCRs!A:A,0))="Negativo",
         "❌ Negativo",
         "⏳ No realizado")),
   "⏳ No realizado"
)</f>
        <v>⏳ No realizado</v>
      </c>
      <c r="D256" s="255" t="str">
        <f>IFERROR(
   CHOOSE(
      MATCH(VLOOKUP(LEFT(A303,6)&amp;"*",'Identificación genética'!A:C,2,FALSE),
               {"En proceso";"Finalizado"},0),
      "🔬 En proceso",
      "🎯 Finalizado"
   ),
"❌ NA")</f>
        <v>❌ NA</v>
      </c>
      <c r="E256" s="255" t="s">
        <v>85</v>
      </c>
      <c r="F256" s="55">
        <v>45978</v>
      </c>
      <c r="G256" t="str">
        <f>_xlfn.XLOOKUP(A256, Extraídas!A:A, Extraídas!G:G, "")</f>
        <v>Bacillariophyceae</v>
      </c>
    </row>
    <row r="257" spans="1:7" x14ac:dyDescent="0.3">
      <c r="A257" s="633" t="s">
        <v>429</v>
      </c>
      <c r="B257" s="255" t="str">
        <f t="array" ref="B257">IFERROR(
   IF(INDEX([1]Extraídas!B:B,MATCH(LEFT($A257,6)&amp;"*",[1]Extraídas!A:A,0))="Extraídas",
      "✅ En proceso",
      IF(INDEX([1]Extraídas!B:B,MATCH(LEFT($A257,6)&amp;"*",[1]Extraídas!A:A,0))="Recibidas",
         "⏳ Pendiente","❌ No ingresada")),
   "❌ No ingresada"
)</f>
        <v>✅ En proceso</v>
      </c>
      <c r="C257" s="255" t="str">
        <f t="array" ref="C257">IFERROR(
   IF(INDEX([1]PCRs!B:B,MATCH(LEFT($A257,6)&amp;"*",[1]PCRs!A:A,0))="Positivo",
      "✅ Positivo",
      IF(INDEX([1]PCRs!B:B,MATCH(LEFT($A257,6)&amp;"*",[1]PCRs!A:A,0))="Negativo",
         "❌ Negativo",
         "⏳ No realizado")),
   "⏳ No realizado"
)</f>
        <v>⏳ No realizado</v>
      </c>
      <c r="D257" s="255" t="str">
        <f>IFERROR(
   CHOOSE(
      MATCH(VLOOKUP(LEFT(A304,6)&amp;"*",'Identificación genética'!A:C,2,FALSE),
               {"En proceso";"Finalizado"},0),
      "🔬 En proceso",
      "🎯 Finalizado"
   ),
"❌ NA")</f>
        <v>❌ NA</v>
      </c>
      <c r="E257" s="255" t="s">
        <v>85</v>
      </c>
      <c r="F257" s="53">
        <v>45978</v>
      </c>
      <c r="G257" t="str">
        <f>_xlfn.XLOOKUP(A257, Extraídas!A:A, Extraídas!G:G, "")</f>
        <v>Bacillariophyceae</v>
      </c>
    </row>
    <row r="258" spans="1:7" x14ac:dyDescent="0.3">
      <c r="A258" s="633" t="s">
        <v>430</v>
      </c>
      <c r="B258" s="255" t="str">
        <f t="array" ref="B258">IFERROR(
   IF(INDEX([1]Extraídas!B:B,MATCH(LEFT($A258,6)&amp;"*",[1]Extraídas!A:A,0))="Extraídas",
      "✅ En proceso",
      IF(INDEX([1]Extraídas!B:B,MATCH(LEFT($A258,6)&amp;"*",[1]Extraídas!A:A,0))="Recibidas",
         "⏳ Pendiente","❌ No ingresada")),
   "❌ No ingresada"
)</f>
        <v>✅ En proceso</v>
      </c>
      <c r="C258" s="255" t="str">
        <f t="array" ref="C258">IFERROR(
   IF(INDEX([1]PCRs!B:B,MATCH(LEFT($A258,6)&amp;"*",[1]PCRs!A:A,0))="Positivo",
      "✅ Positivo",
      IF(INDEX([1]PCRs!B:B,MATCH(LEFT($A258,6)&amp;"*",[1]PCRs!A:A,0))="Negativo",
         "❌ Negativo",
         "⏳ No realizado")),
   "⏳ No realizado"
)</f>
        <v>⏳ No realizado</v>
      </c>
      <c r="D258" s="255" t="str">
        <f>IFERROR(
   CHOOSE(
      MATCH(VLOOKUP(LEFT(A305,6)&amp;"*",'Identificación genética'!A:C,2,FALSE),
               {"En proceso";"Finalizado"},0),
      "🔬 En proceso",
      "🎯 Finalizado"
   ),
"❌ NA")</f>
        <v>❌ NA</v>
      </c>
      <c r="E258" s="255" t="s">
        <v>85</v>
      </c>
      <c r="F258" s="53">
        <v>45940</v>
      </c>
      <c r="G258" t="str">
        <f>_xlfn.XLOOKUP(A258, Extraídas!A:A, Extraídas!G:G, "")</f>
        <v>Bacillariophyceae</v>
      </c>
    </row>
    <row r="259" spans="1:7" x14ac:dyDescent="0.3">
      <c r="A259" s="638" t="s">
        <v>2216</v>
      </c>
      <c r="B259" s="255" t="str">
        <f>IFERROR(
   IF(INDEX(Extraídas!B:B,MATCH(LEFT($A259,6)&amp;"*",Extraídas!A:A,0))="Extraídas",
      "✅ En proceso",
      IF(INDEX(Extraídas!B:B,MATCH(LEFT($A259,6)&amp;"*",Extraídas!A:A,0))="Recibidas",
         "⏳ Pendiente","❌ No ingresada")),
   "❌ No ingresada"
)</f>
        <v>❌ No ingresada</v>
      </c>
      <c r="C259" s="255" t="str">
        <f t="array" ref="C259">IFERROR(
   IF(INDEX([1]PCRs!B:B,MATCH(LEFT($A259,6)&amp;"*",[1]PCRs!A:A,0))="Positivo",
      "✅ Positivo",
      IF(INDEX([1]PCRs!B:B,MATCH(LEFT($A259,6)&amp;"*",[1]PCRs!A:A,0))="Negativo",
         "❌ Negativo",
         "⏳ No realizado")),
   "⏳ No realizado"
)</f>
        <v>✅ Positivo</v>
      </c>
      <c r="D259" s="255" t="str">
        <f>IFERROR(
   CHOOSE(
      MATCH(VLOOKUP(LEFT(A306,6)&amp;"*",'Identificación genética'!A:C,2,FALSE),
               {"En proceso";"Finalizado"},0),
      "🔬 En proceso",
      "🎯 Finalizado"
   ),
"❌ NA")</f>
        <v>❌ NA</v>
      </c>
      <c r="E259" s="255" t="s">
        <v>85</v>
      </c>
      <c r="G259" t="str">
        <f>_xlfn.XLOOKUP(A259, Extraídas!A:A, Extraídas!G:G, "")</f>
        <v/>
      </c>
    </row>
    <row r="260" spans="1:7" x14ac:dyDescent="0.3">
      <c r="A260" s="554" t="s">
        <v>1049</v>
      </c>
      <c r="B260" s="255" t="str">
        <f>IFERROR(
   IF(INDEX(Extraídas!B:B,MATCH(LEFT($A260,6)&amp;"*",Extraídas!A:A,0))="Extraídas",
      "✅ En proceso",
      IF(INDEX(Extraídas!B:B,MATCH(LEFT($A260,6)&amp;"*",Extraídas!A:A,0))="Recibidas",
         "⏳ Pendiente","❌ No ingresada")),
   "❌ No ingresada"
)</f>
        <v>✅ En proceso</v>
      </c>
      <c r="C260" s="255" t="str">
        <f t="array" ref="C260">IFERROR(
   IF(INDEX([1]PCRs!B:B,MATCH(LEFT($A260,6)&amp;"*",[1]PCRs!A:A,0))="Positivo",
      "✅ Positivo",
      IF(INDEX([1]PCRs!B:B,MATCH(LEFT($A260,6)&amp;"*",[1]PCRs!A:A,0))="Negativo",
         "❌ Negativo",
         "⏳ No realizado")),
   "⏳ No realizado"
)</f>
        <v>❌ Negativo</v>
      </c>
      <c r="D260" s="255" t="str">
        <f>IFERROR(
   CHOOSE(
      MATCH(VLOOKUP(LEFT(A307,6)&amp;"*",'Identificación genética'!A:C,2,FALSE),
               {"En proceso";"Finalizado"},0),
      "🔬 En proceso",
      "🎯 Finalizado"
   ),
"❌ NA")</f>
        <v>❌ NA</v>
      </c>
      <c r="E260" s="255" t="s">
        <v>85</v>
      </c>
      <c r="G260" t="str">
        <f>_xlfn.XLOOKUP(A260, Extraídas!A:A, Extraídas!G:G, "")</f>
        <v/>
      </c>
    </row>
    <row r="261" spans="1:7" x14ac:dyDescent="0.3">
      <c r="A261" s="638" t="s">
        <v>431</v>
      </c>
      <c r="B261" s="255" t="str">
        <f>IFERROR(
   IF(INDEX(Extraídas!B:B,MATCH(LEFT($A261,6)&amp;"*",Extraídas!A:A,0))="Extraídas",
      "✅ En proceso",
      IF(INDEX(Extraídas!B:B,MATCH(LEFT($A261,6)&amp;"*",Extraídas!A:A,0))="Recibidas",
         "⏳ Pendiente","❌ No ingresada")),
   "❌ No ingresada"
)</f>
        <v>✅ En proceso</v>
      </c>
      <c r="C261" s="255" t="str">
        <f t="array" ref="C261">IFERROR(
   IF(INDEX([1]PCRs!B:B,MATCH(LEFT($A261,6)&amp;"*",[1]PCRs!A:A,0))="Positivo",
      "✅ Positivo",
      IF(INDEX([1]PCRs!B:B,MATCH(LEFT($A261,6)&amp;"*",[1]PCRs!A:A,0))="Negativo",
         "❌ Negativo",
         "⏳ No realizado")),
   "⏳ No realizado"
)</f>
        <v>❌ Negativo</v>
      </c>
      <c r="D261" s="255" t="str">
        <f>IFERROR(
   CHOOSE(
      MATCH(VLOOKUP(LEFT(A308,6)&amp;"*",'Identificación genética'!A:C,2,FALSE),
               {"En proceso";"Finalizado"},0),
      "🔬 En proceso",
      "🎯 Finalizado"
   ),
"❌ NA")</f>
        <v>❌ NA</v>
      </c>
      <c r="E261" s="255" t="s">
        <v>85</v>
      </c>
      <c r="F261" s="29">
        <v>45756</v>
      </c>
      <c r="G261" t="str">
        <f>_xlfn.XLOOKUP(A261, Extraídas!A:A, Extraídas!G:G, "")</f>
        <v>Cianobacterias</v>
      </c>
    </row>
    <row r="262" spans="1:7" x14ac:dyDescent="0.3">
      <c r="A262" s="640" t="s">
        <v>432</v>
      </c>
      <c r="B262" s="255" t="str">
        <f t="array" ref="B262">IFERROR(
   IF(INDEX([1]Extraídas!B:B,MATCH(LEFT($A262,6)&amp;"*",[1]Extraídas!A:A,0))="Extraídas",
      "✅ En proceso",
      IF(INDEX([1]Extraídas!B:B,MATCH(LEFT($A262,6)&amp;"*",[1]Extraídas!A:A,0))="Recibidas",
         "⏳ Pendiente","❌ No ingresada")),
   "❌ No ingresada"
)</f>
        <v>✅ En proceso</v>
      </c>
      <c r="C262" s="255" t="str">
        <f t="array" ref="C262">IFERROR(
   IF(INDEX([1]PCRs!B:B,MATCH(LEFT($A262,6)&amp;"*",[1]PCRs!A:A,0))="Positivo",
      "✅ Positivo",
      IF(INDEX([1]PCRs!B:B,MATCH(LEFT($A262,6)&amp;"*",[1]PCRs!A:A,0))="Negativo",
         "❌ Negativo",
         "⏳ No realizado")),
   "⏳ No realizado"
)</f>
        <v>⏳ No realizado</v>
      </c>
      <c r="D262" s="255" t="str">
        <f>IFERROR(
   CHOOSE(
      MATCH(VLOOKUP(LEFT(A309,6)&amp;"*",'Identificación genética'!A:C,2,FALSE),
               {"En proceso";"Finalizado"},0),
      "🔬 En proceso",
      "🎯 Finalizado"
   ),
"❌ NA")</f>
        <v>❌ NA</v>
      </c>
      <c r="E262" s="255" t="s">
        <v>85</v>
      </c>
      <c r="F262" s="98">
        <v>45933</v>
      </c>
      <c r="G262" t="str">
        <f>_xlfn.XLOOKUP(A262, Extraídas!A:A, Extraídas!G:G, "")</f>
        <v>Chlorophyceae</v>
      </c>
    </row>
    <row r="263" spans="1:7" x14ac:dyDescent="0.3">
      <c r="A263" s="640" t="s">
        <v>433</v>
      </c>
      <c r="B263" s="255" t="str">
        <f t="array" ref="B263">IFERROR(
   IF(INDEX([1]Extraídas!B:B,MATCH(LEFT($A263,6)&amp;"*",[1]Extraídas!A:A,0))="Extraídas",
      "✅ En proceso",
      IF(INDEX([1]Extraídas!B:B,MATCH(LEFT($A263,6)&amp;"*",[1]Extraídas!A:A,0))="Recibidas",
         "⏳ Pendiente","❌ No ingresada")),
   "❌ No ingresada"
)</f>
        <v>✅ En proceso</v>
      </c>
      <c r="C263" s="255" t="str">
        <f t="array" ref="C263">IFERROR(
   IF(INDEX([1]PCRs!B:B,MATCH(LEFT($A263,6)&amp;"*",[1]PCRs!A:A,0))="Positivo",
      "✅ Positivo",
      IF(INDEX([1]PCRs!B:B,MATCH(LEFT($A263,6)&amp;"*",[1]PCRs!A:A,0))="Negativo",
         "❌ Negativo",
         "⏳ No realizado")),
   "⏳ No realizado"
)</f>
        <v>⏳ No realizado</v>
      </c>
      <c r="D263" s="255" t="str">
        <f>IFERROR(
   CHOOSE(
      MATCH(VLOOKUP(LEFT(A310,6)&amp;"*",'Identificación genética'!A:C,2,FALSE),
               {"En proceso";"Finalizado"},0),
      "🔬 En proceso",
      "🎯 Finalizado"
   ),
"❌ NA")</f>
        <v>❌ NA</v>
      </c>
      <c r="E263" s="255" t="s">
        <v>85</v>
      </c>
      <c r="F263" s="98">
        <v>45933</v>
      </c>
      <c r="G263" t="str">
        <f>_xlfn.XLOOKUP(A263, Extraídas!A:A, Extraídas!G:G, "")</f>
        <v>Chlorophyceae</v>
      </c>
    </row>
    <row r="264" spans="1:7" x14ac:dyDescent="0.3">
      <c r="A264" s="640" t="s">
        <v>434</v>
      </c>
      <c r="B264" s="255" t="str">
        <f t="array" ref="B264">IFERROR(
   IF(INDEX([1]Extraídas!B:B,MATCH(LEFT($A264,6)&amp;"*",[1]Extraídas!A:A,0))="Extraídas",
      "✅ En proceso",
      IF(INDEX([1]Extraídas!B:B,MATCH(LEFT($A264,6)&amp;"*",[1]Extraídas!A:A,0))="Recibidas",
         "⏳ Pendiente","❌ No ingresada")),
   "❌ No ingresada"
)</f>
        <v>✅ En proceso</v>
      </c>
      <c r="C264" s="255" t="str">
        <f t="array" ref="C264">IFERROR(
   IF(INDEX([1]PCRs!B:B,MATCH(LEFT($A264,6)&amp;"*",[1]PCRs!A:A,0))="Positivo",
      "✅ Positivo",
      IF(INDEX([1]PCRs!B:B,MATCH(LEFT($A264,6)&amp;"*",[1]PCRs!A:A,0))="Negativo",
         "❌ Negativo",
         "⏳ No realizado")),
   "⏳ No realizado"
)</f>
        <v>⏳ No realizado</v>
      </c>
      <c r="D264" s="255" t="str">
        <f>IFERROR(
   CHOOSE(
      MATCH(VLOOKUP(LEFT(A311,6)&amp;"*",'Identificación genética'!A:C,2,FALSE),
               {"En proceso";"Finalizado"},0),
      "🔬 En proceso",
      "🎯 Finalizado"
   ),
"❌ NA")</f>
        <v>❌ NA</v>
      </c>
      <c r="E264" s="255" t="s">
        <v>85</v>
      </c>
      <c r="F264" s="98">
        <v>45933</v>
      </c>
      <c r="G264" t="str">
        <f>_xlfn.XLOOKUP(A264, Extraídas!A:A, Extraídas!G:G, "")</f>
        <v>Chlorophyceae</v>
      </c>
    </row>
    <row r="265" spans="1:7" x14ac:dyDescent="0.3">
      <c r="A265" s="638" t="s">
        <v>435</v>
      </c>
      <c r="B265" s="255" t="str">
        <f>IFERROR(
   IF(INDEX(Extraídas!B:B,MATCH(LEFT($A265,6)&amp;"*",Extraídas!A:A,0))="Extraídas",
      "✅ En proceso",
      IF(INDEX(Extraídas!B:B,MATCH(LEFT($A265,6)&amp;"*",Extraídas!A:A,0))="Recibidas",
         "⏳ Pendiente","❌ No ingresada")),
   "❌ No ingresada"
)</f>
        <v>✅ En proceso</v>
      </c>
      <c r="C265" s="255" t="str">
        <f t="array" ref="C265">IFERROR(
   IF(INDEX([1]PCRs!B:B,MATCH(LEFT($A265,6)&amp;"*",[1]PCRs!A:A,0))="Positivo",
      "✅ Positivo",
      IF(INDEX([1]PCRs!B:B,MATCH(LEFT($A265,6)&amp;"*",[1]PCRs!A:A,0))="Negativo",
         "❌ Negativo",
         "⏳ No realizado")),
   "⏳ No realizado"
)</f>
        <v>❌ Negativo</v>
      </c>
      <c r="D265" s="255" t="str">
        <f>IFERROR(
   CHOOSE(
      MATCH(VLOOKUP(LEFT(A312,6)&amp;"*",'Identificación genética'!A:C,2,FALSE),
               {"En proceso";"Finalizado"},0),
      "🔬 En proceso",
      "🎯 Finalizado"
   ),
"❌ NA")</f>
        <v>❌ NA</v>
      </c>
      <c r="E265" s="255" t="s">
        <v>85</v>
      </c>
      <c r="F265" s="95" t="s">
        <v>436</v>
      </c>
      <c r="G265" t="str">
        <f>_xlfn.XLOOKUP(A265, Extraídas!A:A, Extraídas!G:G, "")</f>
        <v>Cianobacterias</v>
      </c>
    </row>
    <row r="266" spans="1:7" x14ac:dyDescent="0.3">
      <c r="A266" s="640" t="s">
        <v>438</v>
      </c>
      <c r="B266" s="255" t="str">
        <f>IFERROR(
   IF(INDEX(Extraídas!B:B,MATCH(LEFT($A266,6)&amp;"*",Extraídas!A:A,0))="Extraídas",
      "✅ En proceso",
      IF(INDEX(Extraídas!B:B,MATCH(LEFT($A266,6)&amp;"*",Extraídas!A:A,0))="Recibidas",
         "⏳ Pendiente","❌ No ingresada")),
   "❌ No ingresada"
)</f>
        <v>✅ En proceso</v>
      </c>
      <c r="C266" s="255" t="str">
        <f t="array" ref="C266">IFERROR(
   IF(INDEX([1]PCRs!B:B,MATCH(LEFT($A266,6)&amp;"*",[1]PCRs!A:A,0))="Positivo",
      "✅ Positivo",
      IF(INDEX([1]PCRs!B:B,MATCH(LEFT($A266,6)&amp;"*",[1]PCRs!A:A,0))="Negativo",
         "❌ Negativo",
         "⏳ No realizado")),
   "⏳ No realizado"
)</f>
        <v>❌ Negativo</v>
      </c>
      <c r="D266" s="255" t="str">
        <f>IFERROR(
   CHOOSE(
      MATCH(VLOOKUP(LEFT(A313,6)&amp;"*",'Identificación genética'!A:C,2,FALSE),
               {"En proceso";"Finalizado"},0),
      "🔬 En proceso",
      "🎯 Finalizado"
   ),
"❌ NA")</f>
        <v>❌ NA</v>
      </c>
      <c r="E266" s="255" t="s">
        <v>85</v>
      </c>
      <c r="F266" s="98">
        <v>45922</v>
      </c>
      <c r="G266" t="str">
        <f>_xlfn.XLOOKUP(A266, Extraídas!A:A, Extraídas!G:G, "")</f>
        <v>Cianobacterias</v>
      </c>
    </row>
    <row r="267" spans="1:7" x14ac:dyDescent="0.3">
      <c r="A267" s="554" t="s">
        <v>1092</v>
      </c>
      <c r="B267" s="255" t="str">
        <f>IFERROR(
   IF(INDEX(Extraídas!B:B,MATCH(LEFT($A267,6)&amp;"*",Extraídas!A:A,0))="Extraídas",
      "✅ En proceso",
      IF(INDEX(Extraídas!B:B,MATCH(LEFT($A267,6)&amp;"*",Extraídas!A:A,0))="Recibidas",
         "⏳ Pendiente","❌ No ingresada")),
   "❌ No ingresada"
)</f>
        <v>✅ En proceso</v>
      </c>
      <c r="C267" s="255" t="str">
        <f t="array" ref="C267">IFERROR(
   IF(INDEX([1]PCRs!B:B,MATCH(LEFT($A267,6)&amp;"*",[1]PCRs!A:A,0))="Positivo",
      "✅ Positivo",
      IF(INDEX([1]PCRs!B:B,MATCH(LEFT($A267,6)&amp;"*",[1]PCRs!A:A,0))="Negativo",
         "❌ Negativo",
         "⏳ No realizado")),
   "⏳ No realizado"
)</f>
        <v>❌ Negativo</v>
      </c>
      <c r="D267" s="255" t="str">
        <f>IFERROR(
   CHOOSE(
      MATCH(VLOOKUP(LEFT(A314,6)&amp;"*",'Identificación genética'!A:C,2,FALSE),
               {"En proceso";"Finalizado"},0),
      "🔬 En proceso",
      "🎯 Finalizado"
   ),
"❌ NA")</f>
        <v>❌ NA</v>
      </c>
      <c r="E267" t="s">
        <v>85</v>
      </c>
      <c r="G267" t="str">
        <f>_xlfn.XLOOKUP(A267, Extraídas!A:A, Extraídas!G:G, "")</f>
        <v/>
      </c>
    </row>
    <row r="268" spans="1:7" x14ac:dyDescent="0.3">
      <c r="A268" s="638" t="s">
        <v>440</v>
      </c>
      <c r="B268" s="255" t="str">
        <f>IFERROR(
   IF(INDEX(Extraídas!B:B,MATCH(LEFT($A268,6)&amp;"*",Extraídas!A:A,0))="Extraídas",
      "✅ En proceso",
      IF(INDEX(Extraídas!B:B,MATCH(LEFT($A268,6)&amp;"*",Extraídas!A:A,0))="Recibidas",
         "⏳ Pendiente","❌ No ingresada")),
   "❌ No ingresada"
)</f>
        <v>✅ En proceso</v>
      </c>
      <c r="C268" s="255" t="str">
        <f t="array" ref="C268">IFERROR(
   IF(INDEX([1]PCRs!B:B,MATCH(LEFT($A268,6)&amp;"*",[1]PCRs!A:A,0))="Positivo",
      "✅ Positivo",
      IF(INDEX([1]PCRs!B:B,MATCH(LEFT($A268,6)&amp;"*",[1]PCRs!A:A,0))="Negativo",
         "❌ Negativo",
         "⏳ No realizado")),
   "⏳ No realizado"
)</f>
        <v>❌ Negativo</v>
      </c>
      <c r="D268" s="255" t="str">
        <f>IFERROR(
   CHOOSE(
      MATCH(VLOOKUP(LEFT(A315,6)&amp;"*",'Identificación genética'!A:C,2,FALSE),
               {"En proceso";"Finalizado"},0),
      "🔬 En proceso",
      "🎯 Finalizado"
   ),
"❌ NA")</f>
        <v>🎯 Finalizado</v>
      </c>
      <c r="E268" s="255" t="s">
        <v>85</v>
      </c>
      <c r="F268" s="29">
        <v>45756</v>
      </c>
      <c r="G268" t="str">
        <f>_xlfn.XLOOKUP(A268, Extraídas!A:A, Extraídas!G:G, "")</f>
        <v>Cianobacterias</v>
      </c>
    </row>
    <row r="269" spans="1:7" x14ac:dyDescent="0.3">
      <c r="A269" s="638" t="s">
        <v>441</v>
      </c>
      <c r="B269" s="255" t="str">
        <f>IFERROR(
   IF(INDEX(Extraídas!B:B,MATCH(LEFT($A269,6)&amp;"*",Extraídas!A:A,0))="Extraídas",
      "✅ En proceso",
      IF(INDEX(Extraídas!B:B,MATCH(LEFT($A269,6)&amp;"*",Extraídas!A:A,0))="Recibidas",
         "⏳ Pendiente","❌ No ingresada")),
   "❌ No ingresada"
)</f>
        <v>✅ En proceso</v>
      </c>
      <c r="C269" s="255" t="str">
        <f t="array" ref="C269">IFERROR(
   IF(INDEX([1]PCRs!B:B,MATCH(LEFT($A269,6)&amp;"*",[1]PCRs!A:A,0))="Positivo",
      "✅ Positivo",
      IF(INDEX([1]PCRs!B:B,MATCH(LEFT($A269,6)&amp;"*",[1]PCRs!A:A,0))="Negativo",
         "❌ Negativo",
         "⏳ No realizado")),
   "⏳ No realizado"
)</f>
        <v>❌ Negativo</v>
      </c>
      <c r="D269" s="255" t="str">
        <f>IFERROR(
   CHOOSE(
      MATCH(VLOOKUP(LEFT(A316,6)&amp;"*",'Identificación genética'!A:C,2,FALSE),
               {"En proceso";"Finalizado"},0),
      "🔬 En proceso",
      "🎯 Finalizado"
   ),
"❌ NA")</f>
        <v>🎯 Finalizado</v>
      </c>
      <c r="E269" s="255" t="s">
        <v>85</v>
      </c>
      <c r="F269" s="29">
        <v>45763</v>
      </c>
      <c r="G269" t="str">
        <f>_xlfn.XLOOKUP(A269, Extraídas!A:A, Extraídas!G:G, "")</f>
        <v>Cianobacterias</v>
      </c>
    </row>
    <row r="270" spans="1:7" x14ac:dyDescent="0.3">
      <c r="A270" s="638" t="s">
        <v>443</v>
      </c>
      <c r="B270" s="255" t="str">
        <f>IFERROR(
   IF(INDEX(Extraídas!B:B,MATCH(LEFT($A270,6)&amp;"*",Extraídas!A:A,0))="Extraídas",
      "✅ En proceso",
      IF(INDEX(Extraídas!B:B,MATCH(LEFT($A270,6)&amp;"*",Extraídas!A:A,0))="Recibidas",
         "⏳ Pendiente","❌ No ingresada")),
   "❌ No ingresada"
)</f>
        <v>✅ En proceso</v>
      </c>
      <c r="C270" s="255" t="str">
        <f t="array" ref="C270">IFERROR(
   IF(INDEX([1]PCRs!B:B,MATCH(LEFT($A270,6)&amp;"*",[1]PCRs!A:A,0))="Positivo",
      "✅ Positivo",
      IF(INDEX([1]PCRs!B:B,MATCH(LEFT($A270,6)&amp;"*",[1]PCRs!A:A,0))="Negativo",
         "❌ Negativo",
         "⏳ No realizado")),
   "⏳ No realizado"
)</f>
        <v>❌ Negativo</v>
      </c>
      <c r="D270" s="255" t="str">
        <f>IFERROR(
   CHOOSE(
      MATCH(VLOOKUP(LEFT(A317,6)&amp;"*",'Identificación genética'!A:C,2,FALSE),
               {"En proceso";"Finalizado"},0),
      "🔬 En proceso",
      "🎯 Finalizado"
   ),
"❌ NA")</f>
        <v>🎯 Finalizado</v>
      </c>
      <c r="E270" s="255" t="s">
        <v>85</v>
      </c>
      <c r="F270" s="29">
        <v>45817</v>
      </c>
      <c r="G270" t="str">
        <f>_xlfn.XLOOKUP(A270, Extraídas!A:A, Extraídas!G:G, "")</f>
        <v>Cianobacterias</v>
      </c>
    </row>
    <row r="271" spans="1:7" x14ac:dyDescent="0.3">
      <c r="A271" s="638" t="s">
        <v>444</v>
      </c>
      <c r="B271" s="255" t="str">
        <f>IFERROR(
   IF(INDEX(Extraídas!B:B,MATCH(LEFT($A271,6)&amp;"*",Extraídas!A:A,0))="Extraídas",
      "✅ En proceso",
      IF(INDEX(Extraídas!B:B,MATCH(LEFT($A271,6)&amp;"*",Extraídas!A:A,0))="Recibidas",
         "⏳ Pendiente","❌ No ingresada")),
   "❌ No ingresada"
)</f>
        <v>✅ En proceso</v>
      </c>
      <c r="C271" s="255" t="str">
        <f t="array" ref="C271">IFERROR(
   IF(INDEX([1]PCRs!B:B,MATCH(LEFT($A271,6)&amp;"*",[1]PCRs!A:A,0))="Positivo",
      "✅ Positivo",
      IF(INDEX([1]PCRs!B:B,MATCH(LEFT($A271,6)&amp;"*",[1]PCRs!A:A,0))="Negativo",
         "❌ Negativo",
         "⏳ No realizado")),
   "⏳ No realizado"
)</f>
        <v>❌ Negativo</v>
      </c>
      <c r="D271" s="255" t="str">
        <f>IFERROR(
   CHOOSE(
      MATCH(VLOOKUP(LEFT(A318,6)&amp;"*",'Identificación genética'!A:C,2,FALSE),
               {"En proceso";"Finalizado"},0),
      "🔬 En proceso",
      "🎯 Finalizado"
   ),
"❌ NA")</f>
        <v>🎯 Finalizado</v>
      </c>
      <c r="E271" s="255" t="s">
        <v>85</v>
      </c>
      <c r="F271" s="29">
        <v>45817</v>
      </c>
      <c r="G271" t="str">
        <f>_xlfn.XLOOKUP(A271, Extraídas!A:A, Extraídas!G:G, "")</f>
        <v>Cianobacterias</v>
      </c>
    </row>
    <row r="272" spans="1:7" x14ac:dyDescent="0.3">
      <c r="A272" s="639" t="s">
        <v>446</v>
      </c>
      <c r="B272" s="255" t="str">
        <f>IFERROR(
   IF(INDEX(Extraídas!B:B,MATCH(LEFT($A272,6)&amp;"*",Extraídas!A:A,0))="Extraídas",
      "✅ En proceso",
      IF(INDEX(Extraídas!B:B,MATCH(LEFT($A272,6)&amp;"*",Extraídas!A:A,0))="Recibidas",
         "⏳ Pendiente","❌ No ingresada")),
   "❌ No ingresada"
)</f>
        <v>✅ En proceso</v>
      </c>
      <c r="C272" s="255" t="str">
        <f t="array" ref="C272">IFERROR(
   IF(INDEX([1]PCRs!B:B,MATCH(LEFT($A272,6)&amp;"*",[1]PCRs!A:A,0))="Positivo",
      "✅ Positivo",
      IF(INDEX([1]PCRs!B:B,MATCH(LEFT($A272,6)&amp;"*",[1]PCRs!A:A,0))="Negativo",
         "❌ Negativo",
         "⏳ No realizado")),
   "⏳ No realizado"
)</f>
        <v>❌ Negativo</v>
      </c>
      <c r="D272" s="255" t="str">
        <f>IFERROR(
   CHOOSE(
      MATCH(VLOOKUP(LEFT(A319,6)&amp;"*",'Identificación genética'!A:C,2,FALSE),
               {"En proceso";"Finalizado"},0),
      "🔬 En proceso",
      "🎯 Finalizado"
   ),
"❌ NA")</f>
        <v>🎯 Finalizado</v>
      </c>
      <c r="E272" s="255" t="s">
        <v>85</v>
      </c>
      <c r="F272" s="29">
        <v>45733</v>
      </c>
      <c r="G272" t="str">
        <f>_xlfn.XLOOKUP(A272, Extraídas!A:A, Extraídas!G:G, "")</f>
        <v>Cianobacterias</v>
      </c>
    </row>
    <row r="273" spans="1:7" x14ac:dyDescent="0.3">
      <c r="A273" s="639" t="s">
        <v>449</v>
      </c>
      <c r="B273" s="255" t="str">
        <f>IFERROR(
   IF(INDEX(Extraídas!B:B,MATCH(LEFT($A273,6)&amp;"*",Extraídas!A:A,0))="Extraídas",
      "✅ En proceso",
      IF(INDEX(Extraídas!B:B,MATCH(LEFT($A273,6)&amp;"*",Extraídas!A:A,0))="Recibidas",
         "⏳ Pendiente","❌ No ingresada")),
   "❌ No ingresada"
)</f>
        <v>✅ En proceso</v>
      </c>
      <c r="C273" s="255" t="str">
        <f t="array" ref="C273">IFERROR(
   IF(INDEX([1]PCRs!B:B,MATCH(LEFT($A273,6)&amp;"*",[1]PCRs!A:A,0))="Positivo",
      "✅ Positivo",
      IF(INDEX([1]PCRs!B:B,MATCH(LEFT($A273,6)&amp;"*",[1]PCRs!A:A,0))="Negativo",
         "❌ Negativo",
         "⏳ No realizado")),
   "⏳ No realizado"
)</f>
        <v>✅ Positivo</v>
      </c>
      <c r="D273" s="255" t="str">
        <f>IFERROR(
   CHOOSE(
      MATCH(VLOOKUP(LEFT(A320,6)&amp;"*",'Identificación genética'!A:C,2,FALSE),
               {"En proceso";"Finalizado"},0),
      "🔬 En proceso",
      "🎯 Finalizado"
   ),
"❌ NA")</f>
        <v>🎯 Finalizado</v>
      </c>
      <c r="E273" s="255" t="s">
        <v>85</v>
      </c>
      <c r="F273" s="29">
        <v>45768</v>
      </c>
      <c r="G273" t="str">
        <f>_xlfn.XLOOKUP(A273, Extraídas!A:A, Extraídas!G:G, "")</f>
        <v>Chlorophyceae</v>
      </c>
    </row>
    <row r="274" spans="1:7" x14ac:dyDescent="0.3">
      <c r="A274" s="410" t="s">
        <v>2166</v>
      </c>
      <c r="B274" s="255" t="str">
        <f>IFERROR(
   IF(INDEX(Extraídas!B:B,MATCH(LEFT($A274,6)&amp;"*",Extraídas!A:A,0))="Extraídas",
      "✅ En proceso",
      IF(INDEX(Extraídas!B:B,MATCH(LEFT($A274,6)&amp;"*",Extraídas!A:A,0))="Recibidas",
         "⏳ Pendiente","❌ No ingresada")),
   "❌ No ingresada"
)</f>
        <v>✅ En proceso</v>
      </c>
      <c r="C274" s="255" t="str">
        <f t="array" ref="C274">IFERROR(
   IF(INDEX([1]PCRs!B:B,MATCH(LEFT($A274,6)&amp;"*",[1]PCRs!A:A,0))="Positivo",
      "✅ Positivo",
      IF(INDEX([1]PCRs!B:B,MATCH(LEFT($A274,6)&amp;"*",[1]PCRs!A:A,0))="Negativo",
         "❌ Negativo",
         "⏳ No realizado")),
   "⏳ No realizado"
)</f>
        <v>✅ Positivo</v>
      </c>
      <c r="D274" s="255" t="str">
        <f>IFERROR(
   CHOOSE(
      MATCH(VLOOKUP(LEFT(A321,6)&amp;"*",'Identificación genética'!A:C,2,FALSE),
               {"En proceso";"Finalizado"},0),
      "🔬 En proceso",
      "🎯 Finalizado"
   ),
"❌ NA")</f>
        <v>🎯 Finalizado</v>
      </c>
      <c r="E274" t="s">
        <v>85</v>
      </c>
      <c r="G274" t="str">
        <f>_xlfn.XLOOKUP(A274, Extraídas!A:A, Extraídas!G:G, "")</f>
        <v/>
      </c>
    </row>
    <row r="275" spans="1:7" x14ac:dyDescent="0.3">
      <c r="A275" s="638" t="s">
        <v>452</v>
      </c>
      <c r="B275" s="255" t="str">
        <f>IFERROR(
   IF(INDEX(Extraídas!B:B,MATCH(LEFT($A275,6)&amp;"*",Extraídas!A:A,0))="Extraídas",
      "✅ En proceso",
      IF(INDEX(Extraídas!B:B,MATCH(LEFT($A275,6)&amp;"*",Extraídas!A:A,0))="Recibidas",
         "⏳ Pendiente","❌ No ingresada")),
   "❌ No ingresada"
)</f>
        <v>✅ En proceso</v>
      </c>
      <c r="C275" s="255" t="str">
        <f t="array" ref="C275">IFERROR(
   IF(INDEX([1]PCRs!B:B,MATCH(LEFT($A275,6)&amp;"*",[1]PCRs!A:A,0))="Positivo",
      "✅ Positivo",
      IF(INDEX([1]PCRs!B:B,MATCH(LEFT($A275,6)&amp;"*",[1]PCRs!A:A,0))="Negativo",
         "❌ Negativo",
         "⏳ No realizado")),
   "⏳ No realizado"
)</f>
        <v>✅ Positivo</v>
      </c>
      <c r="D275" s="255" t="str">
        <f>IFERROR(
   CHOOSE(
      MATCH(VLOOKUP(LEFT(A322,6)&amp;"*",'Identificación genética'!A:C,2,FALSE),
               {"En proceso";"Finalizado"},0),
      "🔬 En proceso",
      "🎯 Finalizado"
   ),
"❌ NA")</f>
        <v>🎯 Finalizado</v>
      </c>
      <c r="E275" s="255" t="s">
        <v>85</v>
      </c>
      <c r="F275" s="29">
        <v>45763</v>
      </c>
      <c r="G275" t="str">
        <f>_xlfn.XLOOKUP(A275, Extraídas!A:A, Extraídas!G:G, "")</f>
        <v>Cianobacterias</v>
      </c>
    </row>
    <row r="276" spans="1:7" x14ac:dyDescent="0.3">
      <c r="A276" s="638" t="s">
        <v>453</v>
      </c>
      <c r="B276" s="255" t="str">
        <f>IFERROR(
   IF(INDEX(Extraídas!B:B,MATCH(LEFT($A276,6)&amp;"*",Extraídas!A:A,0))="Extraídas",
      "✅ En proceso",
      IF(INDEX(Extraídas!B:B,MATCH(LEFT($A276,6)&amp;"*",Extraídas!A:A,0))="Recibidas",
         "⏳ Pendiente","❌ No ingresada")),
   "❌ No ingresada"
)</f>
        <v>✅ En proceso</v>
      </c>
      <c r="C276" s="255" t="str">
        <f t="array" ref="C276">IFERROR(
   IF(INDEX([1]PCRs!B:B,MATCH(LEFT($A276,6)&amp;"*",[1]PCRs!A:A,0))="Positivo",
      "✅ Positivo",
      IF(INDEX([1]PCRs!B:B,MATCH(LEFT($A276,6)&amp;"*",[1]PCRs!A:A,0))="Negativo",
         "❌ Negativo",
         "⏳ No realizado")),
   "⏳ No realizado"
)</f>
        <v>✅ Positivo</v>
      </c>
      <c r="D276" s="255" t="str">
        <f>IFERROR(
   CHOOSE(
      MATCH(VLOOKUP(LEFT(A323,6)&amp;"*",'Identificación genética'!A:C,2,FALSE),
               {"En proceso";"Finalizado"},0),
      "🔬 En proceso",
      "🎯 Finalizado"
   ),
"❌ NA")</f>
        <v>🎯 Finalizado</v>
      </c>
      <c r="E276" s="255" t="s">
        <v>85</v>
      </c>
      <c r="F276" s="29">
        <v>45817</v>
      </c>
      <c r="G276" t="str">
        <f>_xlfn.XLOOKUP(A276, Extraídas!A:A, Extraídas!G:G, "")</f>
        <v>Cianobacterias</v>
      </c>
    </row>
    <row r="277" spans="1:7" x14ac:dyDescent="0.3">
      <c r="A277" s="559" t="s">
        <v>1915</v>
      </c>
      <c r="B277" s="255" t="str">
        <f>IFERROR(
   IF(INDEX(Extraídas!B:B,MATCH(LEFT($A277,6)&amp;"*",Extraídas!A:A,0))="Extraídas",
      "✅ En proceso",
      IF(INDEX(Extraídas!B:B,MATCH(LEFT($A277,6)&amp;"*",Extraídas!A:A,0))="Recibidas",
         "⏳ Pendiente","❌ No ingresada")),
   "❌ No ingresada"
)</f>
        <v>✅ En proceso</v>
      </c>
      <c r="C277" s="255" t="str">
        <f t="array" ref="C277">IFERROR(
   IF(INDEX([1]PCRs!B:B,MATCH(LEFT($A277,6)&amp;"*",[1]PCRs!A:A,0))="Positivo",
      "✅ Positivo",
      IF(INDEX([1]PCRs!B:B,MATCH(LEFT($A277,6)&amp;"*",[1]PCRs!A:A,0))="Negativo",
         "❌ Negativo",
         "⏳ No realizado")),
   "⏳ No realizado"
)</f>
        <v>✅ Positivo</v>
      </c>
      <c r="D277" s="255" t="str">
        <f>IFERROR(
   CHOOSE(
      MATCH(VLOOKUP(LEFT(A324,6)&amp;"*",'Identificación genética'!A:C,2,FALSE),
               {"En proceso";"Finalizado"},0),
      "🔬 En proceso",
      "🎯 Finalizado"
   ),
"❌ NA")</f>
        <v>🎯 Finalizado</v>
      </c>
      <c r="E277" t="s">
        <v>85</v>
      </c>
      <c r="G277" t="str">
        <f>_xlfn.XLOOKUP(A277, Extraídas!A:A, Extraídas!G:G, "")</f>
        <v/>
      </c>
    </row>
    <row r="278" spans="1:7" x14ac:dyDescent="0.3">
      <c r="A278" s="640" t="s">
        <v>454</v>
      </c>
      <c r="B278" s="255" t="str">
        <f t="array" ref="B278">IFERROR(
   IF(INDEX([1]Extraídas!B:B,MATCH(LEFT($A278,6)&amp;"*",[1]Extraídas!A:A,0))="Extraídas",
      "✅ En proceso",
      IF(INDEX([1]Extraídas!B:B,MATCH(LEFT($A278,6)&amp;"*",[1]Extraídas!A:A,0))="Recibidas",
         "⏳ Pendiente","❌ No ingresada")),
   "❌ No ingresada"
)</f>
        <v>✅ En proceso</v>
      </c>
      <c r="C278" s="255" t="str">
        <f t="array" ref="C278">IFERROR(
   IF(INDEX([1]PCRs!B:B,MATCH(LEFT($A278,6)&amp;"*",[1]PCRs!A:A,0))="Positivo",
      "✅ Positivo",
      IF(INDEX([1]PCRs!B:B,MATCH(LEFT($A278,6)&amp;"*",[1]PCRs!A:A,0))="Negativo",
         "❌ Negativo",
         "⏳ No realizado")),
   "⏳ No realizado"
)</f>
        <v>⏳ No realizado</v>
      </c>
      <c r="D278" s="255" t="str">
        <f>IFERROR(
   CHOOSE(
      MATCH(VLOOKUP(LEFT(A325,6)&amp;"*",'Identificación genética'!A:C,2,FALSE),
               {"En proceso";"Finalizado"},0),
      "🔬 En proceso",
      "🎯 Finalizado"
   ),
"❌ NA")</f>
        <v>🎯 Finalizado</v>
      </c>
      <c r="E278" s="255" t="s">
        <v>85</v>
      </c>
      <c r="F278" s="98">
        <v>45933</v>
      </c>
      <c r="G278" t="str">
        <f>_xlfn.XLOOKUP(A278, Extraídas!A:A, Extraídas!G:G, "")</f>
        <v>Cianobacterias</v>
      </c>
    </row>
    <row r="279" spans="1:7" x14ac:dyDescent="0.3">
      <c r="A279" s="640" t="s">
        <v>456</v>
      </c>
      <c r="B279" s="255" t="str">
        <f t="array" ref="B279">IFERROR(
   IF(INDEX([1]Extraídas!B:B,MATCH(LEFT($A279,6)&amp;"*",[1]Extraídas!A:A,0))="Extraídas",
      "✅ En proceso",
      IF(INDEX([1]Extraídas!B:B,MATCH(LEFT($A279,6)&amp;"*",[1]Extraídas!A:A,0))="Recibidas",
         "⏳ Pendiente","❌ No ingresada")),
   "❌ No ingresada"
)</f>
        <v>✅ En proceso</v>
      </c>
      <c r="C279" s="255" t="str">
        <f t="array" ref="C279">IFERROR(
   IF(INDEX([1]PCRs!B:B,MATCH(LEFT($A279,6)&amp;"*",[1]PCRs!A:A,0))="Positivo",
      "✅ Positivo",
      IF(INDEX([1]PCRs!B:B,MATCH(LEFT($A279,6)&amp;"*",[1]PCRs!A:A,0))="Negativo",
         "❌ Negativo",
         "⏳ No realizado")),
   "⏳ No realizado"
)</f>
        <v>⏳ No realizado</v>
      </c>
      <c r="D279" s="255" t="str">
        <f>IFERROR(
   CHOOSE(
      MATCH(VLOOKUP(LEFT(A326,6)&amp;"*",'Identificación genética'!A:C,2,FALSE),
               {"En proceso";"Finalizado"},0),
      "🔬 En proceso",
      "🎯 Finalizado"
   ),
"❌ NA")</f>
        <v>🎯 Finalizado</v>
      </c>
      <c r="E279" s="255" t="s">
        <v>85</v>
      </c>
      <c r="F279" s="98">
        <v>45931</v>
      </c>
      <c r="G279" t="str">
        <f>_xlfn.XLOOKUP(A279, Extraídas!A:A, Extraídas!G:G, "")</f>
        <v>Cianobacterias</v>
      </c>
    </row>
    <row r="280" spans="1:7" x14ac:dyDescent="0.3">
      <c r="A280" s="639" t="s">
        <v>457</v>
      </c>
      <c r="B280" s="255" t="str">
        <f t="array" ref="B280">IFERROR(
   IF(INDEX([1]Extraídas!B:B,MATCH(LEFT($A280,6)&amp;"*",[1]Extraídas!A:A,0))="Extraídas",
      "✅ En proceso",
      IF(INDEX([1]Extraídas!B:B,MATCH(LEFT($A280,6)&amp;"*",[1]Extraídas!A:A,0))="Recibidas",
         "⏳ Pendiente","❌ No ingresada")),
   "❌ No ingresada"
)</f>
        <v>✅ En proceso</v>
      </c>
      <c r="C280" s="255" t="str">
        <f t="array" ref="C280">IFERROR(
   IF(INDEX([1]PCRs!B:B,MATCH(LEFT($A280,6)&amp;"*",[1]PCRs!A:A,0))="Positivo",
      "✅ Positivo",
      IF(INDEX([1]PCRs!B:B,MATCH(LEFT($A280,6)&amp;"*",[1]PCRs!A:A,0))="Negativo",
         "❌ Negativo",
         "⏳ No realizado")),
   "⏳ No realizado"
)</f>
        <v>⏳ No realizado</v>
      </c>
      <c r="D280" s="255" t="str">
        <f>IFERROR(
   CHOOSE(
      MATCH(VLOOKUP(LEFT(A327,6)&amp;"*",'Identificación genética'!A:C,2,FALSE),
               {"En proceso";"Finalizado"},0),
      "🔬 En proceso",
      "🎯 Finalizado"
   ),
"❌ NA")</f>
        <v>❌ NA</v>
      </c>
      <c r="E280" s="255" t="s">
        <v>85</v>
      </c>
      <c r="F280" s="29">
        <v>45768</v>
      </c>
      <c r="G280" t="str">
        <f>_xlfn.XLOOKUP(A280, Extraídas!A:A, Extraídas!G:G, "")</f>
        <v>Chlorophyceae</v>
      </c>
    </row>
    <row r="281" spans="1:7" x14ac:dyDescent="0.3">
      <c r="A281" s="639" t="s">
        <v>458</v>
      </c>
      <c r="B281" s="255" t="str">
        <f t="array" ref="B281">IFERROR(
   IF(INDEX([1]Extraídas!B:B,MATCH(LEFT($A281,6)&amp;"*",[1]Extraídas!A:A,0))="Extraídas",
      "✅ En proceso",
      IF(INDEX([1]Extraídas!B:B,MATCH(LEFT($A281,6)&amp;"*",[1]Extraídas!A:A,0))="Recibidas",
         "⏳ Pendiente","❌ No ingresada")),
   "❌ No ingresada"
)</f>
        <v>✅ En proceso</v>
      </c>
      <c r="C281" s="255" t="str">
        <f t="array" ref="C281">IFERROR(
   IF(INDEX([1]PCRs!B:B,MATCH(LEFT($A281,6)&amp;"*",[1]PCRs!A:A,0))="Positivo",
      "✅ Positivo",
      IF(INDEX([1]PCRs!B:B,MATCH(LEFT($A281,6)&amp;"*",[1]PCRs!A:A,0))="Negativo",
         "❌ Negativo",
         "⏳ No realizado")),
   "⏳ No realizado"
)</f>
        <v>⏳ No realizado</v>
      </c>
      <c r="D281" s="255" t="str">
        <f>IFERROR(
   CHOOSE(
      MATCH(VLOOKUP(LEFT(A328,6)&amp;"*",'Identificación genética'!A:C,2,FALSE),
               {"En proceso";"Finalizado"},0),
      "🔬 En proceso",
      "🎯 Finalizado"
   ),
"❌ NA")</f>
        <v>❌ NA</v>
      </c>
      <c r="E281" s="255" t="s">
        <v>85</v>
      </c>
      <c r="F281" s="29">
        <v>45768</v>
      </c>
      <c r="G281" t="str">
        <f>_xlfn.XLOOKUP(A281, Extraídas!A:A, Extraídas!G:G, "")</f>
        <v>Chlorophyceae</v>
      </c>
    </row>
    <row r="282" spans="1:7" x14ac:dyDescent="0.3">
      <c r="A282" s="639" t="s">
        <v>459</v>
      </c>
      <c r="B282" s="255" t="str">
        <f t="array" ref="B282">IFERROR(
   IF(INDEX([1]Extraídas!B:B,MATCH(LEFT($A282,6)&amp;"*",[1]Extraídas!A:A,0))="Extraídas",
      "✅ En proceso",
      IF(INDEX([1]Extraídas!B:B,MATCH(LEFT($A282,6)&amp;"*",[1]Extraídas!A:A,0))="Recibidas",
         "⏳ Pendiente","❌ No ingresada")),
   "❌ No ingresada"
)</f>
        <v>✅ En proceso</v>
      </c>
      <c r="C282" s="255" t="str">
        <f t="array" ref="C282">IFERROR(
   IF(INDEX([1]PCRs!B:B,MATCH(LEFT($A282,6)&amp;"*",[1]PCRs!A:A,0))="Positivo",
      "✅ Positivo",
      IF(INDEX([1]PCRs!B:B,MATCH(LEFT($A282,6)&amp;"*",[1]PCRs!A:A,0))="Negativo",
         "❌ Negativo",
         "⏳ No realizado")),
   "⏳ No realizado"
)</f>
        <v>⏳ No realizado</v>
      </c>
      <c r="D282" s="255" t="str">
        <f>IFERROR(
   CHOOSE(
      MATCH(VLOOKUP(LEFT(A329,6)&amp;"*",'Identificación genética'!A:C,2,FALSE),
               {"En proceso";"Finalizado"},0),
      "🔬 En proceso",
      "🎯 Finalizado"
   ),
"❌ NA")</f>
        <v>❌ NA</v>
      </c>
      <c r="E282" s="255" t="s">
        <v>85</v>
      </c>
      <c r="F282" s="29">
        <v>45768</v>
      </c>
      <c r="G282" t="str">
        <f>_xlfn.XLOOKUP(A282, Extraídas!A:A, Extraídas!G:G, "")</f>
        <v>Chlorophyceae</v>
      </c>
    </row>
    <row r="283" spans="1:7" ht="15" thickBot="1" x14ac:dyDescent="0.35">
      <c r="A283" s="639" t="s">
        <v>460</v>
      </c>
      <c r="B283" s="255" t="str">
        <f t="array" ref="B283">IFERROR(
   IF(INDEX([1]Extraídas!B:B,MATCH(LEFT($A283,6)&amp;"*",[1]Extraídas!A:A,0))="Extraídas",
      "✅ En proceso",
      IF(INDEX([1]Extraídas!B:B,MATCH(LEFT($A283,6)&amp;"*",[1]Extraídas!A:A,0))="Recibidas",
         "⏳ Pendiente","❌ No ingresada")),
   "❌ No ingresada"
)</f>
        <v>✅ En proceso</v>
      </c>
      <c r="C283" s="255" t="str">
        <f t="array" ref="C283">IFERROR(
   IF(INDEX([1]PCRs!B:B,MATCH(LEFT($A283,6)&amp;"*",[1]PCRs!A:A,0))="Positivo",
      "✅ Positivo",
      IF(INDEX([1]PCRs!B:B,MATCH(LEFT($A283,6)&amp;"*",[1]PCRs!A:A,0))="Negativo",
         "❌ Negativo",
         "⏳ No realizado")),
   "⏳ No realizado"
)</f>
        <v>⏳ No realizado</v>
      </c>
      <c r="D283" s="255" t="str">
        <f>IFERROR(
   CHOOSE(
      MATCH(VLOOKUP(LEFT(A330,6)&amp;"*",'Identificación genética'!A:C,2,FALSE),
               {"En proceso";"Finalizado"},0),
      "🔬 En proceso",
      "🎯 Finalizado"
   ),
"❌ NA")</f>
        <v>❌ NA</v>
      </c>
      <c r="E283" s="255" t="s">
        <v>85</v>
      </c>
      <c r="F283" s="29">
        <v>45768</v>
      </c>
      <c r="G283" t="str">
        <f>_xlfn.XLOOKUP(A283, Extraídas!A:A, Extraídas!G:G, "")</f>
        <v>Chlorophyceae</v>
      </c>
    </row>
    <row r="284" spans="1:7" ht="15" thickBot="1" x14ac:dyDescent="0.35">
      <c r="A284" s="641" t="s">
        <v>461</v>
      </c>
      <c r="B284" s="255" t="str">
        <f t="array" ref="B284">IFERROR(
   IF(INDEX([1]Extraídas!B:B,MATCH(LEFT($A284,6)&amp;"*",[1]Extraídas!A:A,0))="Extraídas",
      "✅ En proceso",
      IF(INDEX([1]Extraídas!B:B,MATCH(LEFT($A284,6)&amp;"*",[1]Extraídas!A:A,0))="Recibidas",
         "⏳ Pendiente","❌ No ingresada")),
   "❌ No ingresada"
)</f>
        <v>✅ En proceso</v>
      </c>
      <c r="C284" s="255" t="str">
        <f t="array" ref="C284">IFERROR(
   IF(INDEX([1]PCRs!B:B,MATCH(LEFT($A284,6)&amp;"*",[1]PCRs!A:A,0))="Positivo",
      "✅ Positivo",
      IF(INDEX([1]PCRs!B:B,MATCH(LEFT($A284,6)&amp;"*",[1]PCRs!A:A,0))="Negativo",
         "❌ Negativo",
         "⏳ No realizado")),
   "⏳ No realizado"
)</f>
        <v>⏳ No realizado</v>
      </c>
      <c r="D284" s="255" t="str">
        <f>IFERROR(
   CHOOSE(
      MATCH(VLOOKUP(LEFT(A331,6)&amp;"*",'Identificación genética'!A:C,2,FALSE),
               {"En proceso";"Finalizado"},0),
      "🔬 En proceso",
      "🎯 Finalizado"
   ),
"❌ NA")</f>
        <v>🎯 Finalizado</v>
      </c>
      <c r="E284" s="255" t="s">
        <v>85</v>
      </c>
      <c r="F284" s="98">
        <v>45933</v>
      </c>
      <c r="G284" t="str">
        <f>_xlfn.XLOOKUP(A284, Extraídas!A:A, Extraídas!G:G, "")</f>
        <v>Trebouxiophyceae</v>
      </c>
    </row>
    <row r="285" spans="1:7" ht="15" thickBot="1" x14ac:dyDescent="0.35">
      <c r="A285" s="641" t="s">
        <v>462</v>
      </c>
      <c r="B285" s="255" t="str">
        <f t="array" ref="B285">IFERROR(
   IF(INDEX([1]Extraídas!B:B,MATCH(LEFT($A285,6)&amp;"*",[1]Extraídas!A:A,0))="Extraídas",
      "✅ En proceso",
      IF(INDEX([1]Extraídas!B:B,MATCH(LEFT($A285,6)&amp;"*",[1]Extraídas!A:A,0))="Recibidas",
         "⏳ Pendiente","❌ No ingresada")),
   "❌ No ingresada"
)</f>
        <v>✅ En proceso</v>
      </c>
      <c r="C285" s="255" t="str">
        <f t="array" ref="C285">IFERROR(
   IF(INDEX([1]PCRs!B:B,MATCH(LEFT($A285,6)&amp;"*",[1]PCRs!A:A,0))="Positivo",
      "✅ Positivo",
      IF(INDEX([1]PCRs!B:B,MATCH(LEFT($A285,6)&amp;"*",[1]PCRs!A:A,0))="Negativo",
         "❌ Negativo",
         "⏳ No realizado")),
   "⏳ No realizado"
)</f>
        <v>⏳ No realizado</v>
      </c>
      <c r="D285" s="255" t="str">
        <f>IFERROR(
   CHOOSE(
      MATCH(VLOOKUP(LEFT(A332,6)&amp;"*",'Identificación genética'!A:C,2,FALSE),
               {"En proceso";"Finalizado"},0),
      "🔬 En proceso",
      "🎯 Finalizado"
   ),
"❌ NA")</f>
        <v>🎯 Finalizado</v>
      </c>
      <c r="E285" s="255" t="s">
        <v>85</v>
      </c>
      <c r="F285" s="98">
        <v>45933</v>
      </c>
      <c r="G285" t="str">
        <f>_xlfn.XLOOKUP(A285, Extraídas!A:A, Extraídas!G:G, "")</f>
        <v>Trebouxiophyceae</v>
      </c>
    </row>
    <row r="286" spans="1:7" ht="15" thickBot="1" x14ac:dyDescent="0.35">
      <c r="A286" s="641" t="s">
        <v>463</v>
      </c>
      <c r="B286" s="255" t="str">
        <f t="array" ref="B286">IFERROR(
   IF(INDEX([1]Extraídas!B:B,MATCH(LEFT($A286,6)&amp;"*",[1]Extraídas!A:A,0))="Extraídas",
      "✅ En proceso",
      IF(INDEX([1]Extraídas!B:B,MATCH(LEFT($A286,6)&amp;"*",[1]Extraídas!A:A,0))="Recibidas",
         "⏳ Pendiente","❌ No ingresada")),
   "❌ No ingresada"
)</f>
        <v>✅ En proceso</v>
      </c>
      <c r="C286" s="255" t="str">
        <f t="array" ref="C286">IFERROR(
   IF(INDEX([1]PCRs!B:B,MATCH(LEFT($A286,6)&amp;"*",[1]PCRs!A:A,0))="Positivo",
      "✅ Positivo",
      IF(INDEX([1]PCRs!B:B,MATCH(LEFT($A286,6)&amp;"*",[1]PCRs!A:A,0))="Negativo",
         "❌ Negativo",
         "⏳ No realizado")),
   "⏳ No realizado"
)</f>
        <v>⏳ No realizado</v>
      </c>
      <c r="D286" s="255" t="str">
        <f>IFERROR(
   CHOOSE(
      MATCH(VLOOKUP(LEFT(A333,6)&amp;"*",'Identificación genética'!A:C,2,FALSE),
               {"En proceso";"Finalizado"},0),
      "🔬 En proceso",
      "🎯 Finalizado"
   ),
"❌ NA")</f>
        <v>❌ NA</v>
      </c>
      <c r="E286" s="255" t="s">
        <v>85</v>
      </c>
      <c r="F286" s="98">
        <v>45933</v>
      </c>
      <c r="G286" t="str">
        <f>_xlfn.XLOOKUP(A286, Extraídas!A:A, Extraídas!G:G, "")</f>
        <v>Trebouxiophyceae</v>
      </c>
    </row>
    <row r="287" spans="1:7" ht="15" thickBot="1" x14ac:dyDescent="0.35">
      <c r="A287" s="641" t="s">
        <v>464</v>
      </c>
      <c r="B287" s="255" t="str">
        <f t="array" ref="B287">IFERROR(
   IF(INDEX([1]Extraídas!B:B,MATCH(LEFT($A287,6)&amp;"*",[1]Extraídas!A:A,0))="Extraídas",
      "✅ En proceso",
      IF(INDEX([1]Extraídas!B:B,MATCH(LEFT($A287,6)&amp;"*",[1]Extraídas!A:A,0))="Recibidas",
         "⏳ Pendiente","❌ No ingresada")),
   "❌ No ingresada"
)</f>
        <v>✅ En proceso</v>
      </c>
      <c r="C287" s="255" t="str">
        <f t="array" ref="C287">IFERROR(
   IF(INDEX([1]PCRs!B:B,MATCH(LEFT($A287,6)&amp;"*",[1]PCRs!A:A,0))="Positivo",
      "✅ Positivo",
      IF(INDEX([1]PCRs!B:B,MATCH(LEFT($A287,6)&amp;"*",[1]PCRs!A:A,0))="Negativo",
         "❌ Negativo",
         "⏳ No realizado")),
   "⏳ No realizado"
)</f>
        <v>⏳ No realizado</v>
      </c>
      <c r="D287" s="255" t="str">
        <f>IFERROR(
   CHOOSE(
      MATCH(VLOOKUP(LEFT(A334,6)&amp;"*",'Identificación genética'!A:C,2,FALSE),
               {"En proceso";"Finalizado"},0),
      "🔬 En proceso",
      "🎯 Finalizado"
   ),
"❌ NA")</f>
        <v>❌ NA</v>
      </c>
      <c r="E287" s="255" t="s">
        <v>85</v>
      </c>
      <c r="F287" s="29">
        <v>45768</v>
      </c>
      <c r="G287" t="str">
        <f>_xlfn.XLOOKUP(A287, Extraídas!A:A, Extraídas!G:G, "")</f>
        <v>Zygnematophyceae</v>
      </c>
    </row>
    <row r="288" spans="1:7" ht="15" thickBot="1" x14ac:dyDescent="0.35">
      <c r="A288" s="642" t="s">
        <v>465</v>
      </c>
      <c r="B288" s="255" t="str">
        <f>IFERROR(
   IF(INDEX(Extraídas!B:B,MATCH(LEFT($A288,6)&amp;"*",Extraídas!A:A,0))="Extraídas",
      "✅ En proceso",
      IF(INDEX(Extraídas!B:B,MATCH(LEFT($A288,6)&amp;"*",Extraídas!A:A,0))="Recibidas",
         "⏳ Pendiente","❌ No ingresada")),
   "❌ No ingresada"
)</f>
        <v>✅ En proceso</v>
      </c>
      <c r="C288" s="255" t="str">
        <f t="array" ref="C288">IFERROR(
   IF(INDEX([1]PCRs!B:B,MATCH(LEFT($A288,6)&amp;"*",[1]PCRs!A:A,0))="Positivo",
      "✅ Positivo",
      IF(INDEX([1]PCRs!B:B,MATCH(LEFT($A288,6)&amp;"*",[1]PCRs!A:A,0))="Negativo",
         "❌ Negativo",
         "⏳ No realizado")),
   "⏳ No realizado"
)</f>
        <v>✅ Positivo</v>
      </c>
      <c r="D288" s="255" t="str">
        <f>IFERROR(
   CHOOSE(
      MATCH(VLOOKUP(LEFT(A335,6)&amp;"*",'Identificación genética'!A:C,2,FALSE),
               {"En proceso";"Finalizado"},0),
      "🔬 En proceso",
      "🎯 Finalizado"
   ),
"❌ NA")</f>
        <v>❌ NA</v>
      </c>
      <c r="E288" s="255" t="s">
        <v>85</v>
      </c>
      <c r="F288" s="29">
        <v>45763</v>
      </c>
      <c r="G288" t="str">
        <f>_xlfn.XLOOKUP(A288, Extraídas!A:A, Extraídas!G:G, "")</f>
        <v>Cianobacterias</v>
      </c>
    </row>
    <row r="289" spans="1:7" ht="15" thickBot="1" x14ac:dyDescent="0.35">
      <c r="A289" s="642" t="s">
        <v>466</v>
      </c>
      <c r="B289" s="255" t="str">
        <f t="array" ref="B289">IFERROR(
   IF(INDEX([1]Extraídas!B:B,MATCH(LEFT($A289,6)&amp;"*",[1]Extraídas!A:A,0))="Extraídas",
      "✅ En proceso",
      IF(INDEX([1]Extraídas!B:B,MATCH(LEFT($A289,6)&amp;"*",[1]Extraídas!A:A,0))="Recibidas",
         "⏳ Pendiente","❌ No ingresada")),
   "❌ No ingresada"
)</f>
        <v>✅ En proceso</v>
      </c>
      <c r="C289" s="255" t="str">
        <f t="array" ref="C289">IFERROR(
   IF(INDEX([1]PCRs!B:B,MATCH(LEFT($A289,6)&amp;"*",[1]PCRs!A:A,0))="Positivo",
      "✅ Positivo",
      IF(INDEX([1]PCRs!B:B,MATCH(LEFT($A289,6)&amp;"*",[1]PCRs!A:A,0))="Negativo",
         "❌ Negativo",
         "⏳ No realizado")),
   "⏳ No realizado"
)</f>
        <v>⏳ No realizado</v>
      </c>
      <c r="D289" s="255" t="str">
        <f>IFERROR(
   CHOOSE(
      MATCH(VLOOKUP(LEFT(A336,6)&amp;"*",'Identificación genética'!A:C,2,FALSE),
               {"En proceso";"Finalizado"},0),
      "🔬 En proceso",
      "🎯 Finalizado"
   ),
"❌ NA")</f>
        <v>❌ NA</v>
      </c>
      <c r="E289" s="255" t="s">
        <v>85</v>
      </c>
      <c r="F289" s="29">
        <v>45756</v>
      </c>
      <c r="G289" t="str">
        <f>_xlfn.XLOOKUP(A289, Extraídas!A:A, Extraídas!G:G, "")</f>
        <v>Cianobacterias</v>
      </c>
    </row>
    <row r="290" spans="1:7" ht="15" thickBot="1" x14ac:dyDescent="0.35">
      <c r="A290" s="641" t="s">
        <v>467</v>
      </c>
      <c r="B290" s="255" t="str">
        <f t="array" ref="B290">IFERROR(
   IF(INDEX([1]Extraídas!B:B,MATCH(LEFT($A290,6)&amp;"*",[1]Extraídas!A:A,0))="Extraídas",
      "✅ En proceso",
      IF(INDEX([1]Extraídas!B:B,MATCH(LEFT($A290,6)&amp;"*",[1]Extraídas!A:A,0))="Recibidas",
         "⏳ Pendiente","❌ No ingresada")),
   "❌ No ingresada"
)</f>
        <v>✅ En proceso</v>
      </c>
      <c r="C290" s="255" t="str">
        <f t="array" ref="C290">IFERROR(
   IF(INDEX([1]PCRs!B:B,MATCH(LEFT($A290,6)&amp;"*",[1]PCRs!A:A,0))="Positivo",
      "✅ Positivo",
      IF(INDEX([1]PCRs!B:B,MATCH(LEFT($A290,6)&amp;"*",[1]PCRs!A:A,0))="Negativo",
         "❌ Negativo",
         "⏳ No realizado")),
   "⏳ No realizado"
)</f>
        <v>⏳ No realizado</v>
      </c>
      <c r="D290" s="255" t="str">
        <f>IFERROR(
   CHOOSE(
      MATCH(VLOOKUP(LEFT(A337,6)&amp;"*",'Identificación genética'!A:C,2,FALSE),
               {"En proceso";"Finalizado"},0),
      "🔬 En proceso",
      "🎯 Finalizado"
   ),
"❌ NA")</f>
        <v>❌ NA</v>
      </c>
      <c r="E290" s="255" t="s">
        <v>85</v>
      </c>
      <c r="F290" s="98">
        <v>45933</v>
      </c>
      <c r="G290" t="str">
        <f>_xlfn.XLOOKUP(A290, Extraídas!A:A, Extraídas!G:G, "")</f>
        <v>Trebouxiophyceae</v>
      </c>
    </row>
    <row r="291" spans="1:7" ht="15" thickBot="1" x14ac:dyDescent="0.35">
      <c r="A291" s="641" t="s">
        <v>469</v>
      </c>
      <c r="B291" s="255" t="str">
        <f t="array" ref="B291">IFERROR(
   IF(INDEX([1]Extraídas!B:B,MATCH(LEFT($A291,6)&amp;"*",[1]Extraídas!A:A,0))="Extraídas",
      "✅ En proceso",
      IF(INDEX([1]Extraídas!B:B,MATCH(LEFT($A291,6)&amp;"*",[1]Extraídas!A:A,0))="Recibidas",
         "⏳ Pendiente","❌ No ingresada")),
   "❌ No ingresada"
)</f>
        <v>✅ En proceso</v>
      </c>
      <c r="C291" s="255" t="str">
        <f t="array" ref="C291">IFERROR(
   IF(INDEX([1]PCRs!B:B,MATCH(LEFT($A291,6)&amp;"*",[1]PCRs!A:A,0))="Positivo",
      "✅ Positivo",
      IF(INDEX([1]PCRs!B:B,MATCH(LEFT($A291,6)&amp;"*",[1]PCRs!A:A,0))="Negativo",
         "❌ Negativo",
         "⏳ No realizado")),
   "⏳ No realizado"
)</f>
        <v>⏳ No realizado</v>
      </c>
      <c r="D291" s="255" t="str">
        <f>IFERROR(
   CHOOSE(
      MATCH(VLOOKUP(LEFT(A338,6)&amp;"*",'Identificación genética'!A:C,2,FALSE),
               {"En proceso";"Finalizado"},0),
      "🔬 En proceso",
      "🎯 Finalizado"
   ),
"❌ NA")</f>
        <v>❌ NA</v>
      </c>
      <c r="E291" s="255" t="s">
        <v>85</v>
      </c>
      <c r="F291" s="98">
        <v>45933</v>
      </c>
      <c r="G291" t="str">
        <f>_xlfn.XLOOKUP(A291, Extraídas!A:A, Extraídas!G:G, "")</f>
        <v>Trebouxiophyceae</v>
      </c>
    </row>
    <row r="292" spans="1:7" ht="15" thickBot="1" x14ac:dyDescent="0.35">
      <c r="A292" s="641" t="s">
        <v>470</v>
      </c>
      <c r="B292" s="255" t="str">
        <f t="array" ref="B292">IFERROR(
   IF(INDEX([1]Extraídas!B:B,MATCH(LEFT($A292,6)&amp;"*",[1]Extraídas!A:A,0))="Extraídas",
      "✅ En proceso",
      IF(INDEX([1]Extraídas!B:B,MATCH(LEFT($A292,6)&amp;"*",[1]Extraídas!A:A,0))="Recibidas",
         "⏳ Pendiente","❌ No ingresada")),
   "❌ No ingresada"
)</f>
        <v>✅ En proceso</v>
      </c>
      <c r="C292" s="255" t="str">
        <f t="array" ref="C292">IFERROR(
   IF(INDEX([1]PCRs!B:B,MATCH(LEFT($A292,6)&amp;"*",[1]PCRs!A:A,0))="Positivo",
      "✅ Positivo",
      IF(INDEX([1]PCRs!B:B,MATCH(LEFT($A292,6)&amp;"*",[1]PCRs!A:A,0))="Negativo",
         "❌ Negativo",
         "⏳ No realizado")),
   "⏳ No realizado"
)</f>
        <v>⏳ No realizado</v>
      </c>
      <c r="D292" s="255" t="str">
        <f>IFERROR(
   CHOOSE(
      MATCH(VLOOKUP(LEFT(A339,6)&amp;"*",'Identificación genética'!A:C,2,FALSE),
               {"En proceso";"Finalizado"},0),
      "🔬 En proceso",
      "🎯 Finalizado"
   ),
"❌ NA")</f>
        <v>🎯 Finalizado</v>
      </c>
      <c r="E292" s="255" t="s">
        <v>85</v>
      </c>
      <c r="F292" s="107">
        <v>45931</v>
      </c>
      <c r="G292" t="str">
        <f>_xlfn.XLOOKUP(A292, Extraídas!A:A, Extraídas!G:G, "")</f>
        <v>Chlorophyceae</v>
      </c>
    </row>
    <row r="293" spans="1:7" ht="15" thickBot="1" x14ac:dyDescent="0.35">
      <c r="A293" s="643" t="s">
        <v>471</v>
      </c>
      <c r="B293" s="255" t="str">
        <f>IFERROR(
   IF(INDEX(Extraídas!B:B,MATCH(LEFT($A293,6)&amp;"*",Extraídas!A:A,0))="Extraídas",
      "✅ En proceso",
      IF(INDEX(Extraídas!B:B,MATCH(LEFT($A293,6)&amp;"*",Extraídas!A:A,0))="Recibidas",
         "⏳ Pendiente","❌ No ingresada")),
   "❌ No ingresada"
)</f>
        <v>✅ En proceso</v>
      </c>
      <c r="C293" s="255" t="str">
        <f t="array" ref="C293">IFERROR(
   IF(INDEX([1]PCRs!B:B,MATCH(LEFT($A293,6)&amp;"*",[1]PCRs!A:A,0))="Positivo",
      "✅ Positivo",
      IF(INDEX([1]PCRs!B:B,MATCH(LEFT($A293,6)&amp;"*",[1]PCRs!A:A,0))="Negativo",
         "❌ Negativo",
         "⏳ No realizado")),
   "⏳ No realizado"
)</f>
        <v>✅ Positivo</v>
      </c>
      <c r="D293" s="255" t="str">
        <f>IFERROR(
   CHOOSE(
      MATCH(VLOOKUP(LEFT(A340,6)&amp;"*",'Identificación genética'!A:C,2,FALSE),
               {"En proceso";"Finalizado"},0),
      "🔬 En proceso",
      "🎯 Finalizado"
   ),
"❌ NA")</f>
        <v>🎯 Finalizado</v>
      </c>
      <c r="E293" s="255" t="s">
        <v>85</v>
      </c>
      <c r="F293" s="104">
        <v>45846</v>
      </c>
      <c r="G293" t="str">
        <f>_xlfn.XLOOKUP(A293, Extraídas!A:A, Extraídas!G:G, "")</f>
        <v>Trebouxiophyceae</v>
      </c>
    </row>
    <row r="294" spans="1:7" ht="15" thickBot="1" x14ac:dyDescent="0.35">
      <c r="A294" s="557" t="s">
        <v>2292</v>
      </c>
      <c r="B294" s="255" t="str">
        <f>IFERROR(
   IF(INDEX(Extraídas!B:B,MATCH(LEFT($A294,6)&amp;"*",Extraídas!A:A,0))="Extraídas",
      "✅ En proceso",
      IF(INDEX(Extraídas!B:B,MATCH(LEFT($A294,6)&amp;"*",Extraídas!A:A,0))="Recibidas",
         "⏳ Pendiente","❌ No ingresada")),
   "❌ No ingresada"
)</f>
        <v>✅ En proceso</v>
      </c>
      <c r="C294" s="255" t="str">
        <f t="array" ref="C294">IFERROR(
   IF(INDEX([1]PCRs!B:B,MATCH(LEFT($A294,6)&amp;"*",[1]PCRs!A:A,0))="Positivo",
      "✅ Positivo",
      IF(INDEX([1]PCRs!B:B,MATCH(LEFT($A294,6)&amp;"*",[1]PCRs!A:A,0))="Negativo",
         "❌ Negativo",
         "⏳ No realizado")),
   "⏳ No realizado"
)</f>
        <v>✅ Positivo</v>
      </c>
      <c r="D294" s="255" t="str">
        <f>IFERROR(
   CHOOSE(
      MATCH(VLOOKUP(LEFT(A341,6)&amp;"*",'Identificación genética'!A:C,2,FALSE),
               {"En proceso";"Finalizado"},0),
      "🔬 En proceso",
      "🎯 Finalizado"
   ),
"❌ NA")</f>
        <v>🎯 Finalizado</v>
      </c>
      <c r="E294" t="s">
        <v>85</v>
      </c>
      <c r="F294" s="582"/>
      <c r="G294" t="str">
        <f>_xlfn.XLOOKUP(A294, Extraídas!A:A, Extraídas!G:G, "")</f>
        <v/>
      </c>
    </row>
    <row r="295" spans="1:7" ht="15" thickBot="1" x14ac:dyDescent="0.35">
      <c r="A295" s="557" t="s">
        <v>1099</v>
      </c>
      <c r="B295" s="255" t="str">
        <f>IFERROR(
   IF(INDEX(Extraídas!B:B,MATCH(LEFT($A295,6)&amp;"*",Extraídas!A:A,0))="Extraídas",
      "✅ En proceso",
      IF(INDEX(Extraídas!B:B,MATCH(LEFT($A295,6)&amp;"*",Extraídas!A:A,0))="Recibidas",
         "⏳ Pendiente","❌ No ingresada")),
   "❌ No ingresada"
)</f>
        <v>✅ En proceso</v>
      </c>
      <c r="C295" s="255" t="str">
        <f t="array" ref="C295">IFERROR(
   IF(INDEX([1]PCRs!B:B,MATCH(LEFT($A295,6)&amp;"*",[1]PCRs!A:A,0))="Positivo",
      "✅ Positivo",
      IF(INDEX([1]PCRs!B:B,MATCH(LEFT($A295,6)&amp;"*",[1]PCRs!A:A,0))="Negativo",
         "❌ Negativo",
         "⏳ No realizado")),
   "⏳ No realizado"
)</f>
        <v>✅ Positivo</v>
      </c>
      <c r="D295" s="255" t="str">
        <f>IFERROR(
   CHOOSE(
      MATCH(VLOOKUP(LEFT(A342,6)&amp;"*",'Identificación genética'!A:C,2,FALSE),
               {"En proceso";"Finalizado"},0),
      "🔬 En proceso",
      "🎯 Finalizado"
   ),
"❌ NA")</f>
        <v>❌ NA</v>
      </c>
      <c r="E295" t="s">
        <v>85</v>
      </c>
      <c r="F295" s="582"/>
      <c r="G295" t="str">
        <f>_xlfn.XLOOKUP(A295, Extraídas!A:A, Extraídas!G:G, "")</f>
        <v/>
      </c>
    </row>
    <row r="296" spans="1:7" ht="15" thickBot="1" x14ac:dyDescent="0.35">
      <c r="A296" s="566" t="s">
        <v>1101</v>
      </c>
      <c r="B296" s="255" t="str">
        <f>IFERROR(
   IF(INDEX(Extraídas!B:B,MATCH(LEFT($A296,6)&amp;"*",Extraídas!A:A,0))="Extraídas",
      "✅ En proceso",
      IF(INDEX(Extraídas!B:B,MATCH(LEFT($A296,6)&amp;"*",Extraídas!A:A,0))="Recibidas",
         "⏳ Pendiente","❌ No ingresada")),
   "❌ No ingresada"
)</f>
        <v>✅ En proceso</v>
      </c>
      <c r="C296" s="255" t="str">
        <f t="array" ref="C296">IFERROR(
   IF(INDEX([1]PCRs!B:B,MATCH(LEFT($A296,6)&amp;"*",[1]PCRs!A:A,0))="Positivo",
      "✅ Positivo",
      IF(INDEX([1]PCRs!B:B,MATCH(LEFT($A296,6)&amp;"*",[1]PCRs!A:A,0))="Negativo",
         "❌ Negativo",
         "⏳ No realizado")),
   "⏳ No realizado"
)</f>
        <v>✅ Positivo</v>
      </c>
      <c r="D296" s="255" t="str">
        <f>IFERROR(
   CHOOSE(
      MATCH(VLOOKUP(LEFT(A343,6)&amp;"*",'Identificación genética'!A:C,2,FALSE),
               {"En proceso";"Finalizado"},0),
      "🔬 En proceso",
      "🎯 Finalizado"
   ),
"❌ NA")</f>
        <v>❌ NA</v>
      </c>
      <c r="E296" t="s">
        <v>85</v>
      </c>
      <c r="F296" s="582"/>
      <c r="G296" t="str">
        <f>_xlfn.XLOOKUP(A296, Extraídas!A:A, Extraídas!G:G, "")</f>
        <v/>
      </c>
    </row>
    <row r="297" spans="1:7" ht="15" thickBot="1" x14ac:dyDescent="0.35">
      <c r="A297" s="642" t="s">
        <v>472</v>
      </c>
      <c r="B297" s="255" t="str">
        <f>IFERROR(
   IF(INDEX(Extraídas!B:B,MATCH(LEFT($A297,6)&amp;"*",Extraídas!A:A,0))="Extraídas",
      "✅ En proceso",
      IF(INDEX(Extraídas!B:B,MATCH(LEFT($A297,6)&amp;"*",Extraídas!A:A,0))="Recibidas",
         "⏳ Pendiente","❌ No ingresada")),
   "❌ No ingresada"
)</f>
        <v>✅ En proceso</v>
      </c>
      <c r="C297" s="255" t="str">
        <f t="array" ref="C297">IFERROR(
   IF(INDEX([1]PCRs!B:B,MATCH(LEFT($A297,6)&amp;"*",[1]PCRs!A:A,0))="Positivo",
      "✅ Positivo",
      IF(INDEX([1]PCRs!B:B,MATCH(LEFT($A297,6)&amp;"*",[1]PCRs!A:A,0))="Negativo",
         "❌ Negativo",
         "⏳ No realizado")),
   "⏳ No realizado"
)</f>
        <v>✅ Positivo</v>
      </c>
      <c r="D297" s="255" t="str">
        <f>IFERROR(
   CHOOSE(
      MATCH(VLOOKUP(LEFT(A344,6)&amp;"*",'Identificación genética'!A:C,2,FALSE),
               {"En proceso";"Finalizado"},0),
      "🔬 En proceso",
      "🎯 Finalizado"
   ),
"❌ NA")</f>
        <v>🎯 Finalizado</v>
      </c>
      <c r="E297" s="255" t="s">
        <v>85</v>
      </c>
      <c r="F297" s="104">
        <v>45817</v>
      </c>
      <c r="G297" t="str">
        <f>_xlfn.XLOOKUP(A297, Extraídas!A:A, Extraídas!G:G, "")</f>
        <v>Cianobacterias</v>
      </c>
    </row>
    <row r="298" spans="1:7" ht="15" thickBot="1" x14ac:dyDescent="0.35">
      <c r="A298" s="557" t="s">
        <v>2183</v>
      </c>
      <c r="B298" s="255" t="str">
        <f>IFERROR(
   IF(INDEX(Extraídas!B:B,MATCH(LEFT($A298,6)&amp;"*",Extraídas!A:A,0))="Extraídas",
      "✅ En proceso",
      IF(INDEX(Extraídas!B:B,MATCH(LEFT($A298,6)&amp;"*",Extraídas!A:A,0))="Recibidas",
         "⏳ Pendiente","❌ No ingresada")),
   "❌ No ingresada"
)</f>
        <v>✅ En proceso</v>
      </c>
      <c r="C298" s="255" t="str">
        <f t="array" ref="C298">IFERROR(
   IF(INDEX([1]PCRs!B:B,MATCH(LEFT($A298,6)&amp;"*",[1]PCRs!A:A,0))="Positivo",
      "✅ Positivo",
      IF(INDEX([1]PCRs!B:B,MATCH(LEFT($A298,6)&amp;"*",[1]PCRs!A:A,0))="Negativo",
         "❌ Negativo",
         "⏳ No realizado")),
   "⏳ No realizado"
)</f>
        <v>✅ Positivo</v>
      </c>
      <c r="D298" s="255" t="str">
        <f>IFERROR(
   CHOOSE(
      MATCH(VLOOKUP(LEFT(A345,6)&amp;"*",'Identificación genética'!A:C,2,FALSE),
               {"En proceso";"Finalizado"},0),
      "🔬 En proceso",
      "🎯 Finalizado"
   ),
"❌ NA")</f>
        <v>🎯 Finalizado</v>
      </c>
      <c r="E298" t="s">
        <v>85</v>
      </c>
      <c r="F298" s="582"/>
      <c r="G298" t="str">
        <f>_xlfn.XLOOKUP(A298, Extraídas!A:A, Extraídas!G:G, "")</f>
        <v/>
      </c>
    </row>
    <row r="299" spans="1:7" ht="15" thickBot="1" x14ac:dyDescent="0.35">
      <c r="A299" s="557" t="s">
        <v>2184</v>
      </c>
      <c r="B299" s="255" t="str">
        <f>IFERROR(
   IF(INDEX(Extraídas!B:B,MATCH(LEFT($A299,6)&amp;"*",Extraídas!A:A,0))="Extraídas",
      "✅ En proceso",
      IF(INDEX(Extraídas!B:B,MATCH(LEFT($A299,6)&amp;"*",Extraídas!A:A,0))="Recibidas",
         "⏳ Pendiente","❌ No ingresada")),
   "❌ No ingresada"
)</f>
        <v>✅ En proceso</v>
      </c>
      <c r="C299" s="255" t="str">
        <f t="array" ref="C299">IFERROR(
   IF(INDEX([1]PCRs!B:B,MATCH(LEFT($A299,6)&amp;"*",[1]PCRs!A:A,0))="Positivo",
      "✅ Positivo",
      IF(INDEX([1]PCRs!B:B,MATCH(LEFT($A299,6)&amp;"*",[1]PCRs!A:A,0))="Negativo",
         "❌ Negativo",
         "⏳ No realizado")),
   "⏳ No realizado"
)</f>
        <v>✅ Positivo</v>
      </c>
      <c r="D299" s="255" t="str">
        <f>IFERROR(
   CHOOSE(
      MATCH(VLOOKUP(LEFT(A346,6)&amp;"*",'Identificación genética'!A:C,2,FALSE),
               {"En proceso";"Finalizado"},0),
      "🔬 En proceso",
      "🎯 Finalizado"
   ),
"❌ NA")</f>
        <v>🎯 Finalizado</v>
      </c>
      <c r="E299" t="s">
        <v>85</v>
      </c>
      <c r="F299" s="582"/>
      <c r="G299" t="str">
        <f>_xlfn.XLOOKUP(A299, Extraídas!A:A, Extraídas!G:G, "")</f>
        <v/>
      </c>
    </row>
    <row r="300" spans="1:7" ht="15" thickBot="1" x14ac:dyDescent="0.35">
      <c r="A300" s="641" t="s">
        <v>473</v>
      </c>
      <c r="B300" s="255" t="str">
        <f>IFERROR(
   IF(INDEX(Extraídas!B:B,MATCH(LEFT($A300,6)&amp;"*",Extraídas!A:A,0))="Extraídas",
      "✅ En proceso",
      IF(INDEX(Extraídas!B:B,MATCH(LEFT($A300,6)&amp;"*",Extraídas!A:A,0))="Recibidas",
         "⏳ Pendiente","❌ No ingresada")),
   "❌ No ingresada"
)</f>
        <v>✅ En proceso</v>
      </c>
      <c r="C300" s="255" t="str">
        <f t="array" ref="C300">IFERROR(
   IF(INDEX([1]PCRs!B:B,MATCH(LEFT($A300,6)&amp;"*",[1]PCRs!A:A,0))="Positivo",
      "✅ Positivo",
      IF(INDEX([1]PCRs!B:B,MATCH(LEFT($A300,6)&amp;"*",[1]PCRs!A:A,0))="Negativo",
         "❌ Negativo",
         "⏳ No realizado")),
   "⏳ No realizado"
)</f>
        <v>✅ Positivo</v>
      </c>
      <c r="D300" s="255" t="str">
        <f>IFERROR(
   CHOOSE(
      MATCH(VLOOKUP(LEFT(A347,6)&amp;"*",'Identificación genética'!A:C,2,FALSE),
               {"En proceso";"Finalizado"},0),
      "🔬 En proceso",
      "🎯 Finalizado"
   ),
"❌ NA")</f>
        <v>🎯 Finalizado</v>
      </c>
      <c r="E300" s="255" t="s">
        <v>85</v>
      </c>
      <c r="F300" s="107">
        <v>45922</v>
      </c>
      <c r="G300" t="str">
        <f>_xlfn.XLOOKUP(A300, Extraídas!A:A, Extraídas!G:G, "")</f>
        <v>Cianobacterias</v>
      </c>
    </row>
    <row r="301" spans="1:7" ht="15" thickBot="1" x14ac:dyDescent="0.35">
      <c r="A301" s="641" t="s">
        <v>474</v>
      </c>
      <c r="B301" s="255" t="str">
        <f t="array" ref="B301">IFERROR(
   IF(INDEX([1]Extraídas!B:B,MATCH(LEFT($A301,6)&amp;"*",[1]Extraídas!A:A,0))="Extraídas",
      "✅ En proceso",
      IF(INDEX([1]Extraídas!B:B,MATCH(LEFT($A301,6)&amp;"*",[1]Extraídas!A:A,0))="Recibidas",
         "⏳ Pendiente","❌ No ingresada")),
   "❌ No ingresada"
)</f>
        <v>✅ En proceso</v>
      </c>
      <c r="C301" s="255" t="str">
        <f t="array" ref="C301">IFERROR(
   IF(INDEX([1]PCRs!B:B,MATCH(LEFT($A301,6)&amp;"*",[1]PCRs!A:A,0))="Positivo",
      "✅ Positivo",
      IF(INDEX([1]PCRs!B:B,MATCH(LEFT($A301,6)&amp;"*",[1]PCRs!A:A,0))="Negativo",
         "❌ Negativo",
         "⏳ No realizado")),
   "⏳ No realizado"
)</f>
        <v>⏳ No realizado</v>
      </c>
      <c r="D301" s="255" t="str">
        <f>IFERROR(
   CHOOSE(
      MATCH(VLOOKUP(LEFT(A348,6)&amp;"*",'Identificación genética'!A:C,2,FALSE),
               {"En proceso";"Finalizado"},0),
      "🔬 En proceso",
      "🎯 Finalizado"
   ),
"❌ NA")</f>
        <v>🎯 Finalizado</v>
      </c>
      <c r="E301" s="255" t="s">
        <v>85</v>
      </c>
      <c r="F301" s="107">
        <v>45940</v>
      </c>
      <c r="G301" t="str">
        <f>_xlfn.XLOOKUP(A301, Extraídas!A:A, Extraídas!G:G, "")</f>
        <v>Chlorophyceae</v>
      </c>
    </row>
    <row r="302" spans="1:7" ht="15" thickBot="1" x14ac:dyDescent="0.35">
      <c r="A302" s="641" t="s">
        <v>475</v>
      </c>
      <c r="B302" s="255" t="str">
        <f t="array" ref="B302">IFERROR(
   IF(INDEX([1]Extraídas!B:B,MATCH(LEFT($A302,6)&amp;"*",[1]Extraídas!A:A,0))="Extraídas",
      "✅ En proceso",
      IF(INDEX([1]Extraídas!B:B,MATCH(LEFT($A302,6)&amp;"*",[1]Extraídas!A:A,0))="Recibidas",
         "⏳ Pendiente","❌ No ingresada")),
   "❌ No ingresada"
)</f>
        <v>✅ En proceso</v>
      </c>
      <c r="C302" s="255" t="str">
        <f t="array" ref="C302">IFERROR(
   IF(INDEX([1]PCRs!B:B,MATCH(LEFT($A302,6)&amp;"*",[1]PCRs!A:A,0))="Positivo",
      "✅ Positivo",
      IF(INDEX([1]PCRs!B:B,MATCH(LEFT($A302,6)&amp;"*",[1]PCRs!A:A,0))="Negativo",
         "❌ Negativo",
         "⏳ No realizado")),
   "⏳ No realizado"
)</f>
        <v>⏳ No realizado</v>
      </c>
      <c r="D302" s="255" t="str">
        <f>IFERROR(
   CHOOSE(
      MATCH(VLOOKUP(LEFT(A349,6)&amp;"*",'Identificación genética'!A:C,2,FALSE),
               {"En proceso";"Finalizado"},0),
      "🔬 En proceso",
      "🎯 Finalizado"
   ),
"❌ NA")</f>
        <v>🎯 Finalizado</v>
      </c>
      <c r="E302" s="255" t="s">
        <v>85</v>
      </c>
      <c r="F302" s="107">
        <v>45933</v>
      </c>
      <c r="G302" t="str">
        <f>_xlfn.XLOOKUP(A302, Extraídas!A:A, Extraídas!G:G, "")</f>
        <v>Chlorophyceae</v>
      </c>
    </row>
    <row r="303" spans="1:7" ht="15" thickBot="1" x14ac:dyDescent="0.35">
      <c r="A303" s="641" t="s">
        <v>476</v>
      </c>
      <c r="B303" s="255" t="str">
        <f t="array" ref="B303">IFERROR(
   IF(INDEX([1]Extraídas!B:B,MATCH(LEFT($A303,6)&amp;"*",[1]Extraídas!A:A,0))="Extraídas",
      "✅ En proceso",
      IF(INDEX([1]Extraídas!B:B,MATCH(LEFT($A303,6)&amp;"*",[1]Extraídas!A:A,0))="Recibidas",
         "⏳ Pendiente","❌ No ingresada")),
   "❌ No ingresada"
)</f>
        <v>⏳ Pendiente</v>
      </c>
      <c r="C303" s="255" t="str">
        <f t="array" ref="C303">IFERROR(
   IF(INDEX([1]PCRs!B:B,MATCH(LEFT($A303,6)&amp;"*",[1]PCRs!A:A,0))="Positivo",
      "✅ Positivo",
      IF(INDEX([1]PCRs!B:B,MATCH(LEFT($A303,6)&amp;"*",[1]PCRs!A:A,0))="Negativo",
         "❌ Negativo",
         "⏳ No realizado")),
   "⏳ No realizado"
)</f>
        <v>⏳ No realizado</v>
      </c>
      <c r="D303" s="255" t="str">
        <f>IFERROR(
   CHOOSE(
      MATCH(VLOOKUP(LEFT(A350,6)&amp;"*",'Identificación genética'!A:C,2,FALSE),
               {"En proceso";"Finalizado"},0),
      "🔬 En proceso",
      "🎯 Finalizado"
   ),
"❌ NA")</f>
        <v>🎯 Finalizado</v>
      </c>
      <c r="E303" s="255" t="s">
        <v>85</v>
      </c>
      <c r="F303" s="107">
        <v>45940</v>
      </c>
      <c r="G303" t="str">
        <f>_xlfn.XLOOKUP(A303, Extraídas!A:A, Extraídas!G:G, "")</f>
        <v>Trebouxiophyceae</v>
      </c>
    </row>
    <row r="304" spans="1:7" ht="15" thickBot="1" x14ac:dyDescent="0.35">
      <c r="A304" s="641" t="s">
        <v>478</v>
      </c>
      <c r="B304" s="255" t="str">
        <f t="array" ref="B304">IFERROR(
   IF(INDEX([1]Extraídas!B:B,MATCH(LEFT($A304,6)&amp;"*",[1]Extraídas!A:A,0))="Extraídas",
      "✅ En proceso",
      IF(INDEX([1]Extraídas!B:B,MATCH(LEFT($A304,6)&amp;"*",[1]Extraídas!A:A,0))="Recibidas",
         "⏳ Pendiente","❌ No ingresada")),
   "❌ No ingresada"
)</f>
        <v>⏳ Pendiente</v>
      </c>
      <c r="C304" s="255" t="str">
        <f t="array" ref="C304">IFERROR(
   IF(INDEX([1]PCRs!B:B,MATCH(LEFT($A304,6)&amp;"*",[1]PCRs!A:A,0))="Positivo",
      "✅ Positivo",
      IF(INDEX([1]PCRs!B:B,MATCH(LEFT($A304,6)&amp;"*",[1]PCRs!A:A,0))="Negativo",
         "❌ Negativo",
         "⏳ No realizado")),
   "⏳ No realizado"
)</f>
        <v>⏳ No realizado</v>
      </c>
      <c r="D304" s="255" t="str">
        <f>IFERROR(
   CHOOSE(
      MATCH(VLOOKUP(LEFT(A351,6)&amp;"*",'Identificación genética'!A:C,2,FALSE),
               {"En proceso";"Finalizado"},0),
      "🔬 En proceso",
      "🎯 Finalizado"
   ),
"❌ NA")</f>
        <v>🎯 Finalizado</v>
      </c>
      <c r="E304" s="255" t="s">
        <v>85</v>
      </c>
      <c r="F304" s="107">
        <v>45940</v>
      </c>
      <c r="G304" t="str">
        <f>_xlfn.XLOOKUP(A304, Extraídas!A:A, Extraídas!G:G, "")</f>
        <v>Trebouxiophyceae</v>
      </c>
    </row>
    <row r="305" spans="1:7" ht="15" thickBot="1" x14ac:dyDescent="0.35">
      <c r="A305" s="641" t="s">
        <v>479</v>
      </c>
      <c r="B305" s="255" t="str">
        <f t="array" ref="B305">IFERROR(
   IF(INDEX([1]Extraídas!B:B,MATCH(LEFT($A305,6)&amp;"*",[1]Extraídas!A:A,0))="Extraídas",
      "✅ En proceso",
      IF(INDEX([1]Extraídas!B:B,MATCH(LEFT($A305,6)&amp;"*",[1]Extraídas!A:A,0))="Recibidas",
         "⏳ Pendiente","❌ No ingresada")),
   "❌ No ingresada"
)</f>
        <v>✅ En proceso</v>
      </c>
      <c r="C305" s="255" t="str">
        <f t="array" ref="C305">IFERROR(
   IF(INDEX([1]PCRs!B:B,MATCH(LEFT($A305,6)&amp;"*",[1]PCRs!A:A,0))="Positivo",
      "✅ Positivo",
      IF(INDEX([1]PCRs!B:B,MATCH(LEFT($A305,6)&amp;"*",[1]PCRs!A:A,0))="Negativo",
         "❌ Negativo",
         "⏳ No realizado")),
   "⏳ No realizado"
)</f>
        <v>⏳ No realizado</v>
      </c>
      <c r="D305" s="255" t="str">
        <f>IFERROR(
   CHOOSE(
      MATCH(VLOOKUP(LEFT(A352,6)&amp;"*",'Identificación genética'!A:C,2,FALSE),
               {"En proceso";"Finalizado"},0),
      "🔬 En proceso",
      "🎯 Finalizado"
   ),
"❌ NA")</f>
        <v>🎯 Finalizado</v>
      </c>
      <c r="E305" s="255" t="s">
        <v>85</v>
      </c>
      <c r="F305" s="107">
        <v>45931</v>
      </c>
      <c r="G305" t="str">
        <f>_xlfn.XLOOKUP(A305, Extraídas!A:A, Extraídas!G:G, "")</f>
        <v>Chlorophyceae</v>
      </c>
    </row>
    <row r="306" spans="1:7" ht="15" thickBot="1" x14ac:dyDescent="0.35">
      <c r="A306" s="641" t="s">
        <v>480</v>
      </c>
      <c r="B306" s="255" t="str">
        <f t="array" ref="B306">IFERROR(
   IF(INDEX([1]Extraídas!B:B,MATCH(LEFT($A306,6)&amp;"*",[1]Extraídas!A:A,0))="Extraídas",
      "✅ En proceso",
      IF(INDEX([1]Extraídas!B:B,MATCH(LEFT($A306,6)&amp;"*",[1]Extraídas!A:A,0))="Recibidas",
         "⏳ Pendiente","❌ No ingresada")),
   "❌ No ingresada"
)</f>
        <v>✅ En proceso</v>
      </c>
      <c r="C306" s="255" t="str">
        <f t="array" ref="C306">IFERROR(
   IF(INDEX([1]PCRs!B:B,MATCH(LEFT($A306,6)&amp;"*",[1]PCRs!A:A,0))="Positivo",
      "✅ Positivo",
      IF(INDEX([1]PCRs!B:B,MATCH(LEFT($A306,6)&amp;"*",[1]PCRs!A:A,0))="Negativo",
         "❌ Negativo",
         "⏳ No realizado")),
   "⏳ No realizado"
)</f>
        <v>⏳ No realizado</v>
      </c>
      <c r="D306" s="255" t="str">
        <f>IFERROR(
   CHOOSE(
      MATCH(VLOOKUP(LEFT(A353,6)&amp;"*",'Identificación genética'!A:C,2,FALSE),
               {"En proceso";"Finalizado"},0),
      "🔬 En proceso",
      "🎯 Finalizado"
   ),
"❌ NA")</f>
        <v>🎯 Finalizado</v>
      </c>
      <c r="E306" s="255" t="s">
        <v>85</v>
      </c>
      <c r="F306" s="107">
        <v>45926</v>
      </c>
      <c r="G306" t="str">
        <f>_xlfn.XLOOKUP(A306, Extraídas!A:A, Extraídas!G:G, "")</f>
        <v>Microalgas</v>
      </c>
    </row>
    <row r="307" spans="1:7" ht="15" thickBot="1" x14ac:dyDescent="0.35">
      <c r="A307" s="641" t="s">
        <v>481</v>
      </c>
      <c r="B307" s="255" t="str">
        <f t="array" ref="B307">IFERROR(
   IF(INDEX([1]Extraídas!B:B,MATCH(LEFT($A307,6)&amp;"*",[1]Extraídas!A:A,0))="Extraídas",
      "✅ En proceso",
      IF(INDEX([1]Extraídas!B:B,MATCH(LEFT($A307,6)&amp;"*",[1]Extraídas!A:A,0))="Recibidas",
         "⏳ Pendiente","❌ No ingresada")),
   "❌ No ingresada"
)</f>
        <v>⏳ Pendiente</v>
      </c>
      <c r="C307" s="255" t="str">
        <f t="array" ref="C307">IFERROR(
   IF(INDEX([1]PCRs!B:B,MATCH(LEFT($A307,6)&amp;"*",[1]PCRs!A:A,0))="Positivo",
      "✅ Positivo",
      IF(INDEX([1]PCRs!B:B,MATCH(LEFT($A307,6)&amp;"*",[1]PCRs!A:A,0))="Negativo",
         "❌ Negativo",
         "⏳ No realizado")),
   "⏳ No realizado"
)</f>
        <v>⏳ No realizado</v>
      </c>
      <c r="D307" s="255" t="str">
        <f>IFERROR(
   CHOOSE(
      MATCH(VLOOKUP(LEFT(A354,6)&amp;"*",'Identificación genética'!A:C,2,FALSE),
               {"En proceso";"Finalizado"},0),
      "🔬 En proceso",
      "🎯 Finalizado"
   ),
"❌ NA")</f>
        <v>🎯 Finalizado</v>
      </c>
      <c r="E307" s="255" t="s">
        <v>85</v>
      </c>
      <c r="F307" s="107">
        <v>45938</v>
      </c>
      <c r="G307" t="str">
        <f>_xlfn.XLOOKUP(A307, Extraídas!A:A, Extraídas!G:G, "")</f>
        <v>Trebouxiophyceae</v>
      </c>
    </row>
    <row r="308" spans="1:7" ht="15" thickBot="1" x14ac:dyDescent="0.35">
      <c r="A308" s="641" t="s">
        <v>482</v>
      </c>
      <c r="B308" s="255" t="str">
        <f t="array" ref="B308">IFERROR(
   IF(INDEX([1]Extraídas!B:B,MATCH(LEFT($A308,6)&amp;"*",[1]Extraídas!A:A,0))="Extraídas",
      "✅ En proceso",
      IF(INDEX([1]Extraídas!B:B,MATCH(LEFT($A308,6)&amp;"*",[1]Extraídas!A:A,0))="Recibidas",
         "⏳ Pendiente","❌ No ingresada")),
   "❌ No ingresada"
)</f>
        <v>⏳ Pendiente</v>
      </c>
      <c r="C308" s="255" t="str">
        <f t="array" ref="C308">IFERROR(
   IF(INDEX([1]PCRs!B:B,MATCH(LEFT($A308,6)&amp;"*",[1]PCRs!A:A,0))="Positivo",
      "✅ Positivo",
      IF(INDEX([1]PCRs!B:B,MATCH(LEFT($A308,6)&amp;"*",[1]PCRs!A:A,0))="Negativo",
         "❌ Negativo",
         "⏳ No realizado")),
   "⏳ No realizado"
)</f>
        <v>⏳ No realizado</v>
      </c>
      <c r="D308" s="255" t="str">
        <f>IFERROR(
   CHOOSE(
      MATCH(VLOOKUP(LEFT(A355,6)&amp;"*",'Identificación genética'!A:C,2,FALSE),
               {"En proceso";"Finalizado"},0),
      "🔬 En proceso",
      "🎯 Finalizado"
   ),
"❌ NA")</f>
        <v>🎯 Finalizado</v>
      </c>
      <c r="E308" s="255" t="s">
        <v>85</v>
      </c>
      <c r="F308" s="107">
        <v>45933</v>
      </c>
      <c r="G308" t="str">
        <f>_xlfn.XLOOKUP(A308, Extraídas!A:A, Extraídas!G:G, "")</f>
        <v>Chlorophyceae</v>
      </c>
    </row>
    <row r="309" spans="1:7" ht="15" thickBot="1" x14ac:dyDescent="0.35">
      <c r="A309" s="641" t="s">
        <v>483</v>
      </c>
      <c r="B309" s="255" t="str">
        <f t="array" ref="B309">IFERROR(
   IF(INDEX([1]Extraídas!B:B,MATCH(LEFT($A309,6)&amp;"*",[1]Extraídas!A:A,0))="Extraídas",
      "✅ En proceso",
      IF(INDEX([1]Extraídas!B:B,MATCH(LEFT($A309,6)&amp;"*",[1]Extraídas!A:A,0))="Recibidas",
         "⏳ Pendiente","❌ No ingresada")),
   "❌ No ingresada"
)</f>
        <v>⏳ Pendiente</v>
      </c>
      <c r="C309" s="255" t="str">
        <f t="array" ref="C309">IFERROR(
   IF(INDEX([1]PCRs!B:B,MATCH(LEFT($A309,6)&amp;"*",[1]PCRs!A:A,0))="Positivo",
      "✅ Positivo",
      IF(INDEX([1]PCRs!B:B,MATCH(LEFT($A309,6)&amp;"*",[1]PCRs!A:A,0))="Negativo",
         "❌ Negativo",
         "⏳ No realizado")),
   "⏳ No realizado"
)</f>
        <v>⏳ No realizado</v>
      </c>
      <c r="D309" s="255" t="str">
        <f>IFERROR(
   CHOOSE(
      MATCH(VLOOKUP(LEFT(A356,6)&amp;"*",'Identificación genética'!A:C,2,FALSE),
               {"En proceso";"Finalizado"},0),
      "🔬 En proceso",
      "🎯 Finalizado"
   ),
"❌ NA")</f>
        <v>❌ NA</v>
      </c>
      <c r="E309" s="255" t="s">
        <v>85</v>
      </c>
      <c r="F309" s="107">
        <v>45931</v>
      </c>
      <c r="G309" t="str">
        <f>_xlfn.XLOOKUP(A309, Extraídas!A:A, Extraídas!G:G, "")</f>
        <v>Chlorophyceae</v>
      </c>
    </row>
    <row r="310" spans="1:7" ht="15" thickBot="1" x14ac:dyDescent="0.35">
      <c r="A310" s="641" t="s">
        <v>484</v>
      </c>
      <c r="B310" s="255" t="str">
        <f t="array" ref="B310">IFERROR(
   IF(INDEX([1]Extraídas!B:B,MATCH(LEFT($A310,6)&amp;"*",[1]Extraídas!A:A,0))="Extraídas",
      "✅ En proceso",
      IF(INDEX([1]Extraídas!B:B,MATCH(LEFT($A310,6)&amp;"*",[1]Extraídas!A:A,0))="Recibidas",
         "⏳ Pendiente","❌ No ingresada")),
   "❌ No ingresada"
)</f>
        <v>⏳ Pendiente</v>
      </c>
      <c r="C310" s="255" t="str">
        <f t="array" ref="C310">IFERROR(
   IF(INDEX([1]PCRs!B:B,MATCH(LEFT($A310,6)&amp;"*",[1]PCRs!A:A,0))="Positivo",
      "✅ Positivo",
      IF(INDEX([1]PCRs!B:B,MATCH(LEFT($A310,6)&amp;"*",[1]PCRs!A:A,0))="Negativo",
         "❌ Negativo",
         "⏳ No realizado")),
   "⏳ No realizado"
)</f>
        <v>⏳ No realizado</v>
      </c>
      <c r="D310" s="255" t="str">
        <f>IFERROR(
   CHOOSE(
      MATCH(VLOOKUP(LEFT(A357,6)&amp;"*",'Identificación genética'!A:C,2,FALSE),
               {"En proceso";"Finalizado"},0),
      "🔬 En proceso",
      "🎯 Finalizado"
   ),
"❌ NA")</f>
        <v>🎯 Finalizado</v>
      </c>
      <c r="E310" s="255" t="s">
        <v>85</v>
      </c>
      <c r="F310" s="107">
        <v>45925</v>
      </c>
      <c r="G310" t="str">
        <f>_xlfn.XLOOKUP(A310, Extraídas!A:A, Extraídas!G:G, "")</f>
        <v>Chlorophyceae</v>
      </c>
    </row>
    <row r="311" spans="1:7" ht="15" thickBot="1" x14ac:dyDescent="0.35">
      <c r="A311" s="641" t="s">
        <v>485</v>
      </c>
      <c r="B311" s="255" t="str">
        <f t="array" ref="B311">IFERROR(
   IF(INDEX([1]Extraídas!B:B,MATCH(LEFT($A311,6)&amp;"*",[1]Extraídas!A:A,0))="Extraídas",
      "✅ En proceso",
      IF(INDEX([1]Extraídas!B:B,MATCH(LEFT($A311,6)&amp;"*",[1]Extraídas!A:A,0))="Recibidas",
         "⏳ Pendiente","❌ No ingresada")),
   "❌ No ingresada"
)</f>
        <v>✅ En proceso</v>
      </c>
      <c r="C311" s="255" t="str">
        <f t="array" ref="C311">IFERROR(
   IF(INDEX([1]PCRs!B:B,MATCH(LEFT($A311,6)&amp;"*",[1]PCRs!A:A,0))="Positivo",
      "✅ Positivo",
      IF(INDEX([1]PCRs!B:B,MATCH(LEFT($A311,6)&amp;"*",[1]PCRs!A:A,0))="Negativo",
         "❌ Negativo",
         "⏳ No realizado")),
   "⏳ No realizado"
)</f>
        <v>⏳ No realizado</v>
      </c>
      <c r="D311" s="255" t="str">
        <f>IFERROR(
   CHOOSE(
      MATCH(VLOOKUP(LEFT(A358,6)&amp;"*",'Identificación genética'!A:C,2,FALSE),
               {"En proceso";"Finalizado"},0),
      "🔬 En proceso",
      "🎯 Finalizado"
   ),
"❌ NA")</f>
        <v>🎯 Finalizado</v>
      </c>
      <c r="E311" s="255" t="s">
        <v>85</v>
      </c>
      <c r="F311" s="107">
        <v>45931</v>
      </c>
      <c r="G311" t="str">
        <f>_xlfn.XLOOKUP(A311, Extraídas!A:A, Extraídas!G:G, "")</f>
        <v>Chlorophyceae</v>
      </c>
    </row>
    <row r="312" spans="1:7" ht="15" thickBot="1" x14ac:dyDescent="0.35">
      <c r="A312" s="643" t="s">
        <v>486</v>
      </c>
      <c r="B312" s="255" t="str">
        <f t="array" ref="B312">IFERROR(
   IF(INDEX([1]Extraídas!B:B,MATCH(LEFT($A312,6)&amp;"*",[1]Extraídas!A:A,0))="Extraídas",
      "✅ En proceso",
      IF(INDEX([1]Extraídas!B:B,MATCH(LEFT($A312,6)&amp;"*",[1]Extraídas!A:A,0))="Recibidas",
         "⏳ Pendiente","❌ No ingresada")),
   "❌ No ingresada"
)</f>
        <v>✅ En proceso</v>
      </c>
      <c r="C312" s="255" t="str">
        <f t="array" ref="C312">IFERROR(
   IF(INDEX([1]PCRs!B:B,MATCH(LEFT($A312,6)&amp;"*",[1]PCRs!A:A,0))="Positivo",
      "✅ Positivo",
      IF(INDEX([1]PCRs!B:B,MATCH(LEFT($A312,6)&amp;"*",[1]PCRs!A:A,0))="Negativo",
         "❌ Negativo",
         "⏳ No realizado")),
   "⏳ No realizado"
)</f>
        <v>⏳ No realizado</v>
      </c>
      <c r="D312" s="255" t="str">
        <f>IFERROR(
   CHOOSE(
      MATCH(VLOOKUP(LEFT(A359,6)&amp;"*",'Identificación genética'!A:C,2,FALSE),
               {"En proceso";"Finalizado"},0),
      "🔬 En proceso",
      "🎯 Finalizado"
   ),
"❌ NA")</f>
        <v>🎯 Finalizado</v>
      </c>
      <c r="E312" s="255" t="s">
        <v>85</v>
      </c>
      <c r="F312" s="104">
        <v>45768</v>
      </c>
      <c r="G312" t="str">
        <f>_xlfn.XLOOKUP(A312, Extraídas!A:A, Extraídas!G:G, "")</f>
        <v>Chlorophyceae</v>
      </c>
    </row>
    <row r="313" spans="1:7" ht="15" thickBot="1" x14ac:dyDescent="0.35">
      <c r="A313" s="641" t="s">
        <v>487</v>
      </c>
      <c r="B313" s="255" t="str">
        <f t="array" ref="B313">IFERROR(
   IF(INDEX([1]Extraídas!B:B,MATCH(LEFT($A313,6)&amp;"*",[1]Extraídas!A:A,0))="Extraídas",
      "✅ En proceso",
      IF(INDEX([1]Extraídas!B:B,MATCH(LEFT($A313,6)&amp;"*",[1]Extraídas!A:A,0))="Recibidas",
         "⏳ Pendiente","❌ No ingresada")),
   "❌ No ingresada"
)</f>
        <v>⏳ Pendiente</v>
      </c>
      <c r="C313" s="255" t="str">
        <f t="array" ref="C313">IFERROR(
   IF(INDEX([1]PCRs!B:B,MATCH(LEFT($A313,6)&amp;"*",[1]PCRs!A:A,0))="Positivo",
      "✅ Positivo",
      IF(INDEX([1]PCRs!B:B,MATCH(LEFT($A313,6)&amp;"*",[1]PCRs!A:A,0))="Negativo",
         "❌ Negativo",
         "⏳ No realizado")),
   "⏳ No realizado"
)</f>
        <v>⏳ No realizado</v>
      </c>
      <c r="D313" s="255" t="str">
        <f>IFERROR(
   CHOOSE(
      MATCH(VLOOKUP(LEFT(A360,6)&amp;"*",'Identificación genética'!A:C,2,FALSE),
               {"En proceso";"Finalizado"},0),
      "🔬 En proceso",
      "🎯 Finalizado"
   ),
"❌ NA")</f>
        <v>🎯 Finalizado</v>
      </c>
      <c r="E313" s="255" t="s">
        <v>85</v>
      </c>
      <c r="F313" s="107">
        <v>45938</v>
      </c>
      <c r="G313" t="str">
        <f>_xlfn.XLOOKUP(A313, Extraídas!A:A, Extraídas!G:G, "")</f>
        <v>Chlorophyceae</v>
      </c>
    </row>
    <row r="314" spans="1:7" ht="15" thickBot="1" x14ac:dyDescent="0.35">
      <c r="A314" s="641" t="s">
        <v>488</v>
      </c>
      <c r="B314" s="255" t="str">
        <f t="array" ref="B314">IFERROR(
   IF(INDEX([1]Extraídas!B:B,MATCH(LEFT($A314,6)&amp;"*",[1]Extraídas!A:A,0))="Extraídas",
      "✅ En proceso",
      IF(INDEX([1]Extraídas!B:B,MATCH(LEFT($A314,6)&amp;"*",[1]Extraídas!A:A,0))="Recibidas",
         "⏳ Pendiente","❌ No ingresada")),
   "❌ No ingresada"
)</f>
        <v>✅ En proceso</v>
      </c>
      <c r="C314" s="255" t="str">
        <f t="array" ref="C314">IFERROR(
   IF(INDEX([1]PCRs!B:B,MATCH(LEFT($A314,6)&amp;"*",[1]PCRs!A:A,0))="Positivo",
      "✅ Positivo",
      IF(INDEX([1]PCRs!B:B,MATCH(LEFT($A314,6)&amp;"*",[1]PCRs!A:A,0))="Negativo",
         "❌ Negativo",
         "⏳ No realizado")),
   "⏳ No realizado"
)</f>
        <v>⏳ No realizado</v>
      </c>
      <c r="D314" s="255" t="str">
        <f>IFERROR(
   CHOOSE(
      MATCH(VLOOKUP(LEFT(A361,6)&amp;"*",'Identificación genética'!A:C,2,FALSE),
               {"En proceso";"Finalizado"},0),
      "🔬 En proceso",
      "🎯 Finalizado"
   ),
"❌ NA")</f>
        <v>🎯 Finalizado</v>
      </c>
      <c r="E314" s="255" t="s">
        <v>85</v>
      </c>
      <c r="F314" s="107">
        <v>45933</v>
      </c>
      <c r="G314" t="str">
        <f>_xlfn.XLOOKUP(A314, Extraídas!A:A, Extraídas!G:G, "")</f>
        <v>Chlorophyceae</v>
      </c>
    </row>
    <row r="315" spans="1:7" ht="15" thickBot="1" x14ac:dyDescent="0.35">
      <c r="A315" s="642" t="s">
        <v>489</v>
      </c>
      <c r="B315" s="255" t="str">
        <f>IFERROR(
   IF(INDEX(Extraídas!B:B,MATCH(LEFT($A315,6)&amp;"*",Extraídas!A:A,0))="Extraídas",
      "✅ En proceso",
      IF(INDEX(Extraídas!B:B,MATCH(LEFT($A315,6)&amp;"*",Extraídas!A:A,0))="Recibidas",
         "⏳ Pendiente","❌ No ingresada")),
   "❌ No ingresada"
)</f>
        <v>✅ En proceso</v>
      </c>
      <c r="C315" s="255" t="str">
        <f t="array" ref="C315">IFERROR(
   IF(INDEX([1]PCRs!B:B,MATCH(LEFT($A315,6)&amp;"*",[1]PCRs!A:A,0))="Positivo",
      "✅ Positivo",
      IF(INDEX([1]PCRs!B:B,MATCH(LEFT($A315,6)&amp;"*",[1]PCRs!A:A,0))="Negativo",
         "❌ Negativo",
         "⏳ No realizado")),
   "⏳ No realizado"
)</f>
        <v>✅ Positivo</v>
      </c>
      <c r="D315" s="255" t="str">
        <f>IFERROR(
   CHOOSE(
      MATCH(VLOOKUP(LEFT(A362,6)&amp;"*",'Identificación genética'!A:C,2,FALSE),
               {"En proceso";"Finalizado"},0),
      "🔬 En proceso",
      "🎯 Finalizado"
   ),
"❌ NA")</f>
        <v>🎯 Finalizado</v>
      </c>
      <c r="E315" s="255" t="s">
        <v>85</v>
      </c>
      <c r="F315" s="104">
        <v>45756</v>
      </c>
      <c r="G315" t="str">
        <f>_xlfn.XLOOKUP(A315, Extraídas!A:A, Extraídas!G:G, "")</f>
        <v>Chlorophyceae</v>
      </c>
    </row>
    <row r="316" spans="1:7" ht="15" thickBot="1" x14ac:dyDescent="0.35">
      <c r="A316" s="641" t="s">
        <v>490</v>
      </c>
      <c r="B316" s="255" t="str">
        <f>IFERROR(
   IF(INDEX(Extraídas!B:B,MATCH(LEFT($A316,6)&amp;"*",Extraídas!A:A,0))="Extraídas",
      "✅ En proceso",
      IF(INDEX(Extraídas!B:B,MATCH(LEFT($A316,6)&amp;"*",Extraídas!A:A,0))="Recibidas",
         "⏳ Pendiente","❌ No ingresada")),
   "❌ No ingresada"
)</f>
        <v>⏳ Pendiente</v>
      </c>
      <c r="C316" s="255" t="str">
        <f t="array" ref="C316">IFERROR(
   IF(INDEX([1]PCRs!B:B,MATCH(LEFT($A316,6)&amp;"*",[1]PCRs!A:A,0))="Positivo",
      "✅ Positivo",
      IF(INDEX([1]PCRs!B:B,MATCH(LEFT($A316,6)&amp;"*",[1]PCRs!A:A,0))="Negativo",
         "❌ Negativo",
         "⏳ No realizado")),
   "⏳ No realizado"
)</f>
        <v>✅ Positivo</v>
      </c>
      <c r="D316" s="255" t="str">
        <f>IFERROR(
   CHOOSE(
      MATCH(VLOOKUP(LEFT(A363,6)&amp;"*",'Identificación genética'!A:C,2,FALSE),
               {"En proceso";"Finalizado"},0),
      "🔬 En proceso",
      "🎯 Finalizado"
   ),
"❌ NA")</f>
        <v>❌ NA</v>
      </c>
      <c r="E316" s="255" t="s">
        <v>85</v>
      </c>
      <c r="F316" s="107">
        <v>45940</v>
      </c>
      <c r="G316" t="str">
        <f>_xlfn.XLOOKUP(A316, Extraídas!A:A, Extraídas!G:G, "")</f>
        <v>Trebouxiophyceae</v>
      </c>
    </row>
    <row r="317" spans="1:7" ht="15" thickBot="1" x14ac:dyDescent="0.35">
      <c r="A317" s="641" t="s">
        <v>491</v>
      </c>
      <c r="B317" s="255" t="str">
        <f>IFERROR(
   IF(INDEX(Extraídas!B:B,MATCH(LEFT($A317,6)&amp;"*",Extraídas!A:A,0))="Extraídas",
      "✅ En proceso",
      IF(INDEX(Extraídas!B:B,MATCH(LEFT($A317,6)&amp;"*",Extraídas!A:A,0))="Recibidas",
         "⏳ Pendiente","❌ No ingresada")),
   "❌ No ingresada"
)</f>
        <v>⏳ Pendiente</v>
      </c>
      <c r="C317" s="255" t="str">
        <f t="array" ref="C317">IFERROR(
   IF(INDEX([1]PCRs!B:B,MATCH(LEFT($A317,6)&amp;"*",[1]PCRs!A:A,0))="Positivo",
      "✅ Positivo",
      IF(INDEX([1]PCRs!B:B,MATCH(LEFT($A317,6)&amp;"*",[1]PCRs!A:A,0))="Negativo",
         "❌ Negativo",
         "⏳ No realizado")),
   "⏳ No realizado"
)</f>
        <v>✅ Positivo</v>
      </c>
      <c r="D317" s="255" t="str">
        <f>IFERROR(
   CHOOSE(
      MATCH(VLOOKUP(LEFT(A364,6)&amp;"*",'Identificación genética'!A:C,2,FALSE),
               {"En proceso";"Finalizado"},0),
      "🔬 En proceso",
      "🎯 Finalizado"
   ),
"❌ NA")</f>
        <v>🎯 Finalizado</v>
      </c>
      <c r="E317" s="255" t="s">
        <v>85</v>
      </c>
      <c r="F317" s="107">
        <v>45933</v>
      </c>
      <c r="G317" t="str">
        <f>_xlfn.XLOOKUP(A317, Extraídas!A:A, Extraídas!G:G, "")</f>
        <v>Chlorophyceae</v>
      </c>
    </row>
    <row r="318" spans="1:7" ht="15" thickBot="1" x14ac:dyDescent="0.35">
      <c r="A318" s="643" t="s">
        <v>492</v>
      </c>
      <c r="B318" s="255" t="str">
        <f>IFERROR(
   IF(INDEX(Extraídas!B:B,MATCH(LEFT($A318,6)&amp;"*",Extraídas!A:A,0))="Extraídas",
      "✅ En proceso",
      IF(INDEX(Extraídas!B:B,MATCH(LEFT($A318,6)&amp;"*",Extraídas!A:A,0))="Recibidas",
         "⏳ Pendiente","❌ No ingresada")),
   "❌ No ingresada"
)</f>
        <v>✅ En proceso</v>
      </c>
      <c r="C318" s="255" t="str">
        <f t="array" ref="C318">IFERROR(
   IF(INDEX([1]PCRs!B:B,MATCH(LEFT($A318,6)&amp;"*",[1]PCRs!A:A,0))="Positivo",
      "✅ Positivo",
      IF(INDEX([1]PCRs!B:B,MATCH(LEFT($A318,6)&amp;"*",[1]PCRs!A:A,0))="Negativo",
         "❌ Negativo",
         "⏳ No realizado")),
   "⏳ No realizado"
)</f>
        <v>✅ Positivo</v>
      </c>
      <c r="D318" s="255" t="str">
        <f>IFERROR(
   CHOOSE(
      MATCH(VLOOKUP(LEFT(A365,6)&amp;"*",'Identificación genética'!A:C,2,FALSE),
               {"En proceso";"Finalizado"},0),
      "🔬 En proceso",
      "🎯 Finalizado"
   ),
"❌ NA")</f>
        <v>🎯 Finalizado</v>
      </c>
      <c r="E318" s="255" t="s">
        <v>85</v>
      </c>
      <c r="F318" s="104">
        <v>45768</v>
      </c>
      <c r="G318" t="str">
        <f>_xlfn.XLOOKUP(A318, Extraídas!A:A, Extraídas!G:G, "")</f>
        <v>Chlorophyceae</v>
      </c>
    </row>
    <row r="319" spans="1:7" ht="15" thickBot="1" x14ac:dyDescent="0.35">
      <c r="A319" s="643" t="s">
        <v>493</v>
      </c>
      <c r="B319" s="255" t="str">
        <f>IFERROR(
   IF(INDEX(Extraídas!B:B,MATCH(LEFT($A319,6)&amp;"*",Extraídas!A:A,0))="Extraídas",
      "✅ En proceso",
      IF(INDEX(Extraídas!B:B,MATCH(LEFT($A319,6)&amp;"*",Extraídas!A:A,0))="Recibidas",
         "⏳ Pendiente","❌ No ingresada")),
   "❌ No ingresada"
)</f>
        <v>✅ En proceso</v>
      </c>
      <c r="C319" s="255" t="str">
        <f t="array" ref="C319">IFERROR(
   IF(INDEX([1]PCRs!B:B,MATCH(LEFT($A319,6)&amp;"*",[1]PCRs!A:A,0))="Positivo",
      "✅ Positivo",
      IF(INDEX([1]PCRs!B:B,MATCH(LEFT($A319,6)&amp;"*",[1]PCRs!A:A,0))="Negativo",
         "❌ Negativo",
         "⏳ No realizado")),
   "⏳ No realizado"
)</f>
        <v>❌ Negativo</v>
      </c>
      <c r="D319" s="255" t="str">
        <f>IFERROR(
   CHOOSE(
      MATCH(VLOOKUP(LEFT(A366,6)&amp;"*",'Identificación genética'!A:C,2,FALSE),
               {"En proceso";"Finalizado"},0),
      "🔬 En proceso",
      "🎯 Finalizado"
   ),
"❌ NA")</f>
        <v>🎯 Finalizado</v>
      </c>
      <c r="E319" s="255" t="s">
        <v>85</v>
      </c>
      <c r="F319" s="104">
        <v>45763</v>
      </c>
      <c r="G319" t="str">
        <f>_xlfn.XLOOKUP(A319, Extraídas!A:A, Extraídas!G:G, "")</f>
        <v>Cianobacterias</v>
      </c>
    </row>
    <row r="320" spans="1:7" ht="15" thickBot="1" x14ac:dyDescent="0.35">
      <c r="A320" s="642" t="s">
        <v>494</v>
      </c>
      <c r="B320" s="255" t="str">
        <f>IFERROR(
   IF(INDEX(Extraídas!B:B,MATCH(LEFT($A320,6)&amp;"*",Extraídas!A:A,0))="Extraídas",
      "✅ En proceso",
      IF(INDEX(Extraídas!B:B,MATCH(LEFT($A320,6)&amp;"*",Extraídas!A:A,0))="Recibidas",
         "⏳ Pendiente","❌ No ingresada")),
   "❌ No ingresada"
)</f>
        <v>✅ En proceso</v>
      </c>
      <c r="C320" s="255" t="str">
        <f t="array" ref="C320">IFERROR(
   IF(INDEX([1]PCRs!B:B,MATCH(LEFT($A320,6)&amp;"*",[1]PCRs!A:A,0))="Positivo",
      "✅ Positivo",
      IF(INDEX([1]PCRs!B:B,MATCH(LEFT($A320,6)&amp;"*",[1]PCRs!A:A,0))="Negativo",
         "❌ Negativo",
         "⏳ No realizado")),
   "⏳ No realizado"
)</f>
        <v>❌ Negativo</v>
      </c>
      <c r="D320" s="255" t="str">
        <f>IFERROR(
   CHOOSE(
      MATCH(VLOOKUP(LEFT(A367,6)&amp;"*",'Identificación genética'!A:C,2,FALSE),
               {"En proceso";"Finalizado"},0),
      "🔬 En proceso",
      "🎯 Finalizado"
   ),
"❌ NA")</f>
        <v>🎯 Finalizado</v>
      </c>
      <c r="E320" s="255" t="s">
        <v>85</v>
      </c>
      <c r="F320" s="104">
        <v>45757</v>
      </c>
      <c r="G320" t="str">
        <f>_xlfn.XLOOKUP(A320, Extraídas!A:A, Extraídas!G:G, "")</f>
        <v>Cianobacterias</v>
      </c>
    </row>
    <row r="321" spans="1:7" ht="15" thickBot="1" x14ac:dyDescent="0.35">
      <c r="A321" s="642" t="s">
        <v>495</v>
      </c>
      <c r="B321" s="255" t="str">
        <f>IFERROR(
   IF(INDEX(Extraídas!B:B,MATCH(LEFT($A321,6)&amp;"*",Extraídas!A:A,0))="Extraídas",
      "✅ En proceso",
      IF(INDEX(Extraídas!B:B,MATCH(LEFT($A321,6)&amp;"*",Extraídas!A:A,0))="Recibidas",
         "⏳ Pendiente","❌ No ingresada")),
   "❌ No ingresada"
)</f>
        <v>✅ En proceso</v>
      </c>
      <c r="C321" s="255" t="str">
        <f t="array" ref="C321">IFERROR(
   IF(INDEX([1]PCRs!B:B,MATCH(LEFT($A321,6)&amp;"*",[1]PCRs!A:A,0))="Positivo",
      "✅ Positivo",
      IF(INDEX([1]PCRs!B:B,MATCH(LEFT($A321,6)&amp;"*",[1]PCRs!A:A,0))="Negativo",
         "❌ Negativo",
         "⏳ No realizado")),
   "⏳ No realizado"
)</f>
        <v>❌ Negativo</v>
      </c>
      <c r="D321" s="255" t="str">
        <f>IFERROR(
   CHOOSE(
      MATCH(VLOOKUP(LEFT(A368,6)&amp;"*",'Identificación genética'!A:C,2,FALSE),
               {"En proceso";"Finalizado"},0),
      "🔬 En proceso",
      "🎯 Finalizado"
   ),
"❌ NA")</f>
        <v>🎯 Finalizado</v>
      </c>
      <c r="E321" s="255" t="s">
        <v>85</v>
      </c>
      <c r="F321" s="104">
        <v>45763</v>
      </c>
      <c r="G321" t="str">
        <f>_xlfn.XLOOKUP(A321, Extraídas!A:A, Extraídas!G:G, "")</f>
        <v>Cianobacterias</v>
      </c>
    </row>
    <row r="322" spans="1:7" ht="15" thickBot="1" x14ac:dyDescent="0.35">
      <c r="A322" s="642" t="s">
        <v>496</v>
      </c>
      <c r="B322" s="255" t="str">
        <f>IFERROR(
   IF(INDEX(Extraídas!B:B,MATCH(LEFT($A322,6)&amp;"*",Extraídas!A:A,0))="Extraídas",
      "✅ En proceso",
      IF(INDEX(Extraídas!B:B,MATCH(LEFT($A322,6)&amp;"*",Extraídas!A:A,0))="Recibidas",
         "⏳ Pendiente","❌ No ingresada")),
   "❌ No ingresada"
)</f>
        <v>✅ En proceso</v>
      </c>
      <c r="C322" s="255" t="str">
        <f t="array" ref="C322">IFERROR(
   IF(INDEX([1]PCRs!B:B,MATCH(LEFT($A322,6)&amp;"*",[1]PCRs!A:A,0))="Positivo",
      "✅ Positivo",
      IF(INDEX([1]PCRs!B:B,MATCH(LEFT($A322,6)&amp;"*",[1]PCRs!A:A,0))="Negativo",
         "❌ Negativo",
         "⏳ No realizado")),
   "⏳ No realizado"
)</f>
        <v>❌ Negativo</v>
      </c>
      <c r="D322" s="255" t="str">
        <f>IFERROR(
   CHOOSE(
      MATCH(VLOOKUP(LEFT(A369,6)&amp;"*",'Identificación genética'!A:C,2,FALSE),
               {"En proceso";"Finalizado"},0),
      "🔬 En proceso",
      "🎯 Finalizado"
   ),
"❌ NA")</f>
        <v>❌ NA</v>
      </c>
      <c r="E322" s="255" t="s">
        <v>85</v>
      </c>
      <c r="F322" s="104">
        <v>45763</v>
      </c>
      <c r="G322" t="str">
        <f>_xlfn.XLOOKUP(A322, Extraídas!A:A, Extraídas!G:G, "")</f>
        <v>Cianobacterias</v>
      </c>
    </row>
    <row r="323" spans="1:7" ht="15" thickBot="1" x14ac:dyDescent="0.35">
      <c r="A323" s="642" t="s">
        <v>497</v>
      </c>
      <c r="B323" s="255" t="str">
        <f>IFERROR(
   IF(INDEX(Extraídas!B:B,MATCH(LEFT($A323,6)&amp;"*",Extraídas!A:A,0))="Extraídas",
      "✅ En proceso",
      IF(INDEX(Extraídas!B:B,MATCH(LEFT($A323,6)&amp;"*",Extraídas!A:A,0))="Recibidas",
         "⏳ Pendiente","❌ No ingresada")),
   "❌ No ingresada"
)</f>
        <v>✅ En proceso</v>
      </c>
      <c r="C323" s="255" t="str">
        <f t="array" ref="C323">IFERROR(
   IF(INDEX([1]PCRs!B:B,MATCH(LEFT($A323,6)&amp;"*",[1]PCRs!A:A,0))="Positivo",
      "✅ Positivo",
      IF(INDEX([1]PCRs!B:B,MATCH(LEFT($A323,6)&amp;"*",[1]PCRs!A:A,0))="Negativo",
         "❌ Negativo",
         "⏳ No realizado")),
   "⏳ No realizado"
)</f>
        <v>❌ Negativo</v>
      </c>
      <c r="D323" s="255" t="str">
        <f>IFERROR(
   CHOOSE(
      MATCH(VLOOKUP(LEFT(A370,6)&amp;"*",'Identificación genética'!A:C,2,FALSE),
               {"En proceso";"Finalizado"},0),
      "🔬 En proceso",
      "🎯 Finalizado"
   ),
"❌ NA")</f>
        <v>❌ NA</v>
      </c>
      <c r="E323" s="255" t="s">
        <v>85</v>
      </c>
      <c r="F323" s="104">
        <v>45817</v>
      </c>
      <c r="G323" t="str">
        <f>_xlfn.XLOOKUP(A323, Extraídas!A:A, Extraídas!G:G, "")</f>
        <v>Cianobacterias</v>
      </c>
    </row>
    <row r="324" spans="1:7" ht="15" thickBot="1" x14ac:dyDescent="0.35">
      <c r="A324" s="642" t="s">
        <v>498</v>
      </c>
      <c r="B324" s="255" t="str">
        <f>IFERROR(
   IF(INDEX(Extraídas!B:B,MATCH(LEFT($A324,6)&amp;"*",Extraídas!A:A,0))="Extraídas",
      "✅ En proceso",
      IF(INDEX(Extraídas!B:B,MATCH(LEFT($A324,6)&amp;"*",Extraídas!A:A,0))="Recibidas",
         "⏳ Pendiente","❌ No ingresada")),
   "❌ No ingresada"
)</f>
        <v>✅ En proceso</v>
      </c>
      <c r="C324" s="255" t="str">
        <f t="array" ref="C324">IFERROR(
   IF(INDEX([1]PCRs!B:B,MATCH(LEFT($A324,6)&amp;"*",[1]PCRs!A:A,0))="Positivo",
      "✅ Positivo",
      IF(INDEX([1]PCRs!B:B,MATCH(LEFT($A324,6)&amp;"*",[1]PCRs!A:A,0))="Negativo",
         "❌ Negativo",
         "⏳ No realizado")),
   "⏳ No realizado"
)</f>
        <v>❌ Negativo</v>
      </c>
      <c r="D324" s="255" t="str">
        <f>IFERROR(
   CHOOSE(
      MATCH(VLOOKUP(LEFT(A371,6)&amp;"*",'Identificación genética'!A:C,2,FALSE),
               {"En proceso";"Finalizado"},0),
      "🔬 En proceso",
      "🎯 Finalizado"
   ),
"❌ NA")</f>
        <v>🎯 Finalizado</v>
      </c>
      <c r="E324" s="255" t="s">
        <v>85</v>
      </c>
      <c r="F324" s="104">
        <v>45817</v>
      </c>
      <c r="G324" t="str">
        <f>_xlfn.XLOOKUP(A324, Extraídas!A:A, Extraídas!G:G, "")</f>
        <v>Cianobacterias</v>
      </c>
    </row>
    <row r="325" spans="1:7" ht="15" thickBot="1" x14ac:dyDescent="0.35">
      <c r="A325" s="642" t="s">
        <v>499</v>
      </c>
      <c r="B325" s="255" t="str">
        <f>IFERROR(
   IF(INDEX(Extraídas!B:B,MATCH(LEFT($A325,6)&amp;"*",Extraídas!A:A,0))="Extraídas",
      "✅ En proceso",
      IF(INDEX(Extraídas!B:B,MATCH(LEFT($A325,6)&amp;"*",Extraídas!A:A,0))="Recibidas",
         "⏳ Pendiente","❌ No ingresada")),
   "❌ No ingresada"
)</f>
        <v>✅ En proceso</v>
      </c>
      <c r="C325" s="255" t="str">
        <f t="array" ref="C325">IFERROR(
   IF(INDEX([1]PCRs!B:B,MATCH(LEFT($A325,6)&amp;"*",[1]PCRs!A:A,0))="Positivo",
      "✅ Positivo",
      IF(INDEX([1]PCRs!B:B,MATCH(LEFT($A325,6)&amp;"*",[1]PCRs!A:A,0))="Negativo",
         "❌ Negativo",
         "⏳ No realizado")),
   "⏳ No realizado"
)</f>
        <v>❌ Negativo</v>
      </c>
      <c r="D325" s="255" t="str">
        <f>IFERROR(
   CHOOSE(
      MATCH(VLOOKUP(LEFT(A372,6)&amp;"*",'Identificación genética'!A:C,2,FALSE),
               {"En proceso";"Finalizado"},0),
      "🔬 En proceso",
      "🎯 Finalizado"
   ),
"❌ NA")</f>
        <v>🎯 Finalizado</v>
      </c>
      <c r="E325" s="255" t="s">
        <v>85</v>
      </c>
      <c r="F325" s="104">
        <v>45757</v>
      </c>
      <c r="G325" t="str">
        <f>_xlfn.XLOOKUP(A325, Extraídas!A:A, Extraídas!G:G, "")</f>
        <v>Cianobacterias</v>
      </c>
    </row>
    <row r="326" spans="1:7" ht="15" thickBot="1" x14ac:dyDescent="0.35">
      <c r="A326" s="643" t="s">
        <v>500</v>
      </c>
      <c r="B326" s="255" t="str">
        <f>IFERROR(
   IF(INDEX(Extraídas!B:B,MATCH(LEFT($A326,6)&amp;"*",Extraídas!A:A,0))="Extraídas",
      "✅ En proceso",
      IF(INDEX(Extraídas!B:B,MATCH(LEFT($A326,6)&amp;"*",Extraídas!A:A,0))="Recibidas",
         "⏳ Pendiente","❌ No ingresada")),
   "❌ No ingresada"
)</f>
        <v>✅ En proceso</v>
      </c>
      <c r="C326" s="255" t="str">
        <f t="array" ref="C326">IFERROR(
   IF(INDEX([1]PCRs!B:B,MATCH(LEFT($A326,6)&amp;"*",[1]PCRs!A:A,0))="Positivo",
      "✅ Positivo",
      IF(INDEX([1]PCRs!B:B,MATCH(LEFT($A326,6)&amp;"*",[1]PCRs!A:A,0))="Negativo",
         "❌ Negativo",
         "⏳ No realizado")),
   "⏳ No realizado"
)</f>
        <v>✅ Positivo</v>
      </c>
      <c r="D326" s="255" t="str">
        <f>IFERROR(
   CHOOSE(
      MATCH(VLOOKUP(LEFT(A373,6)&amp;"*",'Identificación genética'!A:C,2,FALSE),
               {"En proceso";"Finalizado"},0),
      "🔬 En proceso",
      "🎯 Finalizado"
   ),
"❌ NA")</f>
        <v>🎯 Finalizado</v>
      </c>
      <c r="E326" s="255" t="s">
        <v>85</v>
      </c>
      <c r="F326" s="104">
        <v>45846</v>
      </c>
      <c r="G326" t="str">
        <f>_xlfn.XLOOKUP(A326, Extraídas!A:A, Extraídas!G:G, "")</f>
        <v>Cianobacterias</v>
      </c>
    </row>
    <row r="327" spans="1:7" ht="15" thickBot="1" x14ac:dyDescent="0.35">
      <c r="A327" s="641" t="s">
        <v>501</v>
      </c>
      <c r="B327" s="255" t="str">
        <f t="array" ref="B327">IFERROR(
   IF(INDEX([1]Extraídas!B:B,MATCH(LEFT($A327,6)&amp;"*",[1]Extraídas!A:A,0))="Extraídas",
      "✅ En proceso",
      IF(INDEX([1]Extraídas!B:B,MATCH(LEFT($A327,6)&amp;"*",[1]Extraídas!A:A,0))="Recibidas",
         "⏳ Pendiente","❌ No ingresada")),
   "❌ No ingresada"
)</f>
        <v>✅ En proceso</v>
      </c>
      <c r="C327" s="255" t="str">
        <f t="array" ref="C327">IFERROR(
   IF(INDEX([1]PCRs!B:B,MATCH(LEFT($A327,6)&amp;"*",[1]PCRs!A:A,0))="Positivo",
      "✅ Positivo",
      IF(INDEX([1]PCRs!B:B,MATCH(LEFT($A327,6)&amp;"*",[1]PCRs!A:A,0))="Negativo",
         "❌ Negativo",
         "⏳ No realizado")),
   "⏳ No realizado"
)</f>
        <v>⏳ No realizado</v>
      </c>
      <c r="D327" s="255" t="str">
        <f>IFERROR(
   CHOOSE(
      MATCH(VLOOKUP(LEFT(A374,6)&amp;"*",'Identificación genética'!A:C,2,FALSE),
               {"En proceso";"Finalizado"},0),
      "🔬 En proceso",
      "🎯 Finalizado"
   ),
"❌ NA")</f>
        <v>🎯 Finalizado</v>
      </c>
      <c r="E327" s="255" t="s">
        <v>85</v>
      </c>
      <c r="F327" s="107">
        <v>45931</v>
      </c>
      <c r="G327" t="str">
        <f>_xlfn.XLOOKUP(A327, Extraídas!A:A, Extraídas!G:G, "")</f>
        <v>Chlorophyceae</v>
      </c>
    </row>
    <row r="328" spans="1:7" ht="15" thickBot="1" x14ac:dyDescent="0.35">
      <c r="A328" s="641" t="s">
        <v>502</v>
      </c>
      <c r="B328" s="255" t="str">
        <f t="array" ref="B328">IFERROR(
   IF(INDEX([1]Extraídas!B:B,MATCH(LEFT($A328,6)&amp;"*",[1]Extraídas!A:A,0))="Extraídas",
      "✅ En proceso",
      IF(INDEX([1]Extraídas!B:B,MATCH(LEFT($A328,6)&amp;"*",[1]Extraídas!A:A,0))="Recibidas",
         "⏳ Pendiente","❌ No ingresada")),
   "❌ No ingresada"
)</f>
        <v>✅ En proceso</v>
      </c>
      <c r="C328" s="255" t="str">
        <f t="array" ref="C328">IFERROR(
   IF(INDEX([1]PCRs!B:B,MATCH(LEFT($A328,6)&amp;"*",[1]PCRs!A:A,0))="Positivo",
      "✅ Positivo",
      IF(INDEX([1]PCRs!B:B,MATCH(LEFT($A328,6)&amp;"*",[1]PCRs!A:A,0))="Negativo",
         "❌ Negativo",
         "⏳ No realizado")),
   "⏳ No realizado"
)</f>
        <v>⏳ No realizado</v>
      </c>
      <c r="D328" s="255" t="str">
        <f>IFERROR(
   CHOOSE(
      MATCH(VLOOKUP(LEFT(A375,6)&amp;"*",'Identificación genética'!A:C,2,FALSE),
               {"En proceso";"Finalizado"},0),
      "🔬 En proceso",
      "🎯 Finalizado"
   ),
"❌ NA")</f>
        <v>🎯 Finalizado</v>
      </c>
      <c r="E328" s="255" t="s">
        <v>85</v>
      </c>
      <c r="F328" s="107">
        <v>45933</v>
      </c>
      <c r="G328" t="str">
        <f>_xlfn.XLOOKUP(A328, Extraídas!A:A, Extraídas!G:G, "")</f>
        <v>Chlorophyceae</v>
      </c>
    </row>
    <row r="329" spans="1:7" ht="15" thickBot="1" x14ac:dyDescent="0.35">
      <c r="A329" s="641" t="s">
        <v>503</v>
      </c>
      <c r="B329" s="255" t="str">
        <f t="array" ref="B329">IFERROR(
   IF(INDEX([1]Extraídas!B:B,MATCH(LEFT($A329,6)&amp;"*",[1]Extraídas!A:A,0))="Extraídas",
      "✅ En proceso",
      IF(INDEX([1]Extraídas!B:B,MATCH(LEFT($A329,6)&amp;"*",[1]Extraídas!A:A,0))="Recibidas",
         "⏳ Pendiente","❌ No ingresada")),
   "❌ No ingresada"
)</f>
        <v>✅ En proceso</v>
      </c>
      <c r="C329" s="255" t="str">
        <f t="array" ref="C329">IFERROR(
   IF(INDEX([1]PCRs!B:B,MATCH(LEFT($A329,6)&amp;"*",[1]PCRs!A:A,0))="Positivo",
      "✅ Positivo",
      IF(INDEX([1]PCRs!B:B,MATCH(LEFT($A329,6)&amp;"*",[1]PCRs!A:A,0))="Negativo",
         "❌ Negativo",
         "⏳ No realizado")),
   "⏳ No realizado"
)</f>
        <v>⏳ No realizado</v>
      </c>
      <c r="D329" s="255" t="str">
        <f>IFERROR(
   CHOOSE(
      MATCH(VLOOKUP(LEFT(A376,6)&amp;"*",'Identificación genética'!A:C,2,FALSE),
               {"En proceso";"Finalizado"},0),
      "🔬 En proceso",
      "🎯 Finalizado"
   ),
"❌ NA")</f>
        <v>🎯 Finalizado</v>
      </c>
      <c r="E329" s="255" t="s">
        <v>85</v>
      </c>
      <c r="F329" s="107">
        <v>45933</v>
      </c>
      <c r="G329" t="str">
        <f>_xlfn.XLOOKUP(A329, Extraídas!A:A, Extraídas!G:G, "")</f>
        <v>Chlorophyceae</v>
      </c>
    </row>
    <row r="330" spans="1:7" ht="15" thickBot="1" x14ac:dyDescent="0.35">
      <c r="A330" s="643" t="s">
        <v>504</v>
      </c>
      <c r="B330" s="255" t="str">
        <f t="array" ref="B330">IFERROR(
   IF(INDEX([1]Extraídas!B:B,MATCH(LEFT($A330,6)&amp;"*",[1]Extraídas!A:A,0))="Extraídas",
      "✅ En proceso",
      IF(INDEX([1]Extraídas!B:B,MATCH(LEFT($A330,6)&amp;"*",[1]Extraídas!A:A,0))="Recibidas",
         "⏳ Pendiente","❌ No ingresada")),
   "❌ No ingresada"
)</f>
        <v>✅ En proceso</v>
      </c>
      <c r="C330" s="255" t="str">
        <f t="array" ref="C330">IFERROR(
   IF(INDEX([1]PCRs!B:B,MATCH(LEFT($A330,6)&amp;"*",[1]PCRs!A:A,0))="Positivo",
      "✅ Positivo",
      IF(INDEX([1]PCRs!B:B,MATCH(LEFT($A330,6)&amp;"*",[1]PCRs!A:A,0))="Negativo",
         "❌ Negativo",
         "⏳ No realizado")),
   "⏳ No realizado"
)</f>
        <v>⏳ No realizado</v>
      </c>
      <c r="D330" s="255" t="str">
        <f>IFERROR(
   CHOOSE(
      MATCH(VLOOKUP(LEFT(A377,6)&amp;"*",'Identificación genética'!A:C,2,FALSE),
               {"En proceso";"Finalizado"},0),
      "🔬 En proceso",
      "🎯 Finalizado"
   ),
"❌ NA")</f>
        <v>🎯 Finalizado</v>
      </c>
      <c r="E330" s="255" t="s">
        <v>85</v>
      </c>
      <c r="F330" s="104">
        <v>45846</v>
      </c>
      <c r="G330" t="str">
        <f>_xlfn.XLOOKUP(A330, Extraídas!A:A, Extraídas!G:G, "")</f>
        <v>Cianobacterias</v>
      </c>
    </row>
    <row r="331" spans="1:7" ht="15" thickBot="1" x14ac:dyDescent="0.35">
      <c r="A331" s="643" t="s">
        <v>505</v>
      </c>
      <c r="B331" s="255" t="str">
        <f>IFERROR(
   IF(INDEX(Extraídas!B:B,MATCH(LEFT($A331,6)&amp;"*",Extraídas!A:A,0))="Extraídas",
      "✅ En proceso",
      IF(INDEX(Extraídas!B:B,MATCH(LEFT($A331,6)&amp;"*",Extraídas!A:A,0))="Recibidas",
         "⏳ Pendiente","❌ No ingresada")),
   "❌ No ingresada"
)</f>
        <v>✅ En proceso</v>
      </c>
      <c r="C331" s="255" t="str">
        <f t="array" ref="C331">IFERROR(
   IF(INDEX([1]PCRs!B:B,MATCH(LEFT($A331,6)&amp;"*",[1]PCRs!A:A,0))="Positivo",
      "✅ Positivo",
      IF(INDEX([1]PCRs!B:B,MATCH(LEFT($A331,6)&amp;"*",[1]PCRs!A:A,0))="Negativo",
         "❌ Negativo",
         "⏳ No realizado")),
   "⏳ No realizado"
)</f>
        <v>✅ Positivo</v>
      </c>
      <c r="D331" s="255" t="str">
        <f>IFERROR(
   CHOOSE(
      MATCH(VLOOKUP(LEFT(A378,6)&amp;"*",'Identificación genética'!A:C,2,FALSE),
               {"En proceso";"Finalizado"},0),
      "🔬 En proceso",
      "🎯 Finalizado"
   ),
"❌ NA")</f>
        <v>🎯 Finalizado</v>
      </c>
      <c r="E331" s="255" t="s">
        <v>85</v>
      </c>
      <c r="F331" s="104">
        <v>45846</v>
      </c>
      <c r="G331" t="str">
        <f>_xlfn.XLOOKUP(A331, Extraídas!A:A, Extraídas!G:G, "")</f>
        <v>Chlorophyceae</v>
      </c>
    </row>
    <row r="332" spans="1:7" ht="15" thickBot="1" x14ac:dyDescent="0.35">
      <c r="A332" s="643" t="s">
        <v>506</v>
      </c>
      <c r="B332" s="255" t="str">
        <f>IFERROR(
   IF(INDEX(Extraídas!B:B,MATCH(LEFT($A332,6)&amp;"*",Extraídas!A:A,0))="Extraídas",
      "✅ En proceso",
      IF(INDEX(Extraídas!B:B,MATCH(LEFT($A332,6)&amp;"*",Extraídas!A:A,0))="Recibidas",
         "⏳ Pendiente","❌ No ingresada")),
   "❌ No ingresada"
)</f>
        <v>✅ En proceso</v>
      </c>
      <c r="C332" s="255" t="str">
        <f t="array" ref="C332">IFERROR(
   IF(INDEX([1]PCRs!B:B,MATCH(LEFT($A332,6)&amp;"*",[1]PCRs!A:A,0))="Positivo",
      "✅ Positivo",
      IF(INDEX([1]PCRs!B:B,MATCH(LEFT($A332,6)&amp;"*",[1]PCRs!A:A,0))="Negativo",
         "❌ Negativo",
         "⏳ No realizado")),
   "⏳ No realizado"
)</f>
        <v>✅ Positivo</v>
      </c>
      <c r="D332" s="255" t="str">
        <f>IFERROR(
   CHOOSE(
      MATCH(VLOOKUP(LEFT(A379,6)&amp;"*",'Identificación genética'!A:C,2,FALSE),
               {"En proceso";"Finalizado"},0),
      "🔬 En proceso",
      "🎯 Finalizado"
   ),
"❌ NA")</f>
        <v>🎯 Finalizado</v>
      </c>
      <c r="E332" s="255" t="s">
        <v>85</v>
      </c>
      <c r="F332" s="104">
        <v>45768</v>
      </c>
      <c r="G332" t="str">
        <f>_xlfn.XLOOKUP(A332, Extraídas!A:A, Extraídas!G:G, "")</f>
        <v>Chlorophyceae</v>
      </c>
    </row>
    <row r="333" spans="1:7" ht="15" thickBot="1" x14ac:dyDescent="0.35">
      <c r="A333" s="643" t="s">
        <v>507</v>
      </c>
      <c r="B333" s="255" t="str">
        <f t="array" ref="B333">IFERROR(
   IF(INDEX([1]Extraídas!B:B,MATCH(LEFT($A333,6)&amp;"*",[1]Extraídas!A:A,0))="Extraídas",
      "✅ En proceso",
      IF(INDEX([1]Extraídas!B:B,MATCH(LEFT($A333,6)&amp;"*",[1]Extraídas!A:A,0))="Recibidas",
         "⏳ Pendiente","❌ No ingresada")),
   "❌ No ingresada"
)</f>
        <v>✅ En proceso</v>
      </c>
      <c r="C333" s="255" t="str">
        <f t="array" ref="C333">IFERROR(
   IF(INDEX([1]PCRs!B:B,MATCH(LEFT($A333,6)&amp;"*",[1]PCRs!A:A,0))="Positivo",
      "✅ Positivo",
      IF(INDEX([1]PCRs!B:B,MATCH(LEFT($A333,6)&amp;"*",[1]PCRs!A:A,0))="Negativo",
         "❌ Negativo",
         "⏳ No realizado")),
   "⏳ No realizado"
)</f>
        <v>⏳ No realizado</v>
      </c>
      <c r="D333" s="255" t="str">
        <f>IFERROR(
   CHOOSE(
      MATCH(VLOOKUP(LEFT(A380,6)&amp;"*",'Identificación genética'!A:C,2,FALSE),
               {"En proceso";"Finalizado"},0),
      "🔬 En proceso",
      "🎯 Finalizado"
   ),
"❌ NA")</f>
        <v>🎯 Finalizado</v>
      </c>
      <c r="E333" s="255" t="s">
        <v>85</v>
      </c>
      <c r="F333" s="29">
        <v>45768</v>
      </c>
      <c r="G333" t="str">
        <f>_xlfn.XLOOKUP(A333, Extraídas!A:A, Extraídas!G:G, "")</f>
        <v>Chlorophyceae</v>
      </c>
    </row>
    <row r="334" spans="1:7" ht="15" thickBot="1" x14ac:dyDescent="0.35">
      <c r="A334" s="641" t="s">
        <v>508</v>
      </c>
      <c r="B334" s="255" t="str">
        <f t="array" ref="B334">IFERROR(
   IF(INDEX([1]Extraídas!B:B,MATCH(LEFT($A334,6)&amp;"*",[1]Extraídas!A:A,0))="Extraídas",
      "✅ En proceso",
      IF(INDEX([1]Extraídas!B:B,MATCH(LEFT($A334,6)&amp;"*",[1]Extraídas!A:A,0))="Recibidas",
         "⏳ Pendiente","❌ No ingresada")),
   "❌ No ingresada"
)</f>
        <v>✅ En proceso</v>
      </c>
      <c r="C334" s="255" t="str">
        <f t="array" ref="C334">IFERROR(
   IF(INDEX([1]PCRs!B:B,MATCH(LEFT($A334,6)&amp;"*",[1]PCRs!A:A,0))="Positivo",
      "✅ Positivo",
      IF(INDEX([1]PCRs!B:B,MATCH(LEFT($A334,6)&amp;"*",[1]PCRs!A:A,0))="Negativo",
         "❌ Negativo",
         "⏳ No realizado")),
   "⏳ No realizado"
)</f>
        <v>⏳ No realizado</v>
      </c>
      <c r="D334" s="255" t="str">
        <f>IFERROR(
   CHOOSE(
      MATCH(VLOOKUP(LEFT(A381,6)&amp;"*",'Identificación genética'!A:C,2,FALSE),
               {"En proceso";"Finalizado"},0),
      "🔬 En proceso",
      "🎯 Finalizado"
   ),
"❌ NA")</f>
        <v>🎯 Finalizado</v>
      </c>
      <c r="E334" s="255" t="s">
        <v>85</v>
      </c>
      <c r="F334" s="110">
        <v>45931</v>
      </c>
      <c r="G334" t="str">
        <f>_xlfn.XLOOKUP(A334, Extraídas!A:A, Extraídas!G:G, "")</f>
        <v>Microalgas</v>
      </c>
    </row>
    <row r="335" spans="1:7" ht="15" thickBot="1" x14ac:dyDescent="0.35">
      <c r="A335" s="643" t="s">
        <v>509</v>
      </c>
      <c r="B335" s="255" t="str">
        <f t="array" ref="B335">IFERROR(
   IF(INDEX([1]Extraídas!B:B,MATCH(LEFT($A335,6)&amp;"*",[1]Extraídas!A:A,0))="Extraídas",
      "✅ En proceso",
      IF(INDEX([1]Extraídas!B:B,MATCH(LEFT($A335,6)&amp;"*",[1]Extraídas!A:A,0))="Recibidas",
         "⏳ Pendiente","❌ No ingresada")),
   "❌ No ingresada"
)</f>
        <v>✅ En proceso</v>
      </c>
      <c r="C335" s="255" t="str">
        <f t="array" ref="C335">IFERROR(
   IF(INDEX([1]PCRs!B:B,MATCH(LEFT($A335,6)&amp;"*",[1]PCRs!A:A,0))="Positivo",
      "✅ Positivo",
      IF(INDEX([1]PCRs!B:B,MATCH(LEFT($A335,6)&amp;"*",[1]PCRs!A:A,0))="Negativo",
         "❌ Negativo",
         "⏳ No realizado")),
   "⏳ No realizado"
)</f>
        <v>⏳ No realizado</v>
      </c>
      <c r="D335" s="255" t="str">
        <f>IFERROR(
   CHOOSE(
      MATCH(VLOOKUP(LEFT(A382,6)&amp;"*",'Identificación genética'!A:C,2,FALSE),
               {"En proceso";"Finalizado"},0),
      "🔬 En proceso",
      "🎯 Finalizado"
   ),
"❌ NA")</f>
        <v>🎯 Finalizado</v>
      </c>
      <c r="E335" s="255" t="s">
        <v>85</v>
      </c>
      <c r="F335" s="29">
        <v>45768</v>
      </c>
      <c r="G335" t="str">
        <f>_xlfn.XLOOKUP(A335, Extraídas!A:A, Extraídas!G:G, "")</f>
        <v>Chlorophyceae</v>
      </c>
    </row>
    <row r="336" spans="1:7" ht="15" thickBot="1" x14ac:dyDescent="0.35">
      <c r="A336" s="641" t="s">
        <v>510</v>
      </c>
      <c r="B336" s="255" t="str">
        <f t="array" ref="B336">IFERROR(
   IF(INDEX([1]Extraídas!B:B,MATCH(LEFT($A336,6)&amp;"*",[1]Extraídas!A:A,0))="Extraídas",
      "✅ En proceso",
      IF(INDEX([1]Extraídas!B:B,MATCH(LEFT($A336,6)&amp;"*",[1]Extraídas!A:A,0))="Recibidas",
         "⏳ Pendiente","❌ No ingresada")),
   "❌ No ingresada"
)</f>
        <v>✅ En proceso</v>
      </c>
      <c r="C336" s="255" t="str">
        <f t="array" ref="C336">IFERROR(
   IF(INDEX([1]PCRs!B:B,MATCH(LEFT($A336,6)&amp;"*",[1]PCRs!A:A,0))="Positivo",
      "✅ Positivo",
      IF(INDEX([1]PCRs!B:B,MATCH(LEFT($A336,6)&amp;"*",[1]PCRs!A:A,0))="Negativo",
         "❌ Negativo",
         "⏳ No realizado")),
   "⏳ No realizado"
)</f>
        <v>⏳ No realizado</v>
      </c>
      <c r="D336" s="255" t="str">
        <f>IFERROR(
   CHOOSE(
      MATCH(VLOOKUP(LEFT(A383,6)&amp;"*",'Identificación genética'!A:C,2,FALSE),
               {"En proceso";"Finalizado"},0),
      "🔬 En proceso",
      "🎯 Finalizado"
   ),
"❌ NA")</f>
        <v>🎯 Finalizado</v>
      </c>
      <c r="E336" s="255" t="s">
        <v>85</v>
      </c>
      <c r="F336" s="110">
        <v>45940</v>
      </c>
      <c r="G336" t="str">
        <f>_xlfn.XLOOKUP(A336, Extraídas!A:A, Extraídas!G:G, "")</f>
        <v>Microalgas</v>
      </c>
    </row>
    <row r="337" spans="1:7" ht="15" thickBot="1" x14ac:dyDescent="0.35">
      <c r="A337" s="641" t="s">
        <v>511</v>
      </c>
      <c r="B337" s="255" t="str">
        <f t="array" ref="B337">IFERROR(
   IF(INDEX([1]Extraídas!B:B,MATCH(LEFT($A337,6)&amp;"*",[1]Extraídas!A:A,0))="Extraídas",
      "✅ En proceso",
      IF(INDEX([1]Extraídas!B:B,MATCH(LEFT($A337,6)&amp;"*",[1]Extraídas!A:A,0))="Recibidas",
         "⏳ Pendiente","❌ No ingresada")),
   "❌ No ingresada"
)</f>
        <v>✅ En proceso</v>
      </c>
      <c r="C337" s="255" t="str">
        <f t="array" ref="C337">IFERROR(
   IF(INDEX([1]PCRs!B:B,MATCH(LEFT($A337,6)&amp;"*",[1]PCRs!A:A,0))="Positivo",
      "✅ Positivo",
      IF(INDEX([1]PCRs!B:B,MATCH(LEFT($A337,6)&amp;"*",[1]PCRs!A:A,0))="Negativo",
         "❌ Negativo",
         "⏳ No realizado")),
   "⏳ No realizado"
)</f>
        <v>⏳ No realizado</v>
      </c>
      <c r="D337" s="255" t="str">
        <f>IFERROR(
   CHOOSE(
      MATCH(VLOOKUP(LEFT(A384,6)&amp;"*",'Identificación genética'!A:C,2,FALSE),
               {"En proceso";"Finalizado"},0),
      "🔬 En proceso",
      "🎯 Finalizado"
   ),
"❌ NA")</f>
        <v>🎯 Finalizado</v>
      </c>
      <c r="E337" s="255" t="s">
        <v>85</v>
      </c>
      <c r="F337" s="110">
        <v>45931</v>
      </c>
      <c r="G337" t="str">
        <f>_xlfn.XLOOKUP(A337, Extraídas!A:A, Extraídas!G:G, "")</f>
        <v>Microalgas</v>
      </c>
    </row>
    <row r="338" spans="1:7" ht="15" thickBot="1" x14ac:dyDescent="0.35">
      <c r="A338" s="643" t="s">
        <v>512</v>
      </c>
      <c r="B338" s="255" t="str">
        <f t="array" ref="B338">IFERROR(
   IF(INDEX([1]Extraídas!B:B,MATCH(LEFT($A338,6)&amp;"*",[1]Extraídas!A:A,0))="Extraídas",
      "✅ En proceso",
      IF(INDEX([1]Extraídas!B:B,MATCH(LEFT($A338,6)&amp;"*",[1]Extraídas!A:A,0))="Recibidas",
         "⏳ Pendiente","❌ No ingresada")),
   "❌ No ingresada"
)</f>
        <v>✅ En proceso</v>
      </c>
      <c r="C338" s="255" t="str">
        <f t="array" ref="C338">IFERROR(
   IF(INDEX([1]PCRs!B:B,MATCH(LEFT($A338,6)&amp;"*",[1]PCRs!A:A,0))="Positivo",
      "✅ Positivo",
      IF(INDEX([1]PCRs!B:B,MATCH(LEFT($A338,6)&amp;"*",[1]PCRs!A:A,0))="Negativo",
         "❌ Negativo",
         "⏳ No realizado")),
   "⏳ No realizado"
)</f>
        <v>⏳ No realizado</v>
      </c>
      <c r="D338" s="255" t="str">
        <f>IFERROR(
   CHOOSE(
      MATCH(VLOOKUP(LEFT(A385,6)&amp;"*",'Identificación genética'!A:C,2,FALSE),
               {"En proceso";"Finalizado"},0),
      "🔬 En proceso",
      "🎯 Finalizado"
   ),
"❌ NA")</f>
        <v>🎯 Finalizado</v>
      </c>
      <c r="E338" s="255" t="s">
        <v>85</v>
      </c>
      <c r="F338" s="29">
        <v>45768</v>
      </c>
      <c r="G338" t="str">
        <f>_xlfn.XLOOKUP(A338, Extraídas!A:A, Extraídas!G:G, "")</f>
        <v>Chlorophyceae</v>
      </c>
    </row>
    <row r="339" spans="1:7" ht="15" thickBot="1" x14ac:dyDescent="0.35">
      <c r="A339" s="641" t="s">
        <v>513</v>
      </c>
      <c r="B339" s="255" t="str">
        <f>IFERROR(
   IF(INDEX(Extraídas!B:B,MATCH(LEFT($A339,6)&amp;"*",Extraídas!A:A,0))="Extraídas",
      "✅ En proceso",
      IF(INDEX(Extraídas!B:B,MATCH(LEFT($A339,6)&amp;"*",Extraídas!A:A,0))="Recibidas",
         "⏳ Pendiente","❌ No ingresada")),
   "❌ No ingresada"
)</f>
        <v>✅ En proceso</v>
      </c>
      <c r="C339" s="255" t="str">
        <f t="array" ref="C339">IFERROR(
   IF(INDEX([1]PCRs!B:B,MATCH(LEFT($A339,6)&amp;"*",[1]PCRs!A:A,0))="Positivo",
      "✅ Positivo",
      IF(INDEX([1]PCRs!B:B,MATCH(LEFT($A339,6)&amp;"*",[1]PCRs!A:A,0))="Negativo",
         "❌ Negativo",
         "⏳ No realizado")),
   "⏳ No realizado"
)</f>
        <v>✅ Positivo</v>
      </c>
      <c r="D339" s="255" t="str">
        <f>IFERROR(
   CHOOSE(
      MATCH(VLOOKUP(LEFT(A386,6)&amp;"*",'Identificación genética'!A:C,2,FALSE),
               {"En proceso";"Finalizado"},0),
      "🔬 En proceso",
      "🎯 Finalizado"
   ),
"❌ NA")</f>
        <v>🎯 Finalizado</v>
      </c>
      <c r="E339" s="255" t="s">
        <v>85</v>
      </c>
      <c r="F339" s="29">
        <v>45768</v>
      </c>
      <c r="G339" t="str">
        <f>_xlfn.XLOOKUP(A339, Extraídas!A:A, Extraídas!G:G, "")</f>
        <v>Chlorophyceae</v>
      </c>
    </row>
    <row r="340" spans="1:7" ht="15" thickBot="1" x14ac:dyDescent="0.35">
      <c r="A340" s="641" t="s">
        <v>514</v>
      </c>
      <c r="B340" s="255" t="str">
        <f>IFERROR(
   IF(INDEX(Extraídas!B:B,MATCH(LEFT($A340,6)&amp;"*",Extraídas!A:A,0))="Extraídas",
      "✅ En proceso",
      IF(INDEX(Extraídas!B:B,MATCH(LEFT($A340,6)&amp;"*",Extraídas!A:A,0))="Recibidas",
         "⏳ Pendiente","❌ No ingresada")),
   "❌ No ingresada"
)</f>
        <v>✅ En proceso</v>
      </c>
      <c r="C340" s="255" t="str">
        <f t="array" ref="C340">IFERROR(
   IF(INDEX([1]PCRs!B:B,MATCH(LEFT($A340,6)&amp;"*",[1]PCRs!A:A,0))="Positivo",
      "✅ Positivo",
      IF(INDEX([1]PCRs!B:B,MATCH(LEFT($A340,6)&amp;"*",[1]PCRs!A:A,0))="Negativo",
         "❌ Negativo",
         "⏳ No realizado")),
   "⏳ No realizado"
)</f>
        <v>✅ Positivo</v>
      </c>
      <c r="D340" s="255" t="str">
        <f>IFERROR(
   CHOOSE(
      MATCH(VLOOKUP(LEFT(A387,6)&amp;"*",'Identificación genética'!A:C,2,FALSE),
               {"En proceso";"Finalizado"},0),
      "🔬 En proceso",
      "🎯 Finalizado"
   ),
"❌ NA")</f>
        <v>🎯 Finalizado</v>
      </c>
      <c r="E340" s="255" t="s">
        <v>85</v>
      </c>
      <c r="F340" s="29">
        <v>45768</v>
      </c>
      <c r="G340" t="str">
        <f>_xlfn.XLOOKUP(A340, Extraídas!A:A, Extraídas!G:G, "")</f>
        <v>Chlorophyceae</v>
      </c>
    </row>
    <row r="341" spans="1:7" ht="15" thickBot="1" x14ac:dyDescent="0.35">
      <c r="A341" s="643" t="s">
        <v>515</v>
      </c>
      <c r="B341" s="255" t="str">
        <f>IFERROR(
   IF(INDEX(Extraídas!B:B,MATCH(LEFT($A341,6)&amp;"*",Extraídas!A:A,0))="Extraídas",
      "✅ En proceso",
      IF(INDEX(Extraídas!B:B,MATCH(LEFT($A341,6)&amp;"*",Extraídas!A:A,0))="Recibidas",
         "⏳ Pendiente","❌ No ingresada")),
   "❌ No ingresada"
)</f>
        <v>✅ En proceso</v>
      </c>
      <c r="C341" s="255" t="str">
        <f t="array" ref="C341">IFERROR(
   IF(INDEX([1]PCRs!B:B,MATCH(LEFT($A341,6)&amp;"*",[1]PCRs!A:A,0))="Positivo",
      "✅ Positivo",
      IF(INDEX([1]PCRs!B:B,MATCH(LEFT($A341,6)&amp;"*",[1]PCRs!A:A,0))="Negativo",
         "❌ Negativo",
         "⏳ No realizado")),
   "⏳ No realizado"
)</f>
        <v>✅ Positivo</v>
      </c>
      <c r="D341" s="255" t="str">
        <f>IFERROR(
   CHOOSE(
      MATCH(VLOOKUP(LEFT(A388,6)&amp;"*",'Identificación genética'!A:C,2,FALSE),
               {"En proceso";"Finalizado"},0),
      "🔬 En proceso",
      "🎯 Finalizado"
   ),
"❌ NA")</f>
        <v>❌ NA</v>
      </c>
      <c r="E341" s="255" t="s">
        <v>85</v>
      </c>
      <c r="F341" s="29">
        <v>45768</v>
      </c>
      <c r="G341" t="str">
        <f>_xlfn.XLOOKUP(A341, Extraídas!A:A, Extraídas!G:G, "")</f>
        <v>Chlorophyceae</v>
      </c>
    </row>
    <row r="342" spans="1:7" ht="15" thickBot="1" x14ac:dyDescent="0.35">
      <c r="A342" s="641" t="s">
        <v>516</v>
      </c>
      <c r="B342" s="255" t="str">
        <f t="array" ref="B342">IFERROR(
   IF(INDEX([1]Extraídas!B:B,MATCH(LEFT($A342,6)&amp;"*",[1]Extraídas!A:A,0))="Extraídas",
      "✅ En proceso",
      IF(INDEX([1]Extraídas!B:B,MATCH(LEFT($A342,6)&amp;"*",[1]Extraídas!A:A,0))="Recibidas",
         "⏳ Pendiente","❌ No ingresada")),
   "❌ No ingresada"
)</f>
        <v>✅ En proceso</v>
      </c>
      <c r="C342" s="255" t="str">
        <f t="array" ref="C342">IFERROR(
   IF(INDEX([1]PCRs!B:B,MATCH(LEFT($A342,6)&amp;"*",[1]PCRs!A:A,0))="Positivo",
      "✅ Positivo",
      IF(INDEX([1]PCRs!B:B,MATCH(LEFT($A342,6)&amp;"*",[1]PCRs!A:A,0))="Negativo",
         "❌ Negativo",
         "⏳ No realizado")),
   "⏳ No realizado"
)</f>
        <v>⏳ No realizado</v>
      </c>
      <c r="D342" s="255" t="str">
        <f>IFERROR(
   CHOOSE(
      MATCH(VLOOKUP(LEFT(A389,6)&amp;"*",'Identificación genética'!A:C,2,FALSE),
               {"En proceso";"Finalizado"},0),
      "🔬 En proceso",
      "🎯 Finalizado"
   ),
"❌ NA")</f>
        <v>❌ NA</v>
      </c>
      <c r="E342" s="255" t="s">
        <v>85</v>
      </c>
      <c r="F342" s="111">
        <v>45733</v>
      </c>
      <c r="G342" t="str">
        <f>_xlfn.XLOOKUP(A342, Extraídas!A:A, Extraídas!G:G, "")</f>
        <v>Microalgas</v>
      </c>
    </row>
    <row r="343" spans="1:7" ht="15" thickBot="1" x14ac:dyDescent="0.35">
      <c r="A343" s="565" t="s">
        <v>1808</v>
      </c>
      <c r="B343" t="str">
        <f t="array" ref="B343">IFERROR(
   IF(INDEX([1]Extraídas!B:B,MATCH(LEFT($A343,6)&amp;"*",[1]Extraídas!A:A,0))="Extraídas",
      "✅ En proceso",
      IF(INDEX([1]Extraídas!B:B,MATCH(LEFT($A343,6)&amp;"*",[1]Extraídas!A:A,0))="Recibidas",
         "⏳ Pendiente","❌ No ingresada")),
   "❌ No ingresada"
)</f>
        <v>❌ No ingresada</v>
      </c>
      <c r="C343" s="255" t="str">
        <f t="array" ref="C343">IFERROR(
   IF(INDEX([1]PCRs!B:B,MATCH(LEFT($A343,6)&amp;"*",[1]PCRs!A:A,0))="Positivo",
      "✅ Positivo",
      IF(INDEX([1]PCRs!B:B,MATCH(LEFT($A343,6)&amp;"*",[1]PCRs!A:A,0))="Negativo",
         "❌ Negativo",
         "⏳ No realizado")),
   "⏳ No realizado"
)</f>
        <v>❌ Negativo</v>
      </c>
      <c r="D343" s="255" t="str">
        <f>IFERROR(
   CHOOSE(
      MATCH(VLOOKUP(LEFT(A390,6)&amp;"*",'Identificación genética'!A:C,2,FALSE),
               {"En proceso";"Finalizado"},0),
      "🔬 En proceso",
      "🎯 Finalizado"
   ),
"❌ NA")</f>
        <v>❌ NA</v>
      </c>
      <c r="E343" s="255" t="s">
        <v>85</v>
      </c>
      <c r="G343" t="str">
        <f>_xlfn.XLOOKUP(A343, Extraídas!A:A, Extraídas!G:G, "")</f>
        <v/>
      </c>
    </row>
    <row r="344" spans="1:7" ht="15" thickBot="1" x14ac:dyDescent="0.35">
      <c r="A344" s="570" t="s">
        <v>2256</v>
      </c>
      <c r="B344" s="255" t="str">
        <f>IFERROR(
   IF(INDEX(Extraídas!B:B,MATCH(LEFT($A344,6)&amp;"*",Extraídas!A:A,0))="Extraídas",
      "✅ En proceso",
      IF(INDEX(Extraídas!B:B,MATCH(LEFT($A344,6)&amp;"*",Extraídas!A:A,0))="Recibidas",
         "⏳ Pendiente","❌ No ingresada")),
   "❌ No ingresada"
)</f>
        <v>❌ No ingresada</v>
      </c>
      <c r="C344" s="255" t="str">
        <f t="array" ref="C344">IFERROR(
   IF(INDEX([1]PCRs!B:B,MATCH(LEFT($A344,6)&amp;"*",[1]PCRs!A:A,0))="Positivo",
      "✅ Positivo",
      IF(INDEX([1]PCRs!B:B,MATCH(LEFT($A344,6)&amp;"*",[1]PCRs!A:A,0))="Negativo",
         "❌ Negativo",
         "⏳ No realizado")),
   "⏳ No realizado"
)</f>
        <v>✅ Positivo</v>
      </c>
      <c r="D344" s="255" t="str">
        <f>IFERROR(
   CHOOSE(
      MATCH(VLOOKUP(LEFT(A391,6)&amp;"*",'Identificación genética'!A:C,2,FALSE),
               {"En proceso";"Finalizado"},0),
      "🔬 En proceso",
      "🎯 Finalizado"
   ),
"❌ NA")</f>
        <v>❌ NA</v>
      </c>
      <c r="E344" s="255" t="s">
        <v>85</v>
      </c>
      <c r="G344" t="str">
        <f>_xlfn.XLOOKUP(A344, Extraídas!A:A, Extraídas!G:G, "")</f>
        <v/>
      </c>
    </row>
    <row r="345" spans="1:7" ht="15" thickBot="1" x14ac:dyDescent="0.35">
      <c r="A345" s="557" t="s">
        <v>1106</v>
      </c>
      <c r="B345" s="255" t="str">
        <f>IFERROR(
   IF(INDEX(Extraídas!B:B,MATCH(LEFT($A345,6)&amp;"*",Extraídas!A:A,0))="Extraídas",
      "✅ En proceso",
      IF(INDEX(Extraídas!B:B,MATCH(LEFT($A345,6)&amp;"*",Extraídas!A:A,0))="Recibidas",
         "⏳ Pendiente","❌ No ingresada")),
   "❌ No ingresada"
)</f>
        <v>✅ En proceso</v>
      </c>
      <c r="C345" s="255" t="str">
        <f t="array" ref="C345">IFERROR(
   IF(INDEX([1]PCRs!B:B,MATCH(LEFT($A345,6)&amp;"*",[1]PCRs!A:A,0))="Positivo",
      "✅ Positivo",
      IF(INDEX([1]PCRs!B:B,MATCH(LEFT($A345,6)&amp;"*",[1]PCRs!A:A,0))="Negativo",
         "❌ Negativo",
         "⏳ No realizado")),
   "⏳ No realizado"
)</f>
        <v>✅ Positivo</v>
      </c>
      <c r="D345" s="255" t="str">
        <f>IFERROR(
   CHOOSE(
      MATCH(VLOOKUP(LEFT(A392,6)&amp;"*",'Identificación genética'!A:C,2,FALSE),
               {"En proceso";"Finalizado"},0),
      "🔬 En proceso",
      "🎯 Finalizado"
   ),
"❌ NA")</f>
        <v>❌ NA</v>
      </c>
      <c r="E345" s="255" t="s">
        <v>85</v>
      </c>
      <c r="G345" t="str">
        <f>_xlfn.XLOOKUP(A345, Extraídas!A:A, Extraídas!G:G, "")</f>
        <v/>
      </c>
    </row>
    <row r="346" spans="1:7" ht="15" thickBot="1" x14ac:dyDescent="0.35">
      <c r="A346" s="643" t="s">
        <v>517</v>
      </c>
      <c r="B346" s="255" t="str">
        <f>IFERROR(
   IF(INDEX(Extraídas!B:B,MATCH(LEFT($A346,6)&amp;"*",Extraídas!A:A,0))="Extraídas",
      "✅ En proceso",
      IF(INDEX(Extraídas!B:B,MATCH(LEFT($A346,6)&amp;"*",Extraídas!A:A,0))="Recibidas",
         "⏳ Pendiente","❌ No ingresada")),
   "❌ No ingresada"
)</f>
        <v>✅ En proceso</v>
      </c>
      <c r="C346" s="255" t="str">
        <f t="array" ref="C346">IFERROR(
   IF(INDEX([1]PCRs!B:B,MATCH(LEFT($A346,6)&amp;"*",[1]PCRs!A:A,0))="Positivo",
      "✅ Positivo",
      IF(INDEX([1]PCRs!B:B,MATCH(LEFT($A346,6)&amp;"*",[1]PCRs!A:A,0))="Negativo",
         "❌ Negativo",
         "⏳ No realizado")),
   "⏳ No realizado"
)</f>
        <v>✅ Positivo</v>
      </c>
      <c r="D346" s="255" t="str">
        <f>IFERROR(
   CHOOSE(
      MATCH(VLOOKUP(LEFT(A393,6)&amp;"*",'Identificación genética'!A:C,2,FALSE),
               {"En proceso";"Finalizado"},0),
      "🔬 En proceso",
      "🎯 Finalizado"
   ),
"❌ NA")</f>
        <v>❌ NA</v>
      </c>
      <c r="E346" s="255" t="s">
        <v>85</v>
      </c>
      <c r="F346" s="95" t="s">
        <v>518</v>
      </c>
      <c r="G346" t="str">
        <f>_xlfn.XLOOKUP(A346, Extraídas!A:A, Extraídas!G:G, "")</f>
        <v>Cianobacterias</v>
      </c>
    </row>
    <row r="347" spans="1:7" ht="15" thickBot="1" x14ac:dyDescent="0.35">
      <c r="A347" s="642" t="s">
        <v>519</v>
      </c>
      <c r="B347" s="255" t="str">
        <f>IFERROR(
   IF(INDEX(Extraídas!B:B,MATCH(LEFT($A347,6)&amp;"*",Extraídas!A:A,0))="Extraídas",
      "✅ En proceso",
      IF(INDEX(Extraídas!B:B,MATCH(LEFT($A347,6)&amp;"*",Extraídas!A:A,0))="Recibidas",
         "⏳ Pendiente","❌ No ingresada")),
   "❌ No ingresada"
)</f>
        <v>✅ En proceso</v>
      </c>
      <c r="C347" s="255" t="str">
        <f t="array" ref="C347">IFERROR(
   IF(INDEX([1]PCRs!B:B,MATCH(LEFT($A347,6)&amp;"*",[1]PCRs!A:A,0))="Positivo",
      "✅ Positivo",
      IF(INDEX([1]PCRs!B:B,MATCH(LEFT($A347,6)&amp;"*",[1]PCRs!A:A,0))="Negativo",
         "❌ Negativo",
         "⏳ No realizado")),
   "⏳ No realizado"
)</f>
        <v>✅ Positivo</v>
      </c>
      <c r="D347" s="255" t="str">
        <f>IFERROR(
   CHOOSE(
      MATCH(VLOOKUP(LEFT(A394,6)&amp;"*",'Identificación genética'!A:C,2,FALSE),
               {"En proceso";"Finalizado"},0),
      "🔬 En proceso",
      "🎯 Finalizado"
   ),
"❌ NA")</f>
        <v>🎯 Finalizado</v>
      </c>
      <c r="E347" s="255" t="s">
        <v>85</v>
      </c>
      <c r="F347" s="111">
        <v>45763</v>
      </c>
      <c r="G347" t="str">
        <f>_xlfn.XLOOKUP(A347, Extraídas!A:A, Extraídas!G:G, "")</f>
        <v>Cianobacterias</v>
      </c>
    </row>
    <row r="348" spans="1:7" ht="15" thickBot="1" x14ac:dyDescent="0.35">
      <c r="A348" s="642" t="s">
        <v>520</v>
      </c>
      <c r="B348" s="255" t="str">
        <f>IFERROR(
   IF(INDEX(Extraídas!B:B,MATCH(LEFT($A348,6)&amp;"*",Extraídas!A:A,0))="Extraídas",
      "✅ En proceso",
      IF(INDEX(Extraídas!B:B,MATCH(LEFT($A348,6)&amp;"*",Extraídas!A:A,0))="Recibidas",
         "⏳ Pendiente","❌ No ingresada")),
   "❌ No ingresada"
)</f>
        <v>✅ En proceso</v>
      </c>
      <c r="C348" s="255" t="str">
        <f t="array" ref="C348">IFERROR(
   IF(INDEX([1]PCRs!B:B,MATCH(LEFT($A348,6)&amp;"*",[1]PCRs!A:A,0))="Positivo",
      "✅ Positivo",
      IF(INDEX([1]PCRs!B:B,MATCH(LEFT($A348,6)&amp;"*",[1]PCRs!A:A,0))="Negativo",
         "❌ Negativo",
         "⏳ No realizado")),
   "⏳ No realizado"
)</f>
        <v>✅ Positivo</v>
      </c>
      <c r="D348" s="255" t="str">
        <f>IFERROR(
   CHOOSE(
      MATCH(VLOOKUP(LEFT(A395,6)&amp;"*",'Identificación genética'!A:C,2,FALSE),
               {"En proceso";"Finalizado"},0),
      "🔬 En proceso",
      "🎯 Finalizado"
   ),
"❌ NA")</f>
        <v>🎯 Finalizado</v>
      </c>
      <c r="E348" s="255" t="s">
        <v>85</v>
      </c>
      <c r="F348" s="115">
        <v>45763</v>
      </c>
      <c r="G348" t="str">
        <f>_xlfn.XLOOKUP(A348, Extraídas!A:A, Extraídas!G:G, "")</f>
        <v>Cianobacterias</v>
      </c>
    </row>
    <row r="349" spans="1:7" ht="15" thickBot="1" x14ac:dyDescent="0.35">
      <c r="A349" s="565" t="s">
        <v>2188</v>
      </c>
      <c r="B349" s="255" t="str">
        <f>IFERROR(
   IF(INDEX(Extraídas!B:B,MATCH(LEFT($A349,6)&amp;"*",Extraídas!A:A,0))="Extraídas",
      "✅ En proceso",
      IF(INDEX(Extraídas!B:B,MATCH(LEFT($A349,6)&amp;"*",Extraídas!A:A,0))="Recibidas",
         "⏳ Pendiente","❌ No ingresada")),
   "❌ No ingresada"
)</f>
        <v>✅ En proceso</v>
      </c>
      <c r="C349" s="255" t="str">
        <f t="array" ref="C349">IFERROR(
   IF(INDEX([1]PCRs!B:B,MATCH(LEFT($A349,6)&amp;"*",[1]PCRs!A:A,0))="Positivo",
      "✅ Positivo",
      IF(INDEX([1]PCRs!B:B,MATCH(LEFT($A349,6)&amp;"*",[1]PCRs!A:A,0))="Negativo",
         "❌ Negativo",
         "⏳ No realizado")),
   "⏳ No realizado"
)</f>
        <v>✅ Positivo</v>
      </c>
      <c r="D349" s="255" t="str">
        <f>IFERROR(
   CHOOSE(
      MATCH(VLOOKUP(LEFT(A396,6)&amp;"*",'Identificación genética'!A:C,2,FALSE),
               {"En proceso";"Finalizado"},0),
      "🔬 En proceso",
      "🎯 Finalizado"
   ),
"❌ NA")</f>
        <v>🎯 Finalizado</v>
      </c>
      <c r="E349" s="255" t="s">
        <v>85</v>
      </c>
      <c r="G349" t="str">
        <f>_xlfn.XLOOKUP(A349, Extraídas!A:A, Extraídas!G:G, "")</f>
        <v/>
      </c>
    </row>
    <row r="350" spans="1:7" ht="15" thickBot="1" x14ac:dyDescent="0.35">
      <c r="A350" s="557" t="s">
        <v>2293</v>
      </c>
      <c r="B350" s="255" t="str">
        <f>IFERROR(
   IF(INDEX(Extraídas!B:B,MATCH(LEFT($A350,6)&amp;"*",Extraídas!A:A,0))="Extraídas",
      "✅ En proceso",
      IF(INDEX(Extraídas!B:B,MATCH(LEFT($A350,6)&amp;"*",Extraídas!A:A,0))="Recibidas",
         "⏳ Pendiente","❌ No ingresada")),
   "❌ No ingresada"
)</f>
        <v>✅ En proceso</v>
      </c>
      <c r="C350" s="255" t="str">
        <f t="array" ref="C350">IFERROR(
   IF(INDEX([1]PCRs!B:B,MATCH(LEFT($A350,6)&amp;"*",[1]PCRs!A:A,0))="Positivo",
      "✅ Positivo",
      IF(INDEX([1]PCRs!B:B,MATCH(LEFT($A350,6)&amp;"*",[1]PCRs!A:A,0))="Negativo",
         "❌ Negativo",
         "⏳ No realizado")),
   "⏳ No realizado"
)</f>
        <v>✅ Positivo</v>
      </c>
      <c r="D350" s="255" t="str">
        <f>IFERROR(
   CHOOSE(
      MATCH(VLOOKUP(LEFT(A397,6)&amp;"*",'Identificación genética'!A:C,2,FALSE),
               {"En proceso";"Finalizado"},0),
      "🔬 En proceso",
      "🎯 Finalizado"
   ),
"❌ NA")</f>
        <v>🎯 Finalizado</v>
      </c>
      <c r="E350" s="255" t="s">
        <v>85</v>
      </c>
      <c r="G350" t="str">
        <f>_xlfn.XLOOKUP(A350, Extraídas!A:A, Extraídas!G:G, "")</f>
        <v/>
      </c>
    </row>
    <row r="351" spans="1:7" ht="15" thickBot="1" x14ac:dyDescent="0.35">
      <c r="A351" s="642" t="s">
        <v>521</v>
      </c>
      <c r="B351" s="255" t="str">
        <f>IFERROR(
   IF(INDEX(Extraídas!B:B,MATCH(LEFT($A351,6)&amp;"*",Extraídas!A:A,0))="Extraídas",
      "✅ En proceso",
      IF(INDEX(Extraídas!B:B,MATCH(LEFT($A351,6)&amp;"*",Extraídas!A:A,0))="Recibidas",
         "⏳ Pendiente","❌ No ingresada")),
   "❌ No ingresada"
)</f>
        <v>✅ En proceso</v>
      </c>
      <c r="C351" s="255" t="str">
        <f t="array" ref="C351">IFERROR(
   IF(INDEX([1]PCRs!B:B,MATCH(LEFT($A351,6)&amp;"*",[1]PCRs!A:A,0))="Positivo",
      "✅ Positivo",
      IF(INDEX([1]PCRs!B:B,MATCH(LEFT($A351,6)&amp;"*",[1]PCRs!A:A,0))="Negativo",
         "❌ Negativo",
         "⏳ No realizado")),
   "⏳ No realizado"
)</f>
        <v>✅ Positivo</v>
      </c>
      <c r="D351" s="255" t="str">
        <f>IFERROR(
   CHOOSE(
      MATCH(VLOOKUP(LEFT(A398,6)&amp;"*",'Identificación genética'!A:C,2,FALSE),
               {"En proceso";"Finalizado"},0),
      "🔬 En proceso",
      "🎯 Finalizado"
   ),
"❌ NA")</f>
        <v>🎯 Finalizado</v>
      </c>
      <c r="E351" s="255" t="s">
        <v>85</v>
      </c>
      <c r="F351" s="115">
        <v>45756</v>
      </c>
      <c r="G351" t="str">
        <f>_xlfn.XLOOKUP(A351, Extraídas!A:A, Extraídas!G:G, "")</f>
        <v>Cianobacterias</v>
      </c>
    </row>
    <row r="352" spans="1:7" ht="15" thickBot="1" x14ac:dyDescent="0.35">
      <c r="A352" s="642" t="s">
        <v>522</v>
      </c>
      <c r="B352" s="255" t="str">
        <f>IFERROR(
   IF(INDEX(Extraídas!B:B,MATCH(LEFT($A352,6)&amp;"*",Extraídas!A:A,0))="Extraídas",
      "✅ En proceso",
      IF(INDEX(Extraídas!B:B,MATCH(LEFT($A352,6)&amp;"*",Extraídas!A:A,0))="Recibidas",
         "⏳ Pendiente","❌ No ingresada")),
   "❌ No ingresada"
)</f>
        <v>✅ En proceso</v>
      </c>
      <c r="C352" s="255" t="str">
        <f t="array" ref="C352">IFERROR(
   IF(INDEX([1]PCRs!B:B,MATCH(LEFT($A352,6)&amp;"*",[1]PCRs!A:A,0))="Positivo",
      "✅ Positivo",
      IF(INDEX([1]PCRs!B:B,MATCH(LEFT($A352,6)&amp;"*",[1]PCRs!A:A,0))="Negativo",
         "❌ Negativo",
         "⏳ No realizado")),
   "⏳ No realizado"
)</f>
        <v>✅ Positivo</v>
      </c>
      <c r="D352" s="255" t="str">
        <f>IFERROR(
   CHOOSE(
      MATCH(VLOOKUP(LEFT(A399,6)&amp;"*",'Identificación genética'!A:C,2,FALSE),
               {"En proceso";"Finalizado"},0),
      "🔬 En proceso",
      "🎯 Finalizado"
   ),
"❌ NA")</f>
        <v>🎯 Finalizado</v>
      </c>
      <c r="E352" s="255" t="s">
        <v>85</v>
      </c>
      <c r="F352" s="115">
        <v>45756</v>
      </c>
      <c r="G352" t="str">
        <f>_xlfn.XLOOKUP(A352, Extraídas!A:A, Extraídas!G:G, "")</f>
        <v>Cianobacterias</v>
      </c>
    </row>
    <row r="353" spans="1:7" ht="15" thickBot="1" x14ac:dyDescent="0.35">
      <c r="A353" s="641" t="s">
        <v>523</v>
      </c>
      <c r="B353" s="255" t="str">
        <f>IFERROR(
   IF(INDEX(Extraídas!B:B,MATCH(LEFT($A353,6)&amp;"*",Extraídas!A:A,0))="Extraídas",
      "✅ En proceso",
      IF(INDEX(Extraídas!B:B,MATCH(LEFT($A353,6)&amp;"*",Extraídas!A:A,0))="Recibidas",
         "⏳ Pendiente","❌ No ingresada")),
   "❌ No ingresada"
)</f>
        <v>✅ En proceso</v>
      </c>
      <c r="C353" s="255" t="str">
        <f t="array" ref="C353">IFERROR(
   IF(INDEX([1]PCRs!B:B,MATCH(LEFT($A353,6)&amp;"*",[1]PCRs!A:A,0))="Positivo",
      "✅ Positivo",
      IF(INDEX([1]PCRs!B:B,MATCH(LEFT($A353,6)&amp;"*",[1]PCRs!A:A,0))="Negativo",
         "❌ Negativo",
         "⏳ No realizado")),
   "⏳ No realizado"
)</f>
        <v>✅ Positivo</v>
      </c>
      <c r="D353" s="255" t="str">
        <f>IFERROR(
   CHOOSE(
      MATCH(VLOOKUP(LEFT(A400,6)&amp;"*",'Identificación genética'!A:C,2,FALSE),
               {"En proceso";"Finalizado"},0),
      "🔬 En proceso",
      "🎯 Finalizado"
   ),
"❌ NA")</f>
        <v>🎯 Finalizado</v>
      </c>
      <c r="E353" s="255" t="s">
        <v>85</v>
      </c>
      <c r="F353" s="115">
        <v>45733</v>
      </c>
      <c r="G353" t="str">
        <f>_xlfn.XLOOKUP(A353, Extraídas!A:A, Extraídas!G:G, "")</f>
        <v>Microalgas</v>
      </c>
    </row>
    <row r="354" spans="1:7" ht="15" thickBot="1" x14ac:dyDescent="0.35">
      <c r="A354" s="643" t="s">
        <v>524</v>
      </c>
      <c r="B354" s="255" t="str">
        <f>IFERROR(
   IF(INDEX(Extraídas!B:B,MATCH(LEFT($A354,6)&amp;"*",Extraídas!A:A,0))="Extraídas",
      "✅ En proceso",
      IF(INDEX(Extraídas!B:B,MATCH(LEFT($A354,6)&amp;"*",Extraídas!A:A,0))="Recibidas",
         "⏳ Pendiente","❌ No ingresada")),
   "❌ No ingresada"
)</f>
        <v>✅ En proceso</v>
      </c>
      <c r="C354" s="255" t="str">
        <f t="array" ref="C354">IFERROR(
   IF(INDEX([1]PCRs!B:B,MATCH(LEFT($A354,6)&amp;"*",[1]PCRs!A:A,0))="Positivo",
      "✅ Positivo",
      IF(INDEX([1]PCRs!B:B,MATCH(LEFT($A354,6)&amp;"*",[1]PCRs!A:A,0))="Negativo",
         "❌ Negativo",
         "⏳ No realizado")),
   "⏳ No realizado"
)</f>
        <v>✅ Positivo</v>
      </c>
      <c r="D354" s="255" t="str">
        <f>IFERROR(
   CHOOSE(
      MATCH(VLOOKUP(LEFT(A401,6)&amp;"*",'Identificación genética'!A:C,2,FALSE),
               {"En proceso";"Finalizado"},0),
      "🔬 En proceso",
      "🎯 Finalizado"
   ),
"❌ NA")</f>
        <v>🎯 Finalizado</v>
      </c>
      <c r="E354" s="255" t="s">
        <v>85</v>
      </c>
      <c r="F354" s="115">
        <v>45846</v>
      </c>
      <c r="G354" t="str">
        <f>_xlfn.XLOOKUP(A354, Extraídas!A:A, Extraídas!G:G, "")</f>
        <v>Cianobacterias</v>
      </c>
    </row>
    <row r="355" spans="1:7" ht="15" thickBot="1" x14ac:dyDescent="0.35">
      <c r="A355" s="643" t="s">
        <v>525</v>
      </c>
      <c r="B355" s="255" t="str">
        <f>IFERROR(
   IF(INDEX(Extraídas!B:B,MATCH(LEFT($A355,6)&amp;"*",Extraídas!A:A,0))="Extraídas",
      "✅ En proceso",
      IF(INDEX(Extraídas!B:B,MATCH(LEFT($A355,6)&amp;"*",Extraídas!A:A,0))="Recibidas",
         "⏳ Pendiente","❌ No ingresada")),
   "❌ No ingresada"
)</f>
        <v>✅ En proceso</v>
      </c>
      <c r="C355" s="255" t="str">
        <f t="array" ref="C355">IFERROR(
   IF(INDEX([1]PCRs!B:B,MATCH(LEFT($A355,6)&amp;"*",[1]PCRs!A:A,0))="Positivo",
      "✅ Positivo",
      IF(INDEX([1]PCRs!B:B,MATCH(LEFT($A355,6)&amp;"*",[1]PCRs!A:A,0))="Negativo",
         "❌ Negativo",
         "⏳ No realizado")),
   "⏳ No realizado"
)</f>
        <v>✅ Positivo</v>
      </c>
      <c r="D355" s="255" t="str">
        <f>IFERROR(
   CHOOSE(
      MATCH(VLOOKUP(LEFT(A402,6)&amp;"*",'Identificación genética'!A:C,2,FALSE),
               {"En proceso";"Finalizado"},0),
      "🔬 En proceso",
      "🎯 Finalizado"
   ),
"❌ NA")</f>
        <v>🎯 Finalizado</v>
      </c>
      <c r="E355" s="255" t="s">
        <v>85</v>
      </c>
      <c r="F355" s="115">
        <v>45846</v>
      </c>
      <c r="G355" t="str">
        <f>_xlfn.XLOOKUP(A355, Extraídas!A:A, Extraídas!G:G, "")</f>
        <v>Cianobacterias</v>
      </c>
    </row>
    <row r="356" spans="1:7" ht="15" thickBot="1" x14ac:dyDescent="0.35">
      <c r="A356" s="643" t="s">
        <v>526</v>
      </c>
      <c r="B356" s="255" t="str">
        <f t="array" ref="B356">IFERROR(
   IF(INDEX([1]Extraídas!B:B,MATCH(LEFT($A356,6)&amp;"*",[1]Extraídas!A:A,0))="Extraídas",
      "✅ En proceso",
      IF(INDEX([1]Extraídas!B:B,MATCH(LEFT($A356,6)&amp;"*",[1]Extraídas!A:A,0))="Recibidas",
         "⏳ Pendiente","❌ No ingresada")),
   "❌ No ingresada"
)</f>
        <v>✅ En proceso</v>
      </c>
      <c r="C356" s="255" t="str">
        <f t="array" ref="C356">IFERROR(
   IF(INDEX([1]PCRs!B:B,MATCH(LEFT($A356,6)&amp;"*",[1]PCRs!A:A,0))="Positivo",
      "✅ Positivo",
      IF(INDEX([1]PCRs!B:B,MATCH(LEFT($A356,6)&amp;"*",[1]PCRs!A:A,0))="Negativo",
         "❌ Negativo",
         "⏳ No realizado")),
   "⏳ No realizado"
)</f>
        <v>⏳ No realizado</v>
      </c>
      <c r="D356" s="255" t="str">
        <f>IFERROR(
   CHOOSE(
      MATCH(VLOOKUP(LEFT(A403,6)&amp;"*",'Identificación genética'!A:C,2,FALSE),
               {"En proceso";"Finalizado"},0),
      "🔬 En proceso",
      "🎯 Finalizado"
   ),
"❌ NA")</f>
        <v>🎯 Finalizado</v>
      </c>
      <c r="E356" s="255" t="s">
        <v>85</v>
      </c>
      <c r="F356" s="115">
        <v>45846</v>
      </c>
      <c r="G356" t="str">
        <f>_xlfn.XLOOKUP(A356, Extraídas!A:A, Extraídas!G:G, "")</f>
        <v>Cianobacterias</v>
      </c>
    </row>
    <row r="357" spans="1:7" ht="15" thickBot="1" x14ac:dyDescent="0.35">
      <c r="A357" s="642" t="s">
        <v>527</v>
      </c>
      <c r="B357" s="255" t="str">
        <f>IFERROR(
   IF(INDEX(Extraídas!B:B,MATCH(LEFT($A357,6)&amp;"*",Extraídas!A:A,0))="Extraídas",
      "✅ En proceso",
      IF(INDEX(Extraídas!B:B,MATCH(LEFT($A357,6)&amp;"*",Extraídas!A:A,0))="Recibidas",
         "⏳ Pendiente","❌ No ingresada")),
   "❌ No ingresada"
)</f>
        <v>✅ En proceso</v>
      </c>
      <c r="C357" s="255" t="str">
        <f t="array" ref="C357">IFERROR(
   IF(INDEX([1]PCRs!B:B,MATCH(LEFT($A357,6)&amp;"*",[1]PCRs!A:A,0))="Positivo",
      "✅ Positivo",
      IF(INDEX([1]PCRs!B:B,MATCH(LEFT($A357,6)&amp;"*",[1]PCRs!A:A,0))="Negativo",
         "❌ Negativo",
         "⏳ No realizado")),
   "⏳ No realizado"
)</f>
        <v>✅ Positivo</v>
      </c>
      <c r="D357" s="255" t="str">
        <f>IFERROR(
   CHOOSE(
      MATCH(VLOOKUP(LEFT(A404,6)&amp;"*",'Identificación genética'!A:C,2,FALSE),
               {"En proceso";"Finalizado"},0),
      "🔬 En proceso",
      "🎯 Finalizado"
   ),
"❌ NA")</f>
        <v>🎯 Finalizado</v>
      </c>
      <c r="E357" s="255" t="s">
        <v>34</v>
      </c>
      <c r="F357" s="590">
        <v>45757</v>
      </c>
      <c r="G357" t="str">
        <f>_xlfn.XLOOKUP(A357, Extraídas!A:A, Extraídas!G:G, "")</f>
        <v>Cianobacterias</v>
      </c>
    </row>
    <row r="358" spans="1:7" ht="15" thickBot="1" x14ac:dyDescent="0.35">
      <c r="A358" s="641" t="s">
        <v>528</v>
      </c>
      <c r="B358" s="255" t="str">
        <f>IFERROR(
   IF(INDEX(Extraídas!B:B,MATCH(LEFT($A358,6)&amp;"*",Extraídas!A:A,0))="Extraídas",
      "✅ En proceso",
      IF(INDEX(Extraídas!B:B,MATCH(LEFT($A358,6)&amp;"*",Extraídas!A:A,0))="Recibidas",
         "⏳ Pendiente","❌ No ingresada")),
   "❌ No ingresada"
)</f>
        <v>✅ En proceso</v>
      </c>
      <c r="C358" s="255" t="str">
        <f t="array" ref="C358">IFERROR(
   IF(INDEX([1]PCRs!B:B,MATCH(LEFT($A358,6)&amp;"*",[1]PCRs!A:A,0))="Positivo",
      "✅ Positivo",
      IF(INDEX([1]PCRs!B:B,MATCH(LEFT($A358,6)&amp;"*",[1]PCRs!A:A,0))="Negativo",
         "❌ Negativo",
         "⏳ No realizado")),
   "⏳ No realizado"
)</f>
        <v>✅ Positivo</v>
      </c>
      <c r="D358" s="255" t="str">
        <f>IFERROR(
   CHOOSE(
      MATCH(VLOOKUP(LEFT(A405,6)&amp;"*",'Identificación genética'!A:C,2,FALSE),
               {"En proceso";"Finalizado"},0),
      "🔬 En proceso",
      "🎯 Finalizado"
   ),
"❌ NA")</f>
        <v>🎯 Finalizado</v>
      </c>
      <c r="E358" s="255" t="s">
        <v>34</v>
      </c>
      <c r="F358" s="595">
        <v>45922</v>
      </c>
      <c r="G358" t="str">
        <f>_xlfn.XLOOKUP(A358, Extraídas!A:A, Extraídas!G:G, "")</f>
        <v>Microalgas</v>
      </c>
    </row>
    <row r="359" spans="1:7" ht="15" thickBot="1" x14ac:dyDescent="0.35">
      <c r="A359" s="642" t="s">
        <v>529</v>
      </c>
      <c r="B359" s="255" t="str">
        <f>IFERROR(
   IF(INDEX(Extraídas!B:B,MATCH(LEFT($A359,6)&amp;"*",Extraídas!A:A,0))="Extraídas",
      "✅ En proceso",
      IF(INDEX(Extraídas!B:B,MATCH(LEFT($A359,6)&amp;"*",Extraídas!A:A,0))="Recibidas",
         "⏳ Pendiente","❌ No ingresada")),
   "❌ No ingresada"
)</f>
        <v>✅ En proceso</v>
      </c>
      <c r="C359" s="255" t="str">
        <f t="array" ref="C359">IFERROR(
   IF(INDEX([1]PCRs!B:B,MATCH(LEFT($A359,6)&amp;"*",[1]PCRs!A:A,0))="Positivo",
      "✅ Positivo",
      IF(INDEX([1]PCRs!B:B,MATCH(LEFT($A359,6)&amp;"*",[1]PCRs!A:A,0))="Negativo",
         "❌ Negativo",
         "⏳ No realizado")),
   "⏳ No realizado"
)</f>
        <v>✅ Positivo</v>
      </c>
      <c r="D359" s="255" t="str">
        <f>IFERROR(
   CHOOSE(
      MATCH(VLOOKUP(LEFT(A406,6)&amp;"*",'Identificación genética'!A:C,2,FALSE),
               {"En proceso";"Finalizado"},0),
      "🔬 En proceso",
      "🎯 Finalizado"
   ),
"❌ NA")</f>
        <v>🎯 Finalizado</v>
      </c>
      <c r="E359" s="255" t="s">
        <v>34</v>
      </c>
      <c r="F359" s="115">
        <v>45817</v>
      </c>
      <c r="G359" t="str">
        <f>_xlfn.XLOOKUP(A359, Extraídas!A:A, Extraídas!G:G, "")</f>
        <v>Cianobacterias</v>
      </c>
    </row>
    <row r="360" spans="1:7" ht="15" thickBot="1" x14ac:dyDescent="0.35">
      <c r="A360" s="641" t="s">
        <v>530</v>
      </c>
      <c r="B360" s="255" t="str">
        <f>IFERROR(
   IF(INDEX(Extraídas!B:B,MATCH(LEFT($A360,6)&amp;"*",Extraídas!A:A,0))="Extraídas",
      "✅ En proceso",
      IF(INDEX(Extraídas!B:B,MATCH(LEFT($A360,6)&amp;"*",Extraídas!A:A,0))="Recibidas",
         "⏳ Pendiente","❌ No ingresada")),
   "❌ No ingresada"
)</f>
        <v>✅ En proceso</v>
      </c>
      <c r="C360" s="255" t="str">
        <f t="array" ref="C360">IFERROR(
   IF(INDEX([1]PCRs!B:B,MATCH(LEFT($A360,6)&amp;"*",[1]PCRs!A:A,0))="Positivo",
      "✅ Positivo",
      IF(INDEX([1]PCRs!B:B,MATCH(LEFT($A360,6)&amp;"*",[1]PCRs!A:A,0))="Negativo",
         "❌ Negativo",
         "⏳ No realizado")),
   "⏳ No realizado"
)</f>
        <v>❌ Negativo</v>
      </c>
      <c r="D360" s="255" t="str">
        <f>IFERROR(
   CHOOSE(
      MATCH(VLOOKUP(LEFT(A407,6)&amp;"*",'Identificación genética'!A:C,2,FALSE),
               {"En proceso";"Finalizado"},0),
      "🔬 En proceso",
      "🎯 Finalizado"
   ),
"❌ NA")</f>
        <v>🎯 Finalizado</v>
      </c>
      <c r="E360" s="255" t="s">
        <v>34</v>
      </c>
      <c r="F360" s="104">
        <v>45768</v>
      </c>
      <c r="G360" t="str">
        <f>_xlfn.XLOOKUP(A360, Extraídas!A:A, Extraídas!G:G, "")</f>
        <v>Ulvophyceae</v>
      </c>
    </row>
    <row r="361" spans="1:7" ht="15" thickBot="1" x14ac:dyDescent="0.35">
      <c r="A361" s="641" t="s">
        <v>531</v>
      </c>
      <c r="B361" s="255" t="str">
        <f>IFERROR(
   IF(INDEX(Extraídas!B:B,MATCH(LEFT($A361,6)&amp;"*",Extraídas!A:A,0))="Extraídas",
      "✅ En proceso",
      IF(INDEX(Extraídas!B:B,MATCH(LEFT($A361,6)&amp;"*",Extraídas!A:A,0))="Recibidas",
         "⏳ Pendiente","❌ No ingresada")),
   "❌ No ingresada"
)</f>
        <v>✅ En proceso</v>
      </c>
      <c r="C361" s="255" t="str">
        <f t="array" ref="C361">IFERROR(
   IF(INDEX([1]PCRs!B:B,MATCH(LEFT($A361,6)&amp;"*",[1]PCRs!A:A,0))="Positivo",
      "✅ Positivo",
      IF(INDEX([1]PCRs!B:B,MATCH(LEFT($A361,6)&amp;"*",[1]PCRs!A:A,0))="Negativo",
         "❌ Negativo",
         "⏳ No realizado")),
   "⏳ No realizado"
)</f>
        <v>❌ Negativo</v>
      </c>
      <c r="D361" s="255" t="str">
        <f>IFERROR(
   CHOOSE(
      MATCH(VLOOKUP(LEFT(A408,6)&amp;"*",'Identificación genética'!A:C,2,FALSE),
               {"En proceso";"Finalizado"},0),
      "🔬 En proceso",
      "🎯 Finalizado"
   ),
"❌ NA")</f>
        <v>🎯 Finalizado</v>
      </c>
      <c r="E361" s="255" t="s">
        <v>34</v>
      </c>
      <c r="F361" s="109">
        <v>45931</v>
      </c>
      <c r="G361" t="str">
        <f>_xlfn.XLOOKUP(A361, Extraídas!A:A, Extraídas!G:G, "")</f>
        <v>Microalgas</v>
      </c>
    </row>
    <row r="362" spans="1:7" ht="15" thickBot="1" x14ac:dyDescent="0.35">
      <c r="A362" s="602" t="s">
        <v>2233</v>
      </c>
      <c r="B362" s="255" t="str">
        <f>IFERROR(
   IF(INDEX(Extraídas!B:B,MATCH(LEFT($A362,6)&amp;"*",Extraídas!A:A,0))="Extraídas",
      "✅ En proceso",
      IF(INDEX(Extraídas!B:B,MATCH(LEFT($A362,6)&amp;"*",Extraídas!A:A,0))="Recibidas",
         "⏳ Pendiente","❌ No ingresada")),
   "❌ No ingresada"
)</f>
        <v>✅ En proceso</v>
      </c>
      <c r="C362" s="255" t="str">
        <f t="array" ref="C362">IFERROR(
   IF(INDEX([1]PCRs!B:B,MATCH(LEFT($A362,6)&amp;"*",[1]PCRs!A:A,0))="Positivo",
      "✅ Positivo",
      IF(INDEX([1]PCRs!B:B,MATCH(LEFT($A362,6)&amp;"*",[1]PCRs!A:A,0))="Negativo",
         "❌ Negativo",
         "⏳ No realizado")),
   "⏳ No realizado"
)</f>
        <v>❌ Negativo</v>
      </c>
      <c r="D362" s="255" t="str">
        <f>IFERROR(
   CHOOSE(
      MATCH(VLOOKUP(LEFT(A409,6)&amp;"*",'Identificación genética'!A:C,2,FALSE),
               {"En proceso";"Finalizado"},0),
      "🔬 En proceso",
      "🎯 Finalizado"
   ),
"❌ NA")</f>
        <v>🎯 Finalizado</v>
      </c>
      <c r="E362" t="s">
        <v>85</v>
      </c>
      <c r="F362" s="582"/>
      <c r="G362" t="str">
        <f>_xlfn.XLOOKUP(A362, Extraídas!A:A, Extraídas!G:G, "")</f>
        <v/>
      </c>
    </row>
    <row r="363" spans="1:7" ht="15" thickBot="1" x14ac:dyDescent="0.35">
      <c r="A363" s="643" t="s">
        <v>532</v>
      </c>
      <c r="B363" s="255" t="str">
        <f t="array" ref="B363">IFERROR(
   IF(INDEX([1]Extraídas!B:B,MATCH(LEFT($A363,6)&amp;"*",[1]Extraídas!A:A,0))="Extraídas",
      "✅ En proceso",
      IF(INDEX([1]Extraídas!B:B,MATCH(LEFT($A363,6)&amp;"*",[1]Extraídas!A:A,0))="Recibidas",
         "⏳ Pendiente","❌ No ingresada")),
   "❌ No ingresada"
)</f>
        <v>✅ En proceso</v>
      </c>
      <c r="C363" s="255" t="str">
        <f t="array" ref="C363">IFERROR(
   IF(INDEX([1]PCRs!B:B,MATCH(LEFT($A363,6)&amp;"*",[1]PCRs!A:A,0))="Positivo",
      "✅ Positivo",
      IF(INDEX([1]PCRs!B:B,MATCH(LEFT($A363,6)&amp;"*",[1]PCRs!A:A,0))="Negativo",
         "❌ Negativo",
         "⏳ No realizado")),
   "⏳ No realizado"
)</f>
        <v>⏳ No realizado</v>
      </c>
      <c r="D363" s="255" t="str">
        <f>IFERROR(
   CHOOSE(
      MATCH(VLOOKUP(LEFT(A410,6)&amp;"*",'Identificación genética'!A:C,2,FALSE),
               {"En proceso";"Finalizado"},0),
      "🔬 En proceso",
      "🎯 Finalizado"
   ),
"❌ NA")</f>
        <v>🎯 Finalizado</v>
      </c>
      <c r="E363" s="255" t="s">
        <v>34</v>
      </c>
      <c r="F363" s="29">
        <v>45768</v>
      </c>
      <c r="G363" t="str">
        <f>_xlfn.XLOOKUP(A363, Extraídas!A:A, Extraídas!G:G, "")</f>
        <v>Chlorophyceae</v>
      </c>
    </row>
    <row r="364" spans="1:7" ht="15" thickBot="1" x14ac:dyDescent="0.35">
      <c r="A364" s="565" t="s">
        <v>1810</v>
      </c>
      <c r="B364" s="255" t="str">
        <f>IFERROR(
   IF(INDEX(Extraídas!B:B,MATCH(LEFT($A364,6)&amp;"*",Extraídas!A:A,0))="Extraídas",
      "✅ En proceso",
      IF(INDEX(Extraídas!B:B,MATCH(LEFT($A364,6)&amp;"*",Extraídas!A:A,0))="Recibidas",
         "⏳ Pendiente","❌ No ingresada")),
   "❌ No ingresada"
)</f>
        <v>❌ No ingresada</v>
      </c>
      <c r="C364" s="255" t="str">
        <f t="array" ref="C364">IFERROR(
   IF(INDEX([1]PCRs!B:B,MATCH(LEFT($A364,6)&amp;"*",[1]PCRs!A:A,0))="Positivo",
      "✅ Positivo",
      IF(INDEX([1]PCRs!B:B,MATCH(LEFT($A364,6)&amp;"*",[1]PCRs!A:A,0))="Negativo",
         "❌ Negativo",
         "⏳ No realizado")),
   "⏳ No realizado"
)</f>
        <v>✅ Positivo</v>
      </c>
      <c r="D364" s="255" t="str">
        <f>IFERROR(
   CHOOSE(
      MATCH(VLOOKUP(LEFT(A411,6)&amp;"*",'Identificación genética'!A:C,2,FALSE),
               {"En proceso";"Finalizado"},0),
      "🔬 En proceso",
      "🎯 Finalizado"
   ),
"❌ NA")</f>
        <v>🎯 Finalizado</v>
      </c>
      <c r="E364" t="s">
        <v>85</v>
      </c>
      <c r="G364" t="str">
        <f>_xlfn.XLOOKUP(A364, Extraídas!A:A, Extraídas!G:G, "")</f>
        <v/>
      </c>
    </row>
    <row r="365" spans="1:7" ht="15" thickBot="1" x14ac:dyDescent="0.35">
      <c r="A365" s="642" t="s">
        <v>533</v>
      </c>
      <c r="B365" s="255" t="str">
        <f>IFERROR(
   IF(INDEX(Extraídas!B:B,MATCH(LEFT($A365,6)&amp;"*",Extraídas!A:A,0))="Extraídas",
      "✅ En proceso",
      IF(INDEX(Extraídas!B:B,MATCH(LEFT($A365,6)&amp;"*",Extraídas!A:A,0))="Recibidas",
         "⏳ Pendiente","❌ No ingresada")),
   "❌ No ingresada"
)</f>
        <v>✅ En proceso</v>
      </c>
      <c r="C365" s="255" t="str">
        <f t="array" ref="C365">IFERROR(
   IF(INDEX([1]PCRs!B:B,MATCH(LEFT($A365,6)&amp;"*",[1]PCRs!A:A,0))="Positivo",
      "✅ Positivo",
      IF(INDEX([1]PCRs!B:B,MATCH(LEFT($A365,6)&amp;"*",[1]PCRs!A:A,0))="Negativo",
         "❌ Negativo",
         "⏳ No realizado")),
   "⏳ No realizado"
)</f>
        <v>✅ Positivo</v>
      </c>
      <c r="D365" s="255" t="str">
        <f>IFERROR(
   CHOOSE(
      MATCH(VLOOKUP(LEFT(A412,6)&amp;"*",'Identificación genética'!A:C,2,FALSE),
               {"En proceso";"Finalizado"},0),
      "🔬 En proceso",
      "🎯 Finalizado"
   ),
"❌ NA")</f>
        <v>🎯 Finalizado</v>
      </c>
      <c r="E365" s="255" t="s">
        <v>34</v>
      </c>
      <c r="F365" s="115">
        <v>45757</v>
      </c>
      <c r="G365" t="str">
        <f>_xlfn.XLOOKUP(A365, Extraídas!A:A, Extraídas!G:G, "")</f>
        <v>Cianobacterias</v>
      </c>
    </row>
    <row r="366" spans="1:7" ht="15" thickBot="1" x14ac:dyDescent="0.35">
      <c r="A366" s="566" t="s">
        <v>1054</v>
      </c>
      <c r="B366" s="255" t="str">
        <f>IFERROR(
   IF(INDEX(Extraídas!B:B,MATCH(LEFT($A366,6)&amp;"*",Extraídas!A:A,0))="Extraídas",
      "✅ En proceso",
      IF(INDEX(Extraídas!B:B,MATCH(LEFT($A366,6)&amp;"*",Extraídas!A:A,0))="Recibidas",
         "⏳ Pendiente","❌ No ingresada")),
   "❌ No ingresada"
)</f>
        <v>✅ En proceso</v>
      </c>
      <c r="C366" s="255" t="str">
        <f t="array" ref="C366">IFERROR(
   IF(INDEX([1]PCRs!B:B,MATCH(LEFT($A366,6)&amp;"*",[1]PCRs!A:A,0))="Positivo",
      "✅ Positivo",
      IF(INDEX([1]PCRs!B:B,MATCH(LEFT($A366,6)&amp;"*",[1]PCRs!A:A,0))="Negativo",
         "❌ Negativo",
         "⏳ No realizado")),
   "⏳ No realizado"
)</f>
        <v>✅ Positivo</v>
      </c>
      <c r="D366" s="255" t="str">
        <f>IFERROR(
   CHOOSE(
      MATCH(VLOOKUP(LEFT(A413,6)&amp;"*",'Identificación genética'!A:C,2,FALSE),
               {"En proceso";"Finalizado"},0),
      "🔬 En proceso",
      "🎯 Finalizado"
   ),
"❌ NA")</f>
        <v>🎯 Finalizado</v>
      </c>
      <c r="E366" t="s">
        <v>85</v>
      </c>
      <c r="F366" s="582"/>
      <c r="G366" t="str">
        <f>_xlfn.XLOOKUP(A366, Extraídas!A:A, Extraídas!G:G, "")</f>
        <v/>
      </c>
    </row>
    <row r="367" spans="1:7" ht="15" thickBot="1" x14ac:dyDescent="0.35">
      <c r="A367" s="642" t="s">
        <v>534</v>
      </c>
      <c r="B367" s="255" t="str">
        <f>IFERROR(
   IF(INDEX(Extraídas!B:B,MATCH(LEFT($A367,6)&amp;"*",Extraídas!A:A,0))="Extraídas",
      "✅ En proceso",
      IF(INDEX(Extraídas!B:B,MATCH(LEFT($A367,6)&amp;"*",Extraídas!A:A,0))="Recibidas",
         "⏳ Pendiente","❌ No ingresada")),
   "❌ No ingresada"
)</f>
        <v>✅ En proceso</v>
      </c>
      <c r="C367" s="255" t="str">
        <f t="array" ref="C367">IFERROR(
   IF(INDEX([1]PCRs!B:B,MATCH(LEFT($A367,6)&amp;"*",[1]PCRs!A:A,0))="Positivo",
      "✅ Positivo",
      IF(INDEX([1]PCRs!B:B,MATCH(LEFT($A367,6)&amp;"*",[1]PCRs!A:A,0))="Negativo",
         "❌ Negativo",
         "⏳ No realizado")),
   "⏳ No realizado"
)</f>
        <v>✅ Positivo</v>
      </c>
      <c r="D367" s="255" t="str">
        <f>IFERROR(
   CHOOSE(
      MATCH(VLOOKUP(LEFT(A414,6)&amp;"*",'Identificación genética'!A:C,2,FALSE),
               {"En proceso";"Finalizado"},0),
      "🔬 En proceso",
      "🎯 Finalizado"
   ),
"❌ NA")</f>
        <v>🎯 Finalizado</v>
      </c>
      <c r="E367" s="255" t="s">
        <v>34</v>
      </c>
      <c r="F367" s="111">
        <v>45757</v>
      </c>
      <c r="G367" t="str">
        <f>_xlfn.XLOOKUP(A367, Extraídas!A:A, Extraídas!G:G, "")</f>
        <v>Cianobacterias</v>
      </c>
    </row>
    <row r="368" spans="1:7" ht="15" thickBot="1" x14ac:dyDescent="0.35">
      <c r="A368" s="642" t="s">
        <v>535</v>
      </c>
      <c r="B368" s="255" t="str">
        <f>IFERROR(
   IF(INDEX(Extraídas!B:B,MATCH(LEFT($A368,6)&amp;"*",Extraídas!A:A,0))="Extraídas",
      "✅ En proceso",
      IF(INDEX(Extraídas!B:B,MATCH(LEFT($A368,6)&amp;"*",Extraídas!A:A,0))="Recibidas",
         "⏳ Pendiente","❌ No ingresada")),
   "❌ No ingresada"
)</f>
        <v>✅ En proceso</v>
      </c>
      <c r="C368" s="255" t="str">
        <f t="array" ref="C368">IFERROR(
   IF(INDEX([1]PCRs!B:B,MATCH(LEFT($A368,6)&amp;"*",[1]PCRs!A:A,0))="Positivo",
      "✅ Positivo",
      IF(INDEX([1]PCRs!B:B,MATCH(LEFT($A368,6)&amp;"*",[1]PCRs!A:A,0))="Negativo",
         "❌ Negativo",
         "⏳ No realizado")),
   "⏳ No realizado"
)</f>
        <v>✅ Positivo</v>
      </c>
      <c r="D368" s="255" t="str">
        <f>IFERROR(
   CHOOSE(
      MATCH(VLOOKUP(LEFT(A415,6)&amp;"*",'Identificación genética'!A:C,2,FALSE),
               {"En proceso";"Finalizado"},0),
      "🔬 En proceso",
      "🎯 Finalizado"
   ),
"❌ NA")</f>
        <v>🎯 Finalizado</v>
      </c>
      <c r="E368" s="255" t="s">
        <v>34</v>
      </c>
      <c r="F368" s="111">
        <v>45757</v>
      </c>
      <c r="G368" t="str">
        <f>_xlfn.XLOOKUP(A368, Extraídas!A:A, Extraídas!G:G, "")</f>
        <v>Cianobacterias</v>
      </c>
    </row>
    <row r="369" spans="1:7" ht="15" thickBot="1" x14ac:dyDescent="0.35">
      <c r="A369" s="643" t="s">
        <v>536</v>
      </c>
      <c r="B369" s="255" t="str">
        <f t="array" ref="B369">IFERROR(
   IF(INDEX([1]Extraídas!B:B,MATCH(LEFT($A369,6)&amp;"*",[1]Extraídas!A:A,0))="Extraídas",
      "✅ En proceso",
      IF(INDEX([1]Extraídas!B:B,MATCH(LEFT($A369,6)&amp;"*",[1]Extraídas!A:A,0))="Recibidas",
         "⏳ Pendiente","❌ No ingresada")),
   "❌ No ingresada"
)</f>
        <v>✅ En proceso</v>
      </c>
      <c r="C369" s="255" t="str">
        <f t="array" ref="C369">IFERROR(
   IF(INDEX([1]PCRs!B:B,MATCH(LEFT($A369,6)&amp;"*",[1]PCRs!A:A,0))="Positivo",
      "✅ Positivo",
      IF(INDEX([1]PCRs!B:B,MATCH(LEFT($A369,6)&amp;"*",[1]PCRs!A:A,0))="Negativo",
         "❌ Negativo",
         "⏳ No realizado")),
   "⏳ No realizado"
)</f>
        <v>⏳ No realizado</v>
      </c>
      <c r="D369" s="255" t="str">
        <f>IFERROR(
   CHOOSE(
      MATCH(VLOOKUP(LEFT(A416,6)&amp;"*",'Identificación genética'!A:C,2,FALSE),
               {"En proceso";"Finalizado"},0),
      "🔬 En proceso",
      "🎯 Finalizado"
   ),
"❌ NA")</f>
        <v>🎯 Finalizado</v>
      </c>
      <c r="E369" s="255" t="s">
        <v>34</v>
      </c>
      <c r="F369" s="626">
        <v>45846</v>
      </c>
      <c r="G369" t="str">
        <f>_xlfn.XLOOKUP(A369, Extraídas!A:A, Extraídas!G:G, "")</f>
        <v>Cianobacterias</v>
      </c>
    </row>
    <row r="370" spans="1:7" ht="15" thickBot="1" x14ac:dyDescent="0.35">
      <c r="A370" s="641" t="s">
        <v>537</v>
      </c>
      <c r="B370" s="255" t="str">
        <f t="array" ref="B370">IFERROR(
   IF(INDEX([1]Extraídas!B:B,MATCH(LEFT($A370,6)&amp;"*",[1]Extraídas!A:A,0))="Extraídas",
      "✅ En proceso",
      IF(INDEX([1]Extraídas!B:B,MATCH(LEFT($A370,6)&amp;"*",[1]Extraídas!A:A,0))="Recibidas",
         "⏳ Pendiente","❌ No ingresada")),
   "❌ No ingresada"
)</f>
        <v>✅ En proceso</v>
      </c>
      <c r="C370" s="255" t="str">
        <f t="array" ref="C370">IFERROR(
   IF(INDEX([1]PCRs!B:B,MATCH(LEFT($A370,6)&amp;"*",[1]PCRs!A:A,0))="Positivo",
      "✅ Positivo",
      IF(INDEX([1]PCRs!B:B,MATCH(LEFT($A370,6)&amp;"*",[1]PCRs!A:A,0))="Negativo",
         "❌ Negativo",
         "⏳ No realizado")),
   "⏳ No realizado"
)</f>
        <v>⏳ No realizado</v>
      </c>
      <c r="D370" s="255" t="str">
        <f>IFERROR(
   CHOOSE(
      MATCH(VLOOKUP(LEFT(A417,6)&amp;"*",'Identificación genética'!A:C,2,FALSE),
               {"En proceso";"Finalizado"},0),
      "🔬 En proceso",
      "🎯 Finalizado"
   ),
"❌ NA")</f>
        <v>🎯 Finalizado</v>
      </c>
      <c r="E370" s="255" t="s">
        <v>34</v>
      </c>
      <c r="F370" s="583">
        <v>45922</v>
      </c>
      <c r="G370" t="str">
        <f>_xlfn.XLOOKUP(A370, Extraídas!A:A, Extraídas!G:G, "")</f>
        <v>Microalgas</v>
      </c>
    </row>
    <row r="371" spans="1:7" ht="15" thickBot="1" x14ac:dyDescent="0.35">
      <c r="A371" s="642" t="s">
        <v>538</v>
      </c>
      <c r="B371" s="255" t="str">
        <f>IFERROR(
   IF(INDEX(Extraídas!B:B,MATCH(LEFT($A371,6)&amp;"*",Extraídas!A:A,0))="Extraídas",
      "✅ En proceso",
      IF(INDEX(Extraídas!B:B,MATCH(LEFT($A371,6)&amp;"*",Extraídas!A:A,0))="Recibidas",
         "⏳ Pendiente","❌ No ingresada")),
   "❌ No ingresada"
)</f>
        <v>✅ En proceso</v>
      </c>
      <c r="C371" s="255" t="str">
        <f t="array" ref="C371">IFERROR(
   IF(INDEX([1]PCRs!B:B,MATCH(LEFT($A371,6)&amp;"*",[1]PCRs!A:A,0))="Positivo",
      "✅ Positivo",
      IF(INDEX([1]PCRs!B:B,MATCH(LEFT($A371,6)&amp;"*",[1]PCRs!A:A,0))="Negativo",
         "❌ Negativo",
         "⏳ No realizado")),
   "⏳ No realizado"
)</f>
        <v>❌ Negativo</v>
      </c>
      <c r="D371" s="255" t="str">
        <f>IFERROR(
   CHOOSE(
      MATCH(VLOOKUP(LEFT(A418,6)&amp;"*",'Identificación genética'!A:C,2,FALSE),
               {"En proceso";"Finalizado"},0),
      "🔬 En proceso",
      "🎯 Finalizado"
   ),
"❌ NA")</f>
        <v>🎯 Finalizado</v>
      </c>
      <c r="E371" s="255" t="s">
        <v>34</v>
      </c>
      <c r="F371" s="111">
        <v>45757</v>
      </c>
      <c r="G371" t="str">
        <f>_xlfn.XLOOKUP(A371, Extraídas!A:A, Extraídas!G:G, "")</f>
        <v>Cianobacterias</v>
      </c>
    </row>
    <row r="372" spans="1:7" ht="15" thickBot="1" x14ac:dyDescent="0.35">
      <c r="A372" s="557" t="s">
        <v>2170</v>
      </c>
      <c r="B372" s="255" t="str">
        <f>IFERROR(
   IF(INDEX(Extraídas!B:B,MATCH(LEFT($A372,6)&amp;"*",Extraídas!A:A,0))="Extraídas",
      "✅ En proceso",
      IF(INDEX(Extraídas!B:B,MATCH(LEFT($A372,6)&amp;"*",Extraídas!A:A,0))="Recibidas",
         "⏳ Pendiente","❌ No ingresada")),
   "❌ No ingresada"
)</f>
        <v>✅ En proceso</v>
      </c>
      <c r="C372" s="255" t="str">
        <f t="array" ref="C372">IFERROR(
   IF(INDEX([1]PCRs!B:B,MATCH(LEFT($A372,6)&amp;"*",[1]PCRs!A:A,0))="Positivo",
      "✅ Positivo",
      IF(INDEX([1]PCRs!B:B,MATCH(LEFT($A372,6)&amp;"*",[1]PCRs!A:A,0))="Negativo",
         "❌ Negativo",
         "⏳ No realizado")),
   "⏳ No realizado"
)</f>
        <v>❌ Negativo</v>
      </c>
      <c r="D372" s="255" t="str">
        <f>IFERROR(
   CHOOSE(
      MATCH(VLOOKUP(LEFT(A419,6)&amp;"*",'Identificación genética'!A:C,2,FALSE),
               {"En proceso";"Finalizado"},0),
      "🔬 En proceso",
      "🎯 Finalizado"
   ),
"❌ NA")</f>
        <v>🎯 Finalizado</v>
      </c>
      <c r="E372" t="s">
        <v>85</v>
      </c>
      <c r="F372" s="582"/>
      <c r="G372" t="str">
        <f>_xlfn.XLOOKUP(A372, Extraídas!A:A, Extraídas!G:G, "")</f>
        <v/>
      </c>
    </row>
    <row r="373" spans="1:7" ht="15" thickBot="1" x14ac:dyDescent="0.35">
      <c r="A373" s="643" t="s">
        <v>539</v>
      </c>
      <c r="B373" s="255" t="str">
        <f>IFERROR(
   IF(INDEX(Extraídas!B:B,MATCH(LEFT($A373,6)&amp;"*",Extraídas!A:A,0))="Extraídas",
      "✅ En proceso",
      IF(INDEX(Extraídas!B:B,MATCH(LEFT($A373,6)&amp;"*",Extraídas!A:A,0))="Recibidas",
         "⏳ Pendiente","❌ No ingresada")),
   "❌ No ingresada"
)</f>
        <v>✅ En proceso</v>
      </c>
      <c r="C373" s="255" t="str">
        <f t="array" ref="C373">IFERROR(
   IF(INDEX([1]PCRs!B:B,MATCH(LEFT($A373,6)&amp;"*",[1]PCRs!A:A,0))="Positivo",
      "✅ Positivo",
      IF(INDEX([1]PCRs!B:B,MATCH(LEFT($A373,6)&amp;"*",[1]PCRs!A:A,0))="Negativo",
         "❌ Negativo",
         "⏳ No realizado")),
   "⏳ No realizado"
)</f>
        <v>❌ Negativo</v>
      </c>
      <c r="D373" s="255" t="str">
        <f>IFERROR(
   CHOOSE(
      MATCH(VLOOKUP(LEFT(A420,6)&amp;"*",'Identificación genética'!A:C,2,FALSE),
               {"En proceso";"Finalizado"},0),
      "🔬 En proceso",
      "🎯 Finalizado"
   ),
"❌ NA")</f>
        <v>🎯 Finalizado</v>
      </c>
      <c r="E373" s="255" t="s">
        <v>34</v>
      </c>
      <c r="F373" s="115">
        <v>45757</v>
      </c>
      <c r="G373" t="str">
        <f>_xlfn.XLOOKUP(A373, Extraídas!A:A, Extraídas!G:G, "")</f>
        <v>Cianobacterias</v>
      </c>
    </row>
    <row r="374" spans="1:7" ht="15" thickBot="1" x14ac:dyDescent="0.35">
      <c r="A374" s="642" t="s">
        <v>540</v>
      </c>
      <c r="B374" s="255" t="str">
        <f>IFERROR(
   IF(INDEX(Extraídas!B:B,MATCH(LEFT($A374,6)&amp;"*",Extraídas!A:A,0))="Extraídas",
      "✅ En proceso",
      IF(INDEX(Extraídas!B:B,MATCH(LEFT($A374,6)&amp;"*",Extraídas!A:A,0))="Recibidas",
         "⏳ Pendiente","❌ No ingresada")),
   "❌ No ingresada"
)</f>
        <v>✅ En proceso</v>
      </c>
      <c r="C374" s="255" t="str">
        <f t="array" ref="C374">IFERROR(
   IF(INDEX([1]PCRs!B:B,MATCH(LEFT($A374,6)&amp;"*",[1]PCRs!A:A,0))="Positivo",
      "✅ Positivo",
      IF(INDEX([1]PCRs!B:B,MATCH(LEFT($A374,6)&amp;"*",[1]PCRs!A:A,0))="Negativo",
         "❌ Negativo",
         "⏳ No realizado")),
   "⏳ No realizado"
)</f>
        <v>❌ Negativo</v>
      </c>
      <c r="D374" s="255" t="str">
        <f>IFERROR(
   CHOOSE(
      MATCH(VLOOKUP(LEFT(A421,6)&amp;"*",'Identificación genética'!A:C,2,FALSE),
               {"En proceso";"Finalizado"},0),
      "🔬 En proceso",
      "🎯 Finalizado"
   ),
"❌ NA")</f>
        <v>🎯 Finalizado</v>
      </c>
      <c r="E374" s="255" t="s">
        <v>34</v>
      </c>
      <c r="F374" s="115">
        <v>45757</v>
      </c>
      <c r="G374" t="str">
        <f>_xlfn.XLOOKUP(A374, Extraídas!A:A, Extraídas!G:G, "")</f>
        <v>Cianobacterias</v>
      </c>
    </row>
    <row r="375" spans="1:7" ht="15" thickBot="1" x14ac:dyDescent="0.35">
      <c r="A375" s="642" t="s">
        <v>541</v>
      </c>
      <c r="B375" s="255" t="str">
        <f>IFERROR(
   IF(INDEX(Extraídas!B:B,MATCH(LEFT($A375,6)&amp;"*",Extraídas!A:A,0))="Extraídas",
      "✅ En proceso",
      IF(INDEX(Extraídas!B:B,MATCH(LEFT($A375,6)&amp;"*",Extraídas!A:A,0))="Recibidas",
         "⏳ Pendiente","❌ No ingresada")),
   "❌ No ingresada"
)</f>
        <v>✅ En proceso</v>
      </c>
      <c r="C375" s="255" t="str">
        <f t="array" ref="C375">IFERROR(
   IF(INDEX([1]PCRs!B:B,MATCH(LEFT($A375,6)&amp;"*",[1]PCRs!A:A,0))="Positivo",
      "✅ Positivo",
      IF(INDEX([1]PCRs!B:B,MATCH(LEFT($A375,6)&amp;"*",[1]PCRs!A:A,0))="Negativo",
         "❌ Negativo",
         "⏳ No realizado")),
   "⏳ No realizado"
)</f>
        <v>❌ Negativo</v>
      </c>
      <c r="D375" s="255" t="str">
        <f>IFERROR(
   CHOOSE(
      MATCH(VLOOKUP(LEFT(A422,6)&amp;"*",'Identificación genética'!A:C,2,FALSE),
               {"En proceso";"Finalizado"},0),
      "🔬 En proceso",
      "🎯 Finalizado"
   ),
"❌ NA")</f>
        <v>🎯 Finalizado</v>
      </c>
      <c r="E375" s="255" t="s">
        <v>34</v>
      </c>
      <c r="F375" s="111">
        <v>45757</v>
      </c>
      <c r="G375" t="str">
        <f>_xlfn.XLOOKUP(A375, Extraídas!A:A, Extraídas!G:G, "")</f>
        <v>Cianobacterias</v>
      </c>
    </row>
    <row r="376" spans="1:7" ht="15" thickBot="1" x14ac:dyDescent="0.35">
      <c r="A376" s="641" t="s">
        <v>542</v>
      </c>
      <c r="B376" s="255" t="str">
        <f>IFERROR(
   IF(INDEX(Extraídas!B:B,MATCH(LEFT($A376,6)&amp;"*",Extraídas!A:A,0))="Extraídas",
      "✅ En proceso",
      IF(INDEX(Extraídas!B:B,MATCH(LEFT($A376,6)&amp;"*",Extraídas!A:A,0))="Recibidas",
         "⏳ Pendiente","❌ No ingresada")),
   "❌ No ingresada"
)</f>
        <v>✅ En proceso</v>
      </c>
      <c r="C376" s="255" t="str">
        <f t="array" ref="C376">IFERROR(
   IF(INDEX([1]PCRs!B:B,MATCH(LEFT($A376,6)&amp;"*",[1]PCRs!A:A,0))="Positivo",
      "✅ Positivo",
      IF(INDEX([1]PCRs!B:B,MATCH(LEFT($A376,6)&amp;"*",[1]PCRs!A:A,0))="Negativo",
         "❌ Negativo",
         "⏳ No realizado")),
   "⏳ No realizado"
)</f>
        <v>✅ Positivo</v>
      </c>
      <c r="D376" s="255" t="str">
        <f>IFERROR(
   CHOOSE(
      MATCH(VLOOKUP(LEFT(A423,6)&amp;"*",'Identificación genética'!A:C,2,FALSE),
               {"En proceso";"Finalizado"},0),
      "🔬 En proceso",
      "🎯 Finalizado"
   ),
"❌ NA")</f>
        <v>🎯 Finalizado</v>
      </c>
      <c r="E376" s="255" t="s">
        <v>34</v>
      </c>
      <c r="F376" s="109">
        <v>45931</v>
      </c>
      <c r="G376" t="str">
        <f>_xlfn.XLOOKUP(A376, Extraídas!A:A, Extraídas!G:G, "")</f>
        <v>Microalgas</v>
      </c>
    </row>
    <row r="377" spans="1:7" ht="15" thickBot="1" x14ac:dyDescent="0.35">
      <c r="A377" s="566" t="s">
        <v>1111</v>
      </c>
      <c r="B377" s="255" t="str">
        <f>IFERROR(
   IF(INDEX(Extraídas!B:B,MATCH(LEFT($A377,6)&amp;"*",Extraídas!A:A,0))="Extraídas",
      "✅ En proceso",
      IF(INDEX(Extraídas!B:B,MATCH(LEFT($A377,6)&amp;"*",Extraídas!A:A,0))="Recibidas",
         "⏳ Pendiente","❌ No ingresada")),
   "❌ No ingresada"
)</f>
        <v>✅ En proceso</v>
      </c>
      <c r="C377" s="255" t="str">
        <f t="array" ref="C377">IFERROR(
   IF(INDEX([1]PCRs!B:B,MATCH(LEFT($A377,6)&amp;"*",[1]PCRs!A:A,0))="Positivo",
      "✅ Positivo",
      IF(INDEX([1]PCRs!B:B,MATCH(LEFT($A377,6)&amp;"*",[1]PCRs!A:A,0))="Negativo",
         "❌ Negativo",
         "⏳ No realizado")),
   "⏳ No realizado"
)</f>
        <v>✅ Positivo</v>
      </c>
      <c r="D377" s="255" t="str">
        <f>IFERROR(
   CHOOSE(
      MATCH(VLOOKUP(LEFT(A424,6)&amp;"*",'Identificación genética'!A:C,2,FALSE),
               {"En proceso";"Finalizado"},0),
      "🔬 En proceso",
      "🎯 Finalizado"
   ),
"❌ NA")</f>
        <v>🎯 Finalizado</v>
      </c>
      <c r="E377" t="s">
        <v>85</v>
      </c>
      <c r="F377" s="582"/>
      <c r="G377" t="str">
        <f>_xlfn.XLOOKUP(A377, Extraídas!A:A, Extraídas!G:G, "")</f>
        <v/>
      </c>
    </row>
    <row r="378" spans="1:7" ht="15" thickBot="1" x14ac:dyDescent="0.35">
      <c r="A378" s="643" t="s">
        <v>543</v>
      </c>
      <c r="B378" s="255" t="str">
        <f>IFERROR(
   IF(INDEX(Extraídas!B:B,MATCH(LEFT($A378,6)&amp;"*",Extraídas!A:A,0))="Extraídas",
      "✅ En proceso",
      IF(INDEX(Extraídas!B:B,MATCH(LEFT($A378,6)&amp;"*",Extraídas!A:A,0))="Recibidas",
         "⏳ Pendiente","❌ No ingresada")),
   "❌ No ingresada"
)</f>
        <v>✅ En proceso</v>
      </c>
      <c r="C378" s="255" t="str">
        <f t="array" ref="C378">IFERROR(
   IF(INDEX([1]PCRs!B:B,MATCH(LEFT($A378,6)&amp;"*",[1]PCRs!A:A,0))="Positivo",
      "✅ Positivo",
      IF(INDEX([1]PCRs!B:B,MATCH(LEFT($A378,6)&amp;"*",[1]PCRs!A:A,0))="Negativo",
         "❌ Negativo",
         "⏳ No realizado")),
   "⏳ No realizado"
)</f>
        <v>✅ Positivo</v>
      </c>
      <c r="D378" s="255" t="str">
        <f>IFERROR(
   CHOOSE(
      MATCH(VLOOKUP(LEFT(A425,6)&amp;"*",'Identificación genética'!A:C,2,FALSE),
               {"En proceso";"Finalizado"},0),
      "🔬 En proceso",
      "🎯 Finalizado"
   ),
"❌ NA")</f>
        <v>🎯 Finalizado</v>
      </c>
      <c r="E378" s="255" t="s">
        <v>34</v>
      </c>
      <c r="F378" s="109">
        <v>45931</v>
      </c>
      <c r="G378" t="str">
        <f>_xlfn.XLOOKUP(A378, Extraídas!A:A, Extraídas!G:G, "")</f>
        <v>Microalgas</v>
      </c>
    </row>
    <row r="379" spans="1:7" ht="15" thickBot="1" x14ac:dyDescent="0.35">
      <c r="A379" s="565" t="s">
        <v>2217</v>
      </c>
      <c r="B379" s="255" t="str">
        <f>IFERROR(
   IF(INDEX(Extraídas!B:B,MATCH(LEFT($A379,6)&amp;"*",Extraídas!A:A,0))="Extraídas",
      "✅ En proceso",
      IF(INDEX(Extraídas!B:B,MATCH(LEFT($A379,6)&amp;"*",Extraídas!A:A,0))="Recibidas",
         "⏳ Pendiente","❌ No ingresada")),
   "❌ No ingresada"
)</f>
        <v>✅ En proceso</v>
      </c>
      <c r="C379" s="255" t="str">
        <f t="array" ref="C379">IFERROR(
   IF(INDEX([1]PCRs!B:B,MATCH(LEFT($A379,6)&amp;"*",[1]PCRs!A:A,0))="Positivo",
      "✅ Positivo",
      IF(INDEX([1]PCRs!B:B,MATCH(LEFT($A379,6)&amp;"*",[1]PCRs!A:A,0))="Negativo",
         "❌ Negativo",
         "⏳ No realizado")),
   "⏳ No realizado"
)</f>
        <v>✅ Positivo</v>
      </c>
      <c r="D379" s="255" t="str">
        <f>IFERROR(
   CHOOSE(
      MATCH(VLOOKUP(LEFT(A426,6)&amp;"*",'Identificación genética'!A:C,2,FALSE),
               {"En proceso";"Finalizado"},0),
      "🔬 En proceso",
      "🎯 Finalizado"
   ),
"❌ NA")</f>
        <v>🎯 Finalizado</v>
      </c>
      <c r="E379" t="s">
        <v>85</v>
      </c>
      <c r="F379" s="582"/>
      <c r="G379" t="str">
        <f>_xlfn.XLOOKUP(A379, Extraídas!A:A, Extraídas!G:G, "")</f>
        <v/>
      </c>
    </row>
    <row r="380" spans="1:7" ht="15" thickBot="1" x14ac:dyDescent="0.35">
      <c r="A380" s="565" t="s">
        <v>2171</v>
      </c>
      <c r="B380" s="255" t="str">
        <f>IFERROR(
   IF(INDEX(Extraídas!B:B,MATCH(LEFT($A380,6)&amp;"*",Extraídas!A:A,0))="Extraídas",
      "✅ En proceso",
      IF(INDEX(Extraídas!B:B,MATCH(LEFT($A380,6)&amp;"*",Extraídas!A:A,0))="Recibidas",
         "⏳ Pendiente","❌ No ingresada")),
   "❌ No ingresada"
)</f>
        <v>✅ En proceso</v>
      </c>
      <c r="C380" s="255" t="str">
        <f t="array" ref="C380">IFERROR(
   IF(INDEX([1]PCRs!B:B,MATCH(LEFT($A380,6)&amp;"*",[1]PCRs!A:A,0))="Positivo",
      "✅ Positivo",
      IF(INDEX([1]PCRs!B:B,MATCH(LEFT($A380,6)&amp;"*",[1]PCRs!A:A,0))="Negativo",
         "❌ Negativo",
         "⏳ No realizado")),
   "⏳ No realizado"
)</f>
        <v>✅ Positivo</v>
      </c>
      <c r="D380" s="255" t="str">
        <f>IFERROR(
   CHOOSE(
      MATCH(VLOOKUP(LEFT(A427,6)&amp;"*",'Identificación genética'!A:C,2,FALSE),
               {"En proceso";"Finalizado"},0),
      "🔬 En proceso",
      "🎯 Finalizado"
   ),
"❌ NA")</f>
        <v>🎯 Finalizado</v>
      </c>
      <c r="E380" t="s">
        <v>85</v>
      </c>
      <c r="F380" s="582"/>
      <c r="G380" t="str">
        <f>_xlfn.XLOOKUP(A380, Extraídas!A:A, Extraídas!G:G, "")</f>
        <v/>
      </c>
    </row>
    <row r="381" spans="1:7" ht="15" thickBot="1" x14ac:dyDescent="0.35">
      <c r="A381" s="643" t="s">
        <v>544</v>
      </c>
      <c r="B381" s="255" t="str">
        <f>IFERROR(
   IF(INDEX(Extraídas!B:B,MATCH(LEFT($A381,6)&amp;"*",Extraídas!A:A,0))="Extraídas",
      "✅ En proceso",
      IF(INDEX(Extraídas!B:B,MATCH(LEFT($A381,6)&amp;"*",Extraídas!A:A,0))="Recibidas",
         "⏳ Pendiente","❌ No ingresada")),
   "❌ No ingresada"
)</f>
        <v>✅ En proceso</v>
      </c>
      <c r="C381" s="255" t="str">
        <f t="array" ref="C381">IFERROR(
   IF(INDEX([1]PCRs!B:B,MATCH(LEFT($A381,6)&amp;"*",[1]PCRs!A:A,0))="Positivo",
      "✅ Positivo",
      IF(INDEX([1]PCRs!B:B,MATCH(LEFT($A381,6)&amp;"*",[1]PCRs!A:A,0))="Negativo",
         "❌ Negativo",
         "⏳ No realizado")),
   "⏳ No realizado"
)</f>
        <v>✅ Positivo</v>
      </c>
      <c r="D381" s="255" t="str">
        <f>IFERROR(
   CHOOSE(
      MATCH(VLOOKUP(LEFT(A428,6)&amp;"*",'Identificación genética'!A:C,2,FALSE),
               {"En proceso";"Finalizado"},0),
      "🔬 En proceso",
      "🎯 Finalizado"
   ),
"❌ NA")</f>
        <v>🎯 Finalizado</v>
      </c>
      <c r="E381" s="255" t="s">
        <v>34</v>
      </c>
      <c r="F381" s="115">
        <v>45705</v>
      </c>
      <c r="G381" t="str">
        <f>_xlfn.XLOOKUP(A381, Extraídas!A:A, Extraídas!G:G, "")</f>
        <v>Cianobacterias</v>
      </c>
    </row>
    <row r="382" spans="1:7" ht="15" thickBot="1" x14ac:dyDescent="0.35">
      <c r="A382" s="642" t="s">
        <v>545</v>
      </c>
      <c r="B382" s="255" t="str">
        <f>IFERROR(
   IF(INDEX(Extraídas!B:B,MATCH(LEFT($A382,6)&amp;"*",Extraídas!A:A,0))="Extraídas",
      "✅ En proceso",
      IF(INDEX(Extraídas!B:B,MATCH(LEFT($A382,6)&amp;"*",Extraídas!A:A,0))="Recibidas",
         "⏳ Pendiente","❌ No ingresada")),
   "❌ No ingresada"
)</f>
        <v>✅ En proceso</v>
      </c>
      <c r="C382" s="255" t="str">
        <f t="array" ref="C382">IFERROR(
   IF(INDEX([1]PCRs!B:B,MATCH(LEFT($A382,6)&amp;"*",[1]PCRs!A:A,0))="Positivo",
      "✅ Positivo",
      IF(INDEX([1]PCRs!B:B,MATCH(LEFT($A382,6)&amp;"*",[1]PCRs!A:A,0))="Negativo",
         "❌ Negativo",
         "⏳ No realizado")),
   "⏳ No realizado"
)</f>
        <v>✅ Positivo</v>
      </c>
      <c r="D382" s="255" t="str">
        <f>IFERROR(
   CHOOSE(
      MATCH(VLOOKUP(LEFT(A429,6)&amp;"*",'Identificación genética'!A:C,2,FALSE),
               {"En proceso";"Finalizado"},0),
      "🔬 En proceso",
      "🎯 Finalizado"
   ),
"❌ NA")</f>
        <v>🎯 Finalizado</v>
      </c>
      <c r="E382" s="255" t="s">
        <v>34</v>
      </c>
      <c r="F382" s="115">
        <v>45763</v>
      </c>
      <c r="G382" t="str">
        <f>_xlfn.XLOOKUP(A382, Extraídas!A:A, Extraídas!G:G, "")</f>
        <v>Cianobacterias</v>
      </c>
    </row>
    <row r="383" spans="1:7" ht="15" thickBot="1" x14ac:dyDescent="0.35">
      <c r="A383" s="643" t="s">
        <v>546</v>
      </c>
      <c r="B383" s="255" t="str">
        <f>IFERROR(
   IF(INDEX(Extraídas!B:B,MATCH(LEFT($A383,6)&amp;"*",Extraídas!A:A,0))="Extraídas",
      "✅ En proceso",
      IF(INDEX(Extraídas!B:B,MATCH(LEFT($A383,6)&amp;"*",Extraídas!A:A,0))="Recibidas",
         "⏳ Pendiente","❌ No ingresada")),
   "❌ No ingresada"
)</f>
        <v>✅ En proceso</v>
      </c>
      <c r="C383" s="255" t="str">
        <f t="array" ref="C383">IFERROR(
   IF(INDEX([1]PCRs!B:B,MATCH(LEFT($A383,6)&amp;"*",[1]PCRs!A:A,0))="Positivo",
      "✅ Positivo",
      IF(INDEX([1]PCRs!B:B,MATCH(LEFT($A383,6)&amp;"*",[1]PCRs!A:A,0))="Negativo",
         "❌ Negativo",
         "⏳ No realizado")),
   "⏳ No realizado"
)</f>
        <v>✅ Positivo</v>
      </c>
      <c r="D383" s="255" t="str">
        <f>IFERROR(
   CHOOSE(
      MATCH(VLOOKUP(LEFT(A430,6)&amp;"*",'Identificación genética'!A:C,2,FALSE),
               {"En proceso";"Finalizado"},0),
      "🔬 En proceso",
      "🎯 Finalizado"
   ),
"❌ NA")</f>
        <v>🎯 Finalizado</v>
      </c>
      <c r="E383" s="255" t="s">
        <v>34</v>
      </c>
      <c r="F383" s="115">
        <v>45817</v>
      </c>
      <c r="G383" t="str">
        <f>_xlfn.XLOOKUP(A383, Extraídas!A:A, Extraídas!G:G, "")</f>
        <v>Cianobacterias</v>
      </c>
    </row>
    <row r="384" spans="1:7" ht="15" thickBot="1" x14ac:dyDescent="0.35">
      <c r="A384" s="643" t="s">
        <v>547</v>
      </c>
      <c r="B384" s="255" t="str">
        <f>IFERROR(
   IF(INDEX(Extraídas!B:B,MATCH(LEFT($A384,6)&amp;"*",Extraídas!A:A,0))="Extraídas",
      "✅ En proceso",
      IF(INDEX(Extraídas!B:B,MATCH(LEFT($A384,6)&amp;"*",Extraídas!A:A,0))="Recibidas",
         "⏳ Pendiente","❌ No ingresada")),
   "❌ No ingresada"
)</f>
        <v>✅ En proceso</v>
      </c>
      <c r="C384" s="255" t="str">
        <f t="array" ref="C384">IFERROR(
   IF(INDEX([1]PCRs!B:B,MATCH(LEFT($A384,6)&amp;"*",[1]PCRs!A:A,0))="Positivo",
      "✅ Positivo",
      IF(INDEX([1]PCRs!B:B,MATCH(LEFT($A384,6)&amp;"*",[1]PCRs!A:A,0))="Negativo",
         "❌ Negativo",
         "⏳ No realizado")),
   "⏳ No realizado"
)</f>
        <v>✅ Positivo</v>
      </c>
      <c r="D384" s="255" t="str">
        <f>IFERROR(
   CHOOSE(
      MATCH(VLOOKUP(LEFT(A431,6)&amp;"*",'Identificación genética'!A:C,2,FALSE),
               {"En proceso";"Finalizado"},0),
      "🔬 En proceso",
      "🎯 Finalizado"
   ),
"❌ NA")</f>
        <v>🎯 Finalizado</v>
      </c>
      <c r="E384" s="255" t="s">
        <v>34</v>
      </c>
      <c r="F384" s="115">
        <v>45817</v>
      </c>
      <c r="G384" t="str">
        <f>_xlfn.XLOOKUP(A384, Extraídas!A:A, Extraídas!G:G, "")</f>
        <v>Cianobacterias</v>
      </c>
    </row>
    <row r="385" spans="1:7" ht="15" thickBot="1" x14ac:dyDescent="0.35">
      <c r="A385" s="566" t="s">
        <v>1055</v>
      </c>
      <c r="B385" s="255" t="str">
        <f>IFERROR(
   IF(INDEX(Extraídas!B:B,MATCH(LEFT($A385,6)&amp;"*",Extraídas!A:A,0))="Extraídas",
      "✅ En proceso",
      IF(INDEX(Extraídas!B:B,MATCH(LEFT($A385,6)&amp;"*",Extraídas!A:A,0))="Recibidas",
         "⏳ Pendiente","❌ No ingresada")),
   "❌ No ingresada"
)</f>
        <v>✅ En proceso</v>
      </c>
      <c r="C385" s="255" t="str">
        <f t="array" ref="C385">IFERROR(
   IF(INDEX([1]PCRs!B:B,MATCH(LEFT($A385,6)&amp;"*",[1]PCRs!A:A,0))="Positivo",
      "✅ Positivo",
      IF(INDEX([1]PCRs!B:B,MATCH(LEFT($A385,6)&amp;"*",[1]PCRs!A:A,0))="Negativo",
         "❌ Negativo",
         "⏳ No realizado")),
   "⏳ No realizado"
)</f>
        <v>❌ Negativo</v>
      </c>
      <c r="D385" s="255" t="str">
        <f>IFERROR(
   CHOOSE(
      MATCH(VLOOKUP(LEFT(A432,6)&amp;"*",'Identificación genética'!A:C,2,FALSE),
               {"En proceso";"Finalizado"},0),
      "🔬 En proceso",
      "🎯 Finalizado"
   ),
"❌ NA")</f>
        <v>🎯 Finalizado</v>
      </c>
      <c r="E385" t="s">
        <v>85</v>
      </c>
      <c r="G385" t="str">
        <f>_xlfn.XLOOKUP(A385, Extraídas!A:A, Extraídas!G:G, "")</f>
        <v/>
      </c>
    </row>
    <row r="386" spans="1:7" ht="15" thickBot="1" x14ac:dyDescent="0.35">
      <c r="A386" s="642" t="s">
        <v>548</v>
      </c>
      <c r="B386" s="255" t="str">
        <f>IFERROR(
   IF(INDEX(Extraídas!B:B,MATCH(LEFT($A386,6)&amp;"*",Extraídas!A:A,0))="Extraídas",
      "✅ En proceso",
      IF(INDEX(Extraídas!B:B,MATCH(LEFT($A386,6)&amp;"*",Extraídas!A:A,0))="Recibidas",
         "⏳ Pendiente","❌ No ingresada")),
   "❌ No ingresada"
)</f>
        <v>✅ En proceso</v>
      </c>
      <c r="C386" s="255" t="str">
        <f t="array" ref="C386">IFERROR(
   IF(INDEX([1]PCRs!B:B,MATCH(LEFT($A386,6)&amp;"*",[1]PCRs!A:A,0))="Positivo",
      "✅ Positivo",
      IF(INDEX([1]PCRs!B:B,MATCH(LEFT($A386,6)&amp;"*",[1]PCRs!A:A,0))="Negativo",
         "❌ Negativo",
         "⏳ No realizado")),
   "⏳ No realizado"
)</f>
        <v>❌ Negativo</v>
      </c>
      <c r="D386" s="255" t="str">
        <f>IFERROR(
   CHOOSE(
      MATCH(VLOOKUP(LEFT(A433,6)&amp;"*",'Identificación genética'!A:C,2,FALSE),
               {"En proceso";"Finalizado"},0),
      "🔬 En proceso",
      "🎯 Finalizado"
   ),
"❌ NA")</f>
        <v>🎯 Finalizado</v>
      </c>
      <c r="E386" s="255" t="s">
        <v>34</v>
      </c>
      <c r="F386" s="115">
        <v>45757</v>
      </c>
      <c r="G386" t="str">
        <f>_xlfn.XLOOKUP(A386, Extraídas!A:A, Extraídas!G:G, "")</f>
        <v>Cianobacterias</v>
      </c>
    </row>
    <row r="387" spans="1:7" ht="15" thickBot="1" x14ac:dyDescent="0.35">
      <c r="A387" s="641" t="s">
        <v>549</v>
      </c>
      <c r="B387" s="255" t="str">
        <f>IFERROR(
   IF(INDEX(Extraídas!B:B,MATCH(LEFT($A387,6)&amp;"*",Extraídas!A:A,0))="Extraídas",
      "✅ En proceso",
      IF(INDEX(Extraídas!B:B,MATCH(LEFT($A387,6)&amp;"*",Extraídas!A:A,0))="Recibidas",
         "⏳ Pendiente","❌ No ingresada")),
   "❌ No ingresada"
)</f>
        <v>✅ En proceso</v>
      </c>
      <c r="C387" s="255" t="str">
        <f t="array" ref="C387">IFERROR(
   IF(INDEX([1]PCRs!B:B,MATCH(LEFT($A387,6)&amp;"*",[1]PCRs!A:A,0))="Positivo",
      "✅ Positivo",
      IF(INDEX([1]PCRs!B:B,MATCH(LEFT($A387,6)&amp;"*",[1]PCRs!A:A,0))="Negativo",
         "❌ Negativo",
         "⏳ No realizado")),
   "⏳ No realizado"
)</f>
        <v>❌ Negativo</v>
      </c>
      <c r="D387" s="255" t="str">
        <f>IFERROR(
   CHOOSE(
      MATCH(VLOOKUP(LEFT(A434,6)&amp;"*",'Identificación genética'!A:C,2,FALSE),
               {"En proceso";"Finalizado"},0),
      "🔬 En proceso",
      "🎯 Finalizado"
   ),
"❌ NA")</f>
        <v>🎯 Finalizado</v>
      </c>
      <c r="E387" s="255" t="s">
        <v>34</v>
      </c>
      <c r="F387" s="110">
        <v>45931</v>
      </c>
      <c r="G387" t="str">
        <f>_xlfn.XLOOKUP(A387, Extraídas!A:A, Extraídas!G:G, "")</f>
        <v>Microalgas</v>
      </c>
    </row>
    <row r="388" spans="1:7" ht="15" thickBot="1" x14ac:dyDescent="0.35">
      <c r="A388" s="643" t="s">
        <v>550</v>
      </c>
      <c r="B388" s="255" t="str">
        <f t="array" ref="B388">IFERROR(
   IF(INDEX([1]Extraídas!B:B,MATCH(LEFT($A388,6)&amp;"*",[1]Extraídas!A:A,0))="Extraídas",
      "✅ En proceso",
      IF(INDEX([1]Extraídas!B:B,MATCH(LEFT($A388,6)&amp;"*",[1]Extraídas!A:A,0))="Recibidas",
         "⏳ Pendiente","❌ No ingresada")),
   "❌ No ingresada"
)</f>
        <v>✅ En proceso</v>
      </c>
      <c r="C388" s="255" t="str">
        <f t="array" ref="C388">IFERROR(
   IF(INDEX([1]PCRs!B:B,MATCH(LEFT($A388,6)&amp;"*",[1]PCRs!A:A,0))="Positivo",
      "✅ Positivo",
      IF(INDEX([1]PCRs!B:B,MATCH(LEFT($A388,6)&amp;"*",[1]PCRs!A:A,0))="Negativo",
         "❌ Negativo",
         "⏳ No realizado")),
   "⏳ No realizado"
)</f>
        <v>⏳ No realizado</v>
      </c>
      <c r="D388" s="255" t="str">
        <f>IFERROR(
   CHOOSE(
      MATCH(VLOOKUP(LEFT(A435,6)&amp;"*",'Identificación genética'!A:C,2,FALSE),
               {"En proceso";"Finalizado"},0),
      "🔬 En proceso",
      "🎯 Finalizado"
   ),
"❌ NA")</f>
        <v>🎯 Finalizado</v>
      </c>
      <c r="E388" s="255" t="s">
        <v>85</v>
      </c>
      <c r="F388" s="115">
        <v>45846</v>
      </c>
      <c r="G388" t="str">
        <f>_xlfn.XLOOKUP(A388, Extraídas!A:A, Extraídas!G:G, "")</f>
        <v>Cianobacterias</v>
      </c>
    </row>
    <row r="389" spans="1:7" ht="15" thickBot="1" x14ac:dyDescent="0.35">
      <c r="A389" s="641" t="s">
        <v>551</v>
      </c>
      <c r="B389" s="255" t="str">
        <f t="array" ref="B389">IFERROR(
   IF(INDEX([1]Extraídas!B:B,MATCH(LEFT($A389,6)&amp;"*",[1]Extraídas!A:A,0))="Extraídas",
      "✅ En proceso",
      IF(INDEX([1]Extraídas!B:B,MATCH(LEFT($A389,6)&amp;"*",[1]Extraídas!A:A,0))="Recibidas",
         "⏳ Pendiente","❌ No ingresada")),
   "❌ No ingresada"
)</f>
        <v>✅ En proceso</v>
      </c>
      <c r="C389" s="255" t="str">
        <f t="array" ref="C389">IFERROR(
   IF(INDEX([1]PCRs!B:B,MATCH(LEFT($A389,6)&amp;"*",[1]PCRs!A:A,0))="Positivo",
      "✅ Positivo",
      IF(INDEX([1]PCRs!B:B,MATCH(LEFT($A389,6)&amp;"*",[1]PCRs!A:A,0))="Negativo",
         "❌ Negativo",
         "⏳ No realizado")),
   "⏳ No realizado"
)</f>
        <v>⏳ No realizado</v>
      </c>
      <c r="D389" s="255" t="str">
        <f>IFERROR(
   CHOOSE(
      MATCH(VLOOKUP(LEFT(A436,6)&amp;"*",'Identificación genética'!A:C,2,FALSE),
               {"En proceso";"Finalizado"},0),
      "🔬 En proceso",
      "🎯 Finalizado"
   ),
"❌ NA")</f>
        <v>🎯 Finalizado</v>
      </c>
      <c r="E389" s="255" t="s">
        <v>34</v>
      </c>
      <c r="F389" s="104">
        <v>45768</v>
      </c>
      <c r="G389" t="str">
        <f>_xlfn.XLOOKUP(A389, Extraídas!A:A, Extraídas!G:G, "")</f>
        <v>Trebouxiophyceae</v>
      </c>
    </row>
    <row r="390" spans="1:7" ht="15" thickBot="1" x14ac:dyDescent="0.35">
      <c r="A390" s="641" t="s">
        <v>552</v>
      </c>
      <c r="B390" s="255" t="str">
        <f t="array" ref="B390">IFERROR(
   IF(INDEX([1]Extraídas!B:B,MATCH(LEFT($A390,6)&amp;"*",[1]Extraídas!A:A,0))="Extraídas",
      "✅ En proceso",
      IF(INDEX([1]Extraídas!B:B,MATCH(LEFT($A390,6)&amp;"*",[1]Extraídas!A:A,0))="Recibidas",
         "⏳ Pendiente","❌ No ingresada")),
   "❌ No ingresada"
)</f>
        <v>✅ En proceso</v>
      </c>
      <c r="C390" s="255" t="str">
        <f t="array" ref="C390">IFERROR(
   IF(INDEX([1]PCRs!B:B,MATCH(LEFT($A390,6)&amp;"*",[1]PCRs!A:A,0))="Positivo",
      "✅ Positivo",
      IF(INDEX([1]PCRs!B:B,MATCH(LEFT($A390,6)&amp;"*",[1]PCRs!A:A,0))="Negativo",
         "❌ Negativo",
         "⏳ No realizado")),
   "⏳ No realizado"
)</f>
        <v>⏳ No realizado</v>
      </c>
      <c r="D390" s="255" t="str">
        <f>IFERROR(
   CHOOSE(
      MATCH(VLOOKUP(LEFT(A437,6)&amp;"*",'Identificación genética'!A:C,2,FALSE),
               {"En proceso";"Finalizado"},0),
      "🔬 En proceso",
      "🎯 Finalizado"
   ),
"❌ NA")</f>
        <v>🎯 Finalizado</v>
      </c>
      <c r="E390" t="s">
        <v>85</v>
      </c>
      <c r="F390" s="110">
        <v>45931</v>
      </c>
      <c r="G390" t="str">
        <f>_xlfn.XLOOKUP(A390, Extraídas!A:A, Extraídas!G:G, "")</f>
        <v>Microalgas</v>
      </c>
    </row>
    <row r="391" spans="1:7" ht="15" thickBot="1" x14ac:dyDescent="0.35">
      <c r="A391" s="643" t="s">
        <v>553</v>
      </c>
      <c r="B391" s="255" t="str">
        <f t="array" ref="B391">IFERROR(
   IF(INDEX([1]Extraídas!B:B,MATCH(LEFT($A391,6)&amp;"*",[1]Extraídas!A:A,0))="Extraídas",
      "✅ En proceso",
      IF(INDEX([1]Extraídas!B:B,MATCH(LEFT($A391,6)&amp;"*",[1]Extraídas!A:A,0))="Recibidas",
         "⏳ Pendiente","❌ No ingresada")),
   "❌ No ingresada"
)</f>
        <v>✅ En proceso</v>
      </c>
      <c r="C391" s="255" t="str">
        <f t="array" ref="C391">IFERROR(
   IF(INDEX([1]PCRs!B:B,MATCH(LEFT($A391,6)&amp;"*",[1]PCRs!A:A,0))="Positivo",
      "✅ Positivo",
      IF(INDEX([1]PCRs!B:B,MATCH(LEFT($A391,6)&amp;"*",[1]PCRs!A:A,0))="Negativo",
         "❌ Negativo",
         "⏳ No realizado")),
   "⏳ No realizado"
)</f>
        <v>⏳ No realizado</v>
      </c>
      <c r="D391" s="255" t="str">
        <f>IFERROR(
   CHOOSE(
      MATCH(VLOOKUP(LEFT(A438,6)&amp;"*",'Identificación genética'!A:C,2,FALSE),
               {"En proceso";"Finalizado"},0),
      "🔬 En proceso",
      "🎯 Finalizado"
   ),
"❌ NA")</f>
        <v>🎯 Finalizado</v>
      </c>
      <c r="E391" t="s">
        <v>85</v>
      </c>
      <c r="F391" s="104">
        <v>45768</v>
      </c>
      <c r="G391" t="str">
        <f>_xlfn.XLOOKUP(A391, Extraídas!A:A, Extraídas!G:G, "")</f>
        <v>Chlorophyceae</v>
      </c>
    </row>
    <row r="392" spans="1:7" ht="15" thickBot="1" x14ac:dyDescent="0.35">
      <c r="A392" s="643" t="s">
        <v>554</v>
      </c>
      <c r="B392" s="255" t="str">
        <f t="array" ref="B392">IFERROR(
   IF(INDEX([1]Extraídas!B:B,MATCH(LEFT($A392,6)&amp;"*",[1]Extraídas!A:A,0))="Extraídas",
      "✅ En proceso",
      IF(INDEX([1]Extraídas!B:B,MATCH(LEFT($A392,6)&amp;"*",[1]Extraídas!A:A,0))="Recibidas",
         "⏳ Pendiente","❌ No ingresada")),
   "❌ No ingresada"
)</f>
        <v>✅ En proceso</v>
      </c>
      <c r="C392" s="255" t="str">
        <f t="array" ref="C392">IFERROR(
   IF(INDEX([1]PCRs!B:B,MATCH(LEFT($A392,6)&amp;"*",[1]PCRs!A:A,0))="Positivo",
      "✅ Positivo",
      IF(INDEX([1]PCRs!B:B,MATCH(LEFT($A392,6)&amp;"*",[1]PCRs!A:A,0))="Negativo",
         "❌ Negativo",
         "⏳ No realizado")),
   "⏳ No realizado"
)</f>
        <v>⏳ No realizado</v>
      </c>
      <c r="D392" s="255" t="str">
        <f>IFERROR(
   CHOOSE(
      MATCH(VLOOKUP(LEFT(A439,6)&amp;"*",'Identificación genética'!A:C,2,FALSE),
               {"En proceso";"Finalizado"},0),
      "🔬 En proceso",
      "🎯 Finalizado"
   ),
"❌ NA")</f>
        <v>🎯 Finalizado</v>
      </c>
      <c r="E392" t="s">
        <v>85</v>
      </c>
      <c r="F392" s="111">
        <v>45846</v>
      </c>
      <c r="G392" t="str">
        <f>_xlfn.XLOOKUP(A392, Extraídas!A:A, Extraídas!G:G, "")</f>
        <v>Cianobacterias</v>
      </c>
    </row>
    <row r="393" spans="1:7" ht="15" thickBot="1" x14ac:dyDescent="0.35">
      <c r="A393" s="642" t="s">
        <v>555</v>
      </c>
      <c r="B393" s="255" t="str">
        <f t="array" ref="B393">IFERROR(
   IF(INDEX([1]Extraídas!B:B,MATCH(LEFT($A393,6)&amp;"*",[1]Extraídas!A:A,0))="Extraídas",
      "✅ En proceso",
      IF(INDEX([1]Extraídas!B:B,MATCH(LEFT($A393,6)&amp;"*",[1]Extraídas!A:A,0))="Recibidas",
         "⏳ Pendiente","❌ No ingresada")),
   "❌ No ingresada"
)</f>
        <v>✅ En proceso</v>
      </c>
      <c r="C393" s="255" t="str">
        <f t="array" ref="C393">IFERROR(
   IF(INDEX([1]PCRs!B:B,MATCH(LEFT($A393,6)&amp;"*",[1]PCRs!A:A,0))="Positivo",
      "✅ Positivo",
      IF(INDEX([1]PCRs!B:B,MATCH(LEFT($A393,6)&amp;"*",[1]PCRs!A:A,0))="Negativo",
         "❌ Negativo",
         "⏳ No realizado")),
   "⏳ No realizado"
)</f>
        <v>⏳ No realizado</v>
      </c>
      <c r="D393" s="255" t="str">
        <f>IFERROR(
   CHOOSE(
      MATCH(VLOOKUP(LEFT(A440,6)&amp;"*",'Identificación genética'!A:C,2,FALSE),
               {"En proceso";"Finalizado"},0),
      "🔬 En proceso",
      "🎯 Finalizado"
   ),
"❌ NA")</f>
        <v>🎯 Finalizado</v>
      </c>
      <c r="E393" t="s">
        <v>85</v>
      </c>
      <c r="F393" s="115">
        <v>45763</v>
      </c>
      <c r="G393" t="str">
        <f>_xlfn.XLOOKUP(A393, Extraídas!A:A, Extraídas!G:G, "")</f>
        <v>Cianobacterias</v>
      </c>
    </row>
    <row r="394" spans="1:7" ht="15" thickBot="1" x14ac:dyDescent="0.35">
      <c r="A394" s="557" t="s">
        <v>1064</v>
      </c>
      <c r="B394" s="255" t="str">
        <f>IFERROR(
   IF(INDEX(Extraídas!B:B,MATCH(LEFT($A394,6)&amp;"*",Extraídas!A:A,0))="Extraídas",
      "✅ En proceso",
      IF(INDEX(Extraídas!B:B,MATCH(LEFT($A394,6)&amp;"*",Extraídas!A:A,0))="Recibidas",
         "⏳ Pendiente","❌ No ingresada")),
   "❌ No ingresada"
)</f>
        <v>✅ En proceso</v>
      </c>
      <c r="C394" s="255" t="str">
        <f t="array" ref="C394">IFERROR(
   IF(INDEX([1]PCRs!B:B,MATCH(LEFT($A394,6)&amp;"*",[1]PCRs!A:A,0))="Positivo",
      "✅ Positivo",
      IF(INDEX([1]PCRs!B:B,MATCH(LEFT($A394,6)&amp;"*",[1]PCRs!A:A,0))="Negativo",
         "❌ Negativo",
         "⏳ No realizado")),
   "⏳ No realizado"
)</f>
        <v>❌ Negativo</v>
      </c>
      <c r="D394" s="255" t="str">
        <f>IFERROR(
   CHOOSE(
      MATCH(VLOOKUP(LEFT(A441,6)&amp;"*",'Identificación genética'!A:C,2,FALSE),
               {"En proceso";"Finalizado"},0),
      "🔬 En proceso",
      "🎯 Finalizado"
   ),
"❌ NA")</f>
        <v>🎯 Finalizado</v>
      </c>
      <c r="E394" t="s">
        <v>85</v>
      </c>
      <c r="F394" s="582"/>
      <c r="G394" t="str">
        <f>_xlfn.XLOOKUP(A394, Extraídas!A:A, Extraídas!G:G, "")</f>
        <v/>
      </c>
    </row>
    <row r="395" spans="1:7" ht="15" thickBot="1" x14ac:dyDescent="0.35">
      <c r="A395" s="641" t="s">
        <v>556</v>
      </c>
      <c r="B395" s="255" t="str">
        <f>IFERROR(
   IF(INDEX(Extraídas!B:B,MATCH(LEFT($A395,6)&amp;"*",Extraídas!A:A,0))="Extraídas",
      "✅ En proceso",
      IF(INDEX(Extraídas!B:B,MATCH(LEFT($A395,6)&amp;"*",Extraídas!A:A,0))="Recibidas",
         "⏳ Pendiente","❌ No ingresada")),
   "❌ No ingresada"
)</f>
        <v>✅ En proceso</v>
      </c>
      <c r="C395" s="255" t="str">
        <f t="array" ref="C395">IFERROR(
   IF(INDEX([1]PCRs!B:B,MATCH(LEFT($A395,6)&amp;"*",[1]PCRs!A:A,0))="Positivo",
      "✅ Positivo",
      IF(INDEX([1]PCRs!B:B,MATCH(LEFT($A395,6)&amp;"*",[1]PCRs!A:A,0))="Negativo",
         "❌ Negativo",
         "⏳ No realizado")),
   "⏳ No realizado"
)</f>
        <v>❌ Negativo</v>
      </c>
      <c r="D395" s="255" t="str">
        <f>IFERROR(
   CHOOSE(
      MATCH(VLOOKUP(LEFT(A442,6)&amp;"*",'Identificación genética'!A:C,2,FALSE),
               {"En proceso";"Finalizado"},0),
      "🔬 En proceso",
      "🎯 Finalizado"
   ),
"❌ NA")</f>
        <v>🎯 Finalizado</v>
      </c>
      <c r="E395" t="s">
        <v>85</v>
      </c>
      <c r="F395" s="109">
        <v>45931</v>
      </c>
      <c r="G395" t="str">
        <f>_xlfn.XLOOKUP(A395, Extraídas!A:A, Extraídas!G:G, "")</f>
        <v>Microalgas</v>
      </c>
    </row>
    <row r="396" spans="1:7" ht="15" thickBot="1" x14ac:dyDescent="0.35">
      <c r="A396" s="641" t="s">
        <v>557</v>
      </c>
      <c r="B396" s="255" t="str">
        <f>IFERROR(
   IF(INDEX(Extraídas!B:B,MATCH(LEFT($A396,6)&amp;"*",Extraídas!A:A,0))="Extraídas",
      "✅ En proceso",
      IF(INDEX(Extraídas!B:B,MATCH(LEFT($A396,6)&amp;"*",Extraídas!A:A,0))="Recibidas",
         "⏳ Pendiente","❌ No ingresada")),
   "❌ No ingresada"
)</f>
        <v>✅ En proceso</v>
      </c>
      <c r="C396" s="255" t="str">
        <f t="array" ref="C396">IFERROR(
   IF(INDEX([1]PCRs!B:B,MATCH(LEFT($A396,6)&amp;"*",[1]PCRs!A:A,0))="Positivo",
      "✅ Positivo",
      IF(INDEX([1]PCRs!B:B,MATCH(LEFT($A396,6)&amp;"*",[1]PCRs!A:A,0))="Negativo",
         "❌ Negativo",
         "⏳ No realizado")),
   "⏳ No realizado"
)</f>
        <v>❌ Negativo</v>
      </c>
      <c r="D396" s="255" t="str">
        <f>IFERROR(
   CHOOSE(
      MATCH(VLOOKUP(LEFT(A443,6)&amp;"*",'Identificación genética'!A:C,2,FALSE),
               {"En proceso";"Finalizado"},0),
      "🔬 En proceso",
      "🎯 Finalizado"
   ),
"❌ NA")</f>
        <v>🎯 Finalizado</v>
      </c>
      <c r="E396" t="s">
        <v>85</v>
      </c>
      <c r="F396" s="109">
        <v>45931</v>
      </c>
      <c r="G396" t="str">
        <f>_xlfn.XLOOKUP(A396, Extraídas!A:A, Extraídas!G:G, "")</f>
        <v>Microalgas</v>
      </c>
    </row>
    <row r="397" spans="1:7" ht="15" thickBot="1" x14ac:dyDescent="0.35">
      <c r="A397" s="641" t="s">
        <v>558</v>
      </c>
      <c r="B397" s="255" t="str">
        <f>IFERROR(
   IF(INDEX(Extraídas!B:B,MATCH(LEFT($A397,6)&amp;"*",Extraídas!A:A,0))="Extraídas",
      "✅ En proceso",
      IF(INDEX(Extraídas!B:B,MATCH(LEFT($A397,6)&amp;"*",Extraídas!A:A,0))="Recibidas",
         "⏳ Pendiente","❌ No ingresada")),
   "❌ No ingresada"
)</f>
        <v>✅ En proceso</v>
      </c>
      <c r="C397" s="255" t="str">
        <f t="array" ref="C397">IFERROR(
   IF(INDEX([1]PCRs!B:B,MATCH(LEFT($A397,6)&amp;"*",[1]PCRs!A:A,0))="Positivo",
      "✅ Positivo",
      IF(INDEX([1]PCRs!B:B,MATCH(LEFT($A397,6)&amp;"*",[1]PCRs!A:A,0))="Negativo",
         "❌ Negativo",
         "⏳ No realizado")),
   "⏳ No realizado"
)</f>
        <v>❌ Negativo</v>
      </c>
      <c r="D397" s="255" t="str">
        <f>IFERROR(
   CHOOSE(
      MATCH(VLOOKUP(LEFT(A444,6)&amp;"*",'Identificación genética'!A:C,2,FALSE),
               {"En proceso";"Finalizado"},0),
      "🔬 En proceso",
      "🎯 Finalizado"
   ),
"❌ NA")</f>
        <v>🎯 Finalizado</v>
      </c>
      <c r="E397" t="s">
        <v>85</v>
      </c>
      <c r="F397" s="109">
        <v>45931</v>
      </c>
      <c r="G397" t="str">
        <f>_xlfn.XLOOKUP(A397, Extraídas!A:A, Extraídas!G:G, "")</f>
        <v>Microalgas</v>
      </c>
    </row>
    <row r="398" spans="1:7" ht="15" thickBot="1" x14ac:dyDescent="0.35">
      <c r="A398" s="641" t="s">
        <v>559</v>
      </c>
      <c r="B398" s="255" t="str">
        <f>IFERROR(
   IF(INDEX(Extraídas!B:B,MATCH(LEFT($A398,6)&amp;"*",Extraídas!A:A,0))="Extraídas",
      "✅ En proceso",
      IF(INDEX(Extraídas!B:B,MATCH(LEFT($A398,6)&amp;"*",Extraídas!A:A,0))="Recibidas",
         "⏳ Pendiente","❌ No ingresada")),
   "❌ No ingresada"
)</f>
        <v>✅ En proceso</v>
      </c>
      <c r="C398" s="255" t="str">
        <f t="array" ref="C398">IFERROR(
   IF(INDEX([1]PCRs!B:B,MATCH(LEFT($A398,6)&amp;"*",[1]PCRs!A:A,0))="Positivo",
      "✅ Positivo",
      IF(INDEX([1]PCRs!B:B,MATCH(LEFT($A398,6)&amp;"*",[1]PCRs!A:A,0))="Negativo",
         "❌ Negativo",
         "⏳ No realizado")),
   "⏳ No realizado"
)</f>
        <v>❌ Negativo</v>
      </c>
      <c r="D398" s="255" t="str">
        <f>IFERROR(
   CHOOSE(
      MATCH(VLOOKUP(LEFT(A445,6)&amp;"*",'Identificación genética'!A:C,2,FALSE),
               {"En proceso";"Finalizado"},0),
      "🔬 En proceso",
      "🎯 Finalizado"
   ),
"❌ NA")</f>
        <v>🎯 Finalizado</v>
      </c>
      <c r="E398" t="s">
        <v>85</v>
      </c>
      <c r="F398" s="110">
        <v>45931</v>
      </c>
      <c r="G398" t="str">
        <f>_xlfn.XLOOKUP(A398, Extraídas!A:A, Extraídas!G:G, "")</f>
        <v>Microalgas</v>
      </c>
    </row>
    <row r="399" spans="1:7" ht="15" thickBot="1" x14ac:dyDescent="0.35">
      <c r="A399" s="641" t="s">
        <v>560</v>
      </c>
      <c r="B399" s="255" t="str">
        <f>IFERROR(
   IF(INDEX(Extraídas!B:B,MATCH(LEFT($A399,6)&amp;"*",Extraídas!A:A,0))="Extraídas",
      "✅ En proceso",
      IF(INDEX(Extraídas!B:B,MATCH(LEFT($A399,6)&amp;"*",Extraídas!A:A,0))="Recibidas",
         "⏳ Pendiente","❌ No ingresada")),
   "❌ No ingresada"
)</f>
        <v>✅ En proceso</v>
      </c>
      <c r="C399" s="255" t="str">
        <f t="array" ref="C399">IFERROR(
   IF(INDEX([1]PCRs!B:B,MATCH(LEFT($A399,6)&amp;"*",[1]PCRs!A:A,0))="Positivo",
      "✅ Positivo",
      IF(INDEX([1]PCRs!B:B,MATCH(LEFT($A399,6)&amp;"*",[1]PCRs!A:A,0))="Negativo",
         "❌ Negativo",
         "⏳ No realizado")),
   "⏳ No realizado"
)</f>
        <v>❌ Negativo</v>
      </c>
      <c r="D399" s="255" t="str">
        <f>IFERROR(
   CHOOSE(
      MATCH(VLOOKUP(LEFT(A446,6)&amp;"*",'Identificación genética'!A:C,2,FALSE),
               {"En proceso";"Finalizado"},0),
      "🔬 En proceso",
      "🎯 Finalizado"
   ),
"❌ NA")</f>
        <v>🎯 Finalizado</v>
      </c>
      <c r="E399" t="s">
        <v>85</v>
      </c>
      <c r="F399" s="109">
        <v>45931</v>
      </c>
      <c r="G399" t="str">
        <f>_xlfn.XLOOKUP(A399, Extraídas!A:A, Extraídas!G:G, "")</f>
        <v>Microalgas</v>
      </c>
    </row>
    <row r="400" spans="1:7" ht="15" thickBot="1" x14ac:dyDescent="0.35">
      <c r="A400" s="641" t="s">
        <v>561</v>
      </c>
      <c r="B400" s="255" t="str">
        <f>IFERROR(
   IF(INDEX(Extraídas!B:B,MATCH(LEFT($A400,6)&amp;"*",Extraídas!A:A,0))="Extraídas",
      "✅ En proceso",
      IF(INDEX(Extraídas!B:B,MATCH(LEFT($A400,6)&amp;"*",Extraídas!A:A,0))="Recibidas",
         "⏳ Pendiente","❌ No ingresada")),
   "❌ No ingresada"
)</f>
        <v>✅ En proceso</v>
      </c>
      <c r="C400" s="255" t="str">
        <f t="array" ref="C400">IFERROR(
   IF(INDEX([1]PCRs!B:B,MATCH(LEFT($A400,6)&amp;"*",[1]PCRs!A:A,0))="Positivo",
      "✅ Positivo",
      IF(INDEX([1]PCRs!B:B,MATCH(LEFT($A400,6)&amp;"*",[1]PCRs!A:A,0))="Negativo",
         "❌ Negativo",
         "⏳ No realizado")),
   "⏳ No realizado"
)</f>
        <v>✅ Positivo</v>
      </c>
      <c r="D400" s="255" t="str">
        <f>IFERROR(
   CHOOSE(
      MATCH(VLOOKUP(LEFT(A447,6)&amp;"*",'Identificación genética'!A:C,2,FALSE),
               {"En proceso";"Finalizado"},0),
      "🔬 En proceso",
      "🎯 Finalizado"
   ),
"❌ NA")</f>
        <v>🎯 Finalizado</v>
      </c>
      <c r="E400" t="s">
        <v>85</v>
      </c>
      <c r="F400" s="109">
        <v>45931</v>
      </c>
      <c r="G400" t="str">
        <f>_xlfn.XLOOKUP(A400, Extraídas!A:A, Extraídas!G:G, "")</f>
        <v>Microalgas</v>
      </c>
    </row>
    <row r="401" spans="1:7" ht="15" thickBot="1" x14ac:dyDescent="0.35">
      <c r="A401" s="642" t="s">
        <v>562</v>
      </c>
      <c r="B401" s="255" t="str">
        <f>IFERROR(
   IF(INDEX(Extraídas!B:B,MATCH(LEFT($A401,6)&amp;"*",Extraídas!A:A,0))="Extraídas",
      "✅ En proceso",
      IF(INDEX(Extraídas!B:B,MATCH(LEFT($A401,6)&amp;"*",Extraídas!A:A,0))="Recibidas",
         "⏳ Pendiente","❌ No ingresada")),
   "❌ No ingresada"
)</f>
        <v>✅ En proceso</v>
      </c>
      <c r="C401" s="255" t="str">
        <f t="array" ref="C401">IFERROR(
   IF(INDEX([1]PCRs!B:B,MATCH(LEFT($A401,6)&amp;"*",[1]PCRs!A:A,0))="Positivo",
      "✅ Positivo",
      IF(INDEX([1]PCRs!B:B,MATCH(LEFT($A401,6)&amp;"*",[1]PCRs!A:A,0))="Negativo",
         "❌ Negativo",
         "⏳ No realizado")),
   "⏳ No realizado"
)</f>
        <v>✅ Positivo</v>
      </c>
      <c r="D401" s="255" t="str">
        <f>IFERROR(
   CHOOSE(
      MATCH(VLOOKUP(LEFT(A448,6)&amp;"*",'Identificación genética'!A:C,2,FALSE),
               {"En proceso";"Finalizado"},0),
      "🔬 En proceso",
      "🎯 Finalizado"
   ),
"❌ NA")</f>
        <v>🎯 Finalizado</v>
      </c>
      <c r="E401" t="s">
        <v>85</v>
      </c>
      <c r="F401" s="115">
        <v>45757</v>
      </c>
      <c r="G401" t="str">
        <f>_xlfn.XLOOKUP(A401, Extraídas!A:A, Extraídas!G:G, "")</f>
        <v>Cianobacterias</v>
      </c>
    </row>
    <row r="402" spans="1:7" ht="15" thickBot="1" x14ac:dyDescent="0.35">
      <c r="A402" s="256" t="s">
        <v>2294</v>
      </c>
      <c r="B402" s="255" t="str">
        <f>IFERROR(
   IF(INDEX(Extraídas!B:B,MATCH(LEFT($A402,6)&amp;"*",Extraídas!A:A,0))="Extraídas",
      "✅ En proceso",
      IF(INDEX(Extraídas!B:B,MATCH(LEFT($A402,6)&amp;"*",Extraídas!A:A,0))="Recibidas",
         "⏳ Pendiente","❌ No ingresada")),
   "❌ No ingresada"
)</f>
        <v>✅ En proceso</v>
      </c>
      <c r="C402" s="255" t="str">
        <f t="array" ref="C402">IFERROR(
   IF(INDEX([1]PCRs!B:B,MATCH(LEFT($A402,6)&amp;"*",[1]PCRs!A:A,0))="Positivo",
      "✅ Positivo",
      IF(INDEX([1]PCRs!B:B,MATCH(LEFT($A402,6)&amp;"*",[1]PCRs!A:A,0))="Negativo",
         "❌ Negativo",
         "⏳ No realizado")),
   "⏳ No realizado"
)</f>
        <v>✅ Positivo</v>
      </c>
      <c r="D402" s="255" t="str">
        <f>IFERROR(
   CHOOSE(
      MATCH(VLOOKUP(LEFT(A449,6)&amp;"*",'Identificación genética'!A:C,2,FALSE),
               {"En proceso";"Finalizado"},0),
      "🔬 En proceso",
      "🎯 Finalizado"
   ),
"❌ NA")</f>
        <v>🎯 Finalizado</v>
      </c>
      <c r="E402" t="s">
        <v>85</v>
      </c>
      <c r="G402" t="str">
        <f>_xlfn.XLOOKUP(A402, Extraídas!A:A, Extraídas!G:G, "")</f>
        <v/>
      </c>
    </row>
    <row r="403" spans="1:7" ht="15" thickBot="1" x14ac:dyDescent="0.35">
      <c r="A403" s="631" t="s">
        <v>563</v>
      </c>
      <c r="B403" s="255" t="str">
        <f>IFERROR(
   IF(INDEX(Extraídas!B:B,MATCH(LEFT($A403,6)&amp;"*",Extraídas!A:A,0))="Extraídas",
      "✅ En proceso",
      IF(INDEX(Extraídas!B:B,MATCH(LEFT($A403,6)&amp;"*",Extraídas!A:A,0))="Recibidas",
         "⏳ Pendiente","❌ No ingresada")),
   "❌ No ingresada"
)</f>
        <v>✅ En proceso</v>
      </c>
      <c r="C403" s="255" t="str">
        <f t="array" ref="C403">IFERROR(
   IF(INDEX([1]PCRs!B:B,MATCH(LEFT($A403,6)&amp;"*",[1]PCRs!A:A,0))="Positivo",
      "✅ Positivo",
      IF(INDEX([1]PCRs!B:B,MATCH(LEFT($A403,6)&amp;"*",[1]PCRs!A:A,0))="Negativo",
         "❌ Negativo",
         "⏳ No realizado")),
   "⏳ No realizado"
)</f>
        <v>✅ Positivo</v>
      </c>
      <c r="D403" s="255" t="str">
        <f>IFERROR(
   CHOOSE(
      MATCH(VLOOKUP(LEFT(A450,6)&amp;"*",'Identificación genética'!A:C,2,FALSE),
               {"En proceso";"Finalizado"},0),
      "🔬 En proceso",
      "🎯 Finalizado"
   ),
"❌ NA")</f>
        <v>🎯 Finalizado</v>
      </c>
      <c r="E403" t="s">
        <v>85</v>
      </c>
      <c r="F403" s="109">
        <v>45940</v>
      </c>
      <c r="G403" t="str">
        <f>_xlfn.XLOOKUP(A403, Extraídas!A:A, Extraídas!G:G, "")</f>
        <v>Microalgas</v>
      </c>
    </row>
    <row r="404" spans="1:7" ht="15" thickBot="1" x14ac:dyDescent="0.35">
      <c r="A404" s="562" t="s">
        <v>2172</v>
      </c>
      <c r="B404" s="255" t="str">
        <f>IFERROR(
   IF(INDEX(Extraídas!B:B,MATCH(LEFT($A404,6)&amp;"*",Extraídas!A:A,0))="Extraídas",
      "✅ En proceso",
      IF(INDEX(Extraídas!B:B,MATCH(LEFT($A404,6)&amp;"*",Extraídas!A:A,0))="Recibidas",
         "⏳ Pendiente","❌ No ingresada")),
   "❌ No ingresada"
)</f>
        <v>✅ En proceso</v>
      </c>
      <c r="C404" s="255" t="str">
        <f t="array" ref="C404">IFERROR(
   IF(INDEX([1]PCRs!B:B,MATCH(LEFT($A404,6)&amp;"*",[1]PCRs!A:A,0))="Positivo",
      "✅ Positivo",
      IF(INDEX([1]PCRs!B:B,MATCH(LEFT($A404,6)&amp;"*",[1]PCRs!A:A,0))="Negativo",
         "❌ Negativo",
         "⏳ No realizado")),
   "⏳ No realizado"
)</f>
        <v>✅ Positivo</v>
      </c>
      <c r="D404" s="255" t="str">
        <f>IFERROR(
   CHOOSE(
      MATCH(VLOOKUP(LEFT(A451,6)&amp;"*",'Identificación genética'!A:C,2,FALSE),
               {"En proceso";"Finalizado"},0),
      "🔬 En proceso",
      "🎯 Finalizado"
   ),
"❌ NA")</f>
        <v>🎯 Finalizado</v>
      </c>
      <c r="E404" t="s">
        <v>85</v>
      </c>
      <c r="G404" t="str">
        <f>_xlfn.XLOOKUP(A404, Extraídas!A:A, Extraídas!G:G, "")</f>
        <v/>
      </c>
    </row>
    <row r="405" spans="1:7" ht="15" thickBot="1" x14ac:dyDescent="0.35">
      <c r="A405" s="632" t="s">
        <v>564</v>
      </c>
      <c r="B405" s="255" t="str">
        <f>IFERROR(
   IF(INDEX(Extraídas!B:B,MATCH(LEFT($A405,6)&amp;"*",Extraídas!A:A,0))="Extraídas",
      "✅ En proceso",
      IF(INDEX(Extraídas!B:B,MATCH(LEFT($A405,6)&amp;"*",Extraídas!A:A,0))="Recibidas",
         "⏳ Pendiente","❌ No ingresada")),
   "❌ No ingresada"
)</f>
        <v>✅ En proceso</v>
      </c>
      <c r="C405" s="255" t="str">
        <f t="array" ref="C405">IFERROR(
   IF(INDEX([1]PCRs!B:B,MATCH(LEFT($A405,6)&amp;"*",[1]PCRs!A:A,0))="Positivo",
      "✅ Positivo",
      IF(INDEX([1]PCRs!B:B,MATCH(LEFT($A405,6)&amp;"*",[1]PCRs!A:A,0))="Negativo",
         "❌ Negativo",
         "⏳ No realizado")),
   "⏳ No realizado"
)</f>
        <v>✅ Positivo</v>
      </c>
      <c r="D405" s="255" t="str">
        <f>IFERROR(
   CHOOSE(
      MATCH(VLOOKUP(LEFT(A452,6)&amp;"*",'Identificación genética'!A:C,2,FALSE),
               {"En proceso";"Finalizado"},0),
      "🔬 En proceso",
      "🎯 Finalizado"
   ),
"❌ NA")</f>
        <v>🎯 Finalizado</v>
      </c>
      <c r="E405" t="s">
        <v>85</v>
      </c>
      <c r="F405" s="115">
        <v>45705</v>
      </c>
      <c r="G405" t="str">
        <f>_xlfn.XLOOKUP(A405, Extraídas!A:A, Extraídas!G:G, "")</f>
        <v>Cianobacterias</v>
      </c>
    </row>
    <row r="406" spans="1:7" ht="15" thickBot="1" x14ac:dyDescent="0.35">
      <c r="A406" s="410" t="s">
        <v>1113</v>
      </c>
      <c r="B406" s="255" t="str">
        <f>IFERROR(
   IF(INDEX(Extraídas!B:B,MATCH(LEFT($A406,6)&amp;"*",Extraídas!A:A,0))="Extraídas",
      "✅ En proceso",
      IF(INDEX(Extraídas!B:B,MATCH(LEFT($A406,6)&amp;"*",Extraídas!A:A,0))="Recibidas",
         "⏳ Pendiente","❌ No ingresada")),
   "❌ No ingresada"
)</f>
        <v>✅ En proceso</v>
      </c>
      <c r="C406" s="255" t="str">
        <f t="array" ref="C406">IFERROR(
   IF(INDEX([1]PCRs!B:B,MATCH(LEFT($A406,6)&amp;"*",[1]PCRs!A:A,0))="Positivo",
      "✅ Positivo",
      IF(INDEX([1]PCRs!B:B,MATCH(LEFT($A406,6)&amp;"*",[1]PCRs!A:A,0))="Negativo",
         "❌ Negativo",
         "⏳ No realizado")),
   "⏳ No realizado"
)</f>
        <v>❌ Negativo</v>
      </c>
      <c r="D406" s="255" t="str">
        <f>IFERROR(
   CHOOSE(
      MATCH(VLOOKUP(LEFT(A453,6)&amp;"*",'Identificación genética'!A:C,2,FALSE),
               {"En proceso";"Finalizado"},0),
      "🔬 En proceso",
      "🎯 Finalizado"
   ),
"❌ NA")</f>
        <v>🎯 Finalizado</v>
      </c>
      <c r="E406" t="s">
        <v>85</v>
      </c>
      <c r="F406" s="582"/>
      <c r="G406" t="str">
        <f>_xlfn.XLOOKUP(A406, Extraídas!A:A, Extraídas!G:G, "")</f>
        <v/>
      </c>
    </row>
    <row r="407" spans="1:7" ht="15" thickBot="1" x14ac:dyDescent="0.35">
      <c r="A407" s="632" t="s">
        <v>565</v>
      </c>
      <c r="B407" s="255" t="str">
        <f>IFERROR(
   IF(INDEX(Extraídas!B:B,MATCH(LEFT($A407,6)&amp;"*",Extraídas!A:A,0))="Extraídas",
      "✅ En proceso",
      IF(INDEX(Extraídas!B:B,MATCH(LEFT($A407,6)&amp;"*",Extraídas!A:A,0))="Recibidas",
         "⏳ Pendiente","❌ No ingresada")),
   "❌ No ingresada"
)</f>
        <v>✅ En proceso</v>
      </c>
      <c r="C407" s="255" t="str">
        <f t="array" ref="C407">IFERROR(
   IF(INDEX([1]PCRs!B:B,MATCH(LEFT($A407,6)&amp;"*",[1]PCRs!A:A,0))="Positivo",
      "✅ Positivo",
      IF(INDEX([1]PCRs!B:B,MATCH(LEFT($A407,6)&amp;"*",[1]PCRs!A:A,0))="Negativo",
         "❌ Negativo",
         "⏳ No realizado")),
   "⏳ No realizado"
)</f>
        <v>❌ Negativo</v>
      </c>
      <c r="D407" s="255" t="str">
        <f>IFERROR(
   CHOOSE(
      MATCH(VLOOKUP(LEFT(A454,6)&amp;"*",'Identificación genética'!A:C,2,FALSE),
               {"En proceso";"Finalizado"},0),
      "🔬 En proceso",
      "🎯 Finalizado"
   ),
"❌ NA")</f>
        <v>🎯 Finalizado</v>
      </c>
      <c r="E407" t="s">
        <v>85</v>
      </c>
      <c r="F407" s="115">
        <v>45846</v>
      </c>
      <c r="G407" t="str">
        <f>_xlfn.XLOOKUP(A407, Extraídas!A:A, Extraídas!G:G, "")</f>
        <v>Cianobacterias</v>
      </c>
    </row>
    <row r="408" spans="1:7" x14ac:dyDescent="0.3">
      <c r="A408" s="410" t="s">
        <v>2235</v>
      </c>
      <c r="B408" s="255" t="str">
        <f>IFERROR(
   IF(INDEX(Extraídas!B:B,MATCH(LEFT($A408,6)&amp;"*",Extraídas!A:A,0))="Extraídas",
      "✅ En proceso",
      IF(INDEX(Extraídas!B:B,MATCH(LEFT($A408,6)&amp;"*",Extraídas!A:A,0))="Recibidas",
         "⏳ Pendiente","❌ No ingresada")),
   "❌ No ingresada"
)</f>
        <v>✅ En proceso</v>
      </c>
      <c r="C408" s="255" t="str">
        <f t="array" ref="C408">IFERROR(
   IF(INDEX([1]PCRs!B:B,MATCH(LEFT($A408,6)&amp;"*",[1]PCRs!A:A,0))="Positivo",
      "✅ Positivo",
      IF(INDEX([1]PCRs!B:B,MATCH(LEFT($A408,6)&amp;"*",[1]PCRs!A:A,0))="Negativo",
         "❌ Negativo",
         "⏳ No realizado")),
   "⏳ No realizado"
)</f>
        <v>❌ Negativo</v>
      </c>
      <c r="D408" s="255" t="str">
        <f>IFERROR(
   CHOOSE(
      MATCH(VLOOKUP(LEFT(A455,6)&amp;"*",'Identificación genética'!A:C,2,FALSE),
               {"En proceso";"Finalizado"},0),
      "🔬 En proceso",
      "🎯 Finalizado"
   ),
"❌ NA")</f>
        <v>🎯 Finalizado</v>
      </c>
      <c r="E408" t="s">
        <v>85</v>
      </c>
      <c r="F408" s="574"/>
      <c r="G408" t="str">
        <f>_xlfn.XLOOKUP(A408, Extraídas!A:A, Extraídas!G:G, "")</f>
        <v/>
      </c>
    </row>
    <row r="409" spans="1:7" x14ac:dyDescent="0.3">
      <c r="A409" s="639" t="s">
        <v>566</v>
      </c>
      <c r="B409" s="255" t="str">
        <f>IFERROR(
   IF(INDEX(Extraídas!B:B,MATCH(LEFT($A409,6)&amp;"*",Extraídas!A:A,0))="Extraídas",
      "✅ En proceso",
      IF(INDEX(Extraídas!B:B,MATCH(LEFT($A409,6)&amp;"*",Extraídas!A:A,0))="Recibidas",
         "⏳ Pendiente","❌ No ingresada")),
   "❌ No ingresada"
)</f>
        <v>✅ En proceso</v>
      </c>
      <c r="C409" s="255" t="str">
        <f t="array" ref="C409">IFERROR(
   IF(INDEX([1]PCRs!B:B,MATCH(LEFT($A409,6)&amp;"*",[1]PCRs!A:A,0))="Positivo",
      "✅ Positivo",
      IF(INDEX([1]PCRs!B:B,MATCH(LEFT($A409,6)&amp;"*",[1]PCRs!A:A,0))="Negativo",
         "❌ Negativo",
         "⏳ No realizado")),
   "⏳ No realizado"
)</f>
        <v>❌ Negativo</v>
      </c>
      <c r="D409" s="255" t="str">
        <f>IFERROR(
   CHOOSE(
      MATCH(VLOOKUP(LEFT(A456,6)&amp;"*",'Identificación genética'!A:C,2,FALSE),
               {"En proceso";"Finalizado"},0),
      "🔬 En proceso",
      "🎯 Finalizado"
   ),
"❌ NA")</f>
        <v>🎯 Finalizado</v>
      </c>
      <c r="E409" t="s">
        <v>85</v>
      </c>
      <c r="F409" s="15">
        <v>45768</v>
      </c>
      <c r="G409" t="str">
        <f>_xlfn.XLOOKUP(A409, Extraídas!A:A, Extraídas!G:G, "")</f>
        <v>Chlorophyceae</v>
      </c>
    </row>
    <row r="410" spans="1:7" x14ac:dyDescent="0.3">
      <c r="A410" s="410" t="s">
        <v>2173</v>
      </c>
      <c r="B410" s="255" t="str">
        <f>IFERROR(
   IF(INDEX(Extraídas!B:B,MATCH(LEFT($A410,6)&amp;"*",Extraídas!A:A,0))="Extraídas",
      "✅ En proceso",
      IF(INDEX(Extraídas!B:B,MATCH(LEFT($A410,6)&amp;"*",Extraídas!A:A,0))="Recibidas",
         "⏳ Pendiente","❌ No ingresada")),
   "❌ No ingresada"
)</f>
        <v>✅ En proceso</v>
      </c>
      <c r="C410" s="255" t="str">
        <f t="array" ref="C410">IFERROR(
   IF(INDEX([1]PCRs!B:B,MATCH(LEFT($A410,6)&amp;"*",[1]PCRs!A:A,0))="Positivo",
      "✅ Positivo",
      IF(INDEX([1]PCRs!B:B,MATCH(LEFT($A410,6)&amp;"*",[1]PCRs!A:A,0))="Negativo",
         "❌ Negativo",
         "⏳ No realizado")),
   "⏳ No realizado"
)</f>
        <v>✅ Positivo</v>
      </c>
      <c r="D410" s="255" t="str">
        <f>IFERROR(
   CHOOSE(
      MATCH(VLOOKUP(LEFT(A457,6)&amp;"*",'Identificación genética'!A:C,2,FALSE),
               {"En proceso";"Finalizado"},0),
      "🔬 En proceso",
      "🎯 Finalizado"
   ),
"❌ NA")</f>
        <v>🎯 Finalizado</v>
      </c>
      <c r="E410" t="s">
        <v>85</v>
      </c>
      <c r="F410" s="574"/>
      <c r="G410" t="str">
        <f>_xlfn.XLOOKUP(A410, Extraídas!A:A, Extraídas!G:G, "")</f>
        <v/>
      </c>
    </row>
    <row r="411" spans="1:7" x14ac:dyDescent="0.3">
      <c r="A411" s="639" t="s">
        <v>567</v>
      </c>
      <c r="B411" s="255" t="str">
        <f>IFERROR(
   IF(INDEX(Extraídas!B:B,MATCH(LEFT($A411,6)&amp;"*",Extraídas!A:A,0))="Extraídas",
      "✅ En proceso",
      IF(INDEX(Extraídas!B:B,MATCH(LEFT($A411,6)&amp;"*",Extraídas!A:A,0))="Recibidas",
         "⏳ Pendiente","❌ No ingresada")),
   "❌ No ingresada"
)</f>
        <v>✅ En proceso</v>
      </c>
      <c r="C411" s="255" t="str">
        <f t="array" ref="C411">IFERROR(
   IF(INDEX([1]PCRs!B:B,MATCH(LEFT($A411,6)&amp;"*",[1]PCRs!A:A,0))="Positivo",
      "✅ Positivo",
      IF(INDEX([1]PCRs!B:B,MATCH(LEFT($A411,6)&amp;"*",[1]PCRs!A:A,0))="Negativo",
         "❌ Negativo",
         "⏳ No realizado")),
   "⏳ No realizado"
)</f>
        <v>✅ Positivo</v>
      </c>
      <c r="D411" s="255" t="str">
        <f>IFERROR(
   CHOOSE(
      MATCH(VLOOKUP(LEFT(A458,6)&amp;"*",'Identificación genética'!A:C,2,FALSE),
               {"En proceso";"Finalizado"},0),
      "🔬 En proceso",
      "🎯 Finalizado"
   ),
"❌ NA")</f>
        <v>🎯 Finalizado</v>
      </c>
      <c r="E411" t="s">
        <v>85</v>
      </c>
      <c r="F411" s="118">
        <v>45757</v>
      </c>
      <c r="G411" t="str">
        <f>_xlfn.XLOOKUP(A411, Extraídas!A:A, Extraídas!G:G, "")</f>
        <v>Cianobacterias</v>
      </c>
    </row>
    <row r="412" spans="1:7" x14ac:dyDescent="0.3">
      <c r="A412" s="639" t="s">
        <v>568</v>
      </c>
      <c r="B412" s="255" t="str">
        <f>IFERROR(
   IF(INDEX(Extraídas!B:B,MATCH(LEFT($A412,6)&amp;"*",Extraídas!A:A,0))="Extraídas",
      "✅ En proceso",
      IF(INDEX(Extraídas!B:B,MATCH(LEFT($A412,6)&amp;"*",Extraídas!A:A,0))="Recibidas",
         "⏳ Pendiente","❌ No ingresada")),
   "❌ No ingresada"
)</f>
        <v>✅ En proceso</v>
      </c>
      <c r="C412" s="255" t="str">
        <f t="array" ref="C412">IFERROR(
   IF(INDEX([1]PCRs!B:B,MATCH(LEFT($A412,6)&amp;"*",[1]PCRs!A:A,0))="Positivo",
      "✅ Positivo",
      IF(INDEX([1]PCRs!B:B,MATCH(LEFT($A412,6)&amp;"*",[1]PCRs!A:A,0))="Negativo",
         "❌ Negativo",
         "⏳ No realizado")),
   "⏳ No realizado"
)</f>
        <v>❌ Negativo</v>
      </c>
      <c r="D412" s="255" t="str">
        <f>IFERROR(
   CHOOSE(
      MATCH(VLOOKUP(LEFT(A459,6)&amp;"*",'Identificación genética'!A:C,2,FALSE),
               {"En proceso";"Finalizado"},0),
      "🔬 En proceso",
      "🎯 Finalizado"
   ),
"❌ NA")</f>
        <v>🎯 Finalizado</v>
      </c>
      <c r="E412" t="s">
        <v>85</v>
      </c>
      <c r="F412" s="111">
        <v>45846</v>
      </c>
      <c r="G412" t="str">
        <f>_xlfn.XLOOKUP(A412, Extraídas!A:A, Extraídas!G:G, "")</f>
        <v>Cianobacterias</v>
      </c>
    </row>
    <row r="413" spans="1:7" x14ac:dyDescent="0.3">
      <c r="A413" s="559" t="s">
        <v>2218</v>
      </c>
      <c r="B413" s="255" t="str">
        <f>IFERROR(
   IF(INDEX(Extraídas!B:B,MATCH(LEFT($A413,6)&amp;"*",Extraídas!A:A,0))="Extraídas",
      "✅ En proceso",
      IF(INDEX(Extraídas!B:B,MATCH(LEFT($A413,6)&amp;"*",Extraídas!A:A,0))="Recibidas",
         "⏳ Pendiente","❌ No ingresada")),
   "❌ No ingresada"
)</f>
        <v>✅ En proceso</v>
      </c>
      <c r="C413" s="255" t="str">
        <f t="array" ref="C413">IFERROR(
   IF(INDEX([1]PCRs!B:B,MATCH(LEFT($A413,6)&amp;"*",[1]PCRs!A:A,0))="Positivo",
      "✅ Positivo",
      IF(INDEX([1]PCRs!B:B,MATCH(LEFT($A413,6)&amp;"*",[1]PCRs!A:A,0))="Negativo",
         "❌ Negativo",
         "⏳ No realizado")),
   "⏳ No realizado"
)</f>
        <v>❌ Negativo</v>
      </c>
      <c r="D413" s="255" t="str">
        <f>IFERROR(
   CHOOSE(
      MATCH(VLOOKUP(LEFT(A460,6)&amp;"*",'Identificación genética'!A:C,2,FALSE),
               {"En proceso";"Finalizado"},0),
      "🔬 En proceso",
      "🎯 Finalizado"
   ),
"❌ NA")</f>
        <v>🎯 Finalizado</v>
      </c>
      <c r="E413" t="s">
        <v>85</v>
      </c>
      <c r="F413" s="574"/>
      <c r="G413" t="str">
        <f>_xlfn.XLOOKUP(A413, Extraídas!A:A, Extraídas!G:G, "")</f>
        <v/>
      </c>
    </row>
    <row r="414" spans="1:7" x14ac:dyDescent="0.3">
      <c r="A414" s="638" t="s">
        <v>569</v>
      </c>
      <c r="B414" s="255" t="str">
        <f>IFERROR(
   IF(INDEX(Extraídas!B:B,MATCH(LEFT($A414,6)&amp;"*",Extraídas!A:A,0))="Extraídas",
      "✅ En proceso",
      IF(INDEX(Extraídas!B:B,MATCH(LEFT($A414,6)&amp;"*",Extraídas!A:A,0))="Recibidas",
         "⏳ Pendiente","❌ No ingresada")),
   "❌ No ingresada"
)</f>
        <v>✅ En proceso</v>
      </c>
      <c r="C414" s="255" t="str">
        <f t="array" ref="C414">IFERROR(
   IF(INDEX([1]PCRs!B:B,MATCH(LEFT($A414,6)&amp;"*",[1]PCRs!A:A,0))="Positivo",
      "✅ Positivo",
      IF(INDEX([1]PCRs!B:B,MATCH(LEFT($A414,6)&amp;"*",[1]PCRs!A:A,0))="Negativo",
         "❌ Negativo",
         "⏳ No realizado")),
   "⏳ No realizado"
)</f>
        <v>❌ Negativo</v>
      </c>
      <c r="D414" s="255" t="str">
        <f>IFERROR(
   CHOOSE(
      MATCH(VLOOKUP(LEFT(A461,6)&amp;"*",'Identificación genética'!A:C,2,FALSE),
               {"En proceso";"Finalizado"},0),
      "🔬 En proceso",
      "🎯 Finalizado"
   ),
"❌ NA")</f>
        <v>🎯 Finalizado</v>
      </c>
      <c r="E414" t="s">
        <v>85</v>
      </c>
      <c r="F414" s="118">
        <v>45757</v>
      </c>
      <c r="G414" t="str">
        <f>_xlfn.XLOOKUP(A414, Extraídas!A:A, Extraídas!G:G, "")</f>
        <v>Cianobacterias</v>
      </c>
    </row>
    <row r="415" spans="1:7" x14ac:dyDescent="0.3">
      <c r="A415" s="256" t="s">
        <v>1116</v>
      </c>
      <c r="B415" s="255" t="str">
        <f>IFERROR(
   IF(INDEX(Extraídas!B:B,MATCH(LEFT($A415,6)&amp;"*",Extraídas!A:A,0))="Extraídas",
      "✅ En proceso",
      IF(INDEX(Extraídas!B:B,MATCH(LEFT($A415,6)&amp;"*",Extraídas!A:A,0))="Recibidas",
         "⏳ Pendiente","❌ No ingresada")),
   "❌ No ingresada"
)</f>
        <v>✅ En proceso</v>
      </c>
      <c r="C415" s="255" t="str">
        <f t="array" ref="C415">IFERROR(
   IF(INDEX([1]PCRs!B:B,MATCH(LEFT($A415,6)&amp;"*",[1]PCRs!A:A,0))="Positivo",
      "✅ Positivo",
      IF(INDEX([1]PCRs!B:B,MATCH(LEFT($A415,6)&amp;"*",[1]PCRs!A:A,0))="Negativo",
         "❌ Negativo",
         "⏳ No realizado")),
   "⏳ No realizado"
)</f>
        <v>✅ Positivo</v>
      </c>
      <c r="D415" s="255" t="str">
        <f>IFERROR(
   CHOOSE(
      MATCH(VLOOKUP(LEFT(A462,6)&amp;"*",'Identificación genética'!A:C,2,FALSE),
               {"En proceso";"Finalizado"},0),
      "🔬 En proceso",
      "🎯 Finalizado"
   ),
"❌ NA")</f>
        <v>🎯 Finalizado</v>
      </c>
      <c r="E415" t="s">
        <v>85</v>
      </c>
      <c r="F415" s="574"/>
      <c r="G415" t="str">
        <f>_xlfn.XLOOKUP(A415, Extraídas!A:A, Extraídas!G:G, "")</f>
        <v/>
      </c>
    </row>
    <row r="416" spans="1:7" x14ac:dyDescent="0.3">
      <c r="A416" s="639" t="s">
        <v>570</v>
      </c>
      <c r="B416" s="255" t="str">
        <f>IFERROR(
   IF(INDEX(Extraídas!B:B,MATCH(LEFT($A416,6)&amp;"*",Extraídas!A:A,0))="Extraídas",
      "✅ En proceso",
      IF(INDEX(Extraídas!B:B,MATCH(LEFT($A416,6)&amp;"*",Extraídas!A:A,0))="Recibidas",
         "⏳ Pendiente","❌ No ingresada")),
   "❌ No ingresada"
)</f>
        <v>✅ En proceso</v>
      </c>
      <c r="C416" s="255" t="str">
        <f t="array" ref="C416">IFERROR(
   IF(INDEX([1]PCRs!B:B,MATCH(LEFT($A416,6)&amp;"*",[1]PCRs!A:A,0))="Positivo",
      "✅ Positivo",
      IF(INDEX([1]PCRs!B:B,MATCH(LEFT($A416,6)&amp;"*",[1]PCRs!A:A,0))="Negativo",
         "❌ Negativo",
         "⏳ No realizado")),
   "⏳ No realizado"
)</f>
        <v>✅ Positivo</v>
      </c>
      <c r="D416" s="255" t="str">
        <f>IFERROR(
   CHOOSE(
      MATCH(VLOOKUP(LEFT(A463,6)&amp;"*",'Identificación genética'!A:C,2,FALSE),
               {"En proceso";"Finalizado"},0),
      "🔬 En proceso",
      "🎯 Finalizado"
   ),
"❌ NA")</f>
        <v>🎯 Finalizado</v>
      </c>
      <c r="E416" t="s">
        <v>85</v>
      </c>
      <c r="F416" s="118">
        <v>45763</v>
      </c>
      <c r="G416" t="str">
        <f>_xlfn.XLOOKUP(A416, Extraídas!A:A, Extraídas!G:G, "")</f>
        <v>Cianobacterias</v>
      </c>
    </row>
    <row r="417" spans="1:7" x14ac:dyDescent="0.3">
      <c r="A417" s="410" t="s">
        <v>2189</v>
      </c>
      <c r="B417" s="255" t="str">
        <f>IFERROR(
   IF(INDEX(Extraídas!B:B,MATCH(LEFT($A417,6)&amp;"*",Extraídas!A:A,0))="Extraídas",
      "✅ En proceso",
      IF(INDEX(Extraídas!B:B,MATCH(LEFT($A417,6)&amp;"*",Extraídas!A:A,0))="Recibidas",
         "⏳ Pendiente","❌ No ingresada")),
   "❌ No ingresada"
)</f>
        <v>✅ En proceso</v>
      </c>
      <c r="C417" s="255" t="str">
        <f t="array" ref="C417">IFERROR(
   IF(INDEX([1]PCRs!B:B,MATCH(LEFT($A417,6)&amp;"*",[1]PCRs!A:A,0))="Positivo",
      "✅ Positivo",
      IF(INDEX([1]PCRs!B:B,MATCH(LEFT($A417,6)&amp;"*",[1]PCRs!A:A,0))="Negativo",
         "❌ Negativo",
         "⏳ No realizado")),
   "⏳ No realizado"
)</f>
        <v>✅ Positivo</v>
      </c>
      <c r="D417" s="255" t="str">
        <f>IFERROR(
   CHOOSE(
      MATCH(VLOOKUP(LEFT(A464,6)&amp;"*",'Identificación genética'!A:C,2,FALSE),
               {"En proceso";"Finalizado"},0),
      "🔬 En proceso",
      "🎯 Finalizado"
   ),
"❌ NA")</f>
        <v>🎯 Finalizado</v>
      </c>
      <c r="E417" t="s">
        <v>85</v>
      </c>
      <c r="F417" s="574"/>
      <c r="G417" t="str">
        <f>_xlfn.XLOOKUP(A417, Extraídas!A:A, Extraídas!G:G, "")</f>
        <v/>
      </c>
    </row>
    <row r="418" spans="1:7" x14ac:dyDescent="0.3">
      <c r="A418" s="410" t="s">
        <v>1117</v>
      </c>
      <c r="B418" s="255" t="str">
        <f>IFERROR(
   IF(INDEX(Extraídas!B:B,MATCH(LEFT($A418,6)&amp;"*",Extraídas!A:A,0))="Extraídas",
      "✅ En proceso",
      IF(INDEX(Extraídas!B:B,MATCH(LEFT($A418,6)&amp;"*",Extraídas!A:A,0))="Recibidas",
         "⏳ Pendiente","❌ No ingresada")),
   "❌ No ingresada"
)</f>
        <v>✅ En proceso</v>
      </c>
      <c r="C418" s="255" t="str">
        <f t="array" ref="C418">IFERROR(
   IF(INDEX([1]PCRs!B:B,MATCH(LEFT($A418,6)&amp;"*",[1]PCRs!A:A,0))="Positivo",
      "✅ Positivo",
      IF(INDEX([1]PCRs!B:B,MATCH(LEFT($A418,6)&amp;"*",[1]PCRs!A:A,0))="Negativo",
         "❌ Negativo",
         "⏳ No realizado")),
   "⏳ No realizado"
)</f>
        <v>✅ Positivo</v>
      </c>
      <c r="D418" s="255" t="str">
        <f>IFERROR(
   CHOOSE(
      MATCH(VLOOKUP(LEFT(A465,6)&amp;"*",'Identificación genética'!A:C,2,FALSE),
               {"En proceso";"Finalizado"},0),
      "🔬 En proceso",
      "🎯 Finalizado"
   ),
"❌ NA")</f>
        <v>🎯 Finalizado</v>
      </c>
      <c r="E418" t="s">
        <v>85</v>
      </c>
      <c r="F418" s="574"/>
      <c r="G418" t="str">
        <f>_xlfn.XLOOKUP(A418, Extraídas!A:A, Extraídas!G:G, "")</f>
        <v/>
      </c>
    </row>
    <row r="419" spans="1:7" x14ac:dyDescent="0.3">
      <c r="A419" s="639" t="s">
        <v>571</v>
      </c>
      <c r="B419" s="255" t="str">
        <f>IFERROR(
   IF(INDEX(Extraídas!B:B,MATCH(LEFT($A419,6)&amp;"*",Extraídas!A:A,0))="Extraídas",
      "✅ En proceso",
      IF(INDEX(Extraídas!B:B,MATCH(LEFT($A419,6)&amp;"*",Extraídas!A:A,0))="Recibidas",
         "⏳ Pendiente","❌ No ingresada")),
   "❌ No ingresada"
)</f>
        <v>✅ En proceso</v>
      </c>
      <c r="C419" s="255" t="str">
        <f t="array" ref="C419">IFERROR(
   IF(INDEX([1]PCRs!B:B,MATCH(LEFT($A419,6)&amp;"*",[1]PCRs!A:A,0))="Positivo",
      "✅ Positivo",
      IF(INDEX([1]PCRs!B:B,MATCH(LEFT($A419,6)&amp;"*",[1]PCRs!A:A,0))="Negativo",
         "❌ Negativo",
         "⏳ No realizado")),
   "⏳ No realizado"
)</f>
        <v>✅ Positivo</v>
      </c>
      <c r="D419" s="255" t="str">
        <f>IFERROR(
   CHOOSE(
      MATCH(VLOOKUP(LEFT(A466,6)&amp;"*",'Identificación genética'!A:C,2,FALSE),
               {"En proceso";"Finalizado"},0),
      "🔬 En proceso",
      "🎯 Finalizado"
   ),
"❌ NA")</f>
        <v>🎯 Finalizado</v>
      </c>
      <c r="E419" t="s">
        <v>85</v>
      </c>
      <c r="F419" s="14" t="s">
        <v>572</v>
      </c>
      <c r="G419" t="str">
        <f>_xlfn.XLOOKUP(A419, Extraídas!A:A, Extraídas!G:G, "")</f>
        <v>Cianobacterias</v>
      </c>
    </row>
    <row r="420" spans="1:7" x14ac:dyDescent="0.3">
      <c r="A420" s="638" t="s">
        <v>573</v>
      </c>
      <c r="B420" s="255" t="str">
        <f>IFERROR(
   IF(INDEX(Extraídas!B:B,MATCH(LEFT($A420,6)&amp;"*",Extraídas!A:A,0))="Extraídas",
      "✅ En proceso",
      IF(INDEX(Extraídas!B:B,MATCH(LEFT($A420,6)&amp;"*",Extraídas!A:A,0))="Recibidas",
         "⏳ Pendiente","❌ No ingresada")),
   "❌ No ingresada"
)</f>
        <v>✅ En proceso</v>
      </c>
      <c r="C420" s="255" t="str">
        <f t="array" ref="C420">IFERROR(
   IF(INDEX([1]PCRs!B:B,MATCH(LEFT($A420,6)&amp;"*",[1]PCRs!A:A,0))="Positivo",
      "✅ Positivo",
      IF(INDEX([1]PCRs!B:B,MATCH(LEFT($A420,6)&amp;"*",[1]PCRs!A:A,0))="Negativo",
         "❌ Negativo",
         "⏳ No realizado")),
   "⏳ No realizado"
)</f>
        <v>❌ Negativo</v>
      </c>
      <c r="D420" s="255" t="str">
        <f>IFERROR(
   CHOOSE(
      MATCH(VLOOKUP(LEFT(A467,6)&amp;"*",'Identificación genética'!A:C,2,FALSE),
               {"En proceso";"Finalizado"},0),
      "🔬 En proceso",
      "🎯 Finalizado"
   ),
"❌ NA")</f>
        <v>🎯 Finalizado</v>
      </c>
      <c r="E420" t="s">
        <v>85</v>
      </c>
      <c r="F420" s="111">
        <v>45763</v>
      </c>
      <c r="G420" t="str">
        <f>_xlfn.XLOOKUP(A420, Extraídas!A:A, Extraídas!G:G, "")</f>
        <v>Cianobacterias</v>
      </c>
    </row>
    <row r="421" spans="1:7" x14ac:dyDescent="0.3">
      <c r="A421" s="639" t="s">
        <v>574</v>
      </c>
      <c r="B421" s="255" t="str">
        <f>IFERROR(
   IF(INDEX(Extraídas!B:B,MATCH(LEFT($A421,6)&amp;"*",Extraídas!A:A,0))="Extraídas",
      "✅ En proceso",
      IF(INDEX(Extraídas!B:B,MATCH(LEFT($A421,6)&amp;"*",Extraídas!A:A,0))="Recibidas",
         "⏳ Pendiente","❌ No ingresada")),
   "❌ No ingresada"
)</f>
        <v>✅ En proceso</v>
      </c>
      <c r="C421" s="255" t="str">
        <f t="array" ref="C421">IFERROR(
   IF(INDEX([1]PCRs!B:B,MATCH(LEFT($A421,6)&amp;"*",[1]PCRs!A:A,0))="Positivo",
      "✅ Positivo",
      IF(INDEX([1]PCRs!B:B,MATCH(LEFT($A421,6)&amp;"*",[1]PCRs!A:A,0))="Negativo",
         "❌ Negativo",
         "⏳ No realizado")),
   "⏳ No realizado"
)</f>
        <v>❌ Negativo</v>
      </c>
      <c r="D421" s="255" t="str">
        <f>IFERROR(
   CHOOSE(
      MATCH(VLOOKUP(LEFT(A468,6)&amp;"*",'Identificación genética'!A:C,2,FALSE),
               {"En proceso";"Finalizado"},0),
      "🔬 En proceso",
      "🎯 Finalizado"
   ),
"❌ NA")</f>
        <v>🎯 Finalizado</v>
      </c>
      <c r="E421" t="s">
        <v>85</v>
      </c>
      <c r="F421" s="111">
        <v>45733</v>
      </c>
      <c r="G421" t="str">
        <f>_xlfn.XLOOKUP(A421, Extraídas!A:A, Extraídas!G:G, "")</f>
        <v>Cianobacterias</v>
      </c>
    </row>
    <row r="422" spans="1:7" x14ac:dyDescent="0.3">
      <c r="A422" s="638" t="s">
        <v>575</v>
      </c>
      <c r="B422" s="255" t="str">
        <f>IFERROR(
   IF(INDEX(Extraídas!B:B,MATCH(LEFT($A422,6)&amp;"*",Extraídas!A:A,0))="Extraídas",
      "✅ En proceso",
      IF(INDEX(Extraídas!B:B,MATCH(LEFT($A422,6)&amp;"*",Extraídas!A:A,0))="Recibidas",
         "⏳ Pendiente","❌ No ingresada")),
   "❌ No ingresada"
)</f>
        <v>✅ En proceso</v>
      </c>
      <c r="C422" s="255" t="str">
        <f t="array" ref="C422">IFERROR(
   IF(INDEX([1]PCRs!B:B,MATCH(LEFT($A422,6)&amp;"*",[1]PCRs!A:A,0))="Positivo",
      "✅ Positivo",
      IF(INDEX([1]PCRs!B:B,MATCH(LEFT($A422,6)&amp;"*",[1]PCRs!A:A,0))="Negativo",
         "❌ Negativo",
         "⏳ No realizado")),
   "⏳ No realizado"
)</f>
        <v>❌ Negativo</v>
      </c>
      <c r="D422" s="255" t="str">
        <f>IFERROR(
   CHOOSE(
      MATCH(VLOOKUP(LEFT(A469,6)&amp;"*",'Identificación genética'!A:C,2,FALSE),
               {"En proceso";"Finalizado"},0),
      "🔬 En proceso",
      "🎯 Finalizado"
   ),
"❌ NA")</f>
        <v>🎯 Finalizado</v>
      </c>
      <c r="E422" t="s">
        <v>85</v>
      </c>
      <c r="F422" s="111">
        <v>45757</v>
      </c>
      <c r="G422" t="str">
        <f>_xlfn.XLOOKUP(A422, Extraídas!A:A, Extraídas!G:G, "")</f>
        <v>Cianobacterias</v>
      </c>
    </row>
    <row r="423" spans="1:7" x14ac:dyDescent="0.3">
      <c r="A423" s="410" t="s">
        <v>2190</v>
      </c>
      <c r="B423" s="255" t="str">
        <f>IFERROR(
   IF(INDEX(Extraídas!B:B,MATCH(LEFT($A423,6)&amp;"*",Extraídas!A:A,0))="Extraídas",
      "✅ En proceso",
      IF(INDEX(Extraídas!B:B,MATCH(LEFT($A423,6)&amp;"*",Extraídas!A:A,0))="Recibidas",
         "⏳ Pendiente","❌ No ingresada")),
   "❌ No ingresada"
)</f>
        <v>❌ No ingresada</v>
      </c>
      <c r="C423" s="255" t="str">
        <f t="array" ref="C423">IFERROR(
   IF(INDEX([1]PCRs!B:B,MATCH(LEFT($A423,6)&amp;"*",[1]PCRs!A:A,0))="Positivo",
      "✅ Positivo",
      IF(INDEX([1]PCRs!B:B,MATCH(LEFT($A423,6)&amp;"*",[1]PCRs!A:A,0))="Negativo",
         "❌ Negativo",
         "⏳ No realizado")),
   "⏳ No realizado"
)</f>
        <v>✅ Positivo</v>
      </c>
      <c r="D423" s="255" t="str">
        <f>IFERROR(
   CHOOSE(
      MATCH(VLOOKUP(LEFT(A470,6)&amp;"*",'Identificación genética'!A:C,2,FALSE),
               {"En proceso";"Finalizado"},0),
      "🔬 En proceso",
      "🎯 Finalizado"
   ),
"❌ NA")</f>
        <v>🎯 Finalizado</v>
      </c>
      <c r="E423" t="s">
        <v>85</v>
      </c>
      <c r="F423" s="574"/>
      <c r="G423" t="str">
        <f>_xlfn.XLOOKUP(A423, Extraídas!A:A, Extraídas!G:G, "")</f>
        <v/>
      </c>
    </row>
    <row r="424" spans="1:7" x14ac:dyDescent="0.3">
      <c r="A424" s="631" t="s">
        <v>576</v>
      </c>
      <c r="B424" s="255" t="str">
        <f>IFERROR(
   IF(INDEX(Extraídas!B:B,MATCH(LEFT($A424,6)&amp;"*",Extraídas!A:A,0))="Extraídas",
      "✅ En proceso",
      IF(INDEX(Extraídas!B:B,MATCH(LEFT($A424,6)&amp;"*",Extraídas!A:A,0))="Recibidas",
         "⏳ Pendiente","❌ No ingresada")),
   "❌ No ingresada"
)</f>
        <v>✅ En proceso</v>
      </c>
      <c r="C424" s="255" t="str">
        <f t="array" ref="C424">IFERROR(
   IF(INDEX([1]PCRs!B:B,MATCH(LEFT($A424,6)&amp;"*",[1]PCRs!A:A,0))="Positivo",
      "✅ Positivo",
      IF(INDEX([1]PCRs!B:B,MATCH(LEFT($A424,6)&amp;"*",[1]PCRs!A:A,0))="Negativo",
         "❌ Negativo",
         "⏳ No realizado")),
   "⏳ No realizado"
)</f>
        <v>✅ Positivo</v>
      </c>
      <c r="D424" s="255" t="str">
        <f>IFERROR(
   CHOOSE(
      MATCH(VLOOKUP(LEFT(A471,6)&amp;"*",'Identificación genética'!A:C,2,FALSE),
               {"En proceso";"Finalizado"},0),
      "🔬 En proceso",
      "🎯 Finalizado"
   ),
"❌ NA")</f>
        <v>🎯 Finalizado</v>
      </c>
      <c r="E424" t="s">
        <v>85</v>
      </c>
      <c r="F424" s="110">
        <v>45931</v>
      </c>
      <c r="G424" t="str">
        <f>_xlfn.XLOOKUP(A424, Extraídas!A:A, Extraídas!G:G, "")</f>
        <v>Microalgas</v>
      </c>
    </row>
    <row r="425" spans="1:7" x14ac:dyDescent="0.3">
      <c r="A425" s="630" t="s">
        <v>577</v>
      </c>
      <c r="B425" s="255" t="str">
        <f>IFERROR(
   IF(INDEX(Extraídas!B:B,MATCH(LEFT($A425,6)&amp;"*",Extraídas!A:A,0))="Extraídas",
      "✅ En proceso",
      IF(INDEX(Extraídas!B:B,MATCH(LEFT($A425,6)&amp;"*",Extraídas!A:A,0))="Recibidas",
         "⏳ Pendiente","❌ No ingresada")),
   "❌ No ingresada"
)</f>
        <v>✅ En proceso</v>
      </c>
      <c r="C425" s="255" t="str">
        <f t="array" ref="C425">IFERROR(
   IF(INDEX([1]PCRs!B:B,MATCH(LEFT($A425,6)&amp;"*",[1]PCRs!A:A,0))="Positivo",
      "✅ Positivo",
      IF(INDEX([1]PCRs!B:B,MATCH(LEFT($A425,6)&amp;"*",[1]PCRs!A:A,0))="Negativo",
         "❌ Negativo",
         "⏳ No realizado")),
   "⏳ No realizado"
)</f>
        <v>✅ Positivo</v>
      </c>
      <c r="D425" s="255" t="str">
        <f>IFERROR(
   CHOOSE(
      MATCH(VLOOKUP(LEFT(A472,6)&amp;"*",'Identificación genética'!A:C,2,FALSE),
               {"En proceso";"Finalizado"},0),
      "🔬 En proceso",
      "🎯 Finalizado"
   ),
"❌ NA")</f>
        <v>🎯 Finalizado</v>
      </c>
      <c r="E425" t="s">
        <v>85</v>
      </c>
      <c r="F425" s="118">
        <v>45763</v>
      </c>
      <c r="G425" t="str">
        <f>_xlfn.XLOOKUP(A425, Extraídas!A:A, Extraídas!G:G, "")</f>
        <v>Cianobacterias</v>
      </c>
    </row>
    <row r="426" spans="1:7" x14ac:dyDescent="0.3">
      <c r="A426" s="638" t="s">
        <v>578</v>
      </c>
      <c r="B426" s="255" t="str">
        <f>IFERROR(
   IF(INDEX(Extraídas!B:B,MATCH(LEFT($A426,6)&amp;"*",Extraídas!A:A,0))="Extraídas",
      "✅ En proceso",
      IF(INDEX(Extraídas!B:B,MATCH(LEFT($A426,6)&amp;"*",Extraídas!A:A,0))="Recibidas",
         "⏳ Pendiente","❌ No ingresada")),
   "❌ No ingresada"
)</f>
        <v>✅ En proceso</v>
      </c>
      <c r="C426" s="255" t="str">
        <f t="array" ref="C426">IFERROR(
   IF(INDEX([1]PCRs!B:B,MATCH(LEFT($A426,6)&amp;"*",[1]PCRs!A:A,0))="Positivo",
      "✅ Positivo",
      IF(INDEX([1]PCRs!B:B,MATCH(LEFT($A426,6)&amp;"*",[1]PCRs!A:A,0))="Negativo",
         "❌ Negativo",
         "⏳ No realizado")),
   "⏳ No realizado"
)</f>
        <v>✅ Positivo</v>
      </c>
      <c r="D426" s="255" t="str">
        <f>IFERROR(
   CHOOSE(
      MATCH(VLOOKUP(LEFT(A473,6)&amp;"*",'Identificación genética'!A:C,2,FALSE),
               {"En proceso";"Finalizado"},0),
      "🔬 En proceso",
      "🎯 Finalizado"
   ),
"❌ NA")</f>
        <v>🎯 Finalizado</v>
      </c>
      <c r="E426" t="s">
        <v>85</v>
      </c>
      <c r="F426" s="111">
        <v>45763</v>
      </c>
      <c r="G426" t="str">
        <f>_xlfn.XLOOKUP(A426, Extraídas!A:A, Extraídas!G:G, "")</f>
        <v>Cianobacterias</v>
      </c>
    </row>
    <row r="427" spans="1:7" x14ac:dyDescent="0.3">
      <c r="A427" s="638" t="s">
        <v>579</v>
      </c>
      <c r="B427" s="255" t="str">
        <f>IFERROR(
   IF(INDEX(Extraídas!B:B,MATCH(LEFT($A427,6)&amp;"*",Extraídas!A:A,0))="Extraídas",
      "✅ En proceso",
      IF(INDEX(Extraídas!B:B,MATCH(LEFT($A427,6)&amp;"*",Extraídas!A:A,0))="Recibidas",
         "⏳ Pendiente","❌ No ingresada")),
   "❌ No ingresada"
)</f>
        <v>✅ En proceso</v>
      </c>
      <c r="C427" s="255" t="str">
        <f t="array" ref="C427">IFERROR(
   IF(INDEX([1]PCRs!B:B,MATCH(LEFT($A427,6)&amp;"*",[1]PCRs!A:A,0))="Positivo",
      "✅ Positivo",
      IF(INDEX([1]PCRs!B:B,MATCH(LEFT($A427,6)&amp;"*",[1]PCRs!A:A,0))="Negativo",
         "❌ Negativo",
         "⏳ No realizado")),
   "⏳ No realizado"
)</f>
        <v>✅ Positivo</v>
      </c>
      <c r="D427" s="255" t="str">
        <f>IFERROR(
   CHOOSE(
      MATCH(VLOOKUP(LEFT(A474,6)&amp;"*",'Identificación genética'!A:C,2,FALSE),
               {"En proceso";"Finalizado"},0),
      "🔬 En proceso",
      "🎯 Finalizado"
   ),
"❌ NA")</f>
        <v>🎯 Finalizado</v>
      </c>
      <c r="E427" t="s">
        <v>85</v>
      </c>
      <c r="F427" s="118">
        <v>45817</v>
      </c>
      <c r="G427" t="str">
        <f>_xlfn.XLOOKUP(A427, Extraídas!A:A, Extraídas!G:G, "")</f>
        <v>Cianobacterias</v>
      </c>
    </row>
    <row r="428" spans="1:7" x14ac:dyDescent="0.3">
      <c r="A428" s="632" t="s">
        <v>581</v>
      </c>
      <c r="B428" s="255" t="str">
        <f>IFERROR(
   IF(INDEX(Extraídas!B:B,MATCH(LEFT($A428,6)&amp;"*",Extraídas!A:A,0))="Extraídas",
      "✅ En proceso",
      IF(INDEX(Extraídas!B:B,MATCH(LEFT($A428,6)&amp;"*",Extraídas!A:A,0))="Recibidas",
         "⏳ Pendiente","❌ No ingresada")),
   "❌ No ingresada"
)</f>
        <v>✅ En proceso</v>
      </c>
      <c r="C428" s="255" t="str">
        <f t="array" ref="C428">IFERROR(
   IF(INDEX([1]PCRs!B:B,MATCH(LEFT($A428,6)&amp;"*",[1]PCRs!A:A,0))="Positivo",
      "✅ Positivo",
      IF(INDEX([1]PCRs!B:B,MATCH(LEFT($A428,6)&amp;"*",[1]PCRs!A:A,0))="Negativo",
         "❌ Negativo",
         "⏳ No realizado")),
   "⏳ No realizado"
)</f>
        <v>✅ Positivo</v>
      </c>
      <c r="D428" s="255" t="str">
        <f>IFERROR(
   CHOOSE(
      MATCH(VLOOKUP(LEFT(A475,6)&amp;"*",'Identificación genética'!A:C,2,FALSE),
               {"En proceso";"Finalizado"},0),
      "🔬 En proceso",
      "🎯 Finalizado"
   ),
"❌ NA")</f>
        <v>🎯 Finalizado</v>
      </c>
      <c r="E428" t="s">
        <v>85</v>
      </c>
      <c r="F428" s="111">
        <v>45705</v>
      </c>
      <c r="G428" t="str">
        <f>_xlfn.XLOOKUP(A428, Extraídas!A:A, Extraídas!G:G, "")</f>
        <v>Cianobacterias</v>
      </c>
    </row>
    <row r="429" spans="1:7" x14ac:dyDescent="0.3">
      <c r="A429" s="632" t="s">
        <v>582</v>
      </c>
      <c r="B429" s="255" t="str">
        <f>IFERROR(
   IF(INDEX(Extraídas!B:B,MATCH(LEFT($A429,6)&amp;"*",Extraídas!A:A,0))="Extraídas",
      "✅ En proceso",
      IF(INDEX(Extraídas!B:B,MATCH(LEFT($A429,6)&amp;"*",Extraídas!A:A,0))="Recibidas",
         "⏳ Pendiente","❌ No ingresada")),
   "❌ No ingresada"
)</f>
        <v>✅ En proceso</v>
      </c>
      <c r="C429" s="255" t="str">
        <f t="array" ref="C429">IFERROR(
   IF(INDEX([1]PCRs!B:B,MATCH(LEFT($A429,6)&amp;"*",[1]PCRs!A:A,0))="Positivo",
      "✅ Positivo",
      IF(INDEX([1]PCRs!B:B,MATCH(LEFT($A429,6)&amp;"*",[1]PCRs!A:A,0))="Negativo",
         "❌ Negativo",
         "⏳ No realizado")),
   "⏳ No realizado"
)</f>
        <v>✅ Positivo</v>
      </c>
      <c r="D429" s="255" t="str">
        <f>IFERROR(
   CHOOSE(
      MATCH(VLOOKUP(LEFT(A476,6)&amp;"*",'Identificación genética'!A:C,2,FALSE),
               {"En proceso";"Finalizado"},0),
      "🔬 En proceso",
      "🎯 Finalizado"
   ),
"❌ NA")</f>
        <v>🎯 Finalizado</v>
      </c>
      <c r="E429" t="s">
        <v>85</v>
      </c>
      <c r="F429" s="118">
        <v>45846</v>
      </c>
      <c r="G429" t="str">
        <f>_xlfn.XLOOKUP(A429, Extraídas!A:A, Extraídas!G:G, "")</f>
        <v>Cianobacterias</v>
      </c>
    </row>
    <row r="430" spans="1:7" x14ac:dyDescent="0.3">
      <c r="A430" s="644" t="s">
        <v>583</v>
      </c>
      <c r="B430" s="255" t="str">
        <f>IFERROR(
   IF(INDEX(Extraídas!B:B,MATCH(LEFT($A430,6)&amp;"*",Extraídas!A:A,0))="Extraídas",
      "✅ En proceso",
      IF(INDEX(Extraídas!B:B,MATCH(LEFT($A430,6)&amp;"*",Extraídas!A:A,0))="Recibidas",
         "⏳ Pendiente","❌ No ingresada")),
   "❌ No ingresada"
)</f>
        <v>✅ En proceso</v>
      </c>
      <c r="C430" s="255" t="str">
        <f t="array" ref="C430">IFERROR(
   IF(INDEX([1]PCRs!B:B,MATCH(LEFT($A430,6)&amp;"*",[1]PCRs!A:A,0))="Positivo",
      "✅ Positivo",
      IF(INDEX([1]PCRs!B:B,MATCH(LEFT($A430,6)&amp;"*",[1]PCRs!A:A,0))="Negativo",
         "❌ Negativo",
         "⏳ No realizado")),
   "⏳ No realizado"
)</f>
        <v>✅ Positivo</v>
      </c>
      <c r="D430" s="255" t="str">
        <f>IFERROR(
   CHOOSE(
      MATCH(VLOOKUP(LEFT(A477,6)&amp;"*",'Identificación genética'!A:C,2,FALSE),
               {"En proceso";"Finalizado"},0),
      "🔬 En proceso",
      "🎯 Finalizado"
   ),
"❌ NA")</f>
        <v>🎯 Finalizado</v>
      </c>
      <c r="E430" t="s">
        <v>85</v>
      </c>
      <c r="F430" s="15">
        <v>45768</v>
      </c>
      <c r="G430" t="str">
        <f>_xlfn.XLOOKUP(A430, Extraídas!A:A, Extraídas!G:G, "")</f>
        <v>Chlorophyceae</v>
      </c>
    </row>
    <row r="431" spans="1:7" x14ac:dyDescent="0.3">
      <c r="A431" s="631" t="s">
        <v>584</v>
      </c>
      <c r="B431" s="255" t="str">
        <f>IFERROR(
   IF(INDEX(Extraídas!B:B,MATCH(LEFT($A431,6)&amp;"*",Extraídas!A:A,0))="Extraídas",
      "✅ En proceso",
      IF(INDEX(Extraídas!B:B,MATCH(LEFT($A431,6)&amp;"*",Extraídas!A:A,0))="Recibidas",
         "⏳ Pendiente","❌ No ingresada")),
   "❌ No ingresada"
)</f>
        <v>✅ En proceso</v>
      </c>
      <c r="C431" s="255" t="str">
        <f t="array" ref="C431">IFERROR(
   IF(INDEX([1]PCRs!B:B,MATCH(LEFT($A431,6)&amp;"*",[1]PCRs!A:A,0))="Positivo",
      "✅ Positivo",
      IF(INDEX([1]PCRs!B:B,MATCH(LEFT($A431,6)&amp;"*",[1]PCRs!A:A,0))="Negativo",
         "❌ Negativo",
         "⏳ No realizado")),
   "⏳ No realizado"
)</f>
        <v>✅ Positivo</v>
      </c>
      <c r="D431" s="255" t="str">
        <f>IFERROR(
   CHOOSE(
      MATCH(VLOOKUP(LEFT(A478,6)&amp;"*",'Identificación genética'!A:C,2,FALSE),
               {"En proceso";"Finalizado"},0),
      "🔬 En proceso",
      "🎯 Finalizado"
   ),
"❌ NA")</f>
        <v>🎯 Finalizado</v>
      </c>
      <c r="E431" t="s">
        <v>85</v>
      </c>
      <c r="F431" s="15">
        <v>45768</v>
      </c>
      <c r="G431" t="str">
        <f>_xlfn.XLOOKUP(A431, Extraídas!A:A, Extraídas!G:G, "")</f>
        <v>Chlorophyceae</v>
      </c>
    </row>
    <row r="432" spans="1:7" x14ac:dyDescent="0.3">
      <c r="A432" s="631" t="s">
        <v>585</v>
      </c>
      <c r="B432" s="255" t="str">
        <f>IFERROR(
   IF(INDEX(Extraídas!B:B,MATCH(LEFT($A432,6)&amp;"*",Extraídas!A:A,0))="Extraídas",
      "✅ En proceso",
      IF(INDEX(Extraídas!B:B,MATCH(LEFT($A432,6)&amp;"*",Extraídas!A:A,0))="Recibidas",
         "⏳ Pendiente","❌ No ingresada")),
   "❌ No ingresada"
)</f>
        <v>✅ En proceso</v>
      </c>
      <c r="C432" s="255" t="str">
        <f t="array" ref="C432">IFERROR(
   IF(INDEX([1]PCRs!B:B,MATCH(LEFT($A432,6)&amp;"*",[1]PCRs!A:A,0))="Positivo",
      "✅ Positivo",
      IF(INDEX([1]PCRs!B:B,MATCH(LEFT($A432,6)&amp;"*",[1]PCRs!A:A,0))="Negativo",
         "❌ Negativo",
         "⏳ No realizado")),
   "⏳ No realizado"
)</f>
        <v>✅ Positivo</v>
      </c>
      <c r="D432" s="255" t="str">
        <f>IFERROR(
   CHOOSE(
      MATCH(VLOOKUP(LEFT(A479,6)&amp;"*",'Identificación genética'!A:C,2,FALSE),
               {"En proceso";"Finalizado"},0),
      "🔬 En proceso",
      "🎯 Finalizado"
   ),
"❌ NA")</f>
        <v>🎯 Finalizado</v>
      </c>
      <c r="E432" t="s">
        <v>85</v>
      </c>
      <c r="F432" s="15">
        <v>45768</v>
      </c>
      <c r="G432" t="str">
        <f>_xlfn.XLOOKUP(A432, Extraídas!A:A, Extraídas!G:G, "")</f>
        <v>Chlorophyceae</v>
      </c>
    </row>
    <row r="433" spans="1:7" x14ac:dyDescent="0.3">
      <c r="A433" s="631" t="s">
        <v>586</v>
      </c>
      <c r="B433" s="255" t="str">
        <f>IFERROR(
   IF(INDEX(Extraídas!B:B,MATCH(LEFT($A433,6)&amp;"*",Extraídas!A:A,0))="Extraídas",
      "✅ En proceso",
      IF(INDEX(Extraídas!B:B,MATCH(LEFT($A433,6)&amp;"*",Extraídas!A:A,0))="Recibidas",
         "⏳ Pendiente","❌ No ingresada")),
   "❌ No ingresada"
)</f>
        <v>✅ En proceso</v>
      </c>
      <c r="C433" s="255" t="str">
        <f t="array" ref="C433">IFERROR(
   IF(INDEX([1]PCRs!B:B,MATCH(LEFT($A433,6)&amp;"*",[1]PCRs!A:A,0))="Positivo",
      "✅ Positivo",
      IF(INDEX([1]PCRs!B:B,MATCH(LEFT($A433,6)&amp;"*",[1]PCRs!A:A,0))="Negativo",
         "❌ Negativo",
         "⏳ No realizado")),
   "⏳ No realizado"
)</f>
        <v>✅ Positivo</v>
      </c>
      <c r="D433" s="255" t="str">
        <f>IFERROR(
   CHOOSE(
      MATCH(VLOOKUP(LEFT(A480,6)&amp;"*",'Identificación genética'!A:C,2,FALSE),
               {"En proceso";"Finalizado"},0),
      "🔬 En proceso",
      "🎯 Finalizado"
   ),
"❌ NA")</f>
        <v>🎯 Finalizado</v>
      </c>
      <c r="E433" t="s">
        <v>85</v>
      </c>
      <c r="F433" s="15">
        <v>45768</v>
      </c>
      <c r="G433" t="str">
        <f>_xlfn.XLOOKUP(A433, Extraídas!A:A, Extraídas!G:G, "")</f>
        <v>Chlorophyceae</v>
      </c>
    </row>
    <row r="434" spans="1:7" x14ac:dyDescent="0.3">
      <c r="A434" s="631" t="s">
        <v>587</v>
      </c>
      <c r="B434" s="255" t="str">
        <f>IFERROR(
   IF(INDEX(Extraídas!B:B,MATCH(LEFT($A434,6)&amp;"*",Extraídas!A:A,0))="Extraídas",
      "✅ En proceso",
      IF(INDEX(Extraídas!B:B,MATCH(LEFT($A434,6)&amp;"*",Extraídas!A:A,0))="Recibidas",
         "⏳ Pendiente","❌ No ingresada")),
   "❌ No ingresada"
)</f>
        <v>✅ En proceso</v>
      </c>
      <c r="C434" s="255" t="str">
        <f t="array" ref="C434">IFERROR(
   IF(INDEX([1]PCRs!B:B,MATCH(LEFT($A434,6)&amp;"*",[1]PCRs!A:A,0))="Positivo",
      "✅ Positivo",
      IF(INDEX([1]PCRs!B:B,MATCH(LEFT($A434,6)&amp;"*",[1]PCRs!A:A,0))="Negativo",
         "❌ Negativo",
         "⏳ No realizado")),
   "⏳ No realizado"
)</f>
        <v>✅ Positivo</v>
      </c>
      <c r="D434" s="255" t="str">
        <f>IFERROR(
   CHOOSE(
      MATCH(VLOOKUP(LEFT(A481,6)&amp;"*",'Identificación genética'!A:C,2,FALSE),
               {"En proceso";"Finalizado"},0),
      "🔬 En proceso",
      "🎯 Finalizado"
   ),
"❌ NA")</f>
        <v>🎯 Finalizado</v>
      </c>
      <c r="E434" t="s">
        <v>85</v>
      </c>
      <c r="F434" s="15">
        <v>45768</v>
      </c>
      <c r="G434" t="str">
        <f>_xlfn.XLOOKUP(A434, Extraídas!A:A, Extraídas!G:G, "")</f>
        <v>Chlorophyceae</v>
      </c>
    </row>
    <row r="435" spans="1:7" x14ac:dyDescent="0.3">
      <c r="A435" s="603" t="s">
        <v>2174</v>
      </c>
      <c r="B435" s="255" t="str">
        <f>IFERROR(
   IF(INDEX(Extraídas!B:B,MATCH(LEFT($A435,6)&amp;"*",Extraídas!A:A,0))="Extraídas",
      "✅ En proceso",
      IF(INDEX(Extraídas!B:B,MATCH(LEFT($A435,6)&amp;"*",Extraídas!A:A,0))="Recibidas",
         "⏳ Pendiente","❌ No ingresada")),
   "❌ No ingresada"
)</f>
        <v>✅ En proceso</v>
      </c>
      <c r="C435" s="255" t="str">
        <f t="array" ref="C435">IFERROR(
   IF(INDEX([1]PCRs!B:B,MATCH(LEFT($A435,6)&amp;"*",[1]PCRs!A:A,0))="Positivo",
      "✅ Positivo",
      IF(INDEX([1]PCRs!B:B,MATCH(LEFT($A435,6)&amp;"*",[1]PCRs!A:A,0))="Negativo",
         "❌ Negativo",
         "⏳ No realizado")),
   "⏳ No realizado"
)</f>
        <v>✅ Positivo</v>
      </c>
      <c r="D435" s="255" t="str">
        <f>IFERROR(
   CHOOSE(
      MATCH(VLOOKUP(LEFT(A482,6)&amp;"*",'Identificación genética'!A:C,2,FALSE),
               {"En proceso";"Finalizado"},0),
      "🔬 En proceso",
      "🎯 Finalizado"
   ),
"❌ NA")</f>
        <v>🎯 Finalizado</v>
      </c>
      <c r="E435" t="s">
        <v>85</v>
      </c>
      <c r="G435" t="str">
        <f>_xlfn.XLOOKUP(A435, Extraídas!A:A, Extraídas!G:G, "")</f>
        <v/>
      </c>
    </row>
    <row r="436" spans="1:7" x14ac:dyDescent="0.3">
      <c r="A436" s="639" t="s">
        <v>588</v>
      </c>
      <c r="B436" s="255" t="str">
        <f>IFERROR(
   IF(INDEX(Extraídas!B:B,MATCH(LEFT($A436,6)&amp;"*",Extraídas!A:A,0))="Extraídas",
      "✅ En proceso",
      IF(INDEX(Extraídas!B:B,MATCH(LEFT($A436,6)&amp;"*",Extraídas!A:A,0))="Recibidas",
         "⏳ Pendiente","❌ No ingresada")),
   "❌ No ingresada"
)</f>
        <v>✅ En proceso</v>
      </c>
      <c r="C436" s="255" t="str">
        <f t="array" ref="C436">IFERROR(
   IF(INDEX([1]PCRs!B:B,MATCH(LEFT($A436,6)&amp;"*",[1]PCRs!A:A,0))="Positivo",
      "✅ Positivo",
      IF(INDEX([1]PCRs!B:B,MATCH(LEFT($A436,6)&amp;"*",[1]PCRs!A:A,0))="Negativo",
         "❌ Negativo",
         "⏳ No realizado")),
   "⏳ No realizado"
)</f>
        <v>✅ Positivo</v>
      </c>
      <c r="D436" s="255" t="str">
        <f>IFERROR(
   CHOOSE(
      MATCH(VLOOKUP(LEFT(A483,6)&amp;"*",'Identificación genética'!A:C,2,FALSE),
               {"En proceso";"Finalizado"},0),
      "🔬 En proceso",
      "🎯 Finalizado"
   ),
"❌ NA")</f>
        <v>🎯 Finalizado</v>
      </c>
      <c r="E436" t="s">
        <v>85</v>
      </c>
      <c r="F436" s="111">
        <v>45705</v>
      </c>
      <c r="G436" t="str">
        <f>_xlfn.XLOOKUP(A436, Extraídas!A:A, Extraídas!G:G, "")</f>
        <v>Cianobacterias</v>
      </c>
    </row>
    <row r="437" spans="1:7" x14ac:dyDescent="0.3">
      <c r="A437" s="410" t="s">
        <v>1118</v>
      </c>
      <c r="B437" s="255" t="str">
        <f>IFERROR(
   IF(INDEX(Extraídas!B:B,MATCH(LEFT($A437,6)&amp;"*",Extraídas!A:A,0))="Extraídas",
      "✅ En proceso",
      IF(INDEX(Extraídas!B:B,MATCH(LEFT($A437,6)&amp;"*",Extraídas!A:A,0))="Recibidas",
         "⏳ Pendiente","❌ No ingresada")),
   "❌ No ingresada"
)</f>
        <v>✅ En proceso</v>
      </c>
      <c r="C437" s="255" t="str">
        <f t="array" ref="C437">IFERROR(
   IF(INDEX([1]PCRs!B:B,MATCH(LEFT($A437,6)&amp;"*",[1]PCRs!A:A,0))="Positivo",
      "✅ Positivo",
      IF(INDEX([1]PCRs!B:B,MATCH(LEFT($A437,6)&amp;"*",[1]PCRs!A:A,0))="Negativo",
         "❌ Negativo",
         "⏳ No realizado")),
   "⏳ No realizado"
)</f>
        <v>✅ Positivo</v>
      </c>
      <c r="D437" s="255" t="str">
        <f>IFERROR(
   CHOOSE(
      MATCH(VLOOKUP(LEFT(A484,6)&amp;"*",'Identificación genética'!A:C,2,FALSE),
               {"En proceso";"Finalizado"},0),
      "🔬 En proceso",
      "🎯 Finalizado"
   ),
"❌ NA")</f>
        <v>🎯 Finalizado</v>
      </c>
      <c r="E437" t="s">
        <v>85</v>
      </c>
      <c r="G437" t="str">
        <f>_xlfn.XLOOKUP(A437, Extraídas!A:A, Extraídas!G:G, "")</f>
        <v/>
      </c>
    </row>
    <row r="438" spans="1:7" x14ac:dyDescent="0.3">
      <c r="A438" s="639" t="s">
        <v>589</v>
      </c>
      <c r="B438" s="255" t="str">
        <f>IFERROR(
   IF(INDEX(Extraídas!B:B,MATCH(LEFT($A438,6)&amp;"*",Extraídas!A:A,0))="Extraídas",
      "✅ En proceso",
      IF(INDEX(Extraídas!B:B,MATCH(LEFT($A438,6)&amp;"*",Extraídas!A:A,0))="Recibidas",
         "⏳ Pendiente","❌ No ingresada")),
   "❌ No ingresada"
)</f>
        <v>✅ En proceso</v>
      </c>
      <c r="C438" s="255" t="str">
        <f t="array" ref="C438">IFERROR(
   IF(INDEX([1]PCRs!B:B,MATCH(LEFT($A438,6)&amp;"*",[1]PCRs!A:A,0))="Positivo",
      "✅ Positivo",
      IF(INDEX([1]PCRs!B:B,MATCH(LEFT($A438,6)&amp;"*",[1]PCRs!A:A,0))="Negativo",
         "❌ Negativo",
         "⏳ No realizado")),
   "⏳ No realizado"
)</f>
        <v>✅ Positivo</v>
      </c>
      <c r="D438" s="255" t="str">
        <f>IFERROR(
   CHOOSE(
      MATCH(VLOOKUP(LEFT(A485,6)&amp;"*",'Identificación genética'!A:C,2,FALSE),
               {"En proceso";"Finalizado"},0),
      "🔬 En proceso",
      "🎯 Finalizado"
   ),
"❌ NA")</f>
        <v>🎯 Finalizado</v>
      </c>
      <c r="E438" t="s">
        <v>85</v>
      </c>
      <c r="F438" s="111">
        <v>45705</v>
      </c>
      <c r="G438" t="str">
        <f>_xlfn.XLOOKUP(A438, Extraídas!A:A, Extraídas!G:G, "")</f>
        <v>Cianobacterias</v>
      </c>
    </row>
    <row r="439" spans="1:7" x14ac:dyDescent="0.3">
      <c r="A439" s="632" t="s">
        <v>590</v>
      </c>
      <c r="B439" s="255" t="str">
        <f>IFERROR(
   IF(INDEX(Extraídas!B:B,MATCH(LEFT($A439,6)&amp;"*",Extraídas!A:A,0))="Extraídas",
      "✅ En proceso",
      IF(INDEX(Extraídas!B:B,MATCH(LEFT($A439,6)&amp;"*",Extraídas!A:A,0))="Recibidas",
         "⏳ Pendiente","❌ No ingresada")),
   "❌ No ingresada"
)</f>
        <v>✅ En proceso</v>
      </c>
      <c r="C439" s="255" t="str">
        <f t="array" ref="C439">IFERROR(
   IF(INDEX([1]PCRs!B:B,MATCH(LEFT($A439,6)&amp;"*",[1]PCRs!A:A,0))="Positivo",
      "✅ Positivo",
      IF(INDEX([1]PCRs!B:B,MATCH(LEFT($A439,6)&amp;"*",[1]PCRs!A:A,0))="Negativo",
         "❌ Negativo",
         "⏳ No realizado")),
   "⏳ No realizado"
)</f>
        <v>✅ Positivo</v>
      </c>
      <c r="D439" s="255" t="str">
        <f>IFERROR(
   CHOOSE(
      MATCH(VLOOKUP(LEFT(A486,6)&amp;"*",'Identificación genética'!A:C,2,FALSE),
               {"En proceso";"Finalizado"},0),
      "🔬 En proceso",
      "🎯 Finalizado"
   ),
"❌ NA")</f>
        <v>🎯 Finalizado</v>
      </c>
      <c r="E439" t="s">
        <v>85</v>
      </c>
      <c r="F439" s="111">
        <v>45846</v>
      </c>
      <c r="G439" t="str">
        <f>_xlfn.XLOOKUP(A439, Extraídas!A:A, Extraídas!G:G, "")</f>
        <v>Cianobacterias</v>
      </c>
    </row>
    <row r="440" spans="1:7" x14ac:dyDescent="0.3">
      <c r="A440" s="256" t="s">
        <v>1119</v>
      </c>
      <c r="B440" s="255" t="str">
        <f>IFERROR(
   IF(INDEX(Extraídas!B:B,MATCH(LEFT($A440,6)&amp;"*",Extraídas!A:A,0))="Extraídas",
      "✅ En proceso",
      IF(INDEX(Extraídas!B:B,MATCH(LEFT($A440,6)&amp;"*",Extraídas!A:A,0))="Recibidas",
         "⏳ Pendiente","❌ No ingresada")),
   "❌ No ingresada"
)</f>
        <v>✅ En proceso</v>
      </c>
      <c r="C440" s="255" t="str">
        <f t="array" ref="C440">IFERROR(
   IF(INDEX([1]PCRs!B:B,MATCH(LEFT($A440,6)&amp;"*",[1]PCRs!A:A,0))="Positivo",
      "✅ Positivo",
      IF(INDEX([1]PCRs!B:B,MATCH(LEFT($A440,6)&amp;"*",[1]PCRs!A:A,0))="Negativo",
         "❌ Negativo",
         "⏳ No realizado")),
   "⏳ No realizado"
)</f>
        <v>✅ Positivo</v>
      </c>
      <c r="D440" s="255" t="str">
        <f>IFERROR(
   CHOOSE(
      MATCH(VLOOKUP(LEFT(A487,6)&amp;"*",'Identificación genética'!A:C,2,FALSE),
               {"En proceso";"Finalizado"},0),
      "🔬 En proceso",
      "🎯 Finalizado"
   ),
"❌ NA")</f>
        <v>🎯 Finalizado</v>
      </c>
      <c r="E440" t="s">
        <v>85</v>
      </c>
      <c r="G440" t="str">
        <f>_xlfn.XLOOKUP(A440, Extraídas!A:A, Extraídas!G:G, "")</f>
        <v/>
      </c>
    </row>
    <row r="441" spans="1:7" x14ac:dyDescent="0.3">
      <c r="A441" s="639" t="s">
        <v>591</v>
      </c>
      <c r="B441" s="255" t="str">
        <f>IFERROR(
   IF(INDEX(Extraídas!B:B,MATCH(LEFT($A441,6)&amp;"*",Extraídas!A:A,0))="Extraídas",
      "✅ En proceso",
      IF(INDEX(Extraídas!B:B,MATCH(LEFT($A441,6)&amp;"*",Extraídas!A:A,0))="Recibidas",
         "⏳ Pendiente","❌ No ingresada")),
   "❌ No ingresada"
)</f>
        <v>✅ En proceso</v>
      </c>
      <c r="C441" s="255" t="str">
        <f t="array" ref="C441">IFERROR(
   IF(INDEX([1]PCRs!B:B,MATCH(LEFT($A441,6)&amp;"*",[1]PCRs!A:A,0))="Positivo",
      "✅ Positivo",
      IF(INDEX([1]PCRs!B:B,MATCH(LEFT($A441,6)&amp;"*",[1]PCRs!A:A,0))="Negativo",
         "❌ Negativo",
         "⏳ No realizado")),
   "⏳ No realizado"
)</f>
        <v>✅ Positivo</v>
      </c>
      <c r="D441" s="255" t="str">
        <f>IFERROR(
   CHOOSE(
      MATCH(VLOOKUP(LEFT(A488,6)&amp;"*",'Identificación genética'!A:C,2,FALSE),
               {"En proceso";"Finalizado"},0),
      "🔬 En proceso",
      "🎯 Finalizado"
   ),
"❌ NA")</f>
        <v>🎯 Finalizado</v>
      </c>
      <c r="E441" t="s">
        <v>85</v>
      </c>
      <c r="F441" s="111">
        <v>45705</v>
      </c>
      <c r="G441" t="str">
        <f>_xlfn.XLOOKUP(A441, Extraídas!A:A, Extraídas!G:G, "")</f>
        <v>Cianobacterias</v>
      </c>
    </row>
    <row r="442" spans="1:7" x14ac:dyDescent="0.3">
      <c r="A442" s="638" t="s">
        <v>592</v>
      </c>
      <c r="B442" s="255" t="str">
        <f>IFERROR(
   IF(INDEX(Extraídas!B:B,MATCH(LEFT($A442,6)&amp;"*",Extraídas!A:A,0))="Extraídas",
      "✅ En proceso",
      IF(INDEX(Extraídas!B:B,MATCH(LEFT($A442,6)&amp;"*",Extraídas!A:A,0))="Recibidas",
         "⏳ Pendiente","❌ No ingresada")),
   "❌ No ingresada"
)</f>
        <v>✅ En proceso</v>
      </c>
      <c r="C442" s="255" t="str">
        <f t="array" ref="C442">IFERROR(
   IF(INDEX([1]PCRs!B:B,MATCH(LEFT($A442,6)&amp;"*",[1]PCRs!A:A,0))="Positivo",
      "✅ Positivo",
      IF(INDEX([1]PCRs!B:B,MATCH(LEFT($A442,6)&amp;"*",[1]PCRs!A:A,0))="Negativo",
         "❌ Negativo",
         "⏳ No realizado")),
   "⏳ No realizado"
)</f>
        <v>✅ Positivo</v>
      </c>
      <c r="D442" s="255" t="str">
        <f>IFERROR(
   CHOOSE(
      MATCH(VLOOKUP(LEFT(A489,6)&amp;"*",'Identificación genética'!A:C,2,FALSE),
               {"En proceso";"Finalizado"},0),
      "🔬 En proceso",
      "🎯 Finalizado"
   ),
"❌ NA")</f>
        <v>🎯 Finalizado</v>
      </c>
      <c r="E442" t="s">
        <v>85</v>
      </c>
      <c r="F442" s="111">
        <v>45763</v>
      </c>
      <c r="G442" t="str">
        <f>_xlfn.XLOOKUP(A442, Extraídas!A:A, Extraídas!G:G, "")</f>
        <v>Cianobacterias</v>
      </c>
    </row>
    <row r="443" spans="1:7" x14ac:dyDescent="0.3">
      <c r="A443" s="410" t="s">
        <v>1120</v>
      </c>
      <c r="B443" s="255" t="str">
        <f>IFERROR(
   IF(INDEX(Extraídas!B:B,MATCH(LEFT($A443,6)&amp;"*",Extraídas!A:A,0))="Extraídas",
      "✅ En proceso",
      IF(INDEX(Extraídas!B:B,MATCH(LEFT($A443,6)&amp;"*",Extraídas!A:A,0))="Recibidas",
         "⏳ Pendiente","❌ No ingresada")),
   "❌ No ingresada"
)</f>
        <v>✅ En proceso</v>
      </c>
      <c r="C443" s="255" t="str">
        <f t="array" ref="C443">IFERROR(
   IF(INDEX([1]PCRs!B:B,MATCH(LEFT($A443,6)&amp;"*",[1]PCRs!A:A,0))="Positivo",
      "✅ Positivo",
      IF(INDEX([1]PCRs!B:B,MATCH(LEFT($A443,6)&amp;"*",[1]PCRs!A:A,0))="Negativo",
         "❌ Negativo",
         "⏳ No realizado")),
   "⏳ No realizado"
)</f>
        <v>✅ Positivo</v>
      </c>
      <c r="D443" s="255" t="str">
        <f>IFERROR(
   CHOOSE(
      MATCH(VLOOKUP(LEFT(A490,6)&amp;"*",'Identificación genética'!A:C,2,FALSE),
               {"En proceso";"Finalizado"},0),
      "🔬 En proceso",
      "🎯 Finalizado"
   ),
"❌ NA")</f>
        <v>🎯 Finalizado</v>
      </c>
      <c r="E443" t="s">
        <v>85</v>
      </c>
      <c r="G443" t="str">
        <f>_xlfn.XLOOKUP(A443, Extraídas!A:A, Extraídas!G:G, "")</f>
        <v/>
      </c>
    </row>
    <row r="444" spans="1:7" x14ac:dyDescent="0.3">
      <c r="A444" s="639" t="s">
        <v>593</v>
      </c>
      <c r="B444" s="255" t="str">
        <f>IFERROR(
   IF(INDEX(Extraídas!B:B,MATCH(LEFT($A444,6)&amp;"*",Extraídas!A:A,0))="Extraídas",
      "✅ En proceso",
      IF(INDEX(Extraídas!B:B,MATCH(LEFT($A444,6)&amp;"*",Extraídas!A:A,0))="Recibidas",
         "⏳ Pendiente","❌ No ingresada")),
   "❌ No ingresada"
)</f>
        <v>✅ En proceso</v>
      </c>
      <c r="C444" s="255" t="str">
        <f t="array" ref="C444">IFERROR(
   IF(INDEX([1]PCRs!B:B,MATCH(LEFT($A444,6)&amp;"*",[1]PCRs!A:A,0))="Positivo",
      "✅ Positivo",
      IF(INDEX([1]PCRs!B:B,MATCH(LEFT($A444,6)&amp;"*",[1]PCRs!A:A,0))="Negativo",
         "❌ Negativo",
         "⏳ No realizado")),
   "⏳ No realizado"
)</f>
        <v>✅ Positivo</v>
      </c>
      <c r="D444" s="255" t="str">
        <f>IFERROR(
   CHOOSE(
      MATCH(VLOOKUP(LEFT(A491,6)&amp;"*",'Identificación genética'!A:C,2,FALSE),
               {"En proceso";"Finalizado"},0),
      "🔬 En proceso",
      "🎯 Finalizado"
   ),
"❌ NA")</f>
        <v>❌ NA</v>
      </c>
      <c r="E444" t="s">
        <v>85</v>
      </c>
      <c r="F444" s="111">
        <v>45705</v>
      </c>
      <c r="G444" t="str">
        <f>_xlfn.XLOOKUP(A444, Extraídas!A:A, Extraídas!G:G, "")</f>
        <v>Cianobacterias</v>
      </c>
    </row>
    <row r="445" spans="1:7" x14ac:dyDescent="0.3">
      <c r="A445" s="639" t="s">
        <v>594</v>
      </c>
      <c r="B445" s="255" t="str">
        <f>IFERROR(
   IF(INDEX(Extraídas!B:B,MATCH(LEFT($A445,6)&amp;"*",Extraídas!A:A,0))="Extraídas",
      "✅ En proceso",
      IF(INDEX(Extraídas!B:B,MATCH(LEFT($A445,6)&amp;"*",Extraídas!A:A,0))="Recibidas",
         "⏳ Pendiente","❌ No ingresada")),
   "❌ No ingresada"
)</f>
        <v>✅ En proceso</v>
      </c>
      <c r="C445" s="255" t="str">
        <f t="array" ref="C445">IFERROR(
   IF(INDEX([1]PCRs!B:B,MATCH(LEFT($A445,6)&amp;"*",[1]PCRs!A:A,0))="Positivo",
      "✅ Positivo",
      IF(INDEX([1]PCRs!B:B,MATCH(LEFT($A445,6)&amp;"*",[1]PCRs!A:A,0))="Negativo",
         "❌ Negativo",
         "⏳ No realizado")),
   "⏳ No realizado"
)</f>
        <v>✅ Positivo</v>
      </c>
      <c r="D445" s="255" t="str">
        <f>IFERROR(
   CHOOSE(
      MATCH(VLOOKUP(LEFT(A492,6)&amp;"*",'Identificación genética'!A:C,2,FALSE),
               {"En proceso";"Finalizado"},0),
      "🔬 En proceso",
      "🎯 Finalizado"
   ),
"❌ NA")</f>
        <v>❌ NA</v>
      </c>
      <c r="E445" t="s">
        <v>85</v>
      </c>
      <c r="F445" s="111">
        <v>45705</v>
      </c>
      <c r="G445" t="str">
        <f>_xlfn.XLOOKUP(A445, Extraídas!A:A, Extraídas!G:G, "")</f>
        <v>Cianobacterias</v>
      </c>
    </row>
    <row r="446" spans="1:7" ht="15" thickBot="1" x14ac:dyDescent="0.35">
      <c r="A446" s="638" t="s">
        <v>595</v>
      </c>
      <c r="B446" s="255" t="str">
        <f>IFERROR(
   IF(INDEX(Extraídas!B:B,MATCH(LEFT($A446,6)&amp;"*",Extraídas!A:A,0))="Extraídas",
      "✅ En proceso",
      IF(INDEX(Extraídas!B:B,MATCH(LEFT($A446,6)&amp;"*",Extraídas!A:A,0))="Recibidas",
         "⏳ Pendiente","❌ No ingresada")),
   "❌ No ingresada"
)</f>
        <v>✅ En proceso</v>
      </c>
      <c r="C446" s="255" t="str">
        <f t="array" ref="C446">IFERROR(
   IF(INDEX([1]PCRs!B:B,MATCH(LEFT($A446,6)&amp;"*",[1]PCRs!A:A,0))="Positivo",
      "✅ Positivo",
      IF(INDEX([1]PCRs!B:B,MATCH(LEFT($A446,6)&amp;"*",[1]PCRs!A:A,0))="Negativo",
         "❌ Negativo",
         "⏳ No realizado")),
   "⏳ No realizado"
)</f>
        <v>✅ Positivo</v>
      </c>
      <c r="D446" s="255" t="str">
        <f>IFERROR(
   CHOOSE(
      MATCH(VLOOKUP(LEFT(A493,6)&amp;"*",'Identificación genética'!A:C,2,FALSE),
               {"En proceso";"Finalizado"},0),
      "🔬 En proceso",
      "🎯 Finalizado"
   ),
"❌ NA")</f>
        <v>❌ NA</v>
      </c>
      <c r="E446" t="s">
        <v>85</v>
      </c>
      <c r="F446" s="111">
        <v>45757</v>
      </c>
      <c r="G446" t="str">
        <f>_xlfn.XLOOKUP(A446, Extraídas!A:A, Extraídas!G:G, "")</f>
        <v>Cianobacterias</v>
      </c>
    </row>
    <row r="447" spans="1:7" ht="15" thickBot="1" x14ac:dyDescent="0.35">
      <c r="A447" s="639" t="s">
        <v>596</v>
      </c>
      <c r="B447" s="255" t="str">
        <f>IFERROR(
   IF(INDEX(Extraídas!B:B,MATCH(LEFT($A447,6)&amp;"*",Extraídas!A:A,0))="Extraídas",
      "✅ En proceso",
      IF(INDEX(Extraídas!B:B,MATCH(LEFT($A447,6)&amp;"*",Extraídas!A:A,0))="Recibidas",
         "⏳ Pendiente","❌ No ingresada")),
   "❌ No ingresada"
)</f>
        <v>✅ En proceso</v>
      </c>
      <c r="C447" s="255" t="str">
        <f t="array" ref="C447">IFERROR(
   IF(INDEX([1]PCRs!B:B,MATCH(LEFT($A447,6)&amp;"*",[1]PCRs!A:A,0))="Positivo",
      "✅ Positivo",
      IF(INDEX([1]PCRs!B:B,MATCH(LEFT($A447,6)&amp;"*",[1]PCRs!A:A,0))="Negativo",
         "❌ Negativo",
         "⏳ No realizado")),
   "⏳ No realizado"
)</f>
        <v>✅ Positivo</v>
      </c>
      <c r="D447" s="255" t="str">
        <f>IFERROR(
   CHOOSE(
      MATCH(VLOOKUP(LEFT(A494,6)&amp;"*",'Identificación genética'!A:C,2,FALSE),
               {"En proceso";"Finalizado"},0),
      "🔬 En proceso",
      "🎯 Finalizado"
   ),
"❌ NA")</f>
        <v>❌ NA</v>
      </c>
      <c r="E447" t="s">
        <v>85</v>
      </c>
      <c r="F447" s="590">
        <v>45757</v>
      </c>
      <c r="G447" t="str">
        <f>_xlfn.XLOOKUP(A447, Extraídas!A:A, Extraídas!G:G, "")</f>
        <v>Cianobacterias</v>
      </c>
    </row>
    <row r="448" spans="1:7" ht="15" thickBot="1" x14ac:dyDescent="0.35">
      <c r="A448" s="410" t="s">
        <v>1984</v>
      </c>
      <c r="B448" s="255" t="str">
        <f>IFERROR(
   IF(INDEX(Extraídas!B:B,MATCH(LEFT($A448,6)&amp;"*",Extraídas!A:A,0))="Extraídas",
      "✅ En proceso",
      IF(INDEX(Extraídas!B:B,MATCH(LEFT($A448,6)&amp;"*",Extraídas!A:A,0))="Recibidas",
         "⏳ Pendiente","❌ No ingresada")),
   "❌ No ingresada"
)</f>
        <v>✅ En proceso</v>
      </c>
      <c r="C448" s="255" t="str">
        <f t="array" ref="C448">IFERROR(
   IF(INDEX([1]PCRs!B:B,MATCH(LEFT($A448,6)&amp;"*",[1]PCRs!A:A,0))="Positivo",
      "✅ Positivo",
      IF(INDEX([1]PCRs!B:B,MATCH(LEFT($A448,6)&amp;"*",[1]PCRs!A:A,0))="Negativo",
         "❌ Negativo",
         "⏳ No realizado")),
   "⏳ No realizado"
)</f>
        <v>✅ Positivo</v>
      </c>
      <c r="D448" s="255" t="str">
        <f>IFERROR(
   CHOOSE(
      MATCH(VLOOKUP(LEFT(A495,6)&amp;"*",'Identificación genética'!A:C,2,FALSE),
               {"En proceso";"Finalizado"},0),
      "🔬 En proceso",
      "🎯 Finalizado"
   ),
"❌ NA")</f>
        <v>❌ NA</v>
      </c>
      <c r="E448" t="s">
        <v>85</v>
      </c>
      <c r="F448" s="580"/>
      <c r="G448" t="str">
        <f>_xlfn.XLOOKUP(A448, Extraídas!A:A, Extraídas!G:G, "")</f>
        <v/>
      </c>
    </row>
    <row r="449" spans="1:7" x14ac:dyDescent="0.3">
      <c r="A449" s="639" t="s">
        <v>597</v>
      </c>
      <c r="B449" s="255" t="str">
        <f>IFERROR(
   IF(INDEX(Extraídas!B:B,MATCH(LEFT($A449,6)&amp;"*",Extraídas!A:A,0))="Extraídas",
      "✅ En proceso",
      IF(INDEX(Extraídas!B:B,MATCH(LEFT($A449,6)&amp;"*",Extraídas!A:A,0))="Recibidas",
         "⏳ Pendiente","❌ No ingresada")),
   "❌ No ingresada"
)</f>
        <v>✅ En proceso</v>
      </c>
      <c r="C449" s="255" t="str">
        <f t="array" ref="C449">IFERROR(
   IF(INDEX([1]PCRs!B:B,MATCH(LEFT($A449,6)&amp;"*",[1]PCRs!A:A,0))="Positivo",
      "✅ Positivo",
      IF(INDEX([1]PCRs!B:B,MATCH(LEFT($A449,6)&amp;"*",[1]PCRs!A:A,0))="Negativo",
         "❌ Negativo",
         "⏳ No realizado")),
   "⏳ No realizado"
)</f>
        <v>✅ Positivo</v>
      </c>
      <c r="D449" s="255" t="str">
        <f>IFERROR(
   CHOOSE(
      MATCH(VLOOKUP(LEFT(A496,6)&amp;"*",'Identificación genética'!A:C,2,FALSE),
               {"En proceso";"Finalizado"},0),
      "🔬 En proceso",
      "🎯 Finalizado"
   ),
"❌ NA")</f>
        <v>❌ NA</v>
      </c>
      <c r="E449" t="s">
        <v>85</v>
      </c>
      <c r="F449" s="111">
        <v>45817</v>
      </c>
      <c r="G449" t="str">
        <f>_xlfn.XLOOKUP(A449, Extraídas!A:A, Extraídas!G:G, "")</f>
        <v>Cianobacterias</v>
      </c>
    </row>
    <row r="450" spans="1:7" x14ac:dyDescent="0.3">
      <c r="A450" s="410" t="s">
        <v>1988</v>
      </c>
      <c r="B450" s="255" t="str">
        <f>IFERROR(
   IF(INDEX(Extraídas!B:B,MATCH(LEFT($A450,6)&amp;"*",Extraídas!A:A,0))="Extraídas",
      "✅ En proceso",
      IF(INDEX(Extraídas!B:B,MATCH(LEFT($A450,6)&amp;"*",Extraídas!A:A,0))="Recibidas",
         "⏳ Pendiente","❌ No ingresada")),
   "❌ No ingresada"
)</f>
        <v>✅ En proceso</v>
      </c>
      <c r="C450" s="255" t="str">
        <f t="array" ref="C450">IFERROR(
   IF(INDEX([1]PCRs!B:B,MATCH(LEFT($A450,6)&amp;"*",[1]PCRs!A:A,0))="Positivo",
      "✅ Positivo",
      IF(INDEX([1]PCRs!B:B,MATCH(LEFT($A450,6)&amp;"*",[1]PCRs!A:A,0))="Negativo",
         "❌ Negativo",
         "⏳ No realizado")),
   "⏳ No realizado"
)</f>
        <v>✅ Positivo</v>
      </c>
      <c r="D450" s="255" t="str">
        <f>IFERROR(
   CHOOSE(
      MATCH(VLOOKUP(LEFT(A497,6)&amp;"*",'Identificación genética'!A:C,2,FALSE),
               {"En proceso";"Finalizado"},0),
      "🔬 En proceso",
      "🎯 Finalizado"
   ),
"❌ NA")</f>
        <v>🎯 Finalizado</v>
      </c>
      <c r="E450" t="s">
        <v>85</v>
      </c>
      <c r="G450" t="str">
        <f>_xlfn.XLOOKUP(A450, Extraídas!A:A, Extraídas!G:G, "")</f>
        <v/>
      </c>
    </row>
    <row r="451" spans="1:7" x14ac:dyDescent="0.3">
      <c r="A451" s="638" t="s">
        <v>598</v>
      </c>
      <c r="B451" s="255" t="str">
        <f>IFERROR(
   IF(INDEX(Extraídas!B:B,MATCH(LEFT($A451,6)&amp;"*",Extraídas!A:A,0))="Extraídas",
      "✅ En proceso",
      IF(INDEX(Extraídas!B:B,MATCH(LEFT($A451,6)&amp;"*",Extraídas!A:A,0))="Recibidas",
         "⏳ Pendiente","❌ No ingresada")),
   "❌ No ingresada"
)</f>
        <v>✅ En proceso</v>
      </c>
      <c r="C451" s="255" t="str">
        <f t="array" ref="C451">IFERROR(
   IF(INDEX([1]PCRs!B:B,MATCH(LEFT($A451,6)&amp;"*",[1]PCRs!A:A,0))="Positivo",
      "✅ Positivo",
      IF(INDEX([1]PCRs!B:B,MATCH(LEFT($A451,6)&amp;"*",[1]PCRs!A:A,0))="Negativo",
         "❌ Negativo",
         "⏳ No realizado")),
   "⏳ No realizado"
)</f>
        <v>✅ Positivo</v>
      </c>
      <c r="D451" s="255" t="str">
        <f>IFERROR(
   CHOOSE(
      MATCH(VLOOKUP(LEFT(A498,6)&amp;"*",'Identificación genética'!A:C,2,FALSE),
               {"En proceso";"Finalizado"},0),
      "🔬 En proceso",
      "🎯 Finalizado"
   ),
"❌ NA")</f>
        <v>🎯 Finalizado</v>
      </c>
      <c r="E451" t="s">
        <v>85</v>
      </c>
      <c r="F451" s="111">
        <v>45817</v>
      </c>
      <c r="G451" t="str">
        <f>_xlfn.XLOOKUP(A451, Extraídas!A:A, Extraídas!G:G, "")</f>
        <v>Cianobacterias</v>
      </c>
    </row>
    <row r="452" spans="1:7" x14ac:dyDescent="0.3">
      <c r="A452" s="640" t="s">
        <v>599</v>
      </c>
      <c r="B452" s="255" t="str">
        <f>IFERROR(
   IF(INDEX(Extraídas!B:B,MATCH(LEFT($A452,6)&amp;"*",Extraídas!A:A,0))="Extraídas",
      "✅ En proceso",
      IF(INDEX(Extraídas!B:B,MATCH(LEFT($A452,6)&amp;"*",Extraídas!A:A,0))="Recibidas",
         "⏳ Pendiente","❌ No ingresada")),
   "❌ No ingresada"
)</f>
        <v>✅ En proceso</v>
      </c>
      <c r="C452" s="255" t="str">
        <f t="array" ref="C452">IFERROR(
   IF(INDEX([1]PCRs!B:B,MATCH(LEFT($A452,6)&amp;"*",[1]PCRs!A:A,0))="Positivo",
      "✅ Positivo",
      IF(INDEX([1]PCRs!B:B,MATCH(LEFT($A452,6)&amp;"*",[1]PCRs!A:A,0))="Negativo",
         "❌ Negativo",
         "⏳ No realizado")),
   "⏳ No realizado"
)</f>
        <v>✅ Positivo</v>
      </c>
      <c r="D452" s="255" t="str">
        <f>IFERROR(
   CHOOSE(
      MATCH(VLOOKUP(LEFT(A499,6)&amp;"*",'Identificación genética'!A:C,2,FALSE),
               {"En proceso";"Finalizado"},0),
      "🔬 En proceso",
      "🎯 Finalizado"
   ),
"❌ NA")</f>
        <v>🎯 Finalizado</v>
      </c>
      <c r="E452" t="s">
        <v>85</v>
      </c>
      <c r="F452" s="110">
        <v>45931</v>
      </c>
      <c r="G452" t="str">
        <f>_xlfn.XLOOKUP(A452, Extraídas!A:A, Extraídas!G:G, "")</f>
        <v>Microalgas</v>
      </c>
    </row>
    <row r="453" spans="1:7" x14ac:dyDescent="0.3">
      <c r="A453" s="632" t="s">
        <v>600</v>
      </c>
      <c r="B453" s="255" t="str">
        <f>IFERROR(
   IF(INDEX(Extraídas!B:B,MATCH(LEFT($A453,6)&amp;"*",Extraídas!A:A,0))="Extraídas",
      "✅ En proceso",
      IF(INDEX(Extraídas!B:B,MATCH(LEFT($A453,6)&amp;"*",Extraídas!A:A,0))="Recibidas",
         "⏳ Pendiente","❌ No ingresada")),
   "❌ No ingresada"
)</f>
        <v>✅ En proceso</v>
      </c>
      <c r="C453" s="255" t="str">
        <f t="array" ref="C453">IFERROR(
   IF(INDEX([1]PCRs!B:B,MATCH(LEFT($A453,6)&amp;"*",[1]PCRs!A:A,0))="Positivo",
      "✅ Positivo",
      IF(INDEX([1]PCRs!B:B,MATCH(LEFT($A453,6)&amp;"*",[1]PCRs!A:A,0))="Negativo",
         "❌ Negativo",
         "⏳ No realizado")),
   "⏳ No realizado"
)</f>
        <v>✅ Positivo</v>
      </c>
      <c r="D453" s="255" t="str">
        <f>IFERROR(
   CHOOSE(
      MATCH(VLOOKUP(LEFT(A500,6)&amp;"*",'Identificación genética'!A:C,2,FALSE),
               {"En proceso";"Finalizado"},0),
      "🔬 En proceso",
      "🎯 Finalizado"
   ),
"❌ NA")</f>
        <v>🎯 Finalizado</v>
      </c>
      <c r="E453" t="s">
        <v>85</v>
      </c>
      <c r="F453" s="111">
        <v>45817</v>
      </c>
      <c r="G453" t="str">
        <f>_xlfn.XLOOKUP(A453, Extraídas!A:A, Extraídas!G:G, "")</f>
        <v>Cianobacterias</v>
      </c>
    </row>
    <row r="454" spans="1:7" x14ac:dyDescent="0.3">
      <c r="A454" s="630" t="s">
        <v>601</v>
      </c>
      <c r="B454" s="255" t="str">
        <f>IFERROR(
   IF(INDEX(Extraídas!B:B,MATCH(LEFT($A454,6)&amp;"*",Extraídas!A:A,0))="Extraídas",
      "✅ En proceso",
      IF(INDEX(Extraídas!B:B,MATCH(LEFT($A454,6)&amp;"*",Extraídas!A:A,0))="Recibidas",
         "⏳ Pendiente","❌ No ingresada")),
   "❌ No ingresada"
)</f>
        <v>✅ En proceso</v>
      </c>
      <c r="C454" s="255" t="str">
        <f t="array" ref="C454">IFERROR(
   IF(INDEX([1]PCRs!B:B,MATCH(LEFT($A454,6)&amp;"*",[1]PCRs!A:A,0))="Positivo",
      "✅ Positivo",
      IF(INDEX([1]PCRs!B:B,MATCH(LEFT($A454,6)&amp;"*",[1]PCRs!A:A,0))="Negativo",
         "❌ Negativo",
         "⏳ No realizado")),
   "⏳ No realizado"
)</f>
        <v>✅ Positivo</v>
      </c>
      <c r="D454" s="255" t="str">
        <f>IFERROR(
   CHOOSE(
      MATCH(VLOOKUP(LEFT(A501,6)&amp;"*",'Identificación genética'!A:C,2,FALSE),
               {"En proceso";"Finalizado"},0),
      "🔬 En proceso",
      "🎯 Finalizado"
   ),
"❌ NA")</f>
        <v>🎯 Finalizado</v>
      </c>
      <c r="E454" t="s">
        <v>85</v>
      </c>
      <c r="F454" s="111">
        <v>45817</v>
      </c>
      <c r="G454" t="str">
        <f>_xlfn.XLOOKUP(A454, Extraídas!A:A, Extraídas!G:G, "")</f>
        <v>Cianobacterias</v>
      </c>
    </row>
    <row r="455" spans="1:7" x14ac:dyDescent="0.3">
      <c r="A455" s="631" t="s">
        <v>602</v>
      </c>
      <c r="B455" s="255" t="str">
        <f>IFERROR(
   IF(INDEX(Extraídas!B:B,MATCH(LEFT($A455,6)&amp;"*",Extraídas!A:A,0))="Extraídas",
      "✅ En proceso",
      IF(INDEX(Extraídas!B:B,MATCH(LEFT($A455,6)&amp;"*",Extraídas!A:A,0))="Recibidas",
         "⏳ Pendiente","❌ No ingresada")),
   "❌ No ingresada"
)</f>
        <v>✅ En proceso</v>
      </c>
      <c r="C455" s="255" t="str">
        <f t="array" ref="C455">IFERROR(
   IF(INDEX([1]PCRs!B:B,MATCH(LEFT($A455,6)&amp;"*",[1]PCRs!A:A,0))="Positivo",
      "✅ Positivo",
      IF(INDEX([1]PCRs!B:B,MATCH(LEFT($A455,6)&amp;"*",[1]PCRs!A:A,0))="Negativo",
         "❌ Negativo",
         "⏳ No realizado")),
   "⏳ No realizado"
)</f>
        <v>✅ Positivo</v>
      </c>
      <c r="D455" s="255" t="str">
        <f>IFERROR(
   CHOOSE(
      MATCH(VLOOKUP(LEFT(A502,6)&amp;"*",'Identificación genética'!A:C,2,FALSE),
               {"En proceso";"Finalizado"},0),
      "🔬 En proceso",
      "🎯 Finalizado"
   ),
"❌ NA")</f>
        <v>🎯 Finalizado</v>
      </c>
      <c r="E455" t="s">
        <v>85</v>
      </c>
      <c r="F455" s="29">
        <v>45768</v>
      </c>
      <c r="G455" t="str">
        <f>_xlfn.XLOOKUP(A455, Extraídas!A:A, Extraídas!G:G, "")</f>
        <v>Chlorophyceae</v>
      </c>
    </row>
    <row r="456" spans="1:7" x14ac:dyDescent="0.3">
      <c r="A456" s="640" t="s">
        <v>603</v>
      </c>
      <c r="B456" s="255" t="str">
        <f>IFERROR(
   IF(INDEX(Extraídas!B:B,MATCH(LEFT($A456,6)&amp;"*",Extraídas!A:A,0))="Extraídas",
      "✅ En proceso",
      IF(INDEX(Extraídas!B:B,MATCH(LEFT($A456,6)&amp;"*",Extraídas!A:A,0))="Recibidas",
         "⏳ Pendiente","❌ No ingresada")),
   "❌ No ingresada"
)</f>
        <v>✅ En proceso</v>
      </c>
      <c r="C456" s="255" t="str">
        <f t="array" ref="C456">IFERROR(
   IF(INDEX([1]PCRs!B:B,MATCH(LEFT($A456,6)&amp;"*",[1]PCRs!A:A,0))="Positivo",
      "✅ Positivo",
      IF(INDEX([1]PCRs!B:B,MATCH(LEFT($A456,6)&amp;"*",[1]PCRs!A:A,0))="Negativo",
         "❌ Negativo",
         "⏳ No realizado")),
   "⏳ No realizado"
)</f>
        <v>✅ Positivo</v>
      </c>
      <c r="D456" s="255" t="str">
        <f>IFERROR(
   CHOOSE(
      MATCH(VLOOKUP(LEFT(A503,6)&amp;"*",'Identificación genética'!A:C,2,FALSE),
               {"En proceso";"Finalizado"},0),
      "🔬 En proceso",
      "🎯 Finalizado"
   ),
"❌ NA")</f>
        <v>🎯 Finalizado</v>
      </c>
      <c r="E456" t="s">
        <v>85</v>
      </c>
      <c r="F456" s="110">
        <v>45931</v>
      </c>
      <c r="G456" t="str">
        <f>_xlfn.XLOOKUP(A456, Extraídas!A:A, Extraídas!G:G, "")</f>
        <v>Microalgas</v>
      </c>
    </row>
    <row r="457" spans="1:7" x14ac:dyDescent="0.3">
      <c r="A457" s="640" t="s">
        <v>604</v>
      </c>
      <c r="B457" s="255" t="str">
        <f>IFERROR(
   IF(INDEX(Extraídas!B:B,MATCH(LEFT($A457,6)&amp;"*",Extraídas!A:A,0))="Extraídas",
      "✅ En proceso",
      IF(INDEX(Extraídas!B:B,MATCH(LEFT($A457,6)&amp;"*",Extraídas!A:A,0))="Recibidas",
         "⏳ Pendiente","❌ No ingresada")),
   "❌ No ingresada"
)</f>
        <v>✅ En proceso</v>
      </c>
      <c r="C457" s="255" t="str">
        <f t="array" ref="C457">IFERROR(
   IF(INDEX([1]PCRs!B:B,MATCH(LEFT($A457,6)&amp;"*",[1]PCRs!A:A,0))="Positivo",
      "✅ Positivo",
      IF(INDEX([1]PCRs!B:B,MATCH(LEFT($A457,6)&amp;"*",[1]PCRs!A:A,0))="Negativo",
         "❌ Negativo",
         "⏳ No realizado")),
   "⏳ No realizado"
)</f>
        <v>✅ Positivo</v>
      </c>
      <c r="D457" s="255" t="str">
        <f>IFERROR(
   CHOOSE(
      MATCH(VLOOKUP(LEFT(A504,6)&amp;"*",'Identificación genética'!A:C,2,FALSE),
               {"En proceso";"Finalizado"},0),
      "🔬 En proceso",
      "🎯 Finalizado"
   ),
"❌ NA")</f>
        <v>🎯 Finalizado</v>
      </c>
      <c r="E457" t="s">
        <v>85</v>
      </c>
      <c r="F457" s="29">
        <v>45768</v>
      </c>
      <c r="G457" t="str">
        <f>_xlfn.XLOOKUP(A457, Extraídas!A:A, Extraídas!G:G, "")</f>
        <v>Chlorophyceae</v>
      </c>
    </row>
    <row r="458" spans="1:7" x14ac:dyDescent="0.3">
      <c r="A458" s="640" t="s">
        <v>605</v>
      </c>
      <c r="B458" s="255" t="str">
        <f>IFERROR(
   IF(INDEX(Extraídas!B:B,MATCH(LEFT($A458,6)&amp;"*",Extraídas!A:A,0))="Extraídas",
      "✅ En proceso",
      IF(INDEX(Extraídas!B:B,MATCH(LEFT($A458,6)&amp;"*",Extraídas!A:A,0))="Recibidas",
         "⏳ Pendiente","❌ No ingresada")),
   "❌ No ingresada"
)</f>
        <v>✅ En proceso</v>
      </c>
      <c r="C458" s="255" t="str">
        <f t="array" ref="C458">IFERROR(
   IF(INDEX([1]PCRs!B:B,MATCH(LEFT($A458,6)&amp;"*",[1]PCRs!A:A,0))="Positivo",
      "✅ Positivo",
      IF(INDEX([1]PCRs!B:B,MATCH(LEFT($A458,6)&amp;"*",[1]PCRs!A:A,0))="Negativo",
         "❌ Negativo",
         "⏳ No realizado")),
   "⏳ No realizado"
)</f>
        <v>❌ Negativo</v>
      </c>
      <c r="D458" s="255" t="str">
        <f>IFERROR(
   CHOOSE(
      MATCH(VLOOKUP(LEFT(A505,6)&amp;"*",'Identificación genética'!A:C,2,FALSE),
               {"En proceso";"Finalizado"},0),
      "🔬 En proceso",
      "🎯 Finalizado"
   ),
"❌ NA")</f>
        <v>🎯 Finalizado</v>
      </c>
      <c r="E458" t="s">
        <v>85</v>
      </c>
      <c r="F458" s="124">
        <v>45931</v>
      </c>
      <c r="G458" t="str">
        <f>_xlfn.XLOOKUP(A458, Extraídas!A:A, Extraídas!G:G, "")</f>
        <v>Microalgas</v>
      </c>
    </row>
    <row r="459" spans="1:7" x14ac:dyDescent="0.3">
      <c r="A459" s="640" t="s">
        <v>606</v>
      </c>
      <c r="B459" s="255" t="str">
        <f>IFERROR(
   IF(INDEX(Extraídas!B:B,MATCH(LEFT($A459,6)&amp;"*",Extraídas!A:A,0))="Extraídas",
      "✅ En proceso",
      IF(INDEX(Extraídas!B:B,MATCH(LEFT($A459,6)&amp;"*",Extraídas!A:A,0))="Recibidas",
         "⏳ Pendiente","❌ No ingresada")),
   "❌ No ingresada"
)</f>
        <v>✅ En proceso</v>
      </c>
      <c r="C459" s="255" t="str">
        <f t="array" ref="C459">IFERROR(
   IF(INDEX([1]PCRs!B:B,MATCH(LEFT($A459,6)&amp;"*",[1]PCRs!A:A,0))="Positivo",
      "✅ Positivo",
      IF(INDEX([1]PCRs!B:B,MATCH(LEFT($A459,6)&amp;"*",[1]PCRs!A:A,0))="Negativo",
         "❌ Negativo",
         "⏳ No realizado")),
   "⏳ No realizado"
)</f>
        <v>❌ Negativo</v>
      </c>
      <c r="D459" s="255" t="str">
        <f>IFERROR(
   CHOOSE(
      MATCH(VLOOKUP(LEFT(A506,6)&amp;"*",'Identificación genética'!A:C,2,FALSE),
               {"En proceso";"Finalizado"},0),
      "🔬 En proceso",
      "🎯 Finalizado"
   ),
"❌ NA")</f>
        <v>🎯 Finalizado</v>
      </c>
      <c r="E459" t="s">
        <v>85</v>
      </c>
      <c r="F459" s="15">
        <v>45768</v>
      </c>
      <c r="G459" t="str">
        <f>_xlfn.XLOOKUP(A459, Extraídas!A:A, Extraídas!G:G, "")</f>
        <v>Chlorophyceae</v>
      </c>
    </row>
    <row r="460" spans="1:7" x14ac:dyDescent="0.3">
      <c r="A460" s="640" t="s">
        <v>607</v>
      </c>
      <c r="B460" s="255" t="str">
        <f>IFERROR(
   IF(INDEX(Extraídas!B:B,MATCH(LEFT($A460,6)&amp;"*",Extraídas!A:A,0))="Extraídas",
      "✅ En proceso",
      IF(INDEX(Extraídas!B:B,MATCH(LEFT($A460,6)&amp;"*",Extraídas!A:A,0))="Recibidas",
         "⏳ Pendiente","❌ No ingresada")),
   "❌ No ingresada"
)</f>
        <v>✅ En proceso</v>
      </c>
      <c r="C460" s="255" t="str">
        <f t="array" ref="C460">IFERROR(
   IF(INDEX([1]PCRs!B:B,MATCH(LEFT($A460,6)&amp;"*",[1]PCRs!A:A,0))="Positivo",
      "✅ Positivo",
      IF(INDEX([1]PCRs!B:B,MATCH(LEFT($A460,6)&amp;"*",[1]PCRs!A:A,0))="Negativo",
         "❌ Negativo",
         "⏳ No realizado")),
   "⏳ No realizado"
)</f>
        <v>❌ Negativo</v>
      </c>
      <c r="D460" s="255" t="str">
        <f>IFERROR(
   CHOOSE(
      MATCH(VLOOKUP(LEFT(A507,6)&amp;"*",'Identificación genética'!A:C,2,FALSE),
               {"En proceso";"Finalizado"},0),
      "🔬 En proceso",
      "🎯 Finalizado"
   ),
"❌ NA")</f>
        <v>🎯 Finalizado</v>
      </c>
      <c r="E460" t="s">
        <v>85</v>
      </c>
      <c r="F460" s="15">
        <v>45768</v>
      </c>
      <c r="G460" t="str">
        <f>_xlfn.XLOOKUP(A460, Extraídas!A:A, Extraídas!G:G, "")</f>
        <v>Chlorodendrophyceae</v>
      </c>
    </row>
    <row r="461" spans="1:7" x14ac:dyDescent="0.3">
      <c r="A461" s="640" t="s">
        <v>608</v>
      </c>
      <c r="B461" s="255" t="str">
        <f>IFERROR(
   IF(INDEX(Extraídas!B:B,MATCH(LEFT($A461,6)&amp;"*",Extraídas!A:A,0))="Extraídas",
      "✅ En proceso",
      IF(INDEX(Extraídas!B:B,MATCH(LEFT($A461,6)&amp;"*",Extraídas!A:A,0))="Recibidas",
         "⏳ Pendiente","❌ No ingresada")),
   "❌ No ingresada"
)</f>
        <v>✅ En proceso</v>
      </c>
      <c r="C461" s="255" t="str">
        <f t="array" ref="C461">IFERROR(
   IF(INDEX([1]PCRs!B:B,MATCH(LEFT($A461,6)&amp;"*",[1]PCRs!A:A,0))="Positivo",
      "✅ Positivo",
      IF(INDEX([1]PCRs!B:B,MATCH(LEFT($A461,6)&amp;"*",[1]PCRs!A:A,0))="Negativo",
         "❌ Negativo",
         "⏳ No realizado")),
   "⏳ No realizado"
)</f>
        <v>❌ Negativo</v>
      </c>
      <c r="D461" s="255" t="str">
        <f>IFERROR(
   CHOOSE(
      MATCH(VLOOKUP(LEFT(A508,6)&amp;"*",'Identificación genética'!A:C,2,FALSE),
               {"En proceso";"Finalizado"},0),
      "🔬 En proceso",
      "🎯 Finalizado"
   ),
"❌ NA")</f>
        <v>🎯 Finalizado</v>
      </c>
      <c r="E461" t="s">
        <v>85</v>
      </c>
      <c r="F461" s="15">
        <v>45768</v>
      </c>
      <c r="G461" t="str">
        <f>_xlfn.XLOOKUP(A461, Extraídas!A:A, Extraídas!G:G, "")</f>
        <v>Chlorophyceae</v>
      </c>
    </row>
    <row r="462" spans="1:7" x14ac:dyDescent="0.3">
      <c r="A462" s="640" t="s">
        <v>609</v>
      </c>
      <c r="B462" s="255" t="str">
        <f>IFERROR(
   IF(INDEX(Extraídas!B:B,MATCH(LEFT($A462,6)&amp;"*",Extraídas!A:A,0))="Extraídas",
      "✅ En proceso",
      IF(INDEX(Extraídas!B:B,MATCH(LEFT($A462,6)&amp;"*",Extraídas!A:A,0))="Recibidas",
         "⏳ Pendiente","❌ No ingresada")),
   "❌ No ingresada"
)</f>
        <v>✅ En proceso</v>
      </c>
      <c r="C462" s="255" t="str">
        <f t="array" ref="C462">IFERROR(
   IF(INDEX([1]PCRs!B:B,MATCH(LEFT($A462,6)&amp;"*",[1]PCRs!A:A,0))="Positivo",
      "✅ Positivo",
      IF(INDEX([1]PCRs!B:B,MATCH(LEFT($A462,6)&amp;"*",[1]PCRs!A:A,0))="Negativo",
         "❌ Negativo",
         "⏳ No realizado")),
   "⏳ No realizado"
)</f>
        <v>❌ Negativo</v>
      </c>
      <c r="D462" s="255" t="str">
        <f>IFERROR(
   CHOOSE(
      MATCH(VLOOKUP(LEFT(A509,6)&amp;"*",'Identificación genética'!A:C,2,FALSE),
               {"En proceso";"Finalizado"},0),
      "🔬 En proceso",
      "🎯 Finalizado"
   ),
"❌ NA")</f>
        <v>🎯 Finalizado</v>
      </c>
      <c r="E462" t="s">
        <v>85</v>
      </c>
      <c r="F462" s="15">
        <v>45768</v>
      </c>
      <c r="G462" t="str">
        <f>_xlfn.XLOOKUP(A462, Extraídas!A:A, Extraídas!G:G, "")</f>
        <v>Chlorophyceae</v>
      </c>
    </row>
    <row r="463" spans="1:7" ht="15" thickBot="1" x14ac:dyDescent="0.35">
      <c r="A463" s="640" t="s">
        <v>610</v>
      </c>
      <c r="B463" s="255" t="str">
        <f>IFERROR(
   IF(INDEX(Extraídas!B:B,MATCH(LEFT($A463,6)&amp;"*",Extraídas!A:A,0))="Extraídas",
      "✅ En proceso",
      IF(INDEX(Extraídas!B:B,MATCH(LEFT($A463,6)&amp;"*",Extraídas!A:A,0))="Recibidas",
         "⏳ Pendiente","❌ No ingresada")),
   "❌ No ingresada"
)</f>
        <v>✅ En proceso</v>
      </c>
      <c r="C463" s="255" t="str">
        <f t="array" ref="C463">IFERROR(
   IF(INDEX([1]PCRs!B:B,MATCH(LEFT($A463,6)&amp;"*",[1]PCRs!A:A,0))="Positivo",
      "✅ Positivo",
      IF(INDEX([1]PCRs!B:B,MATCH(LEFT($A463,6)&amp;"*",[1]PCRs!A:A,0))="Negativo",
         "❌ Negativo",
         "⏳ No realizado")),
   "⏳ No realizado"
)</f>
        <v>❌ Negativo</v>
      </c>
      <c r="D463" s="255" t="str">
        <f>IFERROR(
   CHOOSE(
      MATCH(VLOOKUP(LEFT(A510,6)&amp;"*",'Identificación genética'!A:C,2,FALSE),
               {"En proceso";"Finalizado"},0),
      "🔬 En proceso",
      "🎯 Finalizado"
   ),
"❌ NA")</f>
        <v>🎯 Finalizado</v>
      </c>
      <c r="E463" t="s">
        <v>85</v>
      </c>
      <c r="F463" s="15">
        <v>45768</v>
      </c>
      <c r="G463" t="str">
        <f>_xlfn.XLOOKUP(A463, Extraídas!A:A, Extraídas!G:G, "")</f>
        <v>Chlorophyceae</v>
      </c>
    </row>
    <row r="464" spans="1:7" ht="15" thickBot="1" x14ac:dyDescent="0.35">
      <c r="A464" s="410" t="s">
        <v>2175</v>
      </c>
      <c r="B464" s="255" t="str">
        <f>IFERROR(
   IF(INDEX(Extraídas!B:B,MATCH(LEFT($A464,6)&amp;"*",Extraídas!A:A,0))="Extraídas",
      "✅ En proceso",
      IF(INDEX(Extraídas!B:B,MATCH(LEFT($A464,6)&amp;"*",Extraídas!A:A,0))="Recibidas",
         "⏳ Pendiente","❌ No ingresada")),
   "❌ No ingresada"
)</f>
        <v>✅ En proceso</v>
      </c>
      <c r="C464" s="255" t="str">
        <f t="array" ref="C464">IFERROR(
   IF(INDEX([1]PCRs!B:B,MATCH(LEFT($A464,6)&amp;"*",[1]PCRs!A:A,0))="Positivo",
      "✅ Positivo",
      IF(INDEX([1]PCRs!B:B,MATCH(LEFT($A464,6)&amp;"*",[1]PCRs!A:A,0))="Negativo",
         "❌ Negativo",
         "⏳ No realizado")),
   "⏳ No realizado"
)</f>
        <v>❌ Negativo</v>
      </c>
      <c r="D464" s="255" t="str">
        <f>IFERROR(
   CHOOSE(
      MATCH(VLOOKUP(LEFT(A511,6)&amp;"*",'Identificación genética'!A:C,2,FALSE),
               {"En proceso";"Finalizado"},0),
      "🔬 En proceso",
      "🎯 Finalizado"
   ),
"❌ NA")</f>
        <v>🎯 Finalizado</v>
      </c>
      <c r="E464" t="s">
        <v>85</v>
      </c>
      <c r="F464" s="584"/>
      <c r="G464" t="str">
        <f>_xlfn.XLOOKUP(A464, Extraídas!A:A, Extraídas!G:G, "")</f>
        <v/>
      </c>
    </row>
    <row r="465" spans="1:7" ht="15" thickBot="1" x14ac:dyDescent="0.35">
      <c r="A465" s="639" t="s">
        <v>614</v>
      </c>
      <c r="B465" s="255" t="str">
        <f>IFERROR(
   IF(INDEX(Extraídas!B:B,MATCH(LEFT($A465,6)&amp;"*",Extraídas!A:A,0))="Extraídas",
      "✅ En proceso",
      IF(INDEX(Extraídas!B:B,MATCH(LEFT($A465,6)&amp;"*",Extraídas!A:A,0))="Recibidas",
         "⏳ Pendiente","❌ No ingresada")),
   "❌ No ingresada"
)</f>
        <v>✅ En proceso</v>
      </c>
      <c r="C465" s="255" t="str">
        <f t="array" ref="C465">IFERROR(
   IF(INDEX([1]PCRs!B:B,MATCH(LEFT($A465,6)&amp;"*",[1]PCRs!A:A,0))="Positivo",
      "✅ Positivo",
      IF(INDEX([1]PCRs!B:B,MATCH(LEFT($A465,6)&amp;"*",[1]PCRs!A:A,0))="Negativo",
         "❌ Negativo",
         "⏳ No realizado")),
   "⏳ No realizado"
)</f>
        <v>❌ Negativo</v>
      </c>
      <c r="D465" s="255" t="str">
        <f>IFERROR(
   CHOOSE(
      MATCH(VLOOKUP(LEFT(A512,6)&amp;"*",'Identificación genética'!A:C,2,FALSE),
               {"En proceso";"Finalizado"},0),
      "🔬 En proceso",
      "🎯 Finalizado"
   ),
"❌ NA")</f>
        <v>🎯 Finalizado</v>
      </c>
      <c r="E465" t="s">
        <v>85</v>
      </c>
      <c r="F465" s="596">
        <v>45763</v>
      </c>
      <c r="G465" t="str">
        <f>_xlfn.XLOOKUP(A465, Extraídas!A:A, Extraídas!G:G, "")</f>
        <v>Cianobacterias</v>
      </c>
    </row>
    <row r="466" spans="1:7" ht="15" thickBot="1" x14ac:dyDescent="0.35">
      <c r="A466" s="638" t="s">
        <v>611</v>
      </c>
      <c r="B466" s="255" t="str">
        <f>IFERROR(
   IF(INDEX(Extraídas!B:B,MATCH(LEFT($A466,6)&amp;"*",Extraídas!A:A,0))="Extraídas",
      "✅ En proceso",
      IF(INDEX(Extraídas!B:B,MATCH(LEFT($A466,6)&amp;"*",Extraídas!A:A,0))="Recibidas",
         "⏳ Pendiente","❌ No ingresada")),
   "❌ No ingresada"
)</f>
        <v>✅ En proceso</v>
      </c>
      <c r="C466" s="255" t="str">
        <f t="array" ref="C466">IFERROR(
   IF(INDEX([1]PCRs!B:B,MATCH(LEFT($A466,6)&amp;"*",[1]PCRs!A:A,0))="Positivo",
      "✅ Positivo",
      IF(INDEX([1]PCRs!B:B,MATCH(LEFT($A466,6)&amp;"*",[1]PCRs!A:A,0))="Negativo",
         "❌ Negativo",
         "⏳ No realizado")),
   "⏳ No realizado"
)</f>
        <v>❌ Negativo</v>
      </c>
      <c r="D466" s="255" t="str">
        <f>IFERROR(
   CHOOSE(
      MATCH(VLOOKUP(LEFT(A513,6)&amp;"*",'Identificación genética'!A:C,2,FALSE),
               {"En proceso";"Finalizado"},0),
      "🔬 En proceso",
      "🎯 Finalizado"
   ),
"❌ NA")</f>
        <v>🎯 Finalizado</v>
      </c>
      <c r="E466" t="s">
        <v>85</v>
      </c>
      <c r="F466" s="590">
        <v>45757</v>
      </c>
      <c r="G466" t="str">
        <f>_xlfn.XLOOKUP(A466, Extraídas!A:A, Extraídas!G:G, "")</f>
        <v>Cianobacterias</v>
      </c>
    </row>
    <row r="467" spans="1:7" ht="15" thickBot="1" x14ac:dyDescent="0.35">
      <c r="A467" s="638" t="s">
        <v>612</v>
      </c>
      <c r="B467" s="255" t="str">
        <f>IFERROR(
   IF(INDEX(Extraídas!B:B,MATCH(LEFT($A467,6)&amp;"*",Extraídas!A:A,0))="Extraídas",
      "✅ En proceso",
      IF(INDEX(Extraídas!B:B,MATCH(LEFT($A467,6)&amp;"*",Extraídas!A:A,0))="Recibidas",
         "⏳ Pendiente","❌ No ingresada")),
   "❌ No ingresada"
)</f>
        <v>✅ En proceso</v>
      </c>
      <c r="C467" s="255" t="str">
        <f t="array" ref="C467">IFERROR(
   IF(INDEX([1]PCRs!B:B,MATCH(LEFT($A467,6)&amp;"*",[1]PCRs!A:A,0))="Positivo",
      "✅ Positivo",
      IF(INDEX([1]PCRs!B:B,MATCH(LEFT($A467,6)&amp;"*",[1]PCRs!A:A,0))="Negativo",
         "❌ Negativo",
         "⏳ No realizado")),
   "⏳ No realizado"
)</f>
        <v>❌ Negativo</v>
      </c>
      <c r="D467" s="255" t="str">
        <f>IFERROR(
   CHOOSE(
      MATCH(VLOOKUP(LEFT(A514,6)&amp;"*",'Identificación genética'!A:C,2,FALSE),
               {"En proceso";"Finalizado"},0),
      "🔬 En proceso",
      "🎯 Finalizado"
   ),
"❌ NA")</f>
        <v>🎯 Finalizado</v>
      </c>
      <c r="E467" t="s">
        <v>85</v>
      </c>
      <c r="F467" s="596">
        <v>45763</v>
      </c>
      <c r="G467" t="str">
        <f>_xlfn.XLOOKUP(A467, Extraídas!A:A, Extraídas!G:G, "")</f>
        <v>Cianobacterias</v>
      </c>
    </row>
    <row r="468" spans="1:7" ht="15" thickBot="1" x14ac:dyDescent="0.35">
      <c r="A468" s="638" t="s">
        <v>613</v>
      </c>
      <c r="B468" s="255" t="str">
        <f>IFERROR(
   IF(INDEX(Extraídas!B:B,MATCH(LEFT($A468,6)&amp;"*",Extraídas!A:A,0))="Extraídas",
      "✅ En proceso",
      IF(INDEX(Extraídas!B:B,MATCH(LEFT($A468,6)&amp;"*",Extraídas!A:A,0))="Recibidas",
         "⏳ Pendiente","❌ No ingresada")),
   "❌ No ingresada"
)</f>
        <v>✅ En proceso</v>
      </c>
      <c r="C468" s="255" t="str">
        <f t="array" ref="C468">IFERROR(
   IF(INDEX([1]PCRs!B:B,MATCH(LEFT($A468,6)&amp;"*",[1]PCRs!A:A,0))="Positivo",
      "✅ Positivo",
      IF(INDEX([1]PCRs!B:B,MATCH(LEFT($A468,6)&amp;"*",[1]PCRs!A:A,0))="Negativo",
         "❌ Negativo",
         "⏳ No realizado")),
   "⏳ No realizado"
)</f>
        <v>❌ Negativo</v>
      </c>
      <c r="D468" s="255" t="str">
        <f>IFERROR(
   CHOOSE(
      MATCH(VLOOKUP(LEFT(A515,6)&amp;"*",'Identificación genética'!A:C,2,FALSE),
               {"En proceso";"Finalizado"},0),
      "🔬 En proceso",
      "🎯 Finalizado"
   ),
"❌ NA")</f>
        <v>🎯 Finalizado</v>
      </c>
      <c r="E468" t="s">
        <v>85</v>
      </c>
      <c r="F468" s="596">
        <v>45763</v>
      </c>
      <c r="G468" t="str">
        <f>_xlfn.XLOOKUP(A468, Extraídas!A:A, Extraídas!G:G, "")</f>
        <v>Cianobacterias</v>
      </c>
    </row>
    <row r="469" spans="1:7" ht="15" thickBot="1" x14ac:dyDescent="0.35">
      <c r="A469" s="410" t="s">
        <v>2176</v>
      </c>
      <c r="B469" s="255" t="str">
        <f>IFERROR(
   IF(INDEX(Extraídas!B:B,MATCH(LEFT($A469,6)&amp;"*",Extraídas!A:A,0))="Extraídas",
      "✅ En proceso",
      IF(INDEX(Extraídas!B:B,MATCH(LEFT($A469,6)&amp;"*",Extraídas!A:A,0))="Recibidas",
         "⏳ Pendiente","❌ No ingresada")),
   "❌ No ingresada"
)</f>
        <v>✅ En proceso</v>
      </c>
      <c r="C469" s="255" t="str">
        <f t="array" ref="C469">IFERROR(
   IF(INDEX([1]PCRs!B:B,MATCH(LEFT($A469,6)&amp;"*",[1]PCRs!A:A,0))="Positivo",
      "✅ Positivo",
      IF(INDEX([1]PCRs!B:B,MATCH(LEFT($A469,6)&amp;"*",[1]PCRs!A:A,0))="Negativo",
         "❌ Negativo",
         "⏳ No realizado")),
   "⏳ No realizado"
)</f>
        <v>✅ Positivo</v>
      </c>
      <c r="D469" s="255" t="str">
        <f>IFERROR(
   CHOOSE(
      MATCH(VLOOKUP(LEFT(A516,6)&amp;"*",'Identificación genética'!A:C,2,FALSE),
               {"En proceso";"Finalizado"},0),
      "🔬 En proceso",
      "🎯 Finalizado"
   ),
"❌ NA")</f>
        <v>🎯 Finalizado</v>
      </c>
      <c r="E469" t="s">
        <v>85</v>
      </c>
      <c r="F469" s="580"/>
      <c r="G469" t="str">
        <f>_xlfn.XLOOKUP(A469, Extraídas!A:A, Extraídas!G:G, "")</f>
        <v/>
      </c>
    </row>
    <row r="470" spans="1:7" ht="15" thickBot="1" x14ac:dyDescent="0.35">
      <c r="A470" s="639" t="s">
        <v>616</v>
      </c>
      <c r="B470" s="255" t="str">
        <f>IFERROR(
   IF(INDEX(Extraídas!B:B,MATCH(LEFT($A470,6)&amp;"*",Extraídas!A:A,0))="Extraídas",
      "✅ En proceso",
      IF(INDEX(Extraídas!B:B,MATCH(LEFT($A470,6)&amp;"*",Extraídas!A:A,0))="Recibidas",
         "⏳ Pendiente","❌ No ingresada")),
   "❌ No ingresada"
)</f>
        <v>✅ En proceso</v>
      </c>
      <c r="C470" s="255" t="str">
        <f t="array" ref="C470">IFERROR(
   IF(INDEX([1]PCRs!B:B,MATCH(LEFT($A470,6)&amp;"*",[1]PCRs!A:A,0))="Positivo",
      "✅ Positivo",
      IF(INDEX([1]PCRs!B:B,MATCH(LEFT($A470,6)&amp;"*",[1]PCRs!A:A,0))="Negativo",
         "❌ Negativo",
         "⏳ No realizado")),
   "⏳ No realizado"
)</f>
        <v>✅ Positivo</v>
      </c>
      <c r="D470" s="255" t="str">
        <f>IFERROR(
   CHOOSE(
      MATCH(VLOOKUP(LEFT(A517,6)&amp;"*",'Identificación genética'!A:C,2,FALSE),
               {"En proceso";"Finalizado"},0),
      "🔬 En proceso",
      "🎯 Finalizado"
   ),
"❌ NA")</f>
        <v>❌ NA</v>
      </c>
      <c r="E470" t="s">
        <v>85</v>
      </c>
      <c r="F470" s="590">
        <v>45757</v>
      </c>
      <c r="G470" t="str">
        <f>_xlfn.XLOOKUP(A470, Extraídas!A:A, Extraídas!G:G, "")</f>
        <v>Cianobacterias</v>
      </c>
    </row>
    <row r="471" spans="1:7" ht="15" thickBot="1" x14ac:dyDescent="0.35">
      <c r="A471" s="640" t="s">
        <v>617</v>
      </c>
      <c r="B471" s="255" t="str">
        <f>IFERROR(
   IF(INDEX(Extraídas!B:B,MATCH(LEFT($A471,6)&amp;"*",Extraídas!A:A,0))="Extraídas",
      "✅ En proceso",
      IF(INDEX(Extraídas!B:B,MATCH(LEFT($A471,6)&amp;"*",Extraídas!A:A,0))="Recibidas",
         "⏳ Pendiente","❌ No ingresada")),
   "❌ No ingresada"
)</f>
        <v>✅ En proceso</v>
      </c>
      <c r="C471" s="255" t="str">
        <f t="array" ref="C471">IFERROR(
   IF(INDEX([1]PCRs!B:B,MATCH(LEFT($A471,6)&amp;"*",[1]PCRs!A:A,0))="Positivo",
      "✅ Positivo",
      IF(INDEX([1]PCRs!B:B,MATCH(LEFT($A471,6)&amp;"*",[1]PCRs!A:A,0))="Negativo",
         "❌ Negativo",
         "⏳ No realizado")),
   "⏳ No realizado"
)</f>
        <v>✅ Positivo</v>
      </c>
      <c r="D471" s="255" t="str">
        <f>IFERROR(
   CHOOSE(
      MATCH(VLOOKUP(LEFT(A518,6)&amp;"*",'Identificación genética'!A:C,2,FALSE),
               {"En proceso";"Finalizado"},0),
      "🔬 En proceso",
      "🎯 Finalizado"
   ),
"❌ NA")</f>
        <v>🎯 Finalizado</v>
      </c>
      <c r="E471" t="s">
        <v>85</v>
      </c>
      <c r="F471" s="595">
        <v>45940</v>
      </c>
      <c r="G471" t="str">
        <f>_xlfn.XLOOKUP(A471, Extraídas!A:A, Extraídas!G:G, "")</f>
        <v>Microalgas</v>
      </c>
    </row>
    <row r="472" spans="1:7" ht="15" thickBot="1" x14ac:dyDescent="0.35">
      <c r="A472" s="640" t="s">
        <v>618</v>
      </c>
      <c r="B472" s="255" t="str">
        <f>IFERROR(
   IF(INDEX(Extraídas!B:B,MATCH(LEFT($A472,6)&amp;"*",Extraídas!A:A,0))="Extraídas",
      "✅ En proceso",
      IF(INDEX(Extraídas!B:B,MATCH(LEFT($A472,6)&amp;"*",Extraídas!A:A,0))="Recibidas",
         "⏳ Pendiente","❌ No ingresada")),
   "❌ No ingresada"
)</f>
        <v>✅ En proceso</v>
      </c>
      <c r="C472" s="255" t="str">
        <f t="array" ref="C472">IFERROR(
   IF(INDEX([1]PCRs!B:B,MATCH(LEFT($A472,6)&amp;"*",[1]PCRs!A:A,0))="Positivo",
      "✅ Positivo",
      IF(INDEX([1]PCRs!B:B,MATCH(LEFT($A472,6)&amp;"*",[1]PCRs!A:A,0))="Negativo",
         "❌ Negativo",
         "⏳ No realizado")),
   "⏳ No realizado"
)</f>
        <v>✅ Positivo</v>
      </c>
      <c r="D472" s="255" t="str">
        <f>IFERROR(
   CHOOSE(
      MATCH(VLOOKUP(LEFT(A519,6)&amp;"*",'Identificación genética'!A:C,2,FALSE),
               {"En proceso";"Finalizado"},0),
      "🔬 En proceso",
      "🎯 Finalizado"
   ),
"❌ NA")</f>
        <v>🎯 Finalizado</v>
      </c>
      <c r="E472" t="s">
        <v>85</v>
      </c>
      <c r="F472" s="29">
        <v>45768</v>
      </c>
      <c r="G472" t="str">
        <f>_xlfn.XLOOKUP(A472, Extraídas!A:A, Extraídas!G:G, "")</f>
        <v>Chlorophyceae</v>
      </c>
    </row>
    <row r="473" spans="1:7" ht="15" thickBot="1" x14ac:dyDescent="0.35">
      <c r="A473" s="256" t="s">
        <v>2186</v>
      </c>
      <c r="B473" s="255" t="str">
        <f>IFERROR(
   IF(INDEX(Extraídas!B:B,MATCH(LEFT($A473,6)&amp;"*",Extraídas!A:A,0))="Extraídas",
      "✅ En proceso",
      IF(INDEX(Extraídas!B:B,MATCH(LEFT($A473,6)&amp;"*",Extraídas!A:A,0))="Recibidas",
         "⏳ Pendiente","❌ No ingresada")),
   "❌ No ingresada"
)</f>
        <v>✅ En proceso</v>
      </c>
      <c r="C473" s="255" t="str">
        <f t="array" ref="C473">IFERROR(
   IF(INDEX([1]PCRs!B:B,MATCH(LEFT($A473,6)&amp;"*",[1]PCRs!A:A,0))="Positivo",
      "✅ Positivo",
      IF(INDEX([1]PCRs!B:B,MATCH(LEFT($A473,6)&amp;"*",[1]PCRs!A:A,0))="Negativo",
         "❌ Negativo",
         "⏳ No realizado")),
   "⏳ No realizado"
)</f>
        <v>✅ Positivo</v>
      </c>
      <c r="D473" s="255" t="str">
        <f>IFERROR(
   CHOOSE(
      MATCH(VLOOKUP(LEFT(A520,6)&amp;"*",'Identificación genética'!A:C,2,FALSE),
               {"En proceso";"Finalizado"},0),
      "🔬 En proceso",
      "🎯 Finalizado"
   ),
"❌ NA")</f>
        <v>🎯 Finalizado</v>
      </c>
      <c r="E473" t="s">
        <v>85</v>
      </c>
      <c r="F473" s="584"/>
      <c r="G473" t="str">
        <f>_xlfn.XLOOKUP(A473, Extraídas!A:A, Extraídas!G:G, "")</f>
        <v/>
      </c>
    </row>
    <row r="474" spans="1:7" ht="15" thickBot="1" x14ac:dyDescent="0.35">
      <c r="A474" s="640" t="s">
        <v>619</v>
      </c>
      <c r="B474" s="255" t="str">
        <f>IFERROR(
   IF(INDEX(Extraídas!B:B,MATCH(LEFT($A474,6)&amp;"*",Extraídas!A:A,0))="Extraídas",
      "✅ En proceso",
      IF(INDEX(Extraídas!B:B,MATCH(LEFT($A474,6)&amp;"*",Extraídas!A:A,0))="Recibidas",
         "⏳ Pendiente","❌ No ingresada")),
   "❌ No ingresada"
)</f>
        <v>✅ En proceso</v>
      </c>
      <c r="C474" s="255" t="str">
        <f t="array" ref="C474">IFERROR(
   IF(INDEX([1]PCRs!B:B,MATCH(LEFT($A474,6)&amp;"*",[1]PCRs!A:A,0))="Positivo",
      "✅ Positivo",
      IF(INDEX([1]PCRs!B:B,MATCH(LEFT($A474,6)&amp;"*",[1]PCRs!A:A,0))="Negativo",
         "❌ Negativo",
         "⏳ No realizado")),
   "⏳ No realizado"
)</f>
        <v>✅ Positivo</v>
      </c>
      <c r="D474" s="255" t="str">
        <f>IFERROR(
   CHOOSE(
      MATCH(VLOOKUP(LEFT(A521,6)&amp;"*",'Identificación genética'!A:C,2,FALSE),
               {"En proceso";"Finalizado"},0),
      "🔬 En proceso",
      "🎯 Finalizado"
   ),
"❌ NA")</f>
        <v>🎯 Finalizado</v>
      </c>
      <c r="E474" t="s">
        <v>85</v>
      </c>
      <c r="F474" s="573">
        <v>45768</v>
      </c>
      <c r="G474" t="str">
        <f>_xlfn.XLOOKUP(A474, Extraídas!A:A, Extraídas!G:G, "")</f>
        <v>Chlorophyceae</v>
      </c>
    </row>
    <row r="475" spans="1:7" x14ac:dyDescent="0.3">
      <c r="A475" s="631" t="s">
        <v>620</v>
      </c>
      <c r="B475" s="255" t="str">
        <f>IFERROR(
   IF(INDEX(Extraídas!B:B,MATCH(LEFT($A475,6)&amp;"*",Extraídas!A:A,0))="Extraídas",
      "✅ En proceso",
      IF(INDEX(Extraídas!B:B,MATCH(LEFT($A475,6)&amp;"*",Extraídas!A:A,0))="Recibidas",
         "⏳ Pendiente","❌ No ingresada")),
   "❌ No ingresada"
)</f>
        <v>✅ En proceso</v>
      </c>
      <c r="C475" s="255" t="str">
        <f t="array" ref="C475">IFERROR(
   IF(INDEX([1]PCRs!B:B,MATCH(LEFT($A475,6)&amp;"*",[1]PCRs!A:A,0))="Positivo",
      "✅ Positivo",
      IF(INDEX([1]PCRs!B:B,MATCH(LEFT($A475,6)&amp;"*",[1]PCRs!A:A,0))="Negativo",
         "❌ Negativo",
         "⏳ No realizado")),
   "⏳ No realizado"
)</f>
        <v>✅ Positivo</v>
      </c>
      <c r="D475" s="255" t="str">
        <f>IFERROR(
   CHOOSE(
      MATCH(VLOOKUP(LEFT(A522,6)&amp;"*",'Identificación genética'!A:C,2,FALSE),
               {"En proceso";"Finalizado"},0),
      "🔬 En proceso",
      "🎯 Finalizado"
   ),
"❌ NA")</f>
        <v>🎯 Finalizado</v>
      </c>
      <c r="E475" t="s">
        <v>85</v>
      </c>
      <c r="F475" s="124">
        <v>45940</v>
      </c>
      <c r="G475" t="str">
        <f>_xlfn.XLOOKUP(A475, Extraídas!A:A, Extraídas!G:G, "")</f>
        <v>Ulvophyceae</v>
      </c>
    </row>
    <row r="476" spans="1:7" x14ac:dyDescent="0.3">
      <c r="A476" s="640" t="s">
        <v>622</v>
      </c>
      <c r="B476" s="255" t="str">
        <f>IFERROR(
   IF(INDEX(Extraídas!B:B,MATCH(LEFT($A476,6)&amp;"*",Extraídas!A:A,0))="Extraídas",
      "✅ En proceso",
      IF(INDEX(Extraídas!B:B,MATCH(LEFT($A476,6)&amp;"*",Extraídas!A:A,0))="Recibidas",
         "⏳ Pendiente","❌ No ingresada")),
   "❌ No ingresada"
)</f>
        <v>✅ En proceso</v>
      </c>
      <c r="C476" s="255" t="str">
        <f t="array" ref="C476">IFERROR(
   IF(INDEX([1]PCRs!B:B,MATCH(LEFT($A476,6)&amp;"*",[1]PCRs!A:A,0))="Positivo",
      "✅ Positivo",
      IF(INDEX([1]PCRs!B:B,MATCH(LEFT($A476,6)&amp;"*",[1]PCRs!A:A,0))="Negativo",
         "❌ Negativo",
         "⏳ No realizado")),
   "⏳ No realizado"
)</f>
        <v>✅ Positivo</v>
      </c>
      <c r="D476" s="255" t="str">
        <f>IFERROR(
   CHOOSE(
      MATCH(VLOOKUP(LEFT(A523,6)&amp;"*",'Identificación genética'!A:C,2,FALSE),
               {"En proceso";"Finalizado"},0),
      "🔬 En proceso",
      "🎯 Finalizado"
   ),
"❌ NA")</f>
        <v>🎯 Finalizado</v>
      </c>
      <c r="E476" t="s">
        <v>85</v>
      </c>
      <c r="F476" s="15">
        <v>45768</v>
      </c>
      <c r="G476" t="str">
        <f>_xlfn.XLOOKUP(A476, Extraídas!A:A, Extraídas!G:G, "")</f>
        <v>Cianobacterias</v>
      </c>
    </row>
    <row r="477" spans="1:7" x14ac:dyDescent="0.3">
      <c r="A477" s="638" t="s">
        <v>623</v>
      </c>
      <c r="B477" s="255" t="str">
        <f>IFERROR(
   IF(INDEX(Extraídas!B:B,MATCH(LEFT($A477,6)&amp;"*",Extraídas!A:A,0))="Extraídas",
      "✅ En proceso",
      IF(INDEX(Extraídas!B:B,MATCH(LEFT($A477,6)&amp;"*",Extraídas!A:A,0))="Recibidas",
         "⏳ Pendiente","❌ No ingresada")),
   "❌ No ingresada"
)</f>
        <v>✅ En proceso</v>
      </c>
      <c r="C477" s="255" t="str">
        <f t="array" ref="C477">IFERROR(
   IF(INDEX([1]PCRs!B:B,MATCH(LEFT($A477,6)&amp;"*",[1]PCRs!A:A,0))="Positivo",
      "✅ Positivo",
      IF(INDEX([1]PCRs!B:B,MATCH(LEFT($A477,6)&amp;"*",[1]PCRs!A:A,0))="Negativo",
         "❌ Negativo",
         "⏳ No realizado")),
   "⏳ No realizado"
)</f>
        <v>✅ Positivo</v>
      </c>
      <c r="D477" s="255" t="str">
        <f>IFERROR(
   CHOOSE(
      MATCH(VLOOKUP(LEFT(A524,6)&amp;"*",'Identificación genética'!A:C,2,FALSE),
               {"En proceso";"Finalizado"},0),
      "🔬 En proceso",
      "🎯 Finalizado"
   ),
"❌ NA")</f>
        <v>🎯 Finalizado</v>
      </c>
      <c r="E477" t="s">
        <v>85</v>
      </c>
      <c r="F477" s="118">
        <v>45757</v>
      </c>
      <c r="G477" t="str">
        <f>_xlfn.XLOOKUP(A477, Extraídas!A:A, Extraídas!G:G, "")</f>
        <v>Cianobacterias</v>
      </c>
    </row>
    <row r="478" spans="1:7" x14ac:dyDescent="0.3">
      <c r="A478" s="639" t="s">
        <v>624</v>
      </c>
      <c r="B478" s="255" t="str">
        <f>IFERROR(
   IF(INDEX(Extraídas!B:B,MATCH(LEFT($A478,6)&amp;"*",Extraídas!A:A,0))="Extraídas",
      "✅ En proceso",
      IF(INDEX(Extraídas!B:B,MATCH(LEFT($A478,6)&amp;"*",Extraídas!A:A,0))="Recibidas",
         "⏳ Pendiente","❌ No ingresada")),
   "❌ No ingresada"
)</f>
        <v>✅ En proceso</v>
      </c>
      <c r="C478" s="255" t="str">
        <f t="array" ref="C478">IFERROR(
   IF(INDEX([1]PCRs!B:B,MATCH(LEFT($A478,6)&amp;"*",[1]PCRs!A:A,0))="Positivo",
      "✅ Positivo",
      IF(INDEX([1]PCRs!B:B,MATCH(LEFT($A478,6)&amp;"*",[1]PCRs!A:A,0))="Negativo",
         "❌ Negativo",
         "⏳ No realizado")),
   "⏳ No realizado"
)</f>
        <v>✅ Positivo</v>
      </c>
      <c r="D478" s="255" t="str">
        <f>IFERROR(
   CHOOSE(
      MATCH(VLOOKUP(LEFT(A525,6)&amp;"*",'Identificación genética'!A:C,2,FALSE),
               {"En proceso";"Finalizado"},0),
      "🔬 En proceso",
      "🎯 Finalizado"
   ),
"❌ NA")</f>
        <v>🎯 Finalizado</v>
      </c>
      <c r="E478" t="s">
        <v>85</v>
      </c>
      <c r="F478" s="579">
        <v>45846</v>
      </c>
      <c r="G478" t="str">
        <f>_xlfn.XLOOKUP(A478, Extraídas!A:A, Extraídas!G:G, "")</f>
        <v>Cianobacterias</v>
      </c>
    </row>
    <row r="479" spans="1:7" x14ac:dyDescent="0.3">
      <c r="A479" s="640" t="s">
        <v>625</v>
      </c>
      <c r="B479" s="255" t="str">
        <f>IFERROR(
   IF(INDEX(Extraídas!B:B,MATCH(LEFT($A479,6)&amp;"*",Extraídas!A:A,0))="Extraídas",
      "✅ En proceso",
      IF(INDEX(Extraídas!B:B,MATCH(LEFT($A479,6)&amp;"*",Extraídas!A:A,0))="Recibidas",
         "⏳ Pendiente","❌ No ingresada")),
   "❌ No ingresada"
)</f>
        <v>✅ En proceso</v>
      </c>
      <c r="C479" s="255" t="str">
        <f t="array" ref="C479">IFERROR(
   IF(INDEX([1]PCRs!B:B,MATCH(LEFT($A479,6)&amp;"*",[1]PCRs!A:A,0))="Positivo",
      "✅ Positivo",
      IF(INDEX([1]PCRs!B:B,MATCH(LEFT($A479,6)&amp;"*",[1]PCRs!A:A,0))="Negativo",
         "❌ Negativo",
         "⏳ No realizado")),
   "⏳ No realizado"
)</f>
        <v>✅ Positivo</v>
      </c>
      <c r="D479" s="255" t="str">
        <f>IFERROR(
   CHOOSE(
      MATCH(VLOOKUP(LEFT(A526,6)&amp;"*",'Identificación genética'!A:C,2,FALSE),
               {"En proceso";"Finalizado"},0),
      "🔬 En proceso",
      "🎯 Finalizado"
   ),
"❌ NA")</f>
        <v>🎯 Finalizado</v>
      </c>
      <c r="E479" t="s">
        <v>85</v>
      </c>
      <c r="F479" s="624">
        <v>45931</v>
      </c>
      <c r="G479" t="str">
        <f>_xlfn.XLOOKUP(A479, Extraídas!A:A, Extraídas!G:G, "")</f>
        <v>Microalgas</v>
      </c>
    </row>
    <row r="480" spans="1:7" x14ac:dyDescent="0.3">
      <c r="A480" s="410" t="s">
        <v>2177</v>
      </c>
      <c r="B480" s="255" t="str">
        <f>IFERROR(
   IF(INDEX(Extraídas!B:B,MATCH(LEFT($A480,6)&amp;"*",Extraídas!A:A,0))="Extraídas",
      "✅ En proceso",
      IF(INDEX(Extraídas!B:B,MATCH(LEFT($A480,6)&amp;"*",Extraídas!A:A,0))="Recibidas",
         "⏳ Pendiente","❌ No ingresada")),
   "❌ No ingresada"
)</f>
        <v>❌ No ingresada</v>
      </c>
      <c r="C480" s="255" t="str">
        <f t="array" ref="C480">IFERROR(
   IF(INDEX([1]PCRs!B:B,MATCH(LEFT($A480,6)&amp;"*",[1]PCRs!A:A,0))="Positivo",
      "✅ Positivo",
      IF(INDEX([1]PCRs!B:B,MATCH(LEFT($A480,6)&amp;"*",[1]PCRs!A:A,0))="Negativo",
         "❌ Negativo",
         "⏳ No realizado")),
   "⏳ No realizado"
)</f>
        <v>✅ Positivo</v>
      </c>
      <c r="D480" s="255" t="str">
        <f>IFERROR(
   CHOOSE(
      MATCH(VLOOKUP(LEFT(A527,6)&amp;"*",'Identificación genética'!A:C,2,FALSE),
               {"En proceso";"Finalizado"},0),
      "🔬 En proceso",
      "🎯 Finalizado"
   ),
"❌ NA")</f>
        <v>🎯 Finalizado</v>
      </c>
      <c r="E480" t="s">
        <v>85</v>
      </c>
      <c r="F480" s="574"/>
      <c r="G480" t="str">
        <f>_xlfn.XLOOKUP(A480, Extraídas!A:A, Extraídas!G:G, "")</f>
        <v/>
      </c>
    </row>
    <row r="481" spans="1:7" x14ac:dyDescent="0.3">
      <c r="A481" s="639" t="s">
        <v>626</v>
      </c>
      <c r="B481" s="255" t="str">
        <f>IFERROR(
   IF(INDEX(Extraídas!B:B,MATCH(LEFT($A481,6)&amp;"*",Extraídas!A:A,0))="Extraídas",
      "✅ En proceso",
      IF(INDEX(Extraídas!B:B,MATCH(LEFT($A481,6)&amp;"*",Extraídas!A:A,0))="Recibidas",
         "⏳ Pendiente","❌ No ingresada")),
   "❌ No ingresada"
)</f>
        <v>✅ En proceso</v>
      </c>
      <c r="C481" s="255" t="str">
        <f t="array" ref="C481">IFERROR(
   IF(INDEX([1]PCRs!B:B,MATCH(LEFT($A481,6)&amp;"*",[1]PCRs!A:A,0))="Positivo",
      "✅ Positivo",
      IF(INDEX([1]PCRs!B:B,MATCH(LEFT($A481,6)&amp;"*",[1]PCRs!A:A,0))="Negativo",
         "❌ Negativo",
         "⏳ No realizado")),
   "⏳ No realizado"
)</f>
        <v>❌ Negativo</v>
      </c>
      <c r="D481" s="255" t="str">
        <f>IFERROR(
   CHOOSE(
      MATCH(VLOOKUP(LEFT(A528,6)&amp;"*",'Identificación genética'!A:C,2,FALSE),
               {"En proceso";"Finalizado"},0),
      "🔬 En proceso",
      "🎯 Finalizado"
   ),
"❌ NA")</f>
        <v>🎯 Finalizado</v>
      </c>
      <c r="E481" t="s">
        <v>85</v>
      </c>
      <c r="F481" s="15">
        <v>45768</v>
      </c>
      <c r="G481" t="str">
        <f>_xlfn.XLOOKUP(A481, Extraídas!A:A, Extraídas!G:G, "")</f>
        <v>Chlorophyceae</v>
      </c>
    </row>
    <row r="482" spans="1:7" x14ac:dyDescent="0.3">
      <c r="A482" s="640" t="s">
        <v>627</v>
      </c>
      <c r="B482" s="255" t="str">
        <f>IFERROR(
   IF(INDEX(Extraídas!B:B,MATCH(LEFT($A482,6)&amp;"*",Extraídas!A:A,0))="Extraídas",
      "✅ En proceso",
      IF(INDEX(Extraídas!B:B,MATCH(LEFT($A482,6)&amp;"*",Extraídas!A:A,0))="Recibidas",
         "⏳ Pendiente","❌ No ingresada")),
   "❌ No ingresada"
)</f>
        <v>✅ En proceso</v>
      </c>
      <c r="C482" s="255" t="str">
        <f t="array" ref="C482">IFERROR(
   IF(INDEX([1]PCRs!B:B,MATCH(LEFT($A482,6)&amp;"*",[1]PCRs!A:A,0))="Positivo",
      "✅ Positivo",
      IF(INDEX([1]PCRs!B:B,MATCH(LEFT($A482,6)&amp;"*",[1]PCRs!A:A,0))="Negativo",
         "❌ Negativo",
         "⏳ No realizado")),
   "⏳ No realizado"
)</f>
        <v>❌ Negativo</v>
      </c>
      <c r="D482" s="255" t="str">
        <f>IFERROR(
   CHOOSE(
      MATCH(VLOOKUP(LEFT(A529,6)&amp;"*",'Identificación genética'!A:C,2,FALSE),
               {"En proceso";"Finalizado"},0),
      "🔬 En proceso",
      "🎯 Finalizado"
   ),
"❌ NA")</f>
        <v>🎯 Finalizado</v>
      </c>
      <c r="E482" t="s">
        <v>85</v>
      </c>
      <c r="F482" s="124">
        <v>45940</v>
      </c>
      <c r="G482" t="str">
        <f>_xlfn.XLOOKUP(A482, Extraídas!A:A, Extraídas!G:G, "")</f>
        <v>Microalgas</v>
      </c>
    </row>
    <row r="483" spans="1:7" x14ac:dyDescent="0.3">
      <c r="A483" s="631" t="s">
        <v>628</v>
      </c>
      <c r="B483" s="255" t="str">
        <f>IFERROR(
   IF(INDEX(Extraídas!B:B,MATCH(LEFT($A483,6)&amp;"*",Extraídas!A:A,0))="Extraídas",
      "✅ En proceso",
      IF(INDEX(Extraídas!B:B,MATCH(LEFT($A483,6)&amp;"*",Extraídas!A:A,0))="Recibidas",
         "⏳ Pendiente","❌ No ingresada")),
   "❌ No ingresada"
)</f>
        <v>✅ En proceso</v>
      </c>
      <c r="C483" s="255" t="str">
        <f t="array" ref="C483">IFERROR(
   IF(INDEX([1]PCRs!B:B,MATCH(LEFT($A483,6)&amp;"*",[1]PCRs!A:A,0))="Positivo",
      "✅ Positivo",
      IF(INDEX([1]PCRs!B:B,MATCH(LEFT($A483,6)&amp;"*",[1]PCRs!A:A,0))="Negativo",
         "❌ Negativo",
         "⏳ No realizado")),
   "⏳ No realizado"
)</f>
        <v>❌ Negativo</v>
      </c>
      <c r="D483" s="255" t="str">
        <f>IFERROR(
   CHOOSE(
      MATCH(VLOOKUP(LEFT(A530,6)&amp;"*",'Identificación genética'!A:C,2,FALSE),
               {"En proceso";"Finalizado"},0),
      "🔬 En proceso",
      "🎯 Finalizado"
   ),
"❌ NA")</f>
        <v>🎯 Finalizado</v>
      </c>
      <c r="E483" t="s">
        <v>85</v>
      </c>
      <c r="F483" s="15">
        <v>45768</v>
      </c>
      <c r="G483" t="str">
        <f>_xlfn.XLOOKUP(A483, Extraídas!A:A, Extraídas!G:G, "")</f>
        <v>Chlorophyceae</v>
      </c>
    </row>
    <row r="484" spans="1:7" x14ac:dyDescent="0.3">
      <c r="A484" s="631" t="s">
        <v>629</v>
      </c>
      <c r="B484" s="255" t="str">
        <f>IFERROR(
   IF(INDEX(Extraídas!B:B,MATCH(LEFT($A484,6)&amp;"*",Extraídas!A:A,0))="Extraídas",
      "✅ En proceso",
      IF(INDEX(Extraídas!B:B,MATCH(LEFT($A484,6)&amp;"*",Extraídas!A:A,0))="Recibidas",
         "⏳ Pendiente","❌ No ingresada")),
   "❌ No ingresada"
)</f>
        <v>✅ En proceso</v>
      </c>
      <c r="C484" s="255" t="str">
        <f t="array" ref="C484">IFERROR(
   IF(INDEX([1]PCRs!B:B,MATCH(LEFT($A484,6)&amp;"*",[1]PCRs!A:A,0))="Positivo",
      "✅ Positivo",
      IF(INDEX([1]PCRs!B:B,MATCH(LEFT($A484,6)&amp;"*",[1]PCRs!A:A,0))="Negativo",
         "❌ Negativo",
         "⏳ No realizado")),
   "⏳ No realizado"
)</f>
        <v>❌ Negativo</v>
      </c>
      <c r="D484" s="255" t="str">
        <f>IFERROR(
   CHOOSE(
      MATCH(VLOOKUP(LEFT(A531,6)&amp;"*",'Identificación genética'!A:C,2,FALSE),
               {"En proceso";"Finalizado"},0),
      "🔬 En proceso",
      "🎯 Finalizado"
   ),
"❌ NA")</f>
        <v>❌ NA</v>
      </c>
      <c r="E484" t="s">
        <v>85</v>
      </c>
      <c r="F484" s="118">
        <v>45733</v>
      </c>
      <c r="G484" t="str">
        <f>_xlfn.XLOOKUP(A484, Extraídas!A:A, Extraídas!G:G, "")</f>
        <v>Microalgas</v>
      </c>
    </row>
    <row r="485" spans="1:7" x14ac:dyDescent="0.3">
      <c r="A485" s="640" t="s">
        <v>630</v>
      </c>
      <c r="B485" s="255" t="str">
        <f>IFERROR(
   IF(INDEX(Extraídas!B:B,MATCH(LEFT($A485,6)&amp;"*",Extraídas!A:A,0))="Extraídas",
      "✅ En proceso",
      IF(INDEX(Extraídas!B:B,MATCH(LEFT($A485,6)&amp;"*",Extraídas!A:A,0))="Recibidas",
         "⏳ Pendiente","❌ No ingresada")),
   "❌ No ingresada"
)</f>
        <v>✅ En proceso</v>
      </c>
      <c r="C485" s="255" t="str">
        <f t="array" ref="C485">IFERROR(
   IF(INDEX([1]PCRs!B:B,MATCH(LEFT($A485,6)&amp;"*",[1]PCRs!A:A,0))="Positivo",
      "✅ Positivo",
      IF(INDEX([1]PCRs!B:B,MATCH(LEFT($A485,6)&amp;"*",[1]PCRs!A:A,0))="Negativo",
         "❌ Negativo",
         "⏳ No realizado")),
   "⏳ No realizado"
)</f>
        <v>❌ Negativo</v>
      </c>
      <c r="D485" s="255" t="str">
        <f>IFERROR(
   CHOOSE(
      MATCH(VLOOKUP(LEFT(A532,6)&amp;"*",'Identificación genética'!A:C,2,FALSE),
               {"En proceso";"Finalizado"},0),
      "🔬 En proceso",
      "🎯 Finalizado"
   ),
"❌ NA")</f>
        <v>❌ NA</v>
      </c>
      <c r="E485" t="s">
        <v>85</v>
      </c>
      <c r="F485" s="15">
        <v>45768</v>
      </c>
      <c r="G485" t="str">
        <f>_xlfn.XLOOKUP(A485, Extraídas!A:A, Extraídas!G:G, "")</f>
        <v>Cianobacterias</v>
      </c>
    </row>
    <row r="486" spans="1:7" x14ac:dyDescent="0.3">
      <c r="A486" s="639" t="s">
        <v>631</v>
      </c>
      <c r="B486" s="255" t="str">
        <f>IFERROR(
   IF(INDEX(Extraídas!B:B,MATCH(LEFT($A486,6)&amp;"*",Extraídas!A:A,0))="Extraídas",
      "✅ En proceso",
      IF(INDEX(Extraídas!B:B,MATCH(LEFT($A486,6)&amp;"*",Extraídas!A:A,0))="Recibidas",
         "⏳ Pendiente","❌ No ingresada")),
   "❌ No ingresada"
)</f>
        <v>✅ En proceso</v>
      </c>
      <c r="C486" s="255" t="str">
        <f t="array" ref="C486">IFERROR(
   IF(INDEX([1]PCRs!B:B,MATCH(LEFT($A486,6)&amp;"*",[1]PCRs!A:A,0))="Positivo",
      "✅ Positivo",
      IF(INDEX([1]PCRs!B:B,MATCH(LEFT($A486,6)&amp;"*",[1]PCRs!A:A,0))="Negativo",
         "❌ Negativo",
         "⏳ No realizado")),
   "⏳ No realizado"
)</f>
        <v>❌ Negativo</v>
      </c>
      <c r="D486" s="255" t="str">
        <f>IFERROR(
   CHOOSE(
      MATCH(VLOOKUP(LEFT(A533,6)&amp;"*",'Identificación genética'!A:C,2,FALSE),
               {"En proceso";"Finalizado"},0),
      "🔬 En proceso",
      "🎯 Finalizado"
   ),
"❌ NA")</f>
        <v>❌ NA</v>
      </c>
      <c r="E486" t="s">
        <v>85</v>
      </c>
      <c r="F486" s="15">
        <v>45768</v>
      </c>
      <c r="G486" t="str">
        <f>_xlfn.XLOOKUP(A486, Extraídas!A:A, Extraídas!G:G, "")</f>
        <v>Chlorophyceae</v>
      </c>
    </row>
    <row r="487" spans="1:7" x14ac:dyDescent="0.3">
      <c r="A487" s="640" t="s">
        <v>632</v>
      </c>
      <c r="B487" s="255" t="str">
        <f>IFERROR(
   IF(INDEX(Extraídas!B:B,MATCH(LEFT($A487,6)&amp;"*",Extraídas!A:A,0))="Extraídas",
      "✅ En proceso",
      IF(INDEX(Extraídas!B:B,MATCH(LEFT($A487,6)&amp;"*",Extraídas!A:A,0))="Recibidas",
         "⏳ Pendiente","❌ No ingresada")),
   "❌ No ingresada"
)</f>
        <v>✅ En proceso</v>
      </c>
      <c r="C487" s="255" t="str">
        <f t="array" ref="C487">IFERROR(
   IF(INDEX([1]PCRs!B:B,MATCH(LEFT($A487,6)&amp;"*",[1]PCRs!A:A,0))="Positivo",
      "✅ Positivo",
      IF(INDEX([1]PCRs!B:B,MATCH(LEFT($A487,6)&amp;"*",[1]PCRs!A:A,0))="Negativo",
         "❌ Negativo",
         "⏳ No realizado")),
   "⏳ No realizado"
)</f>
        <v>❌ Negativo</v>
      </c>
      <c r="D487" s="255" t="str">
        <f>IFERROR(
   CHOOSE(
      MATCH(VLOOKUP(LEFT(A534,6)&amp;"*",'Identificación genética'!A:C,2,FALSE),
               {"En proceso";"Finalizado"},0),
      "🔬 En proceso",
      "🎯 Finalizado"
   ),
"❌ NA")</f>
        <v>❌ NA</v>
      </c>
      <c r="E487" t="s">
        <v>85</v>
      </c>
      <c r="F487" s="15">
        <v>45768</v>
      </c>
      <c r="G487" t="str">
        <f>_xlfn.XLOOKUP(A487, Extraídas!A:A, Extraídas!G:G, "")</f>
        <v>Microalgas</v>
      </c>
    </row>
    <row r="488" spans="1:7" x14ac:dyDescent="0.3">
      <c r="A488" s="554" t="s">
        <v>1123</v>
      </c>
      <c r="B488" s="255" t="str">
        <f>IFERROR(
   IF(INDEX(Extraídas!B:B,MATCH(LEFT($A488,6)&amp;"*",Extraídas!A:A,0))="Extraídas",
      "✅ En proceso",
      IF(INDEX(Extraídas!B:B,MATCH(LEFT($A488,6)&amp;"*",Extraídas!A:A,0))="Recibidas",
         "⏳ Pendiente","❌ No ingresada")),
   "❌ No ingresada"
)</f>
        <v>✅ En proceso</v>
      </c>
      <c r="C488" s="255" t="str">
        <f t="array" ref="C488">IFERROR(
   IF(INDEX([1]PCRs!B:B,MATCH(LEFT($A488,6)&amp;"*",[1]PCRs!A:A,0))="Positivo",
      "✅ Positivo",
      IF(INDEX([1]PCRs!B:B,MATCH(LEFT($A488,6)&amp;"*",[1]PCRs!A:A,0))="Negativo",
         "❌ Negativo",
         "⏳ No realizado")),
   "⏳ No realizado"
)</f>
        <v>❌ Negativo</v>
      </c>
      <c r="D488" s="255" t="str">
        <f>IFERROR(
   CHOOSE(
      MATCH(VLOOKUP(LEFT(A535,6)&amp;"*",'Identificación genética'!A:C,2,FALSE),
               {"En proceso";"Finalizado"},0),
      "🔬 En proceso",
      "🎯 Finalizado"
   ),
"❌ NA")</f>
        <v>🎯 Finalizado</v>
      </c>
      <c r="E488" t="s">
        <v>85</v>
      </c>
      <c r="F488" s="574"/>
      <c r="G488" t="str">
        <f>_xlfn.XLOOKUP(A488, Extraídas!A:A, Extraídas!G:G, "")</f>
        <v/>
      </c>
    </row>
    <row r="489" spans="1:7" ht="15" thickBot="1" x14ac:dyDescent="0.35">
      <c r="A489" s="554" t="s">
        <v>1126</v>
      </c>
      <c r="B489" s="255" t="str">
        <f>IFERROR(
   IF(INDEX(Extraídas!B:B,MATCH(LEFT($A489,6)&amp;"*",Extraídas!A:A,0))="Extraídas",
      "✅ En proceso",
      IF(INDEX(Extraídas!B:B,MATCH(LEFT($A489,6)&amp;"*",Extraídas!A:A,0))="Recibidas",
         "⏳ Pendiente","❌ No ingresada")),
   "❌ No ingresada"
)</f>
        <v>✅ En proceso</v>
      </c>
      <c r="C489" s="255" t="str">
        <f t="array" ref="C489">IFERROR(
   IF(INDEX([1]PCRs!B:B,MATCH(LEFT($A489,6)&amp;"*",[1]PCRs!A:A,0))="Positivo",
      "✅ Positivo",
      IF(INDEX([1]PCRs!B:B,MATCH(LEFT($A489,6)&amp;"*",[1]PCRs!A:A,0))="Negativo",
         "❌ Negativo",
         "⏳ No realizado")),
   "⏳ No realizado"
)</f>
        <v>❌ Negativo</v>
      </c>
      <c r="D489" s="255" t="str">
        <f>IFERROR(
   CHOOSE(
      MATCH(VLOOKUP(LEFT(A536,6)&amp;"*",'Identificación genética'!A:C,2,FALSE),
               {"En proceso";"Finalizado"},0),
      "🔬 En proceso",
      "🎯 Finalizado"
   ),
"❌ NA")</f>
        <v>🎯 Finalizado</v>
      </c>
      <c r="E489" t="s">
        <v>85</v>
      </c>
      <c r="F489" s="574"/>
      <c r="G489" t="str">
        <f>_xlfn.XLOOKUP(A489, Extraídas!A:A, Extraídas!G:G, "")</f>
        <v/>
      </c>
    </row>
    <row r="490" spans="1:7" ht="15" thickBot="1" x14ac:dyDescent="0.35">
      <c r="A490" s="640" t="s">
        <v>633</v>
      </c>
      <c r="B490" s="255" t="str">
        <f>IFERROR(
   IF(INDEX(Extraídas!B:B,MATCH(LEFT($A490,6)&amp;"*",Extraídas!A:A,0))="Extraídas",
      "✅ En proceso",
      IF(INDEX(Extraídas!B:B,MATCH(LEFT($A490,6)&amp;"*",Extraídas!A:A,0))="Recibidas",
         "⏳ Pendiente","❌ No ingresada")),
   "❌ No ingresada"
)</f>
        <v>✅ En proceso</v>
      </c>
      <c r="C490" s="255" t="str">
        <f t="array" ref="C490">IFERROR(
   IF(INDEX([1]PCRs!B:B,MATCH(LEFT($A490,6)&amp;"*",[1]PCRs!A:A,0))="Positivo",
      "✅ Positivo",
      IF(INDEX([1]PCRs!B:B,MATCH(LEFT($A490,6)&amp;"*",[1]PCRs!A:A,0))="Negativo",
         "❌ Negativo",
         "⏳ No realizado")),
   "⏳ No realizado"
)</f>
        <v>❌ Negativo</v>
      </c>
      <c r="D490" s="255" t="str">
        <f>IFERROR(
   CHOOSE(
      MATCH(VLOOKUP(LEFT(A537,6)&amp;"*",'Identificación genética'!A:C,2,FALSE),
               {"En proceso";"Finalizado"},0),
      "🔬 En proceso",
      "🎯 Finalizado"
   ),
"❌ NA")</f>
        <v>🎯 Finalizado</v>
      </c>
      <c r="E490" t="s">
        <v>85</v>
      </c>
      <c r="F490" s="625">
        <v>45938</v>
      </c>
      <c r="G490" t="str">
        <f>_xlfn.XLOOKUP(A490, Extraídas!A:A, Extraídas!G:G, "")</f>
        <v>Chlorophyceae</v>
      </c>
    </row>
    <row r="491" spans="1:7" ht="15" thickBot="1" x14ac:dyDescent="0.35">
      <c r="A491" s="640" t="s">
        <v>634</v>
      </c>
      <c r="B491" s="255" t="str">
        <f t="array" ref="B491">IFERROR(
   IF(INDEX([1]Extraídas!B:B,MATCH(LEFT($A491,6)&amp;"*",[1]Extraídas!A:A,0))="Extraídas",
      "✅ En proceso",
      IF(INDEX([1]Extraídas!B:B,MATCH(LEFT($A491,6)&amp;"*",[1]Extraídas!A:A,0))="Recibidas",
         "⏳ Pendiente","❌ No ingresada")),
   "❌ No ingresada"
)</f>
        <v>✅ En proceso</v>
      </c>
      <c r="C491" s="255" t="str">
        <f t="array" ref="C491">IFERROR(
   IF(INDEX([1]PCRs!B:B,MATCH(LEFT($A491,6)&amp;"*",[1]PCRs!A:A,0))="Positivo",
      "✅ Positivo",
      IF(INDEX([1]PCRs!B:B,MATCH(LEFT($A491,6)&amp;"*",[1]PCRs!A:A,0))="Negativo",
         "❌ Negativo",
         "⏳ No realizado")),
   "⏳ No realizado"
)</f>
        <v>⏳ No realizado</v>
      </c>
      <c r="D491" s="255" t="str">
        <f>IFERROR(
   CHOOSE(
      MATCH(VLOOKUP(LEFT(A538,6)&amp;"*",'Identificación genética'!A:C,2,FALSE),
               {"En proceso";"Finalizado"},0),
      "🔬 En proceso",
      "🎯 Finalizado"
   ),
"❌ NA")</f>
        <v>🎯 Finalizado</v>
      </c>
      <c r="E491" t="s">
        <v>85</v>
      </c>
      <c r="F491" s="620">
        <v>45768</v>
      </c>
      <c r="G491" t="str">
        <f>_xlfn.XLOOKUP(A491, Extraídas!A:A, Extraídas!G:G, "")</f>
        <v>Chlorophyceae</v>
      </c>
    </row>
    <row r="492" spans="1:7" x14ac:dyDescent="0.3">
      <c r="A492" s="640" t="s">
        <v>635</v>
      </c>
      <c r="B492" s="255" t="str">
        <f t="array" ref="B492">IFERROR(
   IF(INDEX([1]Extraídas!B:B,MATCH(LEFT($A492,6)&amp;"*",[1]Extraídas!A:A,0))="Extraídas",
      "✅ En proceso",
      IF(INDEX([1]Extraídas!B:B,MATCH(LEFT($A492,6)&amp;"*",[1]Extraídas!A:A,0))="Recibidas",
         "⏳ Pendiente","❌ No ingresada")),
   "❌ No ingresada"
)</f>
        <v>✅ En proceso</v>
      </c>
      <c r="C492" s="255" t="str">
        <f t="array" ref="C492">IFERROR(
   IF(INDEX([1]PCRs!B:B,MATCH(LEFT($A492,6)&amp;"*",[1]PCRs!A:A,0))="Positivo",
      "✅ Positivo",
      IF(INDEX([1]PCRs!B:B,MATCH(LEFT($A492,6)&amp;"*",[1]PCRs!A:A,0))="Negativo",
         "❌ Negativo",
         "⏳ No realizado")),
   "⏳ No realizado"
)</f>
        <v>⏳ No realizado</v>
      </c>
      <c r="D492" s="255" t="str">
        <f>IFERROR(
   CHOOSE(
      MATCH(VLOOKUP(LEFT(A539,6)&amp;"*",'Identificación genética'!A:C,2,FALSE),
               {"En proceso";"Finalizado"},0),
      "🔬 En proceso",
      "🎯 Finalizado"
   ),
"❌ NA")</f>
        <v>🎯 Finalizado</v>
      </c>
      <c r="E492" t="s">
        <v>85</v>
      </c>
      <c r="F492" s="15">
        <v>45768</v>
      </c>
      <c r="G492" t="str">
        <f>_xlfn.XLOOKUP(A492, Extraídas!A:A, Extraídas!G:G, "")</f>
        <v>Chlorophyceae</v>
      </c>
    </row>
    <row r="493" spans="1:7" x14ac:dyDescent="0.3">
      <c r="A493" s="640" t="s">
        <v>636</v>
      </c>
      <c r="B493" s="255" t="str">
        <f t="array" ref="B493">IFERROR(
   IF(INDEX([1]Extraídas!B:B,MATCH(LEFT($A493,6)&amp;"*",[1]Extraídas!A:A,0))="Extraídas",
      "✅ En proceso",
      IF(INDEX([1]Extraídas!B:B,MATCH(LEFT($A493,6)&amp;"*",[1]Extraídas!A:A,0))="Recibidas",
         "⏳ Pendiente","❌ No ingresada")),
   "❌ No ingresada"
)</f>
        <v>✅ En proceso</v>
      </c>
      <c r="C493" s="255" t="str">
        <f t="array" ref="C493">IFERROR(
   IF(INDEX([1]PCRs!B:B,MATCH(LEFT($A493,6)&amp;"*",[1]PCRs!A:A,0))="Positivo",
      "✅ Positivo",
      IF(INDEX([1]PCRs!B:B,MATCH(LEFT($A493,6)&amp;"*",[1]PCRs!A:A,0))="Negativo",
         "❌ Negativo",
         "⏳ No realizado")),
   "⏳ No realizado"
)</f>
        <v>❌ Negativo</v>
      </c>
      <c r="D493" s="255" t="str">
        <f>IFERROR(
   CHOOSE(
      MATCH(VLOOKUP(LEFT(A540,6)&amp;"*",'Identificación genética'!A:C,2,FALSE),
               {"En proceso";"Finalizado"},0),
      "🔬 En proceso",
      "🎯 Finalizado"
   ),
"❌ NA")</f>
        <v>🎯 Finalizado</v>
      </c>
      <c r="E493" s="255" t="s">
        <v>1059</v>
      </c>
      <c r="F493" s="15">
        <v>45768</v>
      </c>
      <c r="G493" t="str">
        <f>_xlfn.XLOOKUP(A493, Extraídas!A:A, Extraídas!G:G, "")</f>
        <v>Microalgas</v>
      </c>
    </row>
    <row r="494" spans="1:7" x14ac:dyDescent="0.3">
      <c r="A494" s="614" t="s">
        <v>2247</v>
      </c>
      <c r="B494" t="str">
        <f t="array" ref="B494">IFERROR(
   IF(INDEX([1]Extraídas!B:B,MATCH(LEFT($A494,6)&amp;"*",[1]Extraídas!A:A,0))="Extraídas",
      "✅ En proceso",
      IF(INDEX([1]Extraídas!B:B,MATCH(LEFT($A494,6)&amp;"*",[1]Extraídas!A:A,0))="Recibidas",
         "⏳ Pendiente","❌ No ingresada")),
   "❌ No ingresada"
)</f>
        <v>✅ En proceso</v>
      </c>
      <c r="C494" s="255" t="str">
        <f t="array" ref="C494">IFERROR(
   IF(INDEX([1]PCRs!B:B,MATCH(LEFT($A494,6)&amp;"*",[1]PCRs!A:A,0))="Positivo",
      "✅ Positivo",
      IF(INDEX([1]PCRs!B:B,MATCH(LEFT($A494,6)&amp;"*",[1]PCRs!A:A,0))="Negativo",
         "❌ Negativo",
         "⏳ No realizado")),
   "⏳ No realizado"
)</f>
        <v>❌ Negativo</v>
      </c>
      <c r="D494" s="255" t="str">
        <f>IFERROR(
   CHOOSE(
      MATCH(VLOOKUP(LEFT(A541,6)&amp;"*",'Identificación genética'!A:C,2,FALSE),
               {"En proceso";"Finalizado"},0),
      "🔬 En proceso",
      "🎯 Finalizado"
   ),
"❌ NA")</f>
        <v>🎯 Finalizado</v>
      </c>
      <c r="E494" t="s">
        <v>85</v>
      </c>
      <c r="F494" s="574"/>
      <c r="G494" t="str">
        <f>_xlfn.XLOOKUP(A494, Extraídas!A:A, Extraídas!G:G, "")</f>
        <v/>
      </c>
    </row>
    <row r="495" spans="1:7" x14ac:dyDescent="0.3">
      <c r="A495" s="640" t="s">
        <v>637</v>
      </c>
      <c r="B495" s="255" t="str">
        <f t="array" ref="B495">IFERROR(
   IF(INDEX([1]Extraídas!B:B,MATCH(LEFT($A495,6)&amp;"*",[1]Extraídas!A:A,0))="Extraídas",
      "✅ En proceso",
      IF(INDEX([1]Extraídas!B:B,MATCH(LEFT($A495,6)&amp;"*",[1]Extraídas!A:A,0))="Recibidas",
         "⏳ Pendiente","❌ No ingresada")),
   "❌ No ingresada"
)</f>
        <v>✅ En proceso</v>
      </c>
      <c r="C495" s="255" t="str">
        <f t="array" ref="C495">IFERROR(
   IF(INDEX([1]PCRs!B:B,MATCH(LEFT($A495,6)&amp;"*",[1]PCRs!A:A,0))="Positivo",
      "✅ Positivo",
      IF(INDEX([1]PCRs!B:B,MATCH(LEFT($A495,6)&amp;"*",[1]PCRs!A:A,0))="Negativo",
         "❌ Negativo",
         "⏳ No realizado")),
   "⏳ No realizado"
)</f>
        <v>❌ Negativo</v>
      </c>
      <c r="D495" s="255" t="str">
        <f>IFERROR(
   CHOOSE(
      MATCH(VLOOKUP(LEFT(A542,6)&amp;"*",'Identificación genética'!A:C,2,FALSE),
               {"En proceso";"Finalizado"},0),
      "🔬 En proceso",
      "🎯 Finalizado"
   ),
"❌ NA")</f>
        <v>🎯 Finalizado</v>
      </c>
      <c r="E495" s="255" t="s">
        <v>1059</v>
      </c>
      <c r="F495" s="29">
        <v>45768</v>
      </c>
      <c r="G495" t="str">
        <f>_xlfn.XLOOKUP(A495, Extraídas!A:A, Extraídas!G:G, "")</f>
        <v>Chlorophyceae</v>
      </c>
    </row>
    <row r="496" spans="1:7" x14ac:dyDescent="0.3">
      <c r="A496" s="640" t="s">
        <v>638</v>
      </c>
      <c r="B496" s="255" t="str">
        <f t="array" ref="B496">IFERROR(
   IF(INDEX([1]Extraídas!B:B,MATCH(LEFT($A496,6)&amp;"*",[1]Extraídas!A:A,0))="Extraídas",
      "✅ En proceso",
      IF(INDEX([1]Extraídas!B:B,MATCH(LEFT($A496,6)&amp;"*",[1]Extraídas!A:A,0))="Recibidas",
         "⏳ Pendiente","❌ No ingresada")),
   "❌ No ingresada"
)</f>
        <v>✅ En proceso</v>
      </c>
      <c r="C496" s="255" t="str">
        <f t="array" ref="C496">IFERROR(
   IF(INDEX([1]PCRs!B:B,MATCH(LEFT($A496,6)&amp;"*",[1]PCRs!A:A,0))="Positivo",
      "✅ Positivo",
      IF(INDEX([1]PCRs!B:B,MATCH(LEFT($A496,6)&amp;"*",[1]PCRs!A:A,0))="Negativo",
         "❌ Negativo",
         "⏳ No realizado")),
   "⏳ No realizado"
)</f>
        <v>❌ Negativo</v>
      </c>
      <c r="D496" s="255" t="str">
        <f>IFERROR(
   CHOOSE(
      MATCH(VLOOKUP(LEFT(A543,6)&amp;"*",'Identificación genética'!A:C,2,FALSE),
               {"En proceso";"Finalizado"},0),
      "🔬 En proceso",
      "🎯 Finalizado"
   ),
"❌ NA")</f>
        <v>🎯 Finalizado</v>
      </c>
      <c r="E496" s="255" t="s">
        <v>1059</v>
      </c>
      <c r="F496" s="15">
        <v>45768</v>
      </c>
      <c r="G496" t="str">
        <f>_xlfn.XLOOKUP(A496, Extraídas!A:A, Extraídas!G:G, "")</f>
        <v>Zygnematophyceae</v>
      </c>
    </row>
    <row r="497" spans="1:7" x14ac:dyDescent="0.3">
      <c r="A497" s="410" t="s">
        <v>1981</v>
      </c>
      <c r="B497" s="255" t="str">
        <f>IFERROR(
   IF(INDEX(Extraídas!B:B,MATCH(LEFT($A497,6)&amp;"*",Extraídas!A:A,0))="Extraídas",
      "✅ En proceso",
      IF(INDEX(Extraídas!B:B,MATCH(LEFT($A497,6)&amp;"*",Extraídas!A:A,0))="Recibidas",
         "⏳ Pendiente","❌ No ingresada")),
   "❌ No ingresada"
)</f>
        <v>✅ En proceso</v>
      </c>
      <c r="C497" s="255" t="str">
        <f t="array" ref="C497">IFERROR(
   IF(INDEX([1]PCRs!B:B,MATCH(LEFT($A497,6)&amp;"*",[1]PCRs!A:A,0))="Positivo",
      "✅ Positivo",
      IF(INDEX([1]PCRs!B:B,MATCH(LEFT($A497,6)&amp;"*",[1]PCRs!A:A,0))="Negativo",
         "❌ Negativo",
         "⏳ No realizado")),
   "⏳ No realizado"
)</f>
        <v>✅ Positivo</v>
      </c>
      <c r="D497" s="255" t="str">
        <f>IFERROR(
   CHOOSE(
      MATCH(VLOOKUP(LEFT(A544,6)&amp;"*",'Identificación genética'!A:C,2,FALSE),
               {"En proceso";"Finalizado"},0),
      "🔬 En proceso",
      "🎯 Finalizado"
   ),
"❌ NA")</f>
        <v>🎯 Finalizado</v>
      </c>
      <c r="E497" t="s">
        <v>85</v>
      </c>
      <c r="F497" s="574"/>
      <c r="G497" t="str">
        <f>_xlfn.XLOOKUP(A497, Extraídas!A:A, Extraídas!G:G, "")</f>
        <v/>
      </c>
    </row>
    <row r="498" spans="1:7" x14ac:dyDescent="0.3">
      <c r="A498" s="639" t="s">
        <v>639</v>
      </c>
      <c r="B498" s="255" t="str">
        <f>IFERROR(
   IF(INDEX(Extraídas!B:B,MATCH(LEFT($A498,6)&amp;"*",Extraídas!A:A,0))="Extraídas",
      "✅ En proceso",
      IF(INDEX(Extraídas!B:B,MATCH(LEFT($A498,6)&amp;"*",Extraídas!A:A,0))="Recibidas",
         "⏳ Pendiente","❌ No ingresada")),
   "❌ No ingresada"
)</f>
        <v>✅ En proceso</v>
      </c>
      <c r="C498" s="255" t="str">
        <f t="array" ref="C498">IFERROR(
   IF(INDEX([1]PCRs!B:B,MATCH(LEFT($A498,6)&amp;"*",[1]PCRs!A:A,0))="Positivo",
      "✅ Positivo",
      IF(INDEX([1]PCRs!B:B,MATCH(LEFT($A498,6)&amp;"*",[1]PCRs!A:A,0))="Negativo",
         "❌ Negativo",
         "⏳ No realizado")),
   "⏳ No realizado"
)</f>
        <v>✅ Positivo</v>
      </c>
      <c r="D498" s="255" t="str">
        <f>IFERROR(
   CHOOSE(
      MATCH(VLOOKUP(LEFT(A545,6)&amp;"*",'Identificación genética'!A:C,2,FALSE),
               {"En proceso";"Finalizado"},0),
      "🔬 En proceso",
      "🎯 Finalizado"
   ),
"❌ NA")</f>
        <v>🎯 Finalizado</v>
      </c>
      <c r="E498" s="255" t="s">
        <v>1059</v>
      </c>
      <c r="F498" s="118">
        <v>45733</v>
      </c>
      <c r="G498" t="str">
        <f>_xlfn.XLOOKUP(A498, Extraídas!A:A, Extraídas!G:G, "")</f>
        <v>Cianobacterias</v>
      </c>
    </row>
    <row r="499" spans="1:7" ht="15" thickBot="1" x14ac:dyDescent="0.35">
      <c r="A499" s="638" t="s">
        <v>640</v>
      </c>
      <c r="B499" s="255" t="str">
        <f>IFERROR(
   IF(INDEX(Extraídas!B:B,MATCH(LEFT($A499,6)&amp;"*",Extraídas!A:A,0))="Extraídas",
      "✅ En proceso",
      IF(INDEX(Extraídas!B:B,MATCH(LEFT($A499,6)&amp;"*",Extraídas!A:A,0))="Recibidas",
         "⏳ Pendiente","❌ No ingresada")),
   "❌ No ingresada"
)</f>
        <v>✅ En proceso</v>
      </c>
      <c r="C499" s="255" t="str">
        <f t="array" ref="C499">IFERROR(
   IF(INDEX([1]PCRs!B:B,MATCH(LEFT($A499,6)&amp;"*",[1]PCRs!A:A,0))="Positivo",
      "✅ Positivo",
      IF(INDEX([1]PCRs!B:B,MATCH(LEFT($A499,6)&amp;"*",[1]PCRs!A:A,0))="Negativo",
         "❌ Negativo",
         "⏳ No realizado")),
   "⏳ No realizado"
)</f>
        <v>❌ Negativo</v>
      </c>
      <c r="D499" s="255" t="str">
        <f>IFERROR(
   CHOOSE(
      MATCH(VLOOKUP(LEFT(A546,6)&amp;"*",'Identificación genética'!A:C,2,FALSE),
               {"En proceso";"Finalizado"},0),
      "🔬 En proceso",
      "🎯 Finalizado"
   ),
"❌ NA")</f>
        <v>🎯 Finalizado</v>
      </c>
      <c r="E499" s="255" t="s">
        <v>1059</v>
      </c>
      <c r="F499" s="579">
        <v>45817</v>
      </c>
      <c r="G499" t="str">
        <f>_xlfn.XLOOKUP(A499, Extraídas!A:A, Extraídas!G:G, "")</f>
        <v>Microalgas</v>
      </c>
    </row>
    <row r="500" spans="1:7" ht="15" thickBot="1" x14ac:dyDescent="0.35">
      <c r="A500" s="410" t="s">
        <v>2191</v>
      </c>
      <c r="B500" s="255" t="str">
        <f>IFERROR(
   IF(INDEX(Extraídas!B:B,MATCH(LEFT($A500,6)&amp;"*",Extraídas!A:A,0))="Extraídas",
      "✅ En proceso",
      IF(INDEX(Extraídas!B:B,MATCH(LEFT($A500,6)&amp;"*",Extraídas!A:A,0))="Recibidas",
         "⏳ Pendiente","❌ No ingresada")),
   "❌ No ingresada"
)</f>
        <v>✅ En proceso</v>
      </c>
      <c r="C500" s="255" t="str">
        <f t="array" ref="C500">IFERROR(
   IF(INDEX([1]PCRs!B:B,MATCH(LEFT($A500,6)&amp;"*",[1]PCRs!A:A,0))="Positivo",
      "✅ Positivo",
      IF(INDEX([1]PCRs!B:B,MATCH(LEFT($A500,6)&amp;"*",[1]PCRs!A:A,0))="Negativo",
         "❌ Negativo",
         "⏳ No realizado")),
   "⏳ No realizado"
)</f>
        <v>❌ Negativo</v>
      </c>
      <c r="D500" s="255" t="str">
        <f>IFERROR(
   CHOOSE(
      MATCH(VLOOKUP(LEFT(A547,6)&amp;"*",'Identificación genética'!A:C,2,FALSE),
               {"En proceso";"Finalizado"},0),
      "🔬 En proceso",
      "🎯 Finalizado"
   ),
"❌ NA")</f>
        <v>🎯 Finalizado</v>
      </c>
      <c r="E500" t="s">
        <v>85</v>
      </c>
      <c r="F500" s="589"/>
      <c r="G500" t="str">
        <f>_xlfn.XLOOKUP(A500, Extraídas!A:A, Extraídas!G:G, "")</f>
        <v/>
      </c>
    </row>
    <row r="501" spans="1:7" ht="15" thickBot="1" x14ac:dyDescent="0.35">
      <c r="A501" s="607" t="s">
        <v>1982</v>
      </c>
      <c r="B501" s="255" t="str">
        <f>IFERROR(
   IF(INDEX(Extraídas!B:B,MATCH(LEFT($A501,6)&amp;"*",Extraídas!A:A,0))="Extraídas",
      "✅ En proceso",
      IF(INDEX(Extraídas!B:B,MATCH(LEFT($A501,6)&amp;"*",Extraídas!A:A,0))="Recibidas",
         "⏳ Pendiente","❌ No ingresada")),
   "❌ No ingresada"
)</f>
        <v>✅ En proceso</v>
      </c>
      <c r="C501" s="255" t="str">
        <f t="array" ref="C501">IFERROR(
   IF(INDEX([1]PCRs!B:B,MATCH(LEFT($A501,6)&amp;"*",[1]PCRs!A:A,0))="Positivo",
      "✅ Positivo",
      IF(INDEX([1]PCRs!B:B,MATCH(LEFT($A501,6)&amp;"*",[1]PCRs!A:A,0))="Negativo",
         "❌ Negativo",
         "⏳ No realizado")),
   "⏳ No realizado"
)</f>
        <v>❌ Negativo</v>
      </c>
      <c r="D501" s="255" t="str">
        <f>IFERROR(
   CHOOSE(
      MATCH(VLOOKUP(LEFT(A548,6)&amp;"*",'Identificación genética'!A:C,2,FALSE),
               {"En proceso";"Finalizado"},0),
      "🔬 En proceso",
      "🎯 Finalizado"
   ),
"❌ NA")</f>
        <v>🎯 Finalizado</v>
      </c>
      <c r="E501" t="s">
        <v>85</v>
      </c>
      <c r="F501" s="589"/>
      <c r="G501" t="str">
        <f>_xlfn.XLOOKUP(A501, Extraídas!A:A, Extraídas!G:G, "")</f>
        <v/>
      </c>
    </row>
    <row r="502" spans="1:7" ht="15" thickBot="1" x14ac:dyDescent="0.35">
      <c r="A502" s="603" t="s">
        <v>2219</v>
      </c>
      <c r="B502" s="255" t="str">
        <f>IFERROR(
   IF(INDEX(Extraídas!B:B,MATCH(LEFT($A502,6)&amp;"*",Extraídas!A:A,0))="Extraídas",
      "✅ En proceso",
      IF(INDEX(Extraídas!B:B,MATCH(LEFT($A502,6)&amp;"*",Extraídas!A:A,0))="Recibidas",
         "⏳ Pendiente","❌ No ingresada")),
   "❌ No ingresada"
)</f>
        <v>❌ No ingresada</v>
      </c>
      <c r="C502" s="255" t="str">
        <f t="array" ref="C502">IFERROR(
   IF(INDEX([1]PCRs!B:B,MATCH(LEFT($A502,6)&amp;"*",[1]PCRs!A:A,0))="Positivo",
      "✅ Positivo",
      IF(INDEX([1]PCRs!B:B,MATCH(LEFT($A502,6)&amp;"*",[1]PCRs!A:A,0))="Negativo",
         "❌ Negativo",
         "⏳ No realizado")),
   "⏳ No realizado"
)</f>
        <v>✅ Positivo</v>
      </c>
      <c r="D502" s="255" t="str">
        <f>IFERROR(
   CHOOSE(
      MATCH(VLOOKUP(LEFT(A549,6)&amp;"*",'Identificación genética'!A:C,2,FALSE),
               {"En proceso";"Finalizado"},0),
      "🔬 En proceso",
      "🎯 Finalizado"
   ),
"❌ NA")</f>
        <v>🎯 Finalizado</v>
      </c>
      <c r="E502" t="s">
        <v>85</v>
      </c>
      <c r="F502" s="589"/>
      <c r="G502" t="str">
        <f>_xlfn.XLOOKUP(A502, Extraídas!A:A, Extraídas!G:G, "")</f>
        <v/>
      </c>
    </row>
    <row r="503" spans="1:7" ht="15" thickBot="1" x14ac:dyDescent="0.35">
      <c r="A503" s="638" t="s">
        <v>641</v>
      </c>
      <c r="B503" s="255" t="str">
        <f>IFERROR(
   IF(INDEX(Extraídas!B:B,MATCH(LEFT($A503,6)&amp;"*",Extraídas!A:A,0))="Extraídas",
      "✅ En proceso",
      IF(INDEX(Extraídas!B:B,MATCH(LEFT($A503,6)&amp;"*",Extraídas!A:A,0))="Recibidas",
         "⏳ Pendiente","❌ No ingresada")),
   "❌ No ingresada"
)</f>
        <v>✅ En proceso</v>
      </c>
      <c r="C503" s="255" t="str">
        <f t="array" ref="C503">IFERROR(
   IF(INDEX([1]PCRs!B:B,MATCH(LEFT($A503,6)&amp;"*",[1]PCRs!A:A,0))="Positivo",
      "✅ Positivo",
      IF(INDEX([1]PCRs!B:B,MATCH(LEFT($A503,6)&amp;"*",[1]PCRs!A:A,0))="Negativo",
         "❌ Negativo",
         "⏳ No realizado")),
   "⏳ No realizado"
)</f>
        <v>✅ Positivo</v>
      </c>
      <c r="D503" s="255" t="str">
        <f>IFERROR(
   CHOOSE(
      MATCH(VLOOKUP(LEFT(A550,6)&amp;"*",'Identificación genética'!A:C,2,FALSE),
               {"En proceso";"Finalizado"},0),
      "🔬 En proceso",
      "🎯 Finalizado"
   ),
"❌ NA")</f>
        <v>🎯 Finalizado</v>
      </c>
      <c r="E503" s="255" t="s">
        <v>1059</v>
      </c>
      <c r="F503" s="125">
        <v>45763</v>
      </c>
      <c r="G503" t="str">
        <f>_xlfn.XLOOKUP(A503, Extraídas!A:A, Extraídas!G:G, "")</f>
        <v>Cianobacterias</v>
      </c>
    </row>
    <row r="504" spans="1:7" ht="15" thickBot="1" x14ac:dyDescent="0.35">
      <c r="A504" s="639" t="s">
        <v>642</v>
      </c>
      <c r="B504" s="255" t="str">
        <f>IFERROR(
   IF(INDEX(Extraídas!B:B,MATCH(LEFT($A504,6)&amp;"*",Extraídas!A:A,0))="Extraídas",
      "✅ En proceso",
      IF(INDEX(Extraídas!B:B,MATCH(LEFT($A504,6)&amp;"*",Extraídas!A:A,0))="Recibidas",
         "⏳ Pendiente","❌ No ingresada")),
   "❌ No ingresada"
)</f>
        <v>✅ En proceso</v>
      </c>
      <c r="C504" s="255" t="str">
        <f t="array" ref="C504">IFERROR(
   IF(INDEX([1]PCRs!B:B,MATCH(LEFT($A504,6)&amp;"*",[1]PCRs!A:A,0))="Positivo",
      "✅ Positivo",
      IF(INDEX([1]PCRs!B:B,MATCH(LEFT($A504,6)&amp;"*",[1]PCRs!A:A,0))="Negativo",
         "❌ Negativo",
         "⏳ No realizado")),
   "⏳ No realizado"
)</f>
        <v>✅ Positivo</v>
      </c>
      <c r="D504" s="255" t="str">
        <f>IFERROR(
   CHOOSE(
      MATCH(VLOOKUP(LEFT(A551,6)&amp;"*",'Identificación genética'!A:C,2,FALSE),
               {"En proceso";"Finalizado"},0),
      "🔬 En proceso",
      "🎯 Finalizado"
   ),
"❌ NA")</f>
        <v>🎯 Finalizado</v>
      </c>
      <c r="E504" t="s">
        <v>85</v>
      </c>
      <c r="F504" s="622">
        <v>45817</v>
      </c>
      <c r="G504" t="str">
        <f>_xlfn.XLOOKUP(A504, Extraídas!A:A, Extraídas!G:G, "")</f>
        <v>Cianobacterias</v>
      </c>
    </row>
    <row r="505" spans="1:7" ht="15" thickBot="1" x14ac:dyDescent="0.35">
      <c r="A505" s="639" t="s">
        <v>643</v>
      </c>
      <c r="B505" s="255" t="str">
        <f>IFERROR(
   IF(INDEX(Extraídas!B:B,MATCH(LEFT($A505,6)&amp;"*",Extraídas!A:A,0))="Extraídas",
      "✅ En proceso",
      IF(INDEX(Extraídas!B:B,MATCH(LEFT($A505,6)&amp;"*",Extraídas!A:A,0))="Recibidas",
         "⏳ Pendiente","❌ No ingresada")),
   "❌ No ingresada"
)</f>
        <v>✅ En proceso</v>
      </c>
      <c r="C505" s="255" t="str">
        <f t="array" ref="C505">IFERROR(
   IF(INDEX([1]PCRs!B:B,MATCH(LEFT($A505,6)&amp;"*",[1]PCRs!A:A,0))="Positivo",
      "✅ Positivo",
      IF(INDEX([1]PCRs!B:B,MATCH(LEFT($A505,6)&amp;"*",[1]PCRs!A:A,0))="Negativo",
         "❌ Negativo",
         "⏳ No realizado")),
   "⏳ No realizado"
)</f>
        <v>✅ Positivo</v>
      </c>
      <c r="D505" s="255" t="str">
        <f>IFERROR(
   CHOOSE(
      MATCH(VLOOKUP(LEFT(A552,6)&amp;"*",'Identificación genética'!A:C,2,FALSE),
               {"En proceso";"Finalizado"},0),
      "🔬 En proceso",
      "🎯 Finalizado"
   ),
"❌ NA")</f>
        <v>🎯 Finalizado</v>
      </c>
      <c r="E505" t="s">
        <v>85</v>
      </c>
      <c r="F505" s="125">
        <v>45817</v>
      </c>
      <c r="G505" t="str">
        <f>_xlfn.XLOOKUP(A505, Extraídas!A:A, Extraídas!G:G, "")</f>
        <v>Cianobacterias</v>
      </c>
    </row>
    <row r="506" spans="1:7" ht="15" thickBot="1" x14ac:dyDescent="0.35">
      <c r="A506" s="640" t="s">
        <v>644</v>
      </c>
      <c r="B506" s="255" t="str">
        <f>IFERROR(
   IF(INDEX(Extraídas!B:B,MATCH(LEFT($A506,6)&amp;"*",Extraídas!A:A,0))="Extraídas",
      "✅ En proceso",
      IF(INDEX(Extraídas!B:B,MATCH(LEFT($A506,6)&amp;"*",Extraídas!A:A,0))="Recibidas",
         "⏳ Pendiente","❌ No ingresada")),
   "❌ No ingresada"
)</f>
        <v>✅ En proceso</v>
      </c>
      <c r="C506" s="255" t="str">
        <f t="array" ref="C506">IFERROR(
   IF(INDEX([1]PCRs!B:B,MATCH(LEFT($A506,6)&amp;"*",[1]PCRs!A:A,0))="Positivo",
      "✅ Positivo",
      IF(INDEX([1]PCRs!B:B,MATCH(LEFT($A506,6)&amp;"*",[1]PCRs!A:A,0))="Negativo",
         "❌ Negativo",
         "⏳ No realizado")),
   "⏳ No realizado"
)</f>
        <v>❌ Negativo</v>
      </c>
      <c r="D506" s="255" t="str">
        <f>IFERROR(
   CHOOSE(
      MATCH(VLOOKUP(LEFT(A553,6)&amp;"*",'Identificación genética'!A:C,2,FALSE),
               {"En proceso";"Finalizado"},0),
      "🔬 En proceso",
      "🎯 Finalizado"
   ),
"❌ NA")</f>
        <v>🎯 Finalizado</v>
      </c>
      <c r="E506" t="s">
        <v>85</v>
      </c>
      <c r="F506" s="126">
        <v>45931</v>
      </c>
      <c r="G506" t="str">
        <f>_xlfn.XLOOKUP(A506, Extraídas!A:A, Extraídas!G:G, "")</f>
        <v>Microalgas</v>
      </c>
    </row>
    <row r="507" spans="1:7" x14ac:dyDescent="0.3">
      <c r="A507" s="639" t="s">
        <v>645</v>
      </c>
      <c r="B507" s="255" t="str">
        <f>IFERROR(
   IF(INDEX(Extraídas!B:B,MATCH(LEFT($A507,6)&amp;"*",Extraídas!A:A,0))="Extraídas",
      "✅ En proceso",
      IF(INDEX(Extraídas!B:B,MATCH(LEFT($A507,6)&amp;"*",Extraídas!A:A,0))="Recibidas",
         "⏳ Pendiente","❌ No ingresada")),
   "❌ No ingresada"
)</f>
        <v>✅ En proceso</v>
      </c>
      <c r="C507" s="255" t="str">
        <f t="array" ref="C507">IFERROR(
   IF(INDEX([1]PCRs!B:B,MATCH(LEFT($A507,6)&amp;"*",[1]PCRs!A:A,0))="Positivo",
      "✅ Positivo",
      IF(INDEX([1]PCRs!B:B,MATCH(LEFT($A507,6)&amp;"*",[1]PCRs!A:A,0))="Negativo",
         "❌ Negativo",
         "⏳ No realizado")),
   "⏳ No realizado"
)</f>
        <v>❌ Negativo</v>
      </c>
      <c r="D507" s="255" t="str">
        <f>IFERROR(
   CHOOSE(
      MATCH(VLOOKUP(LEFT(A554,6)&amp;"*",'Identificación genética'!A:C,2,FALSE),
               {"En proceso";"Finalizado"},0),
      "🔬 En proceso",
      "🎯 Finalizado"
   ),
"❌ NA")</f>
        <v>🎯 Finalizado</v>
      </c>
      <c r="E507" s="255" t="s">
        <v>1059</v>
      </c>
      <c r="F507" s="592">
        <v>45817</v>
      </c>
      <c r="G507" t="str">
        <f>_xlfn.XLOOKUP(A507, Extraídas!A:A, Extraídas!G:G, "")</f>
        <v>Cianobacterias</v>
      </c>
    </row>
    <row r="508" spans="1:7" x14ac:dyDescent="0.3">
      <c r="A508" s="410" t="s">
        <v>1127</v>
      </c>
      <c r="B508" s="255" t="str">
        <f>IFERROR(
   IF(INDEX(Extraídas!B:B,MATCH(LEFT($A508,6)&amp;"*",Extraídas!A:A,0))="Extraídas",
      "✅ En proceso",
      IF(INDEX(Extraídas!B:B,MATCH(LEFT($A508,6)&amp;"*",Extraídas!A:A,0))="Recibidas",
         "⏳ Pendiente","❌ No ingresada")),
   "❌ No ingresada"
)</f>
        <v>✅ En proceso</v>
      </c>
      <c r="C508" s="255" t="str">
        <f t="array" ref="C508">IFERROR(
   IF(INDEX([1]PCRs!B:B,MATCH(LEFT($A508,6)&amp;"*",[1]PCRs!A:A,0))="Positivo",
      "✅ Positivo",
      IF(INDEX([1]PCRs!B:B,MATCH(LEFT($A508,6)&amp;"*",[1]PCRs!A:A,0))="Negativo",
         "❌ Negativo",
         "⏳ No realizado")),
   "⏳ No realizado"
)</f>
        <v>❌ Negativo</v>
      </c>
      <c r="D508" s="255" t="str">
        <f>IFERROR(
   CHOOSE(
      MATCH(VLOOKUP(LEFT(A555,6)&amp;"*",'Identificación genética'!A:C,2,FALSE),
               {"En proceso";"Finalizado"},0),
      "🔬 En proceso",
      "🎯 Finalizado"
   ),
"❌ NA")</f>
        <v>🎯 Finalizado</v>
      </c>
      <c r="E508" t="s">
        <v>85</v>
      </c>
      <c r="F508" s="574"/>
      <c r="G508" t="str">
        <f>_xlfn.XLOOKUP(A508, Extraídas!A:A, Extraídas!G:G, "")</f>
        <v/>
      </c>
    </row>
    <row r="509" spans="1:7" x14ac:dyDescent="0.3">
      <c r="A509" s="638" t="s">
        <v>646</v>
      </c>
      <c r="B509" s="255" t="str">
        <f>IFERROR(
   IF(INDEX(Extraídas!B:B,MATCH(LEFT($A509,6)&amp;"*",Extraídas!A:A,0))="Extraídas",
      "✅ En proceso",
      IF(INDEX(Extraídas!B:B,MATCH(LEFT($A509,6)&amp;"*",Extraídas!A:A,0))="Recibidas",
         "⏳ Pendiente","❌ No ingresada")),
   "❌ No ingresada"
)</f>
        <v>✅ En proceso</v>
      </c>
      <c r="C509" s="255" t="str">
        <f t="array" ref="C509">IFERROR(
   IF(INDEX([1]PCRs!B:B,MATCH(LEFT($A509,6)&amp;"*",[1]PCRs!A:A,0))="Positivo",
      "✅ Positivo",
      IF(INDEX([1]PCRs!B:B,MATCH(LEFT($A509,6)&amp;"*",[1]PCRs!A:A,0))="Negativo",
         "❌ Negativo",
         "⏳ No realizado")),
   "⏳ No realizado"
)</f>
        <v>❌ Negativo</v>
      </c>
      <c r="D509" s="255" t="str">
        <f>IFERROR(
   CHOOSE(
      MATCH(VLOOKUP(LEFT(A556,6)&amp;"*",'Identificación genética'!A:C,2,FALSE),
               {"En proceso";"Finalizado"},0),
      "🔬 En proceso",
      "🎯 Finalizado"
   ),
"❌ NA")</f>
        <v>🎯 Finalizado</v>
      </c>
      <c r="E509" t="s">
        <v>85</v>
      </c>
      <c r="F509" s="111">
        <v>45817</v>
      </c>
      <c r="G509" t="str">
        <f>_xlfn.XLOOKUP(A509, Extraídas!A:A, Extraídas!G:G, "")</f>
        <v>Cianobacterias</v>
      </c>
    </row>
    <row r="510" spans="1:7" x14ac:dyDescent="0.3">
      <c r="A510" s="638" t="s">
        <v>647</v>
      </c>
      <c r="B510" s="255" t="str">
        <f>IFERROR(
   IF(INDEX(Extraídas!B:B,MATCH(LEFT($A510,6)&amp;"*",Extraídas!A:A,0))="Extraídas",
      "✅ En proceso",
      IF(INDEX(Extraídas!B:B,MATCH(LEFT($A510,6)&amp;"*",Extraídas!A:A,0))="Recibidas",
         "⏳ Pendiente","❌ No ingresada")),
   "❌ No ingresada"
)</f>
        <v>✅ En proceso</v>
      </c>
      <c r="C510" s="255" t="str">
        <f t="array" ref="C510">IFERROR(
   IF(INDEX([1]PCRs!B:B,MATCH(LEFT($A510,6)&amp;"*",[1]PCRs!A:A,0))="Positivo",
      "✅ Positivo",
      IF(INDEX([1]PCRs!B:B,MATCH(LEFT($A510,6)&amp;"*",[1]PCRs!A:A,0))="Negativo",
         "❌ Negativo",
         "⏳ No realizado")),
   "⏳ No realizado"
)</f>
        <v>❌ Negativo</v>
      </c>
      <c r="D510" s="255" t="str">
        <f>IFERROR(
   CHOOSE(
      MATCH(VLOOKUP(LEFT(A557,6)&amp;"*",'Identificación genética'!A:C,2,FALSE),
               {"En proceso";"Finalizado"},0),
      "🔬 En proceso",
      "🎯 Finalizado"
   ),
"❌ NA")</f>
        <v>🎯 Finalizado</v>
      </c>
      <c r="E510" t="s">
        <v>85</v>
      </c>
      <c r="F510" s="575">
        <v>45931</v>
      </c>
      <c r="G510" t="str">
        <f>_xlfn.XLOOKUP(A510, Extraídas!A:A, Extraídas!G:G, "")</f>
        <v>Cianobacterias</v>
      </c>
    </row>
    <row r="511" spans="1:7" x14ac:dyDescent="0.3">
      <c r="A511" s="410" t="s">
        <v>1129</v>
      </c>
      <c r="B511" s="255" t="str">
        <f>IFERROR(
   IF(INDEX(Extraídas!B:B,MATCH(LEFT($A511,6)&amp;"*",Extraídas!A:A,0))="Extraídas",
      "✅ En proceso",
      IF(INDEX(Extraídas!B:B,MATCH(LEFT($A511,6)&amp;"*",Extraídas!A:A,0))="Recibidas",
         "⏳ Pendiente","❌ No ingresada")),
   "❌ No ingresada"
)</f>
        <v>✅ En proceso</v>
      </c>
      <c r="C511" s="255" t="str">
        <f t="array" ref="C511">IFERROR(
   IF(INDEX([1]PCRs!B:B,MATCH(LEFT($A511,6)&amp;"*",[1]PCRs!A:A,0))="Positivo",
      "✅ Positivo",
      IF(INDEX([1]PCRs!B:B,MATCH(LEFT($A511,6)&amp;"*",[1]PCRs!A:A,0))="Negativo",
         "❌ Negativo",
         "⏳ No realizado")),
   "⏳ No realizado"
)</f>
        <v>❌ Negativo</v>
      </c>
      <c r="D511" s="255" t="str">
        <f>IFERROR(
   CHOOSE(
      MATCH(VLOOKUP(LEFT(A558,6)&amp;"*",'Identificación genética'!A:C,2,FALSE),
               {"En proceso";"Finalizado"},0),
      "🔬 En proceso",
      "🎯 Finalizado"
   ),
"❌ NA")</f>
        <v>🎯 Finalizado</v>
      </c>
      <c r="E511" t="s">
        <v>85</v>
      </c>
      <c r="G511" t="str">
        <f>_xlfn.XLOOKUP(A511, Extraídas!A:A, Extraídas!G:G, "")</f>
        <v/>
      </c>
    </row>
    <row r="512" spans="1:7" x14ac:dyDescent="0.3">
      <c r="A512" s="639" t="s">
        <v>648</v>
      </c>
      <c r="B512" s="255" t="str">
        <f>IFERROR(
   IF(INDEX(Extraídas!B:B,MATCH(LEFT($A512,6)&amp;"*",Extraídas!A:A,0))="Extraídas",
      "✅ En proceso",
      IF(INDEX(Extraídas!B:B,MATCH(LEFT($A512,6)&amp;"*",Extraídas!A:A,0))="Recibidas",
         "⏳ Pendiente","❌ No ingresada")),
   "❌ No ingresada"
)</f>
        <v>✅ En proceso</v>
      </c>
      <c r="C512" s="255" t="str">
        <f t="array" ref="C512">IFERROR(
   IF(INDEX([1]PCRs!B:B,MATCH(LEFT($A512,6)&amp;"*",[1]PCRs!A:A,0))="Positivo",
      "✅ Positivo",
      IF(INDEX([1]PCRs!B:B,MATCH(LEFT($A512,6)&amp;"*",[1]PCRs!A:A,0))="Negativo",
         "❌ Negativo",
         "⏳ No realizado")),
   "⏳ No realizado"
)</f>
        <v>❌ Negativo</v>
      </c>
      <c r="D512" s="255" t="str">
        <f>IFERROR(
   CHOOSE(
      MATCH(VLOOKUP(LEFT(A559,6)&amp;"*",'Identificación genética'!A:C,2,FALSE),
               {"En proceso";"Finalizado"},0),
      "🔬 En proceso",
      "🎯 Finalizado"
   ),
"❌ NA")</f>
        <v>🎯 Finalizado</v>
      </c>
      <c r="E512" t="s">
        <v>85</v>
      </c>
      <c r="F512" s="118">
        <v>45705</v>
      </c>
      <c r="G512" t="str">
        <f>_xlfn.XLOOKUP(A512, Extraídas!A:A, Extraídas!G:G, "")</f>
        <v>Cianobacterias</v>
      </c>
    </row>
    <row r="513" spans="1:7" x14ac:dyDescent="0.3">
      <c r="A513" s="639" t="s">
        <v>649</v>
      </c>
      <c r="B513" s="255" t="str">
        <f>IFERROR(
   IF(INDEX(Extraídas!B:B,MATCH(LEFT($A513,6)&amp;"*",Extraídas!A:A,0))="Extraídas",
      "✅ En proceso",
      IF(INDEX(Extraídas!B:B,MATCH(LEFT($A513,6)&amp;"*",Extraídas!A:A,0))="Recibidas",
         "⏳ Pendiente","❌ No ingresada")),
   "❌ No ingresada"
)</f>
        <v>✅ En proceso</v>
      </c>
      <c r="C513" s="255" t="str">
        <f t="array" ref="C513">IFERROR(
   IF(INDEX([1]PCRs!B:B,MATCH(LEFT($A513,6)&amp;"*",[1]PCRs!A:A,0))="Positivo",
      "✅ Positivo",
      IF(INDEX([1]PCRs!B:B,MATCH(LEFT($A513,6)&amp;"*",[1]PCRs!A:A,0))="Negativo",
         "❌ Negativo",
         "⏳ No realizado")),
   "⏳ No realizado"
)</f>
        <v>❌ Negativo</v>
      </c>
      <c r="D513" s="255" t="str">
        <f>IFERROR(
   CHOOSE(
      MATCH(VLOOKUP(LEFT(A560,6)&amp;"*",'Identificación genética'!A:C,2,FALSE),
               {"En proceso";"Finalizado"},0),
      "🔬 En proceso",
      "🎯 Finalizado"
   ),
"❌ NA")</f>
        <v>🎯 Finalizado</v>
      </c>
      <c r="E513" t="s">
        <v>85</v>
      </c>
      <c r="F513" s="111">
        <v>45705</v>
      </c>
      <c r="G513" t="str">
        <f>_xlfn.XLOOKUP(A513, Extraídas!A:A, Extraídas!G:G, "")</f>
        <v>Cianobacterias</v>
      </c>
    </row>
    <row r="514" spans="1:7" x14ac:dyDescent="0.3">
      <c r="A514" s="630" t="s">
        <v>650</v>
      </c>
      <c r="B514" s="255" t="str">
        <f>IFERROR(
   IF(INDEX(Extraídas!B:B,MATCH(LEFT($A514,6)&amp;"*",Extraídas!A:A,0))="Extraídas",
      "✅ En proceso",
      IF(INDEX(Extraídas!B:B,MATCH(LEFT($A514,6)&amp;"*",Extraídas!A:A,0))="Recibidas",
         "⏳ Pendiente","❌ No ingresada")),
   "❌ No ingresada"
)</f>
        <v>✅ En proceso</v>
      </c>
      <c r="C514" s="255" t="str">
        <f t="array" ref="C514">IFERROR(
   IF(INDEX([1]PCRs!B:B,MATCH(LEFT($A514,6)&amp;"*",[1]PCRs!A:A,0))="Positivo",
      "✅ Positivo",
      IF(INDEX([1]PCRs!B:B,MATCH(LEFT($A514,6)&amp;"*",[1]PCRs!A:A,0))="Negativo",
         "❌ Negativo",
         "⏳ No realizado")),
   "⏳ No realizado"
)</f>
        <v>✅ Positivo</v>
      </c>
      <c r="D514" s="255" t="str">
        <f>IFERROR(
   CHOOSE(
      MATCH(VLOOKUP(LEFT(A561,6)&amp;"*",'Identificación genética'!A:C,2,FALSE),
               {"En proceso";"Finalizado"},0),
      "🔬 En proceso",
      "🎯 Finalizado"
   ),
"❌ NA")</f>
        <v>🎯 Finalizado</v>
      </c>
      <c r="E514" t="s">
        <v>85</v>
      </c>
      <c r="F514" s="118">
        <v>45757</v>
      </c>
      <c r="G514" t="str">
        <f>_xlfn.XLOOKUP(A514, Extraídas!A:A, Extraídas!G:G, "")</f>
        <v>Cianobacterias</v>
      </c>
    </row>
    <row r="515" spans="1:7" x14ac:dyDescent="0.3">
      <c r="A515" s="630" t="s">
        <v>651</v>
      </c>
      <c r="B515" s="255" t="str">
        <f>IFERROR(
   IF(INDEX(Extraídas!B:B,MATCH(LEFT($A515,6)&amp;"*",Extraídas!A:A,0))="Extraídas",
      "✅ En proceso",
      IF(INDEX(Extraídas!B:B,MATCH(LEFT($A515,6)&amp;"*",Extraídas!A:A,0))="Recibidas",
         "⏳ Pendiente","❌ No ingresada")),
   "❌ No ingresada"
)</f>
        <v>✅ En proceso</v>
      </c>
      <c r="C515" s="255" t="str">
        <f t="array" ref="C515">IFERROR(
   IF(INDEX([1]PCRs!B:B,MATCH(LEFT($A515,6)&amp;"*",[1]PCRs!A:A,0))="Positivo",
      "✅ Positivo",
      IF(INDEX([1]PCRs!B:B,MATCH(LEFT($A515,6)&amp;"*",[1]PCRs!A:A,0))="Negativo",
         "❌ Negativo",
         "⏳ No realizado")),
   "⏳ No realizado"
)</f>
        <v>✅ Positivo</v>
      </c>
      <c r="D515" s="255" t="str">
        <f>IFERROR(
   CHOOSE(
      MATCH(VLOOKUP(LEFT(A562,6)&amp;"*",'Identificación genética'!A:C,2,FALSE),
               {"En proceso";"Finalizado"},0),
      "🔬 En proceso",
      "🎯 Finalizado"
   ),
"❌ NA")</f>
        <v>🎯 Finalizado</v>
      </c>
      <c r="E515" t="s">
        <v>85</v>
      </c>
      <c r="F515" s="111">
        <v>45817</v>
      </c>
      <c r="G515" t="str">
        <f>_xlfn.XLOOKUP(A515, Extraídas!A:A, Extraídas!G:G, "")</f>
        <v>Cianobacterias</v>
      </c>
    </row>
    <row r="516" spans="1:7" x14ac:dyDescent="0.3">
      <c r="A516" s="567" t="s">
        <v>2220</v>
      </c>
      <c r="B516" s="255" t="str">
        <f>IFERROR(
   IF(INDEX(Extraídas!B:B,MATCH(LEFT($A516,6)&amp;"*",Extraídas!A:A,0))="Extraídas",
      "✅ En proceso",
      IF(INDEX(Extraídas!B:B,MATCH(LEFT($A516,6)&amp;"*",Extraídas!A:A,0))="Recibidas",
         "⏳ Pendiente","❌ No ingresada")),
   "❌ No ingresada"
)</f>
        <v>✅ En proceso</v>
      </c>
      <c r="C516" s="255" t="str">
        <f t="array" ref="C516">IFERROR(
   IF(INDEX([1]PCRs!B:B,MATCH(LEFT($A516,6)&amp;"*",[1]PCRs!A:A,0))="Positivo",
      "✅ Positivo",
      IF(INDEX([1]PCRs!B:B,MATCH(LEFT($A516,6)&amp;"*",[1]PCRs!A:A,0))="Negativo",
         "❌ Negativo",
         "⏳ No realizado")),
   "⏳ No realizado"
)</f>
        <v>✅ Positivo</v>
      </c>
      <c r="D516" s="255" t="str">
        <f>IFERROR(
   CHOOSE(
      MATCH(VLOOKUP(LEFT(A563,6)&amp;"*",'Identificación genética'!A:C,2,FALSE),
               {"En proceso";"Finalizado"},0),
      "🔬 En proceso",
      "🎯 Finalizado"
   ),
"❌ NA")</f>
        <v>🎯 Finalizado</v>
      </c>
      <c r="E516" t="s">
        <v>85</v>
      </c>
      <c r="G516" t="str">
        <f>_xlfn.XLOOKUP(A516, Extraídas!A:A, Extraídas!G:G, "")</f>
        <v/>
      </c>
    </row>
    <row r="517" spans="1:7" x14ac:dyDescent="0.3">
      <c r="A517" s="631" t="s">
        <v>652</v>
      </c>
      <c r="B517" s="255" t="str">
        <f t="array" ref="B517">IFERROR(
   IF(INDEX([1]Extraídas!B:B,MATCH(LEFT($A517,6)&amp;"*",[1]Extraídas!A:A,0))="Extraídas",
      "✅ En proceso",
      IF(INDEX([1]Extraídas!B:B,MATCH(LEFT($A517,6)&amp;"*",[1]Extraídas!A:A,0))="Recibidas",
         "⏳ Pendiente","❌ No ingresada")),
   "❌ No ingresada"
)</f>
        <v>✅ En proceso</v>
      </c>
      <c r="C517" s="255" t="str">
        <f t="array" ref="C517">IFERROR(
   IF(INDEX([1]PCRs!B:B,MATCH(LEFT($A517,6)&amp;"*",[1]PCRs!A:A,0))="Positivo",
      "✅ Positivo",
      IF(INDEX([1]PCRs!B:B,MATCH(LEFT($A517,6)&amp;"*",[1]PCRs!A:A,0))="Negativo",
         "❌ Negativo",
         "⏳ No realizado")),
   "⏳ No realizado"
)</f>
        <v>⏳ No realizado</v>
      </c>
      <c r="D517" s="255" t="str">
        <f>IFERROR(
   CHOOSE(
      MATCH(VLOOKUP(LEFT(A564,6)&amp;"*",'Identificación genética'!A:C,2,FALSE),
               {"En proceso";"Finalizado"},0),
      "🔬 En proceso",
      "🎯 Finalizado"
   ),
"❌ NA")</f>
        <v>🎯 Finalizado</v>
      </c>
      <c r="E517" t="s">
        <v>85</v>
      </c>
      <c r="F517" s="15">
        <v>45768</v>
      </c>
      <c r="G517" t="str">
        <f>_xlfn.XLOOKUP(A517, Extraídas!A:A, Extraídas!G:G, "")</f>
        <v>Chlorophyceae</v>
      </c>
    </row>
    <row r="518" spans="1:7" ht="15" thickBot="1" x14ac:dyDescent="0.35">
      <c r="A518" s="631" t="s">
        <v>653</v>
      </c>
      <c r="B518" s="255" t="str">
        <f>IFERROR(
   IF(INDEX(Extraídas!B:B,MATCH(LEFT($A518,6)&amp;"*",Extraídas!A:A,0))="Extraídas",
      "✅ En proceso",
      IF(INDEX(Extraídas!B:B,MATCH(LEFT($A518,6)&amp;"*",Extraídas!A:A,0))="Recibidas",
         "⏳ Pendiente","❌ No ingresada")),
   "❌ No ingresada"
)</f>
        <v>✅ En proceso</v>
      </c>
      <c r="C518" s="255" t="str">
        <f t="array" ref="C518">IFERROR(
   IF(INDEX([1]PCRs!B:B,MATCH(LEFT($A518,6)&amp;"*",[1]PCRs!A:A,0))="Positivo",
      "✅ Positivo",
      IF(INDEX([1]PCRs!B:B,MATCH(LEFT($A518,6)&amp;"*",[1]PCRs!A:A,0))="Negativo",
         "❌ Negativo",
         "⏳ No realizado")),
   "⏳ No realizado"
)</f>
        <v>❌ Negativo</v>
      </c>
      <c r="D518" s="255" t="str">
        <f>IFERROR(
   CHOOSE(
      MATCH(VLOOKUP(LEFT(A565,6)&amp;"*",'Identificación genética'!A:C,2,FALSE),
               {"En proceso";"Finalizado"},0),
      "🔬 En proceso",
      "🎯 Finalizado"
   ),
"❌ NA")</f>
        <v>🎯 Finalizado</v>
      </c>
      <c r="E518" t="s">
        <v>85</v>
      </c>
      <c r="F518" s="29">
        <v>45768</v>
      </c>
      <c r="G518" t="str">
        <f>_xlfn.XLOOKUP(A518, Extraídas!A:A, Extraídas!G:G, "")</f>
        <v>Zygnematophyceae</v>
      </c>
    </row>
    <row r="519" spans="1:7" ht="15" thickBot="1" x14ac:dyDescent="0.35">
      <c r="A519" s="256" t="s">
        <v>1130</v>
      </c>
      <c r="B519" s="255" t="str">
        <f>IFERROR(
   IF(INDEX(Extraídas!B:B,MATCH(LEFT($A519,6)&amp;"*",Extraídas!A:A,0))="Extraídas",
      "✅ En proceso",
      IF(INDEX(Extraídas!B:B,MATCH(LEFT($A519,6)&amp;"*",Extraídas!A:A,0))="Recibidas",
         "⏳ Pendiente","❌ No ingresada")),
   "❌ No ingresada"
)</f>
        <v>✅ En proceso</v>
      </c>
      <c r="C519" s="255" t="str">
        <f t="array" ref="C519">IFERROR(
   IF(INDEX([1]PCRs!B:B,MATCH(LEFT($A519,6)&amp;"*",[1]PCRs!A:A,0))="Positivo",
      "✅ Positivo",
      IF(INDEX([1]PCRs!B:B,MATCH(LEFT($A519,6)&amp;"*",[1]PCRs!A:A,0))="Negativo",
         "❌ Negativo",
         "⏳ No realizado")),
   "⏳ No realizado"
)</f>
        <v>❌ Negativo</v>
      </c>
      <c r="D519" s="255" t="str">
        <f>IFERROR(
   CHOOSE(
      MATCH(VLOOKUP(LEFT(A566,6)&amp;"*",'Identificación genética'!A:C,2,FALSE),
               {"En proceso";"Finalizado"},0),
      "🔬 En proceso",
      "🎯 Finalizado"
   ),
"❌ NA")</f>
        <v>🎯 Finalizado</v>
      </c>
      <c r="E519" t="s">
        <v>85</v>
      </c>
      <c r="F519" s="594"/>
      <c r="G519" t="str">
        <f>_xlfn.XLOOKUP(A519, Extraídas!A:A, Extraídas!G:G, "")</f>
        <v/>
      </c>
    </row>
    <row r="520" spans="1:7" ht="15" thickBot="1" x14ac:dyDescent="0.35">
      <c r="A520" s="632" t="s">
        <v>654</v>
      </c>
      <c r="B520" s="255" t="str">
        <f>IFERROR(
   IF(INDEX(Extraídas!B:B,MATCH(LEFT($A520,6)&amp;"*",Extraídas!A:A,0))="Extraídas",
      "✅ En proceso",
      IF(INDEX(Extraídas!B:B,MATCH(LEFT($A520,6)&amp;"*",Extraídas!A:A,0))="Recibidas",
         "⏳ Pendiente","❌ No ingresada")),
   "❌ No ingresada"
)</f>
        <v>✅ En proceso</v>
      </c>
      <c r="C520" s="255" t="str">
        <f t="array" ref="C520">IFERROR(
   IF(INDEX([1]PCRs!B:B,MATCH(LEFT($A520,6)&amp;"*",[1]PCRs!A:A,0))="Positivo",
      "✅ Positivo",
      IF(INDEX([1]PCRs!B:B,MATCH(LEFT($A520,6)&amp;"*",[1]PCRs!A:A,0))="Negativo",
         "❌ Negativo",
         "⏳ No realizado")),
   "⏳ No realizado"
)</f>
        <v>❌ Negativo</v>
      </c>
      <c r="D520" s="255" t="str">
        <f>IFERROR(
   CHOOSE(
      MATCH(VLOOKUP(LEFT(A567,6)&amp;"*",'Identificación genética'!A:C,2,FALSE),
               {"En proceso";"Finalizado"},0),
      "🔬 En proceso",
      "🎯 Finalizado"
   ),
"❌ NA")</f>
        <v>🎯 Finalizado</v>
      </c>
      <c r="E520" t="s">
        <v>85</v>
      </c>
      <c r="F520" s="29">
        <v>45768</v>
      </c>
      <c r="G520" t="str">
        <f>_xlfn.XLOOKUP(A520, Extraídas!A:A, Extraídas!G:G, "")</f>
        <v>Chlorophyceae</v>
      </c>
    </row>
    <row r="521" spans="1:7" ht="15" thickBot="1" x14ac:dyDescent="0.35">
      <c r="A521" s="631" t="s">
        <v>655</v>
      </c>
      <c r="B521" s="255" t="str">
        <f>IFERROR(
   IF(INDEX(Extraídas!B:B,MATCH(LEFT($A521,6)&amp;"*",Extraídas!A:A,0))="Extraídas",
      "✅ En proceso",
      IF(INDEX(Extraídas!B:B,MATCH(LEFT($A521,6)&amp;"*",Extraídas!A:A,0))="Recibidas",
         "⏳ Pendiente","❌ No ingresada")),
   "❌ No ingresada"
)</f>
        <v>✅ En proceso</v>
      </c>
      <c r="C521" s="255" t="str">
        <f t="array" ref="C521">IFERROR(
   IF(INDEX([1]PCRs!B:B,MATCH(LEFT($A521,6)&amp;"*",[1]PCRs!A:A,0))="Positivo",
      "✅ Positivo",
      IF(INDEX([1]PCRs!B:B,MATCH(LEFT($A521,6)&amp;"*",[1]PCRs!A:A,0))="Negativo",
         "❌ Negativo",
         "⏳ No realizado")),
   "⏳ No realizado"
)</f>
        <v>❌ Negativo</v>
      </c>
      <c r="D521" s="255" t="str">
        <f>IFERROR(
   CHOOSE(
      MATCH(VLOOKUP(LEFT(A568,6)&amp;"*",'Identificación genética'!A:C,2,FALSE),
               {"En proceso";"Finalizado"},0),
      "🔬 En proceso",
      "🎯 Finalizado"
   ),
"❌ NA")</f>
        <v>🎯 Finalizado</v>
      </c>
      <c r="E521" t="s">
        <v>85</v>
      </c>
      <c r="F521" s="130">
        <v>45768</v>
      </c>
      <c r="G521" t="str">
        <f>_xlfn.XLOOKUP(A521, Extraídas!A:A, Extraídas!G:G, "")</f>
        <v>Microalgas</v>
      </c>
    </row>
    <row r="522" spans="1:7" ht="15" thickBot="1" x14ac:dyDescent="0.35">
      <c r="A522" s="631" t="s">
        <v>656</v>
      </c>
      <c r="B522" s="255" t="str">
        <f>IFERROR(
   IF(INDEX(Extraídas!B:B,MATCH(LEFT($A522,6)&amp;"*",Extraídas!A:A,0))="Extraídas",
      "✅ En proceso",
      IF(INDEX(Extraídas!B:B,MATCH(LEFT($A522,6)&amp;"*",Extraídas!A:A,0))="Recibidas",
         "⏳ Pendiente","❌ No ingresada")),
   "❌ No ingresada"
)</f>
        <v>✅ En proceso</v>
      </c>
      <c r="C522" s="255" t="str">
        <f t="array" ref="C522">IFERROR(
   IF(INDEX([1]PCRs!B:B,MATCH(LEFT($A522,6)&amp;"*",[1]PCRs!A:A,0))="Positivo",
      "✅ Positivo",
      IF(INDEX([1]PCRs!B:B,MATCH(LEFT($A522,6)&amp;"*",[1]PCRs!A:A,0))="Negativo",
         "❌ Negativo",
         "⏳ No realizado")),
   "⏳ No realizado"
)</f>
        <v>❌ Negativo</v>
      </c>
      <c r="D522" s="255" t="str">
        <f>IFERROR(
   CHOOSE(
      MATCH(VLOOKUP(LEFT(A569,6)&amp;"*",'Identificación genética'!A:C,2,FALSE),
               {"En proceso";"Finalizado"},0),
      "🔬 En proceso",
      "🎯 Finalizado"
   ),
"❌ NA")</f>
        <v>🎯 Finalizado</v>
      </c>
      <c r="E522" t="s">
        <v>85</v>
      </c>
      <c r="F522" s="129">
        <v>45931</v>
      </c>
      <c r="G522" t="str">
        <f>_xlfn.XLOOKUP(A522, Extraídas!A:A, Extraídas!G:G, "")</f>
        <v>Microalgas</v>
      </c>
    </row>
    <row r="523" spans="1:7" ht="15" thickBot="1" x14ac:dyDescent="0.35">
      <c r="A523" s="631" t="s">
        <v>657</v>
      </c>
      <c r="B523" s="255" t="str">
        <f>IFERROR(
   IF(INDEX(Extraídas!B:B,MATCH(LEFT($A523,6)&amp;"*",Extraídas!A:A,0))="Extraídas",
      "✅ En proceso",
      IF(INDEX(Extraídas!B:B,MATCH(LEFT($A523,6)&amp;"*",Extraídas!A:A,0))="Recibidas",
         "⏳ Pendiente","❌ No ingresada")),
   "❌ No ingresada"
)</f>
        <v>✅ En proceso</v>
      </c>
      <c r="C523" s="255" t="str">
        <f t="array" ref="C523">IFERROR(
   IF(INDEX([1]PCRs!B:B,MATCH(LEFT($A523,6)&amp;"*",[1]PCRs!A:A,0))="Positivo",
      "✅ Positivo",
      IF(INDEX([1]PCRs!B:B,MATCH(LEFT($A523,6)&amp;"*",[1]PCRs!A:A,0))="Negativo",
         "❌ Negativo",
         "⏳ No realizado")),
   "⏳ No realizado"
)</f>
        <v>❌ Negativo</v>
      </c>
      <c r="D523" s="255" t="str">
        <f>IFERROR(
   CHOOSE(
      MATCH(VLOOKUP(LEFT(A570,6)&amp;"*",'Identificación genética'!A:C,2,FALSE),
               {"En proceso";"Finalizado"},0),
      "🔬 En proceso",
      "🎯 Finalizado"
   ),
"❌ NA")</f>
        <v>🎯 Finalizado</v>
      </c>
      <c r="E523" t="s">
        <v>85</v>
      </c>
      <c r="F523" s="29">
        <v>45768</v>
      </c>
      <c r="G523" t="str">
        <f>_xlfn.XLOOKUP(A523, Extraídas!A:A, Extraídas!G:G, "")</f>
        <v>Chlorophyceae</v>
      </c>
    </row>
    <row r="524" spans="1:7" ht="15" thickBot="1" x14ac:dyDescent="0.35">
      <c r="A524" s="560" t="s">
        <v>2248</v>
      </c>
      <c r="B524" s="255" t="str">
        <f>IFERROR(
   IF(INDEX(Extraídas!B:B,MATCH(LEFT($A524,6)&amp;"*",Extraídas!A:A,0))="Extraídas",
      "✅ En proceso",
      IF(INDEX(Extraídas!B:B,MATCH(LEFT($A524,6)&amp;"*",Extraídas!A:A,0))="Recibidas",
         "⏳ Pendiente","❌ No ingresada")),
   "❌ No ingresada"
)</f>
        <v>✅ En proceso</v>
      </c>
      <c r="C524" s="255" t="str">
        <f t="array" ref="C524">IFERROR(
   IF(INDEX([1]PCRs!B:B,MATCH(LEFT($A524,6)&amp;"*",[1]PCRs!A:A,0))="Positivo",
      "✅ Positivo",
      IF(INDEX([1]PCRs!B:B,MATCH(LEFT($A524,6)&amp;"*",[1]PCRs!A:A,0))="Negativo",
         "❌ Negativo",
         "⏳ No realizado")),
   "⏳ No realizado"
)</f>
        <v>❌ Negativo</v>
      </c>
      <c r="D524" s="255" t="str">
        <f>IFERROR(
   CHOOSE(
      MATCH(VLOOKUP(LEFT(A571,6)&amp;"*",'Identificación genética'!A:C,2,FALSE),
               {"En proceso";"Finalizado"},0),
      "🔬 En proceso",
      "🎯 Finalizado"
   ),
"❌ NA")</f>
        <v>🎯 Finalizado</v>
      </c>
      <c r="E524" t="s">
        <v>85</v>
      </c>
      <c r="F524" s="601"/>
      <c r="G524" t="str">
        <f>_xlfn.XLOOKUP(A524, Extraídas!A:A, Extraídas!G:G, "")</f>
        <v/>
      </c>
    </row>
    <row r="525" spans="1:7" ht="15" thickBot="1" x14ac:dyDescent="0.35">
      <c r="A525" s="568" t="s">
        <v>1060</v>
      </c>
      <c r="B525" s="255" t="str">
        <f>IFERROR(
   IF(INDEX(Extraídas!B:B,MATCH(LEFT($A525,6)&amp;"*",Extraídas!A:A,0))="Extraídas",
      "✅ En proceso",
      IF(INDEX(Extraídas!B:B,MATCH(LEFT($A525,6)&amp;"*",Extraídas!A:A,0))="Recibidas",
         "⏳ Pendiente","❌ No ingresada")),
   "❌ No ingresada"
)</f>
        <v>✅ En proceso</v>
      </c>
      <c r="C525" s="255" t="str">
        <f t="array" ref="C525">IFERROR(
   IF(INDEX([1]PCRs!B:B,MATCH(LEFT($A525,6)&amp;"*",[1]PCRs!A:A,0))="Positivo",
      "✅ Positivo",
      IF(INDEX([1]PCRs!B:B,MATCH(LEFT($A525,6)&amp;"*",[1]PCRs!A:A,0))="Negativo",
         "❌ Negativo",
         "⏳ No realizado")),
   "⏳ No realizado"
)</f>
        <v>❌ Negativo</v>
      </c>
      <c r="D525" s="255" t="str">
        <f>IFERROR(
   CHOOSE(
      MATCH(VLOOKUP(LEFT(A572,6)&amp;"*",'Identificación genética'!A:C,2,FALSE),
               {"En proceso";"Finalizado"},0),
      "🔬 En proceso",
      "🎯 Finalizado"
   ),
"❌ NA")</f>
        <v>🎯 Finalizado</v>
      </c>
      <c r="E525" t="s">
        <v>85</v>
      </c>
      <c r="G525" t="str">
        <f>_xlfn.XLOOKUP(A525, Extraídas!A:A, Extraídas!G:G, "")</f>
        <v/>
      </c>
    </row>
    <row r="526" spans="1:7" ht="15" thickBot="1" x14ac:dyDescent="0.35">
      <c r="A526" s="632" t="s">
        <v>658</v>
      </c>
      <c r="B526" s="255" t="str">
        <f>IFERROR(
   IF(INDEX(Extraídas!B:B,MATCH(LEFT($A526,6)&amp;"*",Extraídas!A:A,0))="Extraídas",
      "✅ En proceso",
      IF(INDEX(Extraídas!B:B,MATCH(LEFT($A526,6)&amp;"*",Extraídas!A:A,0))="Recibidas",
         "⏳ Pendiente","❌ No ingresada")),
   "❌ No ingresada"
)</f>
        <v>✅ En proceso</v>
      </c>
      <c r="C526" s="255" t="str">
        <f t="array" ref="C526">IFERROR(
   IF(INDEX([1]PCRs!B:B,MATCH(LEFT($A526,6)&amp;"*",[1]PCRs!A:A,0))="Positivo",
      "✅ Positivo",
      IF(INDEX([1]PCRs!B:B,MATCH(LEFT($A526,6)&amp;"*",[1]PCRs!A:A,0))="Negativo",
         "❌ Negativo",
         "⏳ No realizado")),
   "⏳ No realizado"
)</f>
        <v>❌ Negativo</v>
      </c>
      <c r="D526" s="255" t="str">
        <f>IFERROR(
   CHOOSE(
      MATCH(VLOOKUP(LEFT(A573,6)&amp;"*",'Identificación genética'!A:C,2,FALSE),
               {"En proceso";"Finalizado"},0),
      "🔬 En proceso",
      "🎯 Finalizado"
   ),
"❌ NA")</f>
        <v>🎯 Finalizado</v>
      </c>
      <c r="E526" t="s">
        <v>85</v>
      </c>
      <c r="F526" s="599">
        <v>45846</v>
      </c>
      <c r="G526" t="str">
        <f>_xlfn.XLOOKUP(A526, Extraídas!A:A, Extraídas!G:G, "")</f>
        <v>Cianobacterias</v>
      </c>
    </row>
    <row r="527" spans="1:7" x14ac:dyDescent="0.3">
      <c r="A527" s="631" t="s">
        <v>659</v>
      </c>
      <c r="B527" s="255" t="str">
        <f>IFERROR(
   IF(INDEX(Extraídas!B:B,MATCH(LEFT($A527,6)&amp;"*",Extraídas!A:A,0))="Extraídas",
      "✅ En proceso",
      IF(INDEX(Extraídas!B:B,MATCH(LEFT($A527,6)&amp;"*",Extraídas!A:A,0))="Recibidas",
         "⏳ Pendiente","❌ No ingresada")),
   "❌ No ingresada"
)</f>
        <v>✅ En proceso</v>
      </c>
      <c r="C527" s="255" t="str">
        <f t="array" ref="C527">IFERROR(
   IF(INDEX([1]PCRs!B:B,MATCH(LEFT($A527,6)&amp;"*",[1]PCRs!A:A,0))="Positivo",
      "✅ Positivo",
      IF(INDEX([1]PCRs!B:B,MATCH(LEFT($A527,6)&amp;"*",[1]PCRs!A:A,0))="Negativo",
         "❌ Negativo",
         "⏳ No realizado")),
   "⏳ No realizado"
)</f>
        <v>❌ Negativo</v>
      </c>
      <c r="D527" s="255" t="str">
        <f>IFERROR(
   CHOOSE(
      MATCH(VLOOKUP(LEFT(A574,6)&amp;"*",'Identificación genética'!A:C,2,FALSE),
               {"En proceso";"Finalizado"},0),
      "🔬 En proceso",
      "🎯 Finalizado"
   ),
"❌ NA")</f>
        <v>🎯 Finalizado</v>
      </c>
      <c r="E527" t="s">
        <v>85</v>
      </c>
      <c r="F527" s="29">
        <v>45768</v>
      </c>
      <c r="G527" t="str">
        <f>_xlfn.XLOOKUP(A527, Extraídas!A:A, Extraídas!G:G, "")</f>
        <v>Chlorophyceae</v>
      </c>
    </row>
    <row r="528" spans="1:7" ht="15" thickBot="1" x14ac:dyDescent="0.35">
      <c r="A528" s="560" t="s">
        <v>2249</v>
      </c>
      <c r="B528" s="255" t="str">
        <f>IFERROR(
   IF(INDEX(Extraídas!B:B,MATCH(LEFT($A528,6)&amp;"*",Extraídas!A:A,0))="Extraídas",
      "✅ En proceso",
      IF(INDEX(Extraídas!B:B,MATCH(LEFT($A528,6)&amp;"*",Extraídas!A:A,0))="Recibidas",
         "⏳ Pendiente","❌ No ingresada")),
   "❌ No ingresada"
)</f>
        <v>✅ En proceso</v>
      </c>
      <c r="C528" s="255" t="str">
        <f t="array" ref="C528">IFERROR(
   IF(INDEX([1]PCRs!B:B,MATCH(LEFT($A528,6)&amp;"*",[1]PCRs!A:A,0))="Positivo",
      "✅ Positivo",
      IF(INDEX([1]PCRs!B:B,MATCH(LEFT($A528,6)&amp;"*",[1]PCRs!A:A,0))="Negativo",
         "❌ Negativo",
         "⏳ No realizado")),
   "⏳ No realizado"
)</f>
        <v>❌ Negativo</v>
      </c>
      <c r="D528" s="255" t="str">
        <f>IFERROR(
   CHOOSE(
      MATCH(VLOOKUP(LEFT(A575,6)&amp;"*",'Identificación genética'!A:C,2,FALSE),
               {"En proceso";"Finalizado"},0),
      "🔬 En proceso",
      "🎯 Finalizado"
   ),
"❌ NA")</f>
        <v>🎯 Finalizado</v>
      </c>
      <c r="E528" t="s">
        <v>85</v>
      </c>
      <c r="G528" t="str">
        <f>_xlfn.XLOOKUP(A528, Extraídas!A:A, Extraídas!G:G, "")</f>
        <v/>
      </c>
    </row>
    <row r="529" spans="1:7" ht="15" thickBot="1" x14ac:dyDescent="0.35">
      <c r="A529" s="256" t="s">
        <v>2178</v>
      </c>
      <c r="B529" s="255" t="str">
        <f>IFERROR(
   IF(INDEX(Extraídas!B:B,MATCH(LEFT($A529,6)&amp;"*",Extraídas!A:A,0))="Extraídas",
      "✅ En proceso",
      IF(INDEX(Extraídas!B:B,MATCH(LEFT($A529,6)&amp;"*",Extraídas!A:A,0))="Recibidas",
         "⏳ Pendiente","❌ No ingresada")),
   "❌ No ingresada"
)</f>
        <v>✅ En proceso</v>
      </c>
      <c r="C529" s="255" t="str">
        <f t="array" ref="C529">IFERROR(
   IF(INDEX([1]PCRs!B:B,MATCH(LEFT($A529,6)&amp;"*",[1]PCRs!A:A,0))="Positivo",
      "✅ Positivo",
      IF(INDEX([1]PCRs!B:B,MATCH(LEFT($A529,6)&amp;"*",[1]PCRs!A:A,0))="Negativo",
         "❌ Negativo",
         "⏳ No realizado")),
   "⏳ No realizado"
)</f>
        <v>❌ Negativo</v>
      </c>
      <c r="D529" s="255" t="str">
        <f>IFERROR(
   CHOOSE(
      MATCH(VLOOKUP(LEFT(A576,6)&amp;"*",'Identificación genética'!A:C,2,FALSE),
               {"En proceso";"Finalizado"},0),
      "🔬 En proceso",
      "🎯 Finalizado"
   ),
"❌ NA")</f>
        <v>🎯 Finalizado</v>
      </c>
      <c r="E529" t="s">
        <v>85</v>
      </c>
      <c r="F529" s="584"/>
      <c r="G529" t="str">
        <f>_xlfn.XLOOKUP(A529, Extraídas!A:A, Extraídas!G:G, "")</f>
        <v/>
      </c>
    </row>
    <row r="530" spans="1:7" ht="15" thickBot="1" x14ac:dyDescent="0.35">
      <c r="A530" s="632" t="s">
        <v>660</v>
      </c>
      <c r="B530" s="255" t="str">
        <f>IFERROR(
   IF(INDEX(Extraídas!B:B,MATCH(LEFT($A530,6)&amp;"*",Extraídas!A:A,0))="Extraídas",
      "✅ En proceso",
      IF(INDEX(Extraídas!B:B,MATCH(LEFT($A530,6)&amp;"*",Extraídas!A:A,0))="Recibidas",
         "⏳ Pendiente","❌ No ingresada")),
   "❌ No ingresada"
)</f>
        <v>✅ En proceso</v>
      </c>
      <c r="C530" s="255" t="str">
        <f t="array" ref="C530">IFERROR(
   IF(INDEX([1]PCRs!B:B,MATCH(LEFT($A530,6)&amp;"*",[1]PCRs!A:A,0))="Positivo",
      "✅ Positivo",
      IF(INDEX([1]PCRs!B:B,MATCH(LEFT($A530,6)&amp;"*",[1]PCRs!A:A,0))="Negativo",
         "❌ Negativo",
         "⏳ No realizado")),
   "⏳ No realizado"
)</f>
        <v>❌ Negativo</v>
      </c>
      <c r="D530" s="255" t="str">
        <f>IFERROR(
   CHOOSE(
      MATCH(VLOOKUP(LEFT(A577,6)&amp;"*",'Identificación genética'!A:C,2,FALSE),
               {"En proceso";"Finalizado"},0),
      "🔬 En proceso",
      "🎯 Finalizado"
   ),
"❌ NA")</f>
        <v>🎯 Finalizado</v>
      </c>
      <c r="E530" t="s">
        <v>85</v>
      </c>
      <c r="F530" s="596">
        <v>45757</v>
      </c>
      <c r="G530" t="str">
        <f>_xlfn.XLOOKUP(A530, Extraídas!A:A, Extraídas!G:G, "")</f>
        <v>Cianobacterias</v>
      </c>
    </row>
    <row r="531" spans="1:7" ht="15" thickBot="1" x14ac:dyDescent="0.35">
      <c r="A531" s="256" t="s">
        <v>1061</v>
      </c>
      <c r="B531" t="str">
        <f t="array" ref="B531">IFERROR(
   IF(INDEX([1]Extraídas!B:B,MATCH(LEFT($A531,6)&amp;"*",[1]Extraídas!A:A,0))="Extraídas",
      "✅ En proceso",
      IF(INDEX([1]Extraídas!B:B,MATCH(LEFT($A531,6)&amp;"*",[1]Extraídas!A:A,0))="Recibidas",
         "⏳ Pendiente","❌ No ingresada")),
   "❌ No ingresada"
)</f>
        <v>✅ En proceso</v>
      </c>
      <c r="C531" s="255" t="str">
        <f t="array" ref="C531">IFERROR(
   IF(INDEX([1]PCRs!B:B,MATCH(LEFT($A531,6)&amp;"*",[1]PCRs!A:A,0))="Positivo",
      "✅ Positivo",
      IF(INDEX([1]PCRs!B:B,MATCH(LEFT($A531,6)&amp;"*",[1]PCRs!A:A,0))="Negativo",
         "❌ Negativo",
         "⏳ No realizado")),
   "⏳ No realizado"
)</f>
        <v>❌ Negativo</v>
      </c>
      <c r="D531" s="255" t="str">
        <f>IFERROR(
   CHOOSE(
      MATCH(VLOOKUP(LEFT(A578,6)&amp;"*",'Identificación genética'!A:C,2,FALSE),
               {"En proceso";"Finalizado"},0),
      "🔬 En proceso",
      "🎯 Finalizado"
   ),
"❌ NA")</f>
        <v>🎯 Finalizado</v>
      </c>
      <c r="E531" t="s">
        <v>85</v>
      </c>
      <c r="F531" s="594"/>
      <c r="G531" t="str">
        <f>_xlfn.XLOOKUP(A531, Extraídas!A:A, Extraídas!G:G, "")</f>
        <v/>
      </c>
    </row>
    <row r="532" spans="1:7" ht="15" thickBot="1" x14ac:dyDescent="0.35">
      <c r="A532" s="631" t="s">
        <v>661</v>
      </c>
      <c r="B532" s="255" t="str">
        <f t="array" ref="B532">IFERROR(
   IF(INDEX([1]Extraídas!B:B,MATCH(LEFT($A532,6)&amp;"*",[1]Extraídas!A:A,0))="Extraídas",
      "✅ En proceso",
      IF(INDEX([1]Extraídas!B:B,MATCH(LEFT($A532,6)&amp;"*",[1]Extraídas!A:A,0))="Recibidas",
         "⏳ Pendiente","❌ No ingresada")),
   "❌ No ingresada"
)</f>
        <v>✅ En proceso</v>
      </c>
      <c r="C532" s="255" t="str">
        <f t="array" ref="C532">IFERROR(
   IF(INDEX([1]PCRs!B:B,MATCH(LEFT($A532,6)&amp;"*",[1]PCRs!A:A,0))="Positivo",
      "✅ Positivo",
      IF(INDEX([1]PCRs!B:B,MATCH(LEFT($A532,6)&amp;"*",[1]PCRs!A:A,0))="Negativo",
         "❌ Negativo",
         "⏳ No realizado")),
   "⏳ No realizado"
)</f>
        <v>❌ Negativo</v>
      </c>
      <c r="D532" s="255" t="str">
        <f>IFERROR(
   CHOOSE(
      MATCH(VLOOKUP(LEFT(A579,6)&amp;"*",'Identificación genética'!A:C,2,FALSE),
               {"En proceso";"Finalizado"},0),
      "🔬 En proceso",
      "🎯 Finalizado"
   ),
"❌ NA")</f>
        <v>🎯 Finalizado</v>
      </c>
      <c r="E532" t="s">
        <v>85</v>
      </c>
      <c r="F532" s="621">
        <v>45768</v>
      </c>
      <c r="G532" t="str">
        <f>_xlfn.XLOOKUP(A532, Extraídas!A:A, Extraídas!G:G, "")</f>
        <v>Chlorophyceae</v>
      </c>
    </row>
    <row r="533" spans="1:7" ht="15" thickBot="1" x14ac:dyDescent="0.35">
      <c r="A533" s="256" t="s">
        <v>1062</v>
      </c>
      <c r="B533" t="str">
        <f t="array" ref="B533">IFERROR(
   IF(INDEX([1]Extraídas!B:B,MATCH(LEFT($A533,6)&amp;"*",[1]Extraídas!A:A,0))="Extraídas",
      "✅ En proceso",
      IF(INDEX([1]Extraídas!B:B,MATCH(LEFT($A533,6)&amp;"*",[1]Extraídas!A:A,0))="Recibidas",
         "⏳ Pendiente","❌ No ingresada")),
   "❌ No ingresada"
)</f>
        <v>✅ En proceso</v>
      </c>
      <c r="C533" s="255" t="str">
        <f t="array" ref="C533">IFERROR(
   IF(INDEX([1]PCRs!B:B,MATCH(LEFT($A533,6)&amp;"*",[1]PCRs!A:A,0))="Positivo",
      "✅ Positivo",
      IF(INDEX([1]PCRs!B:B,MATCH(LEFT($A533,6)&amp;"*",[1]PCRs!A:A,0))="Negativo",
         "❌ Negativo",
         "⏳ No realizado")),
   "⏳ No realizado"
)</f>
        <v>❌ Negativo</v>
      </c>
      <c r="D533" s="255" t="str">
        <f>IFERROR(
   CHOOSE(
      MATCH(VLOOKUP(LEFT(A580,6)&amp;"*",'Identificación genética'!A:C,2,FALSE),
               {"En proceso";"Finalizado"},0),
      "🔬 En proceso",
      "🎯 Finalizado"
   ),
"❌ NA")</f>
        <v>🎯 Finalizado</v>
      </c>
      <c r="E533" t="s">
        <v>85</v>
      </c>
      <c r="F533" s="580"/>
      <c r="G533" t="str">
        <f>_xlfn.XLOOKUP(A533, Extraídas!A:A, Extraídas!G:G, "")</f>
        <v/>
      </c>
    </row>
    <row r="534" spans="1:7" ht="15" thickBot="1" x14ac:dyDescent="0.35">
      <c r="A534" s="631" t="s">
        <v>662</v>
      </c>
      <c r="B534" s="255" t="str">
        <f t="array" ref="B534">IFERROR(
   IF(INDEX([1]Extraídas!B:B,MATCH(LEFT($A534,6)&amp;"*",[1]Extraídas!A:A,0))="Extraídas",
      "✅ En proceso",
      IF(INDEX([1]Extraídas!B:B,MATCH(LEFT($A534,6)&amp;"*",[1]Extraídas!A:A,0))="Recibidas",
         "⏳ Pendiente","❌ No ingresada")),
   "❌ No ingresada"
)</f>
        <v>✅ En proceso</v>
      </c>
      <c r="C534" s="255" t="str">
        <f t="array" ref="C534">IFERROR(
   IF(INDEX([1]PCRs!B:B,MATCH(LEFT($A534,6)&amp;"*",[1]PCRs!A:A,0))="Positivo",
      "✅ Positivo",
      IF(INDEX([1]PCRs!B:B,MATCH(LEFT($A534,6)&amp;"*",[1]PCRs!A:A,0))="Negativo",
         "❌ Negativo",
         "⏳ No realizado")),
   "⏳ No realizado"
)</f>
        <v>❌ Negativo</v>
      </c>
      <c r="D534" s="255" t="str">
        <f>IFERROR(
   CHOOSE(
      MATCH(VLOOKUP(LEFT(A581,6)&amp;"*",'Identificación genética'!A:C,2,FALSE),
               {"En proceso";"Finalizado"},0),
      "🔬 En proceso",
      "🎯 Finalizado"
   ),
"❌ NA")</f>
        <v>🎯 Finalizado</v>
      </c>
      <c r="E534" t="s">
        <v>85</v>
      </c>
      <c r="F534" s="621">
        <v>45768</v>
      </c>
      <c r="G534" t="str">
        <f>_xlfn.XLOOKUP(A534, Extraídas!A:A, Extraídas!G:G, "")</f>
        <v>Chlorophyceae</v>
      </c>
    </row>
    <row r="535" spans="1:7" ht="15" thickBot="1" x14ac:dyDescent="0.35">
      <c r="A535" s="256" t="s">
        <v>1057</v>
      </c>
      <c r="B535" s="255" t="str">
        <f>IFERROR(
   IF(INDEX(Extraídas!B:B,MATCH(LEFT($A535,6)&amp;"*",Extraídas!A:A,0))="Extraídas",
      "✅ En proceso",
      IF(INDEX(Extraídas!B:B,MATCH(LEFT($A535,6)&amp;"*",Extraídas!A:A,0))="Recibidas",
         "⏳ Pendiente","❌ No ingresada")),
   "❌ No ingresada"
)</f>
        <v>✅ En proceso</v>
      </c>
      <c r="C535" s="255" t="str">
        <f t="array" ref="C535">IFERROR(
   IF(INDEX([1]PCRs!B:B,MATCH(LEFT($A535,6)&amp;"*",[1]PCRs!A:A,0))="Positivo",
      "✅ Positivo",
      IF(INDEX([1]PCRs!B:B,MATCH(LEFT($A535,6)&amp;"*",[1]PCRs!A:A,0))="Negativo",
         "❌ Negativo",
         "⏳ No realizado")),
   "⏳ No realizado"
)</f>
        <v>❌ Negativo</v>
      </c>
      <c r="D535" s="255" t="str">
        <f>IFERROR(
   CHOOSE(
      MATCH(VLOOKUP(LEFT(A582,6)&amp;"*",'Identificación genética'!A:C,2,FALSE),
               {"En proceso";"Finalizado"},0),
      "🔬 En proceso",
      "🎯 Finalizado"
   ),
"❌ NA")</f>
        <v>🎯 Finalizado</v>
      </c>
      <c r="E535" t="s">
        <v>85</v>
      </c>
      <c r="F535" s="580"/>
      <c r="G535" t="str">
        <f>_xlfn.XLOOKUP(A535, Extraídas!A:A, Extraídas!G:G, "")</f>
        <v/>
      </c>
    </row>
    <row r="536" spans="1:7" ht="15" thickBot="1" x14ac:dyDescent="0.35">
      <c r="A536" s="630" t="s">
        <v>663</v>
      </c>
      <c r="B536" s="255" t="str">
        <f>IFERROR(
   IF(INDEX(Extraídas!B:B,MATCH(LEFT($A536,6)&amp;"*",Extraídas!A:A,0))="Extraídas",
      "✅ En proceso",
      IF(INDEX(Extraídas!B:B,MATCH(LEFT($A536,6)&amp;"*",Extraídas!A:A,0))="Recibidas",
         "⏳ Pendiente","❌ No ingresada")),
   "❌ No ingresada"
)</f>
        <v>✅ En proceso</v>
      </c>
      <c r="C536" s="255" t="str">
        <f t="array" ref="C536">IFERROR(
   IF(INDEX([1]PCRs!B:B,MATCH(LEFT($A536,6)&amp;"*",[1]PCRs!A:A,0))="Positivo",
      "✅ Positivo",
      IF(INDEX([1]PCRs!B:B,MATCH(LEFT($A536,6)&amp;"*",[1]PCRs!A:A,0))="Negativo",
         "❌ Negativo",
         "⏳ No realizado")),
   "⏳ No realizado"
)</f>
        <v>❌ Negativo</v>
      </c>
      <c r="D536" s="255" t="str">
        <f>IFERROR(
   CHOOSE(
      MATCH(VLOOKUP(LEFT(A583,6)&amp;"*",'Identificación genética'!A:C,2,FALSE),
               {"En proceso";"Finalizado"},0),
      "🔬 En proceso",
      "🎯 Finalizado"
   ),
"❌ NA")</f>
        <v>🎯 Finalizado</v>
      </c>
      <c r="E536" t="s">
        <v>85</v>
      </c>
      <c r="F536" s="121">
        <v>45817</v>
      </c>
      <c r="G536" t="str">
        <f>_xlfn.XLOOKUP(A536, Extraídas!A:A, Extraídas!G:G, "")</f>
        <v>Cianobacterias</v>
      </c>
    </row>
    <row r="537" spans="1:7" x14ac:dyDescent="0.3">
      <c r="A537" s="631" t="s">
        <v>664</v>
      </c>
      <c r="B537" s="255" t="str">
        <f>IFERROR(
   IF(INDEX(Extraídas!B:B,MATCH(LEFT($A537,6)&amp;"*",Extraídas!A:A,0))="Extraídas",
      "✅ En proceso",
      IF(INDEX(Extraídas!B:B,MATCH(LEFT($A537,6)&amp;"*",Extraídas!A:A,0))="Recibidas",
         "⏳ Pendiente","❌ No ingresada")),
   "❌ No ingresada"
)</f>
        <v>✅ En proceso</v>
      </c>
      <c r="C537" s="255" t="str">
        <f t="array" ref="C537">IFERROR(
   IF(INDEX([1]PCRs!B:B,MATCH(LEFT($A537,6)&amp;"*",[1]PCRs!A:A,0))="Positivo",
      "✅ Positivo",
      IF(INDEX([1]PCRs!B:B,MATCH(LEFT($A537,6)&amp;"*",[1]PCRs!A:A,0))="Negativo",
         "❌ Negativo",
         "⏳ No realizado")),
   "⏳ No realizado"
)</f>
        <v>❌ Negativo</v>
      </c>
      <c r="D537" s="255" t="str">
        <f>IFERROR(
   CHOOSE(
      MATCH(VLOOKUP(LEFT(A584,6)&amp;"*",'Identificación genética'!A:C,2,FALSE),
               {"En proceso";"Finalizado"},0),
      "🔬 En proceso",
      "🎯 Finalizado"
   ),
"❌ NA")</f>
        <v>🎯 Finalizado</v>
      </c>
      <c r="E537" t="s">
        <v>85</v>
      </c>
      <c r="F537" s="583">
        <v>45931</v>
      </c>
      <c r="G537" t="str">
        <f>_xlfn.XLOOKUP(A537, Extraídas!A:A, Extraídas!G:G, "")</f>
        <v>Microalgas</v>
      </c>
    </row>
    <row r="538" spans="1:7" ht="15" thickBot="1" x14ac:dyDescent="0.35">
      <c r="A538" s="631" t="s">
        <v>665</v>
      </c>
      <c r="B538" s="255" t="str">
        <f>IFERROR(
   IF(INDEX(Extraídas!B:B,MATCH(LEFT($A538,6)&amp;"*",Extraídas!A:A,0))="Extraídas",
      "✅ En proceso",
      IF(INDEX(Extraídas!B:B,MATCH(LEFT($A538,6)&amp;"*",Extraídas!A:A,0))="Recibidas",
         "⏳ Pendiente","❌ No ingresada")),
   "❌ No ingresada"
)</f>
        <v>✅ En proceso</v>
      </c>
      <c r="C538" s="255" t="str">
        <f t="array" ref="C538">IFERROR(
   IF(INDEX([1]PCRs!B:B,MATCH(LEFT($A538,6)&amp;"*",[1]PCRs!A:A,0))="Positivo",
      "✅ Positivo",
      IF(INDEX([1]PCRs!B:B,MATCH(LEFT($A538,6)&amp;"*",[1]PCRs!A:A,0))="Negativo",
         "❌ Negativo",
         "⏳ No realizado")),
   "⏳ No realizado"
)</f>
        <v>❌ Negativo</v>
      </c>
      <c r="D538" s="255" t="str">
        <f>IFERROR(
   CHOOSE(
      MATCH(VLOOKUP(LEFT(A585,6)&amp;"*",'Identificación genética'!A:C,2,FALSE),
               {"En proceso";"Finalizado"},0),
      "🔬 En proceso",
      "🎯 Finalizado"
   ),
"❌ NA")</f>
        <v>🎯 Finalizado</v>
      </c>
      <c r="E538" t="s">
        <v>85</v>
      </c>
      <c r="F538" s="29">
        <v>45768</v>
      </c>
      <c r="G538" t="str">
        <f>_xlfn.XLOOKUP(A538, Extraídas!A:A, Extraídas!G:G, "")</f>
        <v>Trebouxiophyceae</v>
      </c>
    </row>
    <row r="539" spans="1:7" ht="15" thickBot="1" x14ac:dyDescent="0.35">
      <c r="A539" s="631" t="s">
        <v>666</v>
      </c>
      <c r="B539" s="255" t="str">
        <f>IFERROR(
   IF(INDEX(Extraídas!B:B,MATCH(LEFT($A539,6)&amp;"*",Extraídas!A:A,0))="Extraídas",
      "✅ En proceso",
      IF(INDEX(Extraídas!B:B,MATCH(LEFT($A539,6)&amp;"*",Extraídas!A:A,0))="Recibidas",
         "⏳ Pendiente","❌ No ingresada")),
   "❌ No ingresada"
)</f>
        <v>✅ En proceso</v>
      </c>
      <c r="C539" s="255" t="str">
        <f t="array" ref="C539">IFERROR(
   IF(INDEX([1]PCRs!B:B,MATCH(LEFT($A539,6)&amp;"*",[1]PCRs!A:A,0))="Positivo",
      "✅ Positivo",
      IF(INDEX([1]PCRs!B:B,MATCH(LEFT($A539,6)&amp;"*",[1]PCRs!A:A,0))="Negativo",
         "❌ Negativo",
         "⏳ No realizado")),
   "⏳ No realizado"
)</f>
        <v>❌ Negativo</v>
      </c>
      <c r="D539" s="255" t="str">
        <f>IFERROR(
   CHOOSE(
      MATCH(VLOOKUP(LEFT(A586,6)&amp;"*",'Identificación genética'!A:C,2,FALSE),
               {"En proceso";"Finalizado"},0),
      "🔬 En proceso",
      "🎯 Finalizado"
   ),
"❌ NA")</f>
        <v>🎯 Finalizado</v>
      </c>
      <c r="E539" t="s">
        <v>85</v>
      </c>
      <c r="F539" s="130">
        <v>45768</v>
      </c>
      <c r="G539" t="str">
        <f>_xlfn.XLOOKUP(A539, Extraídas!A:A, Extraídas!G:G, "")</f>
        <v>Trebouxiophyceae</v>
      </c>
    </row>
    <row r="540" spans="1:7" ht="15" thickBot="1" x14ac:dyDescent="0.35">
      <c r="A540" s="631" t="s">
        <v>667</v>
      </c>
      <c r="B540" s="255" t="str">
        <f>IFERROR(
   IF(INDEX(Extraídas!B:B,MATCH(LEFT($A540,6)&amp;"*",Extraídas!A:A,0))="Extraídas",
      "✅ En proceso",
      IF(INDEX(Extraídas!B:B,MATCH(LEFT($A540,6)&amp;"*",Extraídas!A:A,0))="Recibidas",
         "⏳ Pendiente","❌ No ingresada")),
   "❌ No ingresada"
)</f>
        <v>✅ En proceso</v>
      </c>
      <c r="C540" s="255" t="str">
        <f t="array" ref="C540">IFERROR(
   IF(INDEX([1]PCRs!B:B,MATCH(LEFT($A540,6)&amp;"*",[1]PCRs!A:A,0))="Positivo",
      "✅ Positivo",
      IF(INDEX([1]PCRs!B:B,MATCH(LEFT($A540,6)&amp;"*",[1]PCRs!A:A,0))="Negativo",
         "❌ Negativo",
         "⏳ No realizado")),
   "⏳ No realizado"
)</f>
        <v>❌ Negativo</v>
      </c>
      <c r="D540" s="255" t="str">
        <f>IFERROR(
   CHOOSE(
      MATCH(VLOOKUP(LEFT(A587,6)&amp;"*",'Identificación genética'!A:C,2,FALSE),
               {"En proceso";"Finalizado"},0),
      "🔬 En proceso",
      "🎯 Finalizado"
   ),
"❌ NA")</f>
        <v>🎯 Finalizado</v>
      </c>
      <c r="E540" t="s">
        <v>85</v>
      </c>
      <c r="F540" s="130">
        <v>45768</v>
      </c>
      <c r="G540" t="str">
        <f>_xlfn.XLOOKUP(A540, Extraídas!A:A, Extraídas!G:G, "")</f>
        <v>Chlorophyceae</v>
      </c>
    </row>
    <row r="541" spans="1:7" x14ac:dyDescent="0.3">
      <c r="A541" s="567" t="s">
        <v>2221</v>
      </c>
      <c r="B541" s="255" t="str">
        <f>IFERROR(
   IF(INDEX(Extraídas!B:B,MATCH(LEFT($A541,6)&amp;"*",Extraídas!A:A,0))="Extraídas",
      "✅ En proceso",
      IF(INDEX(Extraídas!B:B,MATCH(LEFT($A541,6)&amp;"*",Extraídas!A:A,0))="Recibidas",
         "⏳ Pendiente","❌ No ingresada")),
   "❌ No ingresada"
)</f>
        <v>✅ En proceso</v>
      </c>
      <c r="C541" s="255" t="str">
        <f t="array" ref="C541">IFERROR(
   IF(INDEX([1]PCRs!B:B,MATCH(LEFT($A541,6)&amp;"*",[1]PCRs!A:A,0))="Positivo",
      "✅ Positivo",
      IF(INDEX([1]PCRs!B:B,MATCH(LEFT($A541,6)&amp;"*",[1]PCRs!A:A,0))="Negativo",
         "❌ Negativo",
         "⏳ No realizado")),
   "⏳ No realizado"
)</f>
        <v>❌ Negativo</v>
      </c>
      <c r="D541" s="255" t="str">
        <f>IFERROR(
   CHOOSE(
      MATCH(VLOOKUP(LEFT(A588,6)&amp;"*",'Identificación genética'!A:C,2,FALSE),
               {"En proceso";"Finalizado"},0),
      "🔬 En proceso",
      "🎯 Finalizado"
   ),
"❌ NA")</f>
        <v>🎯 Finalizado</v>
      </c>
      <c r="E541" t="s">
        <v>85</v>
      </c>
      <c r="G541" t="str">
        <f>_xlfn.XLOOKUP(A541, Extraídas!A:A, Extraídas!G:G, "")</f>
        <v/>
      </c>
    </row>
    <row r="542" spans="1:7" ht="15" thickBot="1" x14ac:dyDescent="0.35">
      <c r="A542" s="631" t="s">
        <v>668</v>
      </c>
      <c r="B542" s="255" t="str">
        <f>IFERROR(
   IF(INDEX(Extraídas!B:B,MATCH(LEFT($A542,6)&amp;"*",Extraídas!A:A,0))="Extraídas",
      "✅ En proceso",
      IF(INDEX(Extraídas!B:B,MATCH(LEFT($A542,6)&amp;"*",Extraídas!A:A,0))="Recibidas",
         "⏳ Pendiente","❌ No ingresada")),
   "❌ No ingresada"
)</f>
        <v>✅ En proceso</v>
      </c>
      <c r="C542" s="255" t="str">
        <f t="array" ref="C542">IFERROR(
   IF(INDEX([1]PCRs!B:B,MATCH(LEFT($A542,6)&amp;"*",[1]PCRs!A:A,0))="Positivo",
      "✅ Positivo",
      IF(INDEX([1]PCRs!B:B,MATCH(LEFT($A542,6)&amp;"*",[1]PCRs!A:A,0))="Negativo",
         "❌ Negativo",
         "⏳ No realizado")),
   "⏳ No realizado"
)</f>
        <v>❌ Negativo</v>
      </c>
      <c r="D542" s="255" t="str">
        <f>IFERROR(
   CHOOSE(
      MATCH(VLOOKUP(LEFT(A589,6)&amp;"*",'Identificación genética'!A:C,2,FALSE),
               {"En proceso";"Finalizado"},0),
      "🔬 En proceso",
      "🎯 Finalizado"
   ),
"❌ NA")</f>
        <v>🎯 Finalizado</v>
      </c>
      <c r="E542" t="s">
        <v>85</v>
      </c>
      <c r="F542" s="110">
        <v>45925</v>
      </c>
      <c r="G542" t="str">
        <f>_xlfn.XLOOKUP(A542, Extraídas!A:A, Extraídas!G:G, "")</f>
        <v>Microalgas</v>
      </c>
    </row>
    <row r="543" spans="1:7" ht="15" thickBot="1" x14ac:dyDescent="0.35">
      <c r="A543" s="256" t="s">
        <v>1135</v>
      </c>
      <c r="B543" s="255" t="str">
        <f>IFERROR(
   IF(INDEX(Extraídas!B:B,MATCH(LEFT($A543,6)&amp;"*",Extraídas!A:A,0))="Extraídas",
      "✅ En proceso",
      IF(INDEX(Extraídas!B:B,MATCH(LEFT($A543,6)&amp;"*",Extraídas!A:A,0))="Recibidas",
         "⏳ Pendiente","❌ No ingresada")),
   "❌ No ingresada"
)</f>
        <v>✅ En proceso</v>
      </c>
      <c r="C543" s="255" t="str">
        <f t="array" ref="C543">IFERROR(
   IF(INDEX([1]PCRs!B:B,MATCH(LEFT($A543,6)&amp;"*",[1]PCRs!A:A,0))="Positivo",
      "✅ Positivo",
      IF(INDEX([1]PCRs!B:B,MATCH(LEFT($A543,6)&amp;"*",[1]PCRs!A:A,0))="Negativo",
         "❌ Negativo",
         "⏳ No realizado")),
   "⏳ No realizado"
)</f>
        <v>❌ Negativo</v>
      </c>
      <c r="D543" s="255" t="str">
        <f>IFERROR(
   CHOOSE(
      MATCH(VLOOKUP(LEFT(A590,6)&amp;"*",'Identificación genética'!A:C,2,FALSE),
               {"En proceso";"Finalizado"},0),
      "🔬 En proceso",
      "🎯 Finalizado"
   ),
"❌ NA")</f>
        <v>🎯 Finalizado</v>
      </c>
      <c r="E543" t="s">
        <v>85</v>
      </c>
      <c r="F543" s="594"/>
      <c r="G543" t="str">
        <f>_xlfn.XLOOKUP(A543, Extraídas!A:A, Extraídas!G:G, "")</f>
        <v/>
      </c>
    </row>
    <row r="544" spans="1:7" ht="15" thickBot="1" x14ac:dyDescent="0.35">
      <c r="A544" s="632" t="s">
        <v>669</v>
      </c>
      <c r="B544" s="255" t="str">
        <f>IFERROR(
   IF(INDEX(Extraídas!B:B,MATCH(LEFT($A544,6)&amp;"*",Extraídas!A:A,0))="Extraídas",
      "✅ En proceso",
      IF(INDEX(Extraídas!B:B,MATCH(LEFT($A544,6)&amp;"*",Extraídas!A:A,0))="Recibidas",
         "⏳ Pendiente","❌ No ingresada")),
   "❌ No ingresada"
)</f>
        <v>✅ En proceso</v>
      </c>
      <c r="C544" s="255" t="str">
        <f t="array" ref="C544">IFERROR(
   IF(INDEX([1]PCRs!B:B,MATCH(LEFT($A544,6)&amp;"*",[1]PCRs!A:A,0))="Positivo",
      "✅ Positivo",
      IF(INDEX([1]PCRs!B:B,MATCH(LEFT($A544,6)&amp;"*",[1]PCRs!A:A,0))="Negativo",
         "❌ Negativo",
         "⏳ No realizado")),
   "⏳ No realizado"
)</f>
        <v>❌ Negativo</v>
      </c>
      <c r="D544" s="255" t="str">
        <f>IFERROR(
   CHOOSE(
      MATCH(VLOOKUP(LEFT(A591,6)&amp;"*",'Identificación genética'!A:C,2,FALSE),
               {"En proceso";"Finalizado"},0),
      "🔬 En proceso",
      "🎯 Finalizado"
   ),
"❌ NA")</f>
        <v>🎯 Finalizado</v>
      </c>
      <c r="E544" t="s">
        <v>85</v>
      </c>
      <c r="F544" s="590">
        <v>45705</v>
      </c>
      <c r="G544" t="str">
        <f>_xlfn.XLOOKUP(A544, Extraídas!A:A, Extraídas!G:G, "")</f>
        <v>Cianobacterias</v>
      </c>
    </row>
    <row r="545" spans="1:7" ht="15" thickBot="1" x14ac:dyDescent="0.35">
      <c r="A545" s="632" t="s">
        <v>670</v>
      </c>
      <c r="B545" s="255" t="str">
        <f>IFERROR(
   IF(INDEX(Extraídas!B:B,MATCH(LEFT($A545,6)&amp;"*",Extraídas!A:A,0))="Extraídas",
      "✅ En proceso",
      IF(INDEX(Extraídas!B:B,MATCH(LEFT($A545,6)&amp;"*",Extraídas!A:A,0))="Recibidas",
         "⏳ Pendiente","❌ No ingresada")),
   "❌ No ingresada"
)</f>
        <v>✅ En proceso</v>
      </c>
      <c r="C545" s="255" t="str">
        <f t="array" ref="C545">IFERROR(
   IF(INDEX([1]PCRs!B:B,MATCH(LEFT($A545,6)&amp;"*",[1]PCRs!A:A,0))="Positivo",
      "✅ Positivo",
      IF(INDEX([1]PCRs!B:B,MATCH(LEFT($A545,6)&amp;"*",[1]PCRs!A:A,0))="Negativo",
         "❌ Negativo",
         "⏳ No realizado")),
   "⏳ No realizado"
)</f>
        <v>❌ Negativo</v>
      </c>
      <c r="D545" s="255" t="str">
        <f>IFERROR(
   CHOOSE(
      MATCH(VLOOKUP(LEFT(A592,6)&amp;"*",'Identificación genética'!A:C,2,FALSE),
               {"En proceso";"Finalizado"},0),
      "🔬 En proceso",
      "🎯 Finalizado"
   ),
"❌ NA")</f>
        <v>🎯 Finalizado</v>
      </c>
      <c r="E545" t="s">
        <v>85</v>
      </c>
      <c r="F545" s="596">
        <v>45705</v>
      </c>
      <c r="G545" t="str">
        <f>_xlfn.XLOOKUP(A545, Extraídas!A:A, Extraídas!G:G, "")</f>
        <v>Cianobacterias</v>
      </c>
    </row>
    <row r="546" spans="1:7" ht="15" thickBot="1" x14ac:dyDescent="0.35">
      <c r="A546" s="630" t="s">
        <v>671</v>
      </c>
      <c r="B546" s="255" t="str">
        <f>IFERROR(
   IF(INDEX(Extraídas!B:B,MATCH(LEFT($A546,6)&amp;"*",Extraídas!A:A,0))="Extraídas",
      "✅ En proceso",
      IF(INDEX(Extraídas!B:B,MATCH(LEFT($A546,6)&amp;"*",Extraídas!A:A,0))="Recibidas",
         "⏳ Pendiente","❌ No ingresada")),
   "❌ No ingresada"
)</f>
        <v>✅ En proceso</v>
      </c>
      <c r="C546" s="255" t="str">
        <f t="array" ref="C546">IFERROR(
   IF(INDEX([1]PCRs!B:B,MATCH(LEFT($A546,6)&amp;"*",[1]PCRs!A:A,0))="Positivo",
      "✅ Positivo",
      IF(INDEX([1]PCRs!B:B,MATCH(LEFT($A546,6)&amp;"*",[1]PCRs!A:A,0))="Negativo",
         "❌ Negativo",
         "⏳ No realizado")),
   "⏳ No realizado"
)</f>
        <v>❌ Negativo</v>
      </c>
      <c r="D546" s="255" t="str">
        <f>IFERROR(
   CHOOSE(
      MATCH(VLOOKUP(LEFT(A593,6)&amp;"*",'Identificación genética'!A:C,2,FALSE),
               {"En proceso";"Finalizado"},0),
      "🔬 En proceso",
      "🎯 Finalizado"
   ),
"❌ NA")</f>
        <v>🎯 Finalizado</v>
      </c>
      <c r="E546" t="s">
        <v>85</v>
      </c>
      <c r="F546" s="596">
        <v>45757</v>
      </c>
      <c r="G546" t="str">
        <f>_xlfn.XLOOKUP(A546, Extraídas!A:A, Extraídas!G:G, "")</f>
        <v>Cianobacterias</v>
      </c>
    </row>
    <row r="547" spans="1:7" ht="15" thickBot="1" x14ac:dyDescent="0.35">
      <c r="A547" s="631" t="s">
        <v>672</v>
      </c>
      <c r="B547" s="255" t="str">
        <f>IFERROR(
   IF(INDEX(Extraídas!B:B,MATCH(LEFT($A547,6)&amp;"*",Extraídas!A:A,0))="Extraídas",
      "✅ En proceso",
      IF(INDEX(Extraídas!B:B,MATCH(LEFT($A547,6)&amp;"*",Extraídas!A:A,0))="Recibidas",
         "⏳ Pendiente","❌ No ingresada")),
   "❌ No ingresada"
)</f>
        <v>✅ En proceso</v>
      </c>
      <c r="C547" s="255" t="str">
        <f t="array" ref="C547">IFERROR(
   IF(INDEX([1]PCRs!B:B,MATCH(LEFT($A547,6)&amp;"*",[1]PCRs!A:A,0))="Positivo",
      "✅ Positivo",
      IF(INDEX([1]PCRs!B:B,MATCH(LEFT($A547,6)&amp;"*",[1]PCRs!A:A,0))="Negativo",
         "❌ Negativo",
         "⏳ No realizado")),
   "⏳ No realizado"
)</f>
        <v>❌ Negativo</v>
      </c>
      <c r="D547" s="255" t="str">
        <f>IFERROR(
   CHOOSE(
      MATCH(VLOOKUP(LEFT(A594,6)&amp;"*",'Identificación genética'!A:C,2,FALSE),
               {"En proceso";"Finalizado"},0),
      "🔬 En proceso",
      "🎯 Finalizado"
   ),
"❌ NA")</f>
        <v>🎯 Finalizado</v>
      </c>
      <c r="E547" t="s">
        <v>85</v>
      </c>
      <c r="F547" s="595">
        <v>45940</v>
      </c>
      <c r="G547" t="str">
        <f>_xlfn.XLOOKUP(A547, Extraídas!A:A, Extraídas!G:G, "")</f>
        <v>Microalgas</v>
      </c>
    </row>
    <row r="548" spans="1:7" x14ac:dyDescent="0.3">
      <c r="A548" s="567" t="s">
        <v>1614</v>
      </c>
      <c r="B548" s="255" t="str">
        <f>IFERROR(
   IF(INDEX(Extraídas!B:B,MATCH(LEFT($A548,6)&amp;"*",Extraídas!A:A,0))="Extraídas",
      "✅ En proceso",
      IF(INDEX(Extraídas!B:B,MATCH(LEFT($A548,6)&amp;"*",Extraídas!A:A,0))="Recibidas",
         "⏳ Pendiente","❌ No ingresada")),
   "❌ No ingresada"
)</f>
        <v>✅ En proceso</v>
      </c>
      <c r="C548" s="255" t="str">
        <f t="array" ref="C548">IFERROR(
   IF(INDEX([1]PCRs!B:B,MATCH(LEFT($A548,6)&amp;"*",[1]PCRs!A:A,0))="Positivo",
      "✅ Positivo",
      IF(INDEX([1]PCRs!B:B,MATCH(LEFT($A548,6)&amp;"*",[1]PCRs!A:A,0))="Negativo",
         "❌ Negativo",
         "⏳ No realizado")),
   "⏳ No realizado"
)</f>
        <v>❌ Negativo</v>
      </c>
      <c r="D548" s="255" t="str">
        <f>IFERROR(
   CHOOSE(
      MATCH(VLOOKUP(LEFT(A595,6)&amp;"*",'Identificación genética'!A:C,2,FALSE),
               {"En proceso";"Finalizado"},0),
      "🔬 En proceso",
      "🎯 Finalizado"
   ),
"❌ NA")</f>
        <v>🎯 Finalizado</v>
      </c>
      <c r="E548" t="s">
        <v>85</v>
      </c>
      <c r="G548" t="str">
        <f>_xlfn.XLOOKUP(A548, Extraídas!A:A, Extraídas!G:G, "")</f>
        <v/>
      </c>
    </row>
    <row r="549" spans="1:7" x14ac:dyDescent="0.3">
      <c r="A549" s="562" t="s">
        <v>2272</v>
      </c>
      <c r="B549" s="255" t="str">
        <f>IFERROR(
   IF(INDEX(Extraídas!B:B,MATCH(LEFT($A549,6)&amp;"*",Extraídas!A:A,0))="Extraídas",
      "✅ En proceso",
      IF(INDEX(Extraídas!B:B,MATCH(LEFT($A549,6)&amp;"*",Extraídas!A:A,0))="Recibidas",
         "⏳ Pendiente","❌ No ingresada")),
   "❌ No ingresada"
)</f>
        <v>✅ En proceso</v>
      </c>
      <c r="C549" s="255" t="str">
        <f t="array" ref="C549">IFERROR(
   IF(INDEX([1]PCRs!B:B,MATCH(LEFT($A549,6)&amp;"*",[1]PCRs!A:A,0))="Positivo",
      "✅ Positivo",
      IF(INDEX([1]PCRs!B:B,MATCH(LEFT($A549,6)&amp;"*",[1]PCRs!A:A,0))="Negativo",
         "❌ Negativo",
         "⏳ No realizado")),
   "⏳ No realizado"
)</f>
        <v>❌ Negativo</v>
      </c>
      <c r="D549" s="255" t="str">
        <f>IFERROR(
   CHOOSE(
      MATCH(VLOOKUP(LEFT(A596,6)&amp;"*",'Identificación genética'!A:C,2,FALSE),
               {"En proceso";"Finalizado"},0),
      "🔬 En proceso",
      "🎯 Finalizado"
   ),
"❌ NA")</f>
        <v>🎯 Finalizado</v>
      </c>
      <c r="E549" t="s">
        <v>85</v>
      </c>
      <c r="G549" t="str">
        <f>_xlfn.XLOOKUP(A549, Extraídas!A:A, Extraídas!G:G, "")</f>
        <v/>
      </c>
    </row>
    <row r="550" spans="1:7" x14ac:dyDescent="0.3">
      <c r="A550" s="631" t="s">
        <v>673</v>
      </c>
      <c r="B550" s="255" t="str">
        <f>IFERROR(
   IF(INDEX(Extraídas!B:B,MATCH(LEFT($A550,6)&amp;"*",Extraídas!A:A,0))="Extraídas",
      "✅ En proceso",
      IF(INDEX(Extraídas!B:B,MATCH(LEFT($A550,6)&amp;"*",Extraídas!A:A,0))="Recibidas",
         "⏳ Pendiente","❌ No ingresada")),
   "❌ No ingresada"
)</f>
        <v>✅ En proceso</v>
      </c>
      <c r="C550" s="255" t="str">
        <f t="array" ref="C550">IFERROR(
   IF(INDEX([1]PCRs!B:B,MATCH(LEFT($A550,6)&amp;"*",[1]PCRs!A:A,0))="Positivo",
      "✅ Positivo",
      IF(INDEX([1]PCRs!B:B,MATCH(LEFT($A550,6)&amp;"*",[1]PCRs!A:A,0))="Negativo",
         "❌ Negativo",
         "⏳ No realizado")),
   "⏳ No realizado"
)</f>
        <v>❌ Negativo</v>
      </c>
      <c r="D550" s="255" t="str">
        <f>IFERROR(
   CHOOSE(
      MATCH(VLOOKUP(LEFT(A597,6)&amp;"*",'Identificación genética'!A:C,2,FALSE),
               {"En proceso";"Finalizado"},0),
      "🔬 En proceso",
      "🎯 Finalizado"
   ),
"❌ NA")</f>
        <v>🎯 Finalizado</v>
      </c>
      <c r="E550" t="s">
        <v>85</v>
      </c>
      <c r="F550" s="583">
        <v>45940</v>
      </c>
      <c r="G550" t="str">
        <f>_xlfn.XLOOKUP(A550, Extraídas!A:A, Extraídas!G:G, "")</f>
        <v>Microalgas</v>
      </c>
    </row>
    <row r="551" spans="1:7" x14ac:dyDescent="0.3">
      <c r="A551" s="630" t="s">
        <v>674</v>
      </c>
      <c r="B551" s="255" t="str">
        <f>IFERROR(
   IF(INDEX(Extraídas!B:B,MATCH(LEFT($A551,6)&amp;"*",Extraídas!A:A,0))="Extraídas",
      "✅ En proceso",
      IF(INDEX(Extraídas!B:B,MATCH(LEFT($A551,6)&amp;"*",Extraídas!A:A,0))="Recibidas",
         "⏳ Pendiente","❌ No ingresada")),
   "❌ No ingresada"
)</f>
        <v>✅ En proceso</v>
      </c>
      <c r="C551" s="255" t="str">
        <f t="array" ref="C551">IFERROR(
   IF(INDEX([1]PCRs!B:B,MATCH(LEFT($A551,6)&amp;"*",[1]PCRs!A:A,0))="Positivo",
      "✅ Positivo",
      IF(INDEX([1]PCRs!B:B,MATCH(LEFT($A551,6)&amp;"*",[1]PCRs!A:A,0))="Negativo",
         "❌ Negativo",
         "⏳ No realizado")),
   "⏳ No realizado"
)</f>
        <v>❌ Negativo</v>
      </c>
      <c r="D551" s="255" t="str">
        <f>IFERROR(
   CHOOSE(
      MATCH(VLOOKUP(LEFT(A598,6)&amp;"*",'Identificación genética'!A:C,2,FALSE),
               {"En proceso";"Finalizado"},0),
      "🔬 En proceso",
      "🎯 Finalizado"
   ),
"❌ NA")</f>
        <v>🎯 Finalizado</v>
      </c>
      <c r="E551" t="s">
        <v>85</v>
      </c>
      <c r="F551" s="579">
        <v>45817</v>
      </c>
      <c r="G551" t="str">
        <f>_xlfn.XLOOKUP(A551, Extraídas!A:A, Extraídas!G:G, "")</f>
        <v>Cianobacterias</v>
      </c>
    </row>
    <row r="552" spans="1:7" x14ac:dyDescent="0.3">
      <c r="A552" s="631" t="s">
        <v>675</v>
      </c>
      <c r="B552" s="255" t="str">
        <f>IFERROR(
   IF(INDEX(Extraídas!B:B,MATCH(LEFT($A552,6)&amp;"*",Extraídas!A:A,0))="Extraídas",
      "✅ En proceso",
      IF(INDEX(Extraídas!B:B,MATCH(LEFT($A552,6)&amp;"*",Extraídas!A:A,0))="Recibidas",
         "⏳ Pendiente","❌ No ingresada")),
   "❌ No ingresada"
)</f>
        <v>✅ En proceso</v>
      </c>
      <c r="C552" s="255" t="str">
        <f t="array" ref="C552">IFERROR(
   IF(INDEX([1]PCRs!B:B,MATCH(LEFT($A552,6)&amp;"*",[1]PCRs!A:A,0))="Positivo",
      "✅ Positivo",
      IF(INDEX([1]PCRs!B:B,MATCH(LEFT($A552,6)&amp;"*",[1]PCRs!A:A,0))="Negativo",
         "❌ Negativo",
         "⏳ No realizado")),
   "⏳ No realizado"
)</f>
        <v>❌ Negativo</v>
      </c>
      <c r="D552" s="255" t="str">
        <f>IFERROR(
   CHOOSE(
      MATCH(VLOOKUP(LEFT(A599,6)&amp;"*",'Identificación genética'!A:C,2,FALSE),
               {"En proceso";"Finalizado"},0),
      "🔬 En proceso",
      "🎯 Finalizado"
   ),
"❌ NA")</f>
        <v>🎯 Finalizado</v>
      </c>
      <c r="E552" t="s">
        <v>85</v>
      </c>
      <c r="F552" s="583">
        <v>45931</v>
      </c>
      <c r="G552" t="str">
        <f>_xlfn.XLOOKUP(A552, Extraídas!A:A, Extraídas!G:G, "")</f>
        <v>Microalgas</v>
      </c>
    </row>
    <row r="553" spans="1:7" ht="15" thickBot="1" x14ac:dyDescent="0.35">
      <c r="A553" s="632" t="s">
        <v>676</v>
      </c>
      <c r="B553" s="255" t="str">
        <f>IFERROR(
   IF(INDEX(Extraídas!B:B,MATCH(LEFT($A553,6)&amp;"*",Extraídas!A:A,0))="Extraídas",
      "✅ En proceso",
      IF(INDEX(Extraídas!B:B,MATCH(LEFT($A553,6)&amp;"*",Extraídas!A:A,0))="Recibidas",
         "⏳ Pendiente","❌ No ingresada")),
   "❌ No ingresada"
)</f>
        <v>✅ En proceso</v>
      </c>
      <c r="C553" s="255" t="str">
        <f t="array" ref="C553">IFERROR(
   IF(INDEX([1]PCRs!B:B,MATCH(LEFT($A553,6)&amp;"*",[1]PCRs!A:A,0))="Positivo",
      "✅ Positivo",
      IF(INDEX([1]PCRs!B:B,MATCH(LEFT($A553,6)&amp;"*",[1]PCRs!A:A,0))="Negativo",
         "❌ Negativo",
         "⏳ No realizado")),
   "⏳ No realizado"
)</f>
        <v>❌ Negativo</v>
      </c>
      <c r="D553" s="255" t="str">
        <f>IFERROR(
   CHOOSE(
      MATCH(VLOOKUP(LEFT(A600,6)&amp;"*",'Identificación genética'!A:C,2,FALSE),
               {"En proceso";"Finalizado"},0),
      "🔬 En proceso",
      "🎯 Finalizado"
   ),
"❌ NA")</f>
        <v>🎯 Finalizado</v>
      </c>
      <c r="E553" t="s">
        <v>85</v>
      </c>
      <c r="F553" s="579">
        <v>45705</v>
      </c>
      <c r="G553" t="str">
        <f>_xlfn.XLOOKUP(A553, Extraídas!A:A, Extraídas!G:G, "")</f>
        <v>Cianobacterias</v>
      </c>
    </row>
    <row r="554" spans="1:7" ht="15" thickBot="1" x14ac:dyDescent="0.35">
      <c r="A554" s="631" t="s">
        <v>677</v>
      </c>
      <c r="B554" s="255" t="str">
        <f>IFERROR(
   IF(INDEX(Extraídas!B:B,MATCH(LEFT($A554,6)&amp;"*",Extraídas!A:A,0))="Extraídas",
      "✅ En proceso",
      IF(INDEX(Extraídas!B:B,MATCH(LEFT($A554,6)&amp;"*",Extraídas!A:A,0))="Recibidas",
         "⏳ Pendiente","❌ No ingresada")),
   "❌ No ingresada"
)</f>
        <v>✅ En proceso</v>
      </c>
      <c r="C554" s="255" t="str">
        <f t="array" ref="C554">IFERROR(
   IF(INDEX([1]PCRs!B:B,MATCH(LEFT($A554,6)&amp;"*",[1]PCRs!A:A,0))="Positivo",
      "✅ Positivo",
      IF(INDEX([1]PCRs!B:B,MATCH(LEFT($A554,6)&amp;"*",[1]PCRs!A:A,0))="Negativo",
         "❌ Negativo",
         "⏳ No realizado")),
   "⏳ No realizado"
)</f>
        <v>❌ Negativo</v>
      </c>
      <c r="D554" s="255" t="str">
        <f>IFERROR(
   CHOOSE(
      MATCH(VLOOKUP(LEFT(A601,6)&amp;"*",'Identificación genética'!A:C,2,FALSE),
               {"En proceso";"Finalizado"},0),
      "🔬 En proceso",
      "🎯 Finalizado"
   ),
"❌ NA")</f>
        <v>🎯 Finalizado</v>
      </c>
      <c r="E554" t="s">
        <v>85</v>
      </c>
      <c r="F554" s="627">
        <v>45940</v>
      </c>
      <c r="G554" t="str">
        <f>_xlfn.XLOOKUP(A554, Extraídas!A:A, Extraídas!G:G, "")</f>
        <v>Microalgas</v>
      </c>
    </row>
    <row r="555" spans="1:7" ht="15" thickBot="1" x14ac:dyDescent="0.35">
      <c r="A555" s="256" t="s">
        <v>1065</v>
      </c>
      <c r="B555" s="255" t="str">
        <f>IFERROR(
   IF(INDEX(Extraídas!B:B,MATCH(LEFT($A555,6)&amp;"*",Extraídas!A:A,0))="Extraídas",
      "✅ En proceso",
      IF(INDEX(Extraídas!B:B,MATCH(LEFT($A555,6)&amp;"*",Extraídas!A:A,0))="Recibidas",
         "⏳ Pendiente","❌ No ingresada")),
   "❌ No ingresada"
)</f>
        <v>✅ En proceso</v>
      </c>
      <c r="C555" s="255" t="str">
        <f t="array" ref="C555">IFERROR(
   IF(INDEX([1]PCRs!B:B,MATCH(LEFT($A555,6)&amp;"*",[1]PCRs!A:A,0))="Positivo",
      "✅ Positivo",
      IF(INDEX([1]PCRs!B:B,MATCH(LEFT($A555,6)&amp;"*",[1]PCRs!A:A,0))="Negativo",
         "❌ Negativo",
         "⏳ No realizado")),
   "⏳ No realizado"
)</f>
        <v>❌ Negativo</v>
      </c>
      <c r="D555" s="255" t="str">
        <f>IFERROR(
   CHOOSE(
      MATCH(VLOOKUP(LEFT(A602,6)&amp;"*",'Identificación genética'!A:C,2,FALSE),
               {"En proceso";"Finalizado"},0),
      "🔬 En proceso",
      "🎯 Finalizado"
   ),
"❌ NA")</f>
        <v>🎯 Finalizado</v>
      </c>
      <c r="E555" t="s">
        <v>85</v>
      </c>
      <c r="G555" t="str">
        <f>_xlfn.XLOOKUP(A555, Extraídas!A:A, Extraídas!G:G, "")</f>
        <v/>
      </c>
    </row>
    <row r="556" spans="1:7" ht="15" thickBot="1" x14ac:dyDescent="0.35">
      <c r="A556" s="631" t="s">
        <v>678</v>
      </c>
      <c r="B556" s="255" t="str">
        <f>IFERROR(
   IF(INDEX(Extraídas!B:B,MATCH(LEFT($A556,6)&amp;"*",Extraídas!A:A,0))="Extraídas",
      "✅ En proceso",
      IF(INDEX(Extraídas!B:B,MATCH(LEFT($A556,6)&amp;"*",Extraídas!A:A,0))="Recibidas",
         "⏳ Pendiente","❌ No ingresada")),
   "❌ No ingresada"
)</f>
        <v>✅ En proceso</v>
      </c>
      <c r="C556" s="255" t="str">
        <f t="array" ref="C556">IFERROR(
   IF(INDEX([1]PCRs!B:B,MATCH(LEFT($A556,6)&amp;"*",[1]PCRs!A:A,0))="Positivo",
      "✅ Positivo",
      IF(INDEX([1]PCRs!B:B,MATCH(LEFT($A556,6)&amp;"*",[1]PCRs!A:A,0))="Negativo",
         "❌ Negativo",
         "⏳ No realizado")),
   "⏳ No realizado"
)</f>
        <v>❌ Negativo</v>
      </c>
      <c r="D556" s="255" t="str">
        <f>IFERROR(
   CHOOSE(
      MATCH(VLOOKUP(LEFT(A603,6)&amp;"*",'Identificación genética'!A:C,2,FALSE),
               {"En proceso";"Finalizado"},0),
      "🔬 En proceso",
      "🎯 Finalizado"
   ),
"❌ NA")</f>
        <v>🎯 Finalizado</v>
      </c>
      <c r="E556" t="s">
        <v>85</v>
      </c>
      <c r="F556" s="623">
        <v>45705</v>
      </c>
      <c r="G556" t="str">
        <f>_xlfn.XLOOKUP(A556, Extraídas!A:A, Extraídas!G:G, "")</f>
        <v>Microalgas</v>
      </c>
    </row>
    <row r="557" spans="1:7" ht="15" thickBot="1" x14ac:dyDescent="0.35">
      <c r="A557" s="632" t="s">
        <v>679</v>
      </c>
      <c r="B557" s="255" t="str">
        <f>IFERROR(
   IF(INDEX(Extraídas!B:B,MATCH(LEFT($A557,6)&amp;"*",Extraídas!A:A,0))="Extraídas",
      "✅ En proceso",
      IF(INDEX(Extraídas!B:B,MATCH(LEFT($A557,6)&amp;"*",Extraídas!A:A,0))="Recibidas",
         "⏳ Pendiente","❌ No ingresada")),
   "❌ No ingresada"
)</f>
        <v>✅ En proceso</v>
      </c>
      <c r="C557" s="255" t="str">
        <f t="array" ref="C557">IFERROR(
   IF(INDEX([1]PCRs!B:B,MATCH(LEFT($A557,6)&amp;"*",[1]PCRs!A:A,0))="Positivo",
      "✅ Positivo",
      IF(INDEX([1]PCRs!B:B,MATCH(LEFT($A557,6)&amp;"*",[1]PCRs!A:A,0))="Negativo",
         "❌ Negativo",
         "⏳ No realizado")),
   "⏳ No realizado"
)</f>
        <v>❌ Negativo</v>
      </c>
      <c r="D557" s="255" t="str">
        <f>IFERROR(
   CHOOSE(
      MATCH(VLOOKUP(LEFT(A604,6)&amp;"*",'Identificación genética'!A:C,2,FALSE),
               {"En proceso";"Finalizado"},0),
      "🔬 En proceso",
      "🎯 Finalizado"
   ),
"❌ NA")</f>
        <v>🎯 Finalizado</v>
      </c>
      <c r="E557" t="s">
        <v>85</v>
      </c>
      <c r="F557" s="122">
        <v>45940</v>
      </c>
      <c r="G557" t="str">
        <f>_xlfn.XLOOKUP(A557, Extraídas!A:A, Extraídas!G:G, "")</f>
        <v>Cianobacterias</v>
      </c>
    </row>
    <row r="558" spans="1:7" ht="15" thickBot="1" x14ac:dyDescent="0.35">
      <c r="A558" s="256" t="s">
        <v>1136</v>
      </c>
      <c r="B558" s="255" t="str">
        <f>IFERROR(
   IF(INDEX(Extraídas!B:B,MATCH(LEFT($A558,6)&amp;"*",Extraídas!A:A,0))="Extraídas",
      "✅ En proceso",
      IF(INDEX(Extraídas!B:B,MATCH(LEFT($A558,6)&amp;"*",Extraídas!A:A,0))="Recibidas",
         "⏳ Pendiente","❌ No ingresada")),
   "❌ No ingresada"
)</f>
        <v>✅ En proceso</v>
      </c>
      <c r="C558" s="255" t="str">
        <f t="array" ref="C558">IFERROR(
   IF(INDEX([1]PCRs!B:B,MATCH(LEFT($A558,6)&amp;"*",[1]PCRs!A:A,0))="Positivo",
      "✅ Positivo",
      IF(INDEX([1]PCRs!B:B,MATCH(LEFT($A558,6)&amp;"*",[1]PCRs!A:A,0))="Negativo",
         "❌ Negativo",
         "⏳ No realizado")),
   "⏳ No realizado"
)</f>
        <v>❌ Negativo</v>
      </c>
      <c r="D558" s="255" t="str">
        <f>IFERROR(
   CHOOSE(
      MATCH(VLOOKUP(LEFT(A605,6)&amp;"*",'Identificación genética'!A:C,2,FALSE),
               {"En proceso";"Finalizado"},0),
      "🔬 En proceso",
      "🎯 Finalizado"
   ),
"❌ NA")</f>
        <v>🎯 Finalizado</v>
      </c>
      <c r="E558" t="s">
        <v>85</v>
      </c>
      <c r="F558" s="580"/>
      <c r="G558" t="str">
        <f>_xlfn.XLOOKUP(A558, Extraídas!A:A, Extraídas!G:G, "")</f>
        <v/>
      </c>
    </row>
    <row r="559" spans="1:7" x14ac:dyDescent="0.3">
      <c r="A559" s="632" t="s">
        <v>680</v>
      </c>
      <c r="B559" s="255" t="str">
        <f>IFERROR(
   IF(INDEX(Extraídas!B:B,MATCH(LEFT($A559,6)&amp;"*",Extraídas!A:A,0))="Extraídas",
      "✅ En proceso",
      IF(INDEX(Extraídas!B:B,MATCH(LEFT($A559,6)&amp;"*",Extraídas!A:A,0))="Recibidas",
         "⏳ Pendiente","❌ No ingresada")),
   "❌ No ingresada"
)</f>
        <v>✅ En proceso</v>
      </c>
      <c r="C559" s="255" t="str">
        <f t="array" ref="C559">IFERROR(
   IF(INDEX([1]PCRs!B:B,MATCH(LEFT($A559,6)&amp;"*",[1]PCRs!A:A,0))="Positivo",
      "✅ Positivo",
      IF(INDEX([1]PCRs!B:B,MATCH(LEFT($A559,6)&amp;"*",[1]PCRs!A:A,0))="Negativo",
         "❌ Negativo",
         "⏳ No realizado")),
   "⏳ No realizado"
)</f>
        <v>❌ Negativo</v>
      </c>
      <c r="D559" s="255" t="str">
        <f>IFERROR(
   CHOOSE(
      MATCH(VLOOKUP(LEFT(A606,6)&amp;"*",'Identificación genética'!A:C,2,FALSE),
               {"En proceso";"Finalizado"},0),
      "🔬 En proceso",
      "🎯 Finalizado"
   ),
"❌ NA")</f>
        <v>🎯 Finalizado</v>
      </c>
      <c r="E559" t="s">
        <v>85</v>
      </c>
      <c r="F559" s="111">
        <v>45705</v>
      </c>
      <c r="G559" t="str">
        <f>_xlfn.XLOOKUP(A559, Extraídas!A:A, Extraídas!G:G, "")</f>
        <v>Cianobacterias</v>
      </c>
    </row>
    <row r="560" spans="1:7" ht="15" thickBot="1" x14ac:dyDescent="0.35">
      <c r="A560" s="632" t="s">
        <v>681</v>
      </c>
      <c r="B560" s="255" t="str">
        <f>IFERROR(
   IF(INDEX(Extraídas!B:B,MATCH(LEFT($A560,6)&amp;"*",Extraídas!A:A,0))="Extraídas",
      "✅ En proceso",
      IF(INDEX(Extraídas!B:B,MATCH(LEFT($A560,6)&amp;"*",Extraídas!A:A,0))="Recibidas",
         "⏳ Pendiente","❌ No ingresada")),
   "❌ No ingresada"
)</f>
        <v>✅ En proceso</v>
      </c>
      <c r="C560" s="255" t="str">
        <f t="array" ref="C560">IFERROR(
   IF(INDEX([1]PCRs!B:B,MATCH(LEFT($A560,6)&amp;"*",[1]PCRs!A:A,0))="Positivo",
      "✅ Positivo",
      IF(INDEX([1]PCRs!B:B,MATCH(LEFT($A560,6)&amp;"*",[1]PCRs!A:A,0))="Negativo",
         "❌ Negativo",
         "⏳ No realizado")),
   "⏳ No realizado"
)</f>
        <v>❌ Negativo</v>
      </c>
      <c r="D560" s="255" t="str">
        <f>IFERROR(
   CHOOSE(
      MATCH(VLOOKUP(LEFT(A607,6)&amp;"*",'Identificación genética'!A:C,2,FALSE),
               {"En proceso";"Finalizado"},0),
      "🔬 En proceso",
      "🎯 Finalizado"
   ),
"❌ NA")</f>
        <v>🎯 Finalizado</v>
      </c>
      <c r="E560" t="s">
        <v>85</v>
      </c>
      <c r="F560" s="111">
        <v>45705</v>
      </c>
      <c r="G560" t="str">
        <f>_xlfn.XLOOKUP(A560, Extraídas!A:A, Extraídas!G:G, "")</f>
        <v>Cianobacterias</v>
      </c>
    </row>
    <row r="561" spans="1:7" ht="15" thickBot="1" x14ac:dyDescent="0.35">
      <c r="A561" s="567" t="s">
        <v>2273</v>
      </c>
      <c r="B561" s="255" t="str">
        <f>IFERROR(
   IF(INDEX(Extraídas!B:B,MATCH(LEFT($A561,6)&amp;"*",Extraídas!A:A,0))="Extraídas",
      "✅ En proceso",
      IF(INDEX(Extraídas!B:B,MATCH(LEFT($A561,6)&amp;"*",Extraídas!A:A,0))="Recibidas",
         "⏳ Pendiente","❌ No ingresada")),
   "❌ No ingresada"
)</f>
        <v>✅ En proceso</v>
      </c>
      <c r="C561" s="255" t="str">
        <f t="array" ref="C561">IFERROR(
   IF(INDEX([1]PCRs!B:B,MATCH(LEFT($A561,6)&amp;"*",[1]PCRs!A:A,0))="Positivo",
      "✅ Positivo",
      IF(INDEX([1]PCRs!B:B,MATCH(LEFT($A561,6)&amp;"*",[1]PCRs!A:A,0))="Negativo",
         "❌ Negativo",
         "⏳ No realizado")),
   "⏳ No realizado"
)</f>
        <v>❌ Negativo</v>
      </c>
      <c r="D561" s="255" t="str">
        <f>IFERROR(
   CHOOSE(
      MATCH(VLOOKUP(LEFT(A608,6)&amp;"*",'Identificación genética'!A:C,2,FALSE),
               {"En proceso";"Finalizado"},0),
      "🔬 En proceso",
      "🎯 Finalizado"
   ),
"❌ NA")</f>
        <v>🎯 Finalizado</v>
      </c>
      <c r="E561" t="s">
        <v>85</v>
      </c>
      <c r="F561" s="594"/>
      <c r="G561" t="str">
        <f>_xlfn.XLOOKUP(A561, Extraídas!A:A, Extraídas!G:G, "")</f>
        <v/>
      </c>
    </row>
    <row r="562" spans="1:7" x14ac:dyDescent="0.3">
      <c r="A562" s="568" t="s">
        <v>2251</v>
      </c>
      <c r="B562" s="255" t="str">
        <f>IFERROR(
   IF(INDEX(Extraídas!B:B,MATCH(LEFT($A562,6)&amp;"*",Extraídas!A:A,0))="Extraídas",
      "✅ En proceso",
      IF(INDEX(Extraídas!B:B,MATCH(LEFT($A562,6)&amp;"*",Extraídas!A:A,0))="Recibidas",
         "⏳ Pendiente","❌ No ingresada")),
   "❌ No ingresada"
)</f>
        <v>✅ En proceso</v>
      </c>
      <c r="C562" s="255" t="str">
        <f t="array" ref="C562">IFERROR(
   IF(INDEX([1]PCRs!B:B,MATCH(LEFT($A562,6)&amp;"*",[1]PCRs!A:A,0))="Positivo",
      "✅ Positivo",
      IF(INDEX([1]PCRs!B:B,MATCH(LEFT($A562,6)&amp;"*",[1]PCRs!A:A,0))="Negativo",
         "❌ Negativo",
         "⏳ No realizado")),
   "⏳ No realizado"
)</f>
        <v>❌ Negativo</v>
      </c>
      <c r="D562" s="255" t="str">
        <f>IFERROR(
   CHOOSE(
      MATCH(VLOOKUP(LEFT(A609,6)&amp;"*",'Identificación genética'!A:C,2,FALSE),
               {"En proceso";"Finalizado"},0),
      "🔬 En proceso",
      "🎯 Finalizado"
   ),
"❌ NA")</f>
        <v>🎯 Finalizado</v>
      </c>
      <c r="E562" t="s">
        <v>85</v>
      </c>
      <c r="G562" t="str">
        <f>_xlfn.XLOOKUP(A562, Extraídas!A:A, Extraídas!G:G, "")</f>
        <v/>
      </c>
    </row>
    <row r="563" spans="1:7" x14ac:dyDescent="0.3">
      <c r="A563" s="631" t="s">
        <v>682</v>
      </c>
      <c r="B563" s="255" t="str">
        <f>IFERROR(
   IF(INDEX(Extraídas!B:B,MATCH(LEFT($A563,6)&amp;"*",Extraídas!A:A,0))="Extraídas",
      "✅ En proceso",
      IF(INDEX(Extraídas!B:B,MATCH(LEFT($A563,6)&amp;"*",Extraídas!A:A,0))="Recibidas",
         "⏳ Pendiente","❌ No ingresada")),
   "❌ No ingresada"
)</f>
        <v>✅ En proceso</v>
      </c>
      <c r="C563" s="255" t="str">
        <f t="array" ref="C563">IFERROR(
   IF(INDEX([1]PCRs!B:B,MATCH(LEFT($A563,6)&amp;"*",[1]PCRs!A:A,0))="Positivo",
      "✅ Positivo",
      IF(INDEX([1]PCRs!B:B,MATCH(LEFT($A563,6)&amp;"*",[1]PCRs!A:A,0))="Negativo",
         "❌ Negativo",
         "⏳ No realizado")),
   "⏳ No realizado"
)</f>
        <v>❌ Negativo</v>
      </c>
      <c r="D563" s="255" t="str">
        <f>IFERROR(
   CHOOSE(
      MATCH(VLOOKUP(LEFT(A610,6)&amp;"*",'Identificación genética'!A:C,2,FALSE),
               {"En proceso";"Finalizado"},0),
      "🔬 En proceso",
      "🎯 Finalizado"
   ),
"❌ NA")</f>
        <v>🎯 Finalizado</v>
      </c>
      <c r="E563" t="s">
        <v>85</v>
      </c>
      <c r="F563" s="110">
        <v>45925</v>
      </c>
      <c r="G563" t="str">
        <f>_xlfn.XLOOKUP(A563, Extraídas!A:A, Extraídas!G:G, "")</f>
        <v>Microalgas</v>
      </c>
    </row>
    <row r="564" spans="1:7" x14ac:dyDescent="0.3">
      <c r="A564" s="567" t="s">
        <v>1811</v>
      </c>
      <c r="B564" s="255" t="str">
        <f>IFERROR(
   IF(INDEX(Extraídas!B:B,MATCH(LEFT($A564,6)&amp;"*",Extraídas!A:A,0))="Extraídas",
      "✅ En proceso",
      IF(INDEX(Extraídas!B:B,MATCH(LEFT($A564,6)&amp;"*",Extraídas!A:A,0))="Recibidas",
         "⏳ Pendiente","❌ No ingresada")),
   "❌ No ingresada"
)</f>
        <v>✅ En proceso</v>
      </c>
      <c r="C564" s="255" t="str">
        <f t="array" ref="C564">IFERROR(
   IF(INDEX([1]PCRs!B:B,MATCH(LEFT($A564,6)&amp;"*",[1]PCRs!A:A,0))="Positivo",
      "✅ Positivo",
      IF(INDEX([1]PCRs!B:B,MATCH(LEFT($A564,6)&amp;"*",[1]PCRs!A:A,0))="Negativo",
         "❌ Negativo",
         "⏳ No realizado")),
   "⏳ No realizado"
)</f>
        <v>❌ Negativo</v>
      </c>
      <c r="D564" s="255" t="str">
        <f>IFERROR(
   CHOOSE(
      MATCH(VLOOKUP(LEFT(A611,6)&amp;"*",'Identificación genética'!A:C,2,FALSE),
               {"En proceso";"Finalizado"},0),
      "🔬 En proceso",
      "🎯 Finalizado"
   ),
"❌ NA")</f>
        <v>🎯 Finalizado</v>
      </c>
      <c r="E564" t="s">
        <v>85</v>
      </c>
      <c r="G564" t="str">
        <f>_xlfn.XLOOKUP(A564, Extraídas!A:A, Extraídas!G:G, "")</f>
        <v/>
      </c>
    </row>
    <row r="565" spans="1:7" x14ac:dyDescent="0.3">
      <c r="A565" s="631" t="s">
        <v>683</v>
      </c>
      <c r="B565" s="255" t="str">
        <f>IFERROR(
   IF(INDEX(Extraídas!B:B,MATCH(LEFT($A565,6)&amp;"*",Extraídas!A:A,0))="Extraídas",
      "✅ En proceso",
      IF(INDEX(Extraídas!B:B,MATCH(LEFT($A565,6)&amp;"*",Extraídas!A:A,0))="Recibidas",
         "⏳ Pendiente","❌ No ingresada")),
   "❌ No ingresada"
)</f>
        <v>✅ En proceso</v>
      </c>
      <c r="C565" s="255" t="str">
        <f t="array" ref="C565">IFERROR(
   IF(INDEX([1]PCRs!B:B,MATCH(LEFT($A565,6)&amp;"*",[1]PCRs!A:A,0))="Positivo",
      "✅ Positivo",
      IF(INDEX([1]PCRs!B:B,MATCH(LEFT($A565,6)&amp;"*",[1]PCRs!A:A,0))="Negativo",
         "❌ Negativo",
         "⏳ No realizado")),
   "⏳ No realizado"
)</f>
        <v>❌ Negativo</v>
      </c>
      <c r="D565" s="255" t="str">
        <f>IFERROR(
   CHOOSE(
      MATCH(VLOOKUP(LEFT(A612,6)&amp;"*",'Identificación genética'!A:C,2,FALSE),
               {"En proceso";"Finalizado"},0),
      "🔬 En proceso",
      "🎯 Finalizado"
   ),
"❌ NA")</f>
        <v>🎯 Finalizado</v>
      </c>
      <c r="E565" t="s">
        <v>85</v>
      </c>
      <c r="F565" s="110">
        <v>45925</v>
      </c>
      <c r="G565" t="str">
        <f>_xlfn.XLOOKUP(A565, Extraídas!A:A, Extraídas!G:G, "")</f>
        <v>Microalgas</v>
      </c>
    </row>
    <row r="566" spans="1:7" x14ac:dyDescent="0.3">
      <c r="A566" s="567" t="s">
        <v>2192</v>
      </c>
      <c r="B566" s="255" t="str">
        <f>IFERROR(
   IF(INDEX(Extraídas!B:B,MATCH(LEFT($A566,6)&amp;"*",Extraídas!A:A,0))="Extraídas",
      "✅ En proceso",
      IF(INDEX(Extraídas!B:B,MATCH(LEFT($A566,6)&amp;"*",Extraídas!A:A,0))="Recibidas",
         "⏳ Pendiente","❌ No ingresada")),
   "❌ No ingresada"
)</f>
        <v>✅ En proceso</v>
      </c>
      <c r="C566" s="255" t="str">
        <f t="array" ref="C566">IFERROR(
   IF(INDEX([1]PCRs!B:B,MATCH(LEFT($A566,6)&amp;"*",[1]PCRs!A:A,0))="Positivo",
      "✅ Positivo",
      IF(INDEX([1]PCRs!B:B,MATCH(LEFT($A566,6)&amp;"*",[1]PCRs!A:A,0))="Negativo",
         "❌ Negativo",
         "⏳ No realizado")),
   "⏳ No realizado"
)</f>
        <v>❌ Negativo</v>
      </c>
      <c r="D566" s="255" t="str">
        <f>IFERROR(
   CHOOSE(
      MATCH(VLOOKUP(LEFT(A613,6)&amp;"*",'Identificación genética'!A:C,2,FALSE),
               {"En proceso";"Finalizado"},0),
      "🔬 En proceso",
      "🎯 Finalizado"
   ),
"❌ NA")</f>
        <v>🎯 Finalizado</v>
      </c>
      <c r="E566" t="s">
        <v>85</v>
      </c>
      <c r="G566" t="str">
        <f>_xlfn.XLOOKUP(A566, Extraídas!A:A, Extraídas!G:G, "")</f>
        <v/>
      </c>
    </row>
    <row r="567" spans="1:7" x14ac:dyDescent="0.3">
      <c r="A567" s="632" t="s">
        <v>684</v>
      </c>
      <c r="B567" s="255" t="str">
        <f>IFERROR(
   IF(INDEX(Extraídas!B:B,MATCH(LEFT($A567,6)&amp;"*",Extraídas!A:A,0))="Extraídas",
      "✅ En proceso",
      IF(INDEX(Extraídas!B:B,MATCH(LEFT($A567,6)&amp;"*",Extraídas!A:A,0))="Recibidas",
         "⏳ Pendiente","❌ No ingresada")),
   "❌ No ingresada"
)</f>
        <v>✅ En proceso</v>
      </c>
      <c r="C567" s="255" t="str">
        <f t="array" ref="C567">IFERROR(
   IF(INDEX([1]PCRs!B:B,MATCH(LEFT($A567,6)&amp;"*",[1]PCRs!A:A,0))="Positivo",
      "✅ Positivo",
      IF(INDEX([1]PCRs!B:B,MATCH(LEFT($A567,6)&amp;"*",[1]PCRs!A:A,0))="Negativo",
         "❌ Negativo",
         "⏳ No realizado")),
   "⏳ No realizado"
)</f>
        <v>❌ Negativo</v>
      </c>
      <c r="D567" s="255" t="str">
        <f>IFERROR(
   CHOOSE(
      MATCH(VLOOKUP(LEFT(A614,6)&amp;"*",'Identificación genética'!A:C,2,FALSE),
               {"En proceso";"Finalizado"},0),
      "🔬 En proceso",
      "🎯 Finalizado"
   ),
"❌ NA")</f>
        <v>🎯 Finalizado</v>
      </c>
      <c r="E567" t="s">
        <v>85</v>
      </c>
      <c r="F567" s="111">
        <v>45817</v>
      </c>
      <c r="G567" t="str">
        <f>_xlfn.XLOOKUP(A567, Extraídas!A:A, Extraídas!G:G, "")</f>
        <v>Cianobacterias</v>
      </c>
    </row>
    <row r="568" spans="1:7" x14ac:dyDescent="0.3">
      <c r="A568" s="632" t="s">
        <v>685</v>
      </c>
      <c r="B568" s="255" t="str">
        <f>IFERROR(
   IF(INDEX(Extraídas!B:B,MATCH(LEFT($A568,6)&amp;"*",Extraídas!A:A,0))="Extraídas",
      "✅ En proceso",
      IF(INDEX(Extraídas!B:B,MATCH(LEFT($A568,6)&amp;"*",Extraídas!A:A,0))="Recibidas",
         "⏳ Pendiente","❌ No ingresada")),
   "❌ No ingresada"
)</f>
        <v>✅ En proceso</v>
      </c>
      <c r="C568" s="255" t="str">
        <f t="array" ref="C568">IFERROR(
   IF(INDEX([1]PCRs!B:B,MATCH(LEFT($A568,6)&amp;"*",[1]PCRs!A:A,0))="Positivo",
      "✅ Positivo",
      IF(INDEX([1]PCRs!B:B,MATCH(LEFT($A568,6)&amp;"*",[1]PCRs!A:A,0))="Negativo",
         "❌ Negativo",
         "⏳ No realizado")),
   "⏳ No realizado"
)</f>
        <v>❌ Negativo</v>
      </c>
      <c r="D568" s="255" t="str">
        <f>IFERROR(
   CHOOSE(
      MATCH(VLOOKUP(LEFT(A615,6)&amp;"*",'Identificación genética'!A:C,2,FALSE),
               {"En proceso";"Finalizado"},0),
      "🔬 En proceso",
      "🎯 Finalizado"
   ),
"❌ NA")</f>
        <v>🎯 Finalizado</v>
      </c>
      <c r="E568" t="s">
        <v>85</v>
      </c>
      <c r="F568" s="111">
        <v>45817</v>
      </c>
      <c r="G568" t="str">
        <f>_xlfn.XLOOKUP(A568, Extraídas!A:A, Extraídas!G:G, "")</f>
        <v>Cianobacterias</v>
      </c>
    </row>
    <row r="569" spans="1:7" x14ac:dyDescent="0.3">
      <c r="A569" s="568" t="s">
        <v>2252</v>
      </c>
      <c r="B569" s="255" t="str">
        <f>IFERROR(
   IF(INDEX(Extraídas!B:B,MATCH(LEFT($A569,6)&amp;"*",Extraídas!A:A,0))="Extraídas",
      "✅ En proceso",
      IF(INDEX(Extraídas!B:B,MATCH(LEFT($A569,6)&amp;"*",Extraídas!A:A,0))="Recibidas",
         "⏳ Pendiente","❌ No ingresada")),
   "❌ No ingresada"
)</f>
        <v>✅ En proceso</v>
      </c>
      <c r="C569" s="255" t="str">
        <f t="array" ref="C569">IFERROR(
   IF(INDEX([1]PCRs!B:B,MATCH(LEFT($A569,6)&amp;"*",[1]PCRs!A:A,0))="Positivo",
      "✅ Positivo",
      IF(INDEX([1]PCRs!B:B,MATCH(LEFT($A569,6)&amp;"*",[1]PCRs!A:A,0))="Negativo",
         "❌ Negativo",
         "⏳ No realizado")),
   "⏳ No realizado"
)</f>
        <v>❌ Negativo</v>
      </c>
      <c r="D569" s="255" t="str">
        <f>IFERROR(
   CHOOSE(
      MATCH(VLOOKUP(LEFT(A616,6)&amp;"*",'Identificación genética'!A:C,2,FALSE),
               {"En proceso";"Finalizado"},0),
      "🔬 En proceso",
      "🎯 Finalizado"
   ),
"❌ NA")</f>
        <v>🎯 Finalizado</v>
      </c>
      <c r="E569" t="s">
        <v>85</v>
      </c>
      <c r="G569" t="str">
        <f>_xlfn.XLOOKUP(A569, Extraídas!A:A, Extraídas!G:G, "")</f>
        <v/>
      </c>
    </row>
    <row r="570" spans="1:7" x14ac:dyDescent="0.3">
      <c r="A570" s="631" t="s">
        <v>686</v>
      </c>
      <c r="B570" s="255" t="str">
        <f>IFERROR(
   IF(INDEX(Extraídas!B:B,MATCH(LEFT($A570,6)&amp;"*",Extraídas!A:A,0))="Extraídas",
      "✅ En proceso",
      IF(INDEX(Extraídas!B:B,MATCH(LEFT($A570,6)&amp;"*",Extraídas!A:A,0))="Recibidas",
         "⏳ Pendiente","❌ No ingresada")),
   "❌ No ingresada"
)</f>
        <v>✅ En proceso</v>
      </c>
      <c r="C570" s="255" t="str">
        <f t="array" ref="C570">IFERROR(
   IF(INDEX([1]PCRs!B:B,MATCH(LEFT($A570,6)&amp;"*",[1]PCRs!A:A,0))="Positivo",
      "✅ Positivo",
      IF(INDEX([1]PCRs!B:B,MATCH(LEFT($A570,6)&amp;"*",[1]PCRs!A:A,0))="Negativo",
         "❌ Negativo",
         "⏳ No realizado")),
   "⏳ No realizado"
)</f>
        <v>❌ Negativo</v>
      </c>
      <c r="D570" s="255" t="str">
        <f>IFERROR(
   CHOOSE(
      MATCH(VLOOKUP(LEFT(A617,6)&amp;"*",'Identificación genética'!A:C,2,FALSE),
               {"En proceso";"Finalizado"},0),
      "🔬 En proceso",
      "🎯 Finalizado"
   ),
"❌ NA")</f>
        <v>🎯 Finalizado</v>
      </c>
      <c r="E570" t="s">
        <v>85</v>
      </c>
      <c r="F570" s="110">
        <v>45925</v>
      </c>
      <c r="G570" t="str">
        <f>_xlfn.XLOOKUP(A570, Extraídas!A:A, Extraídas!G:G, "")</f>
        <v>Microalgas</v>
      </c>
    </row>
    <row r="571" spans="1:7" x14ac:dyDescent="0.3">
      <c r="A571" s="256" t="s">
        <v>1137</v>
      </c>
      <c r="B571" s="255" t="str">
        <f>IFERROR(
   IF(INDEX(Extraídas!B:B,MATCH(LEFT($A571,6)&amp;"*",Extraídas!A:A,0))="Extraídas",
      "✅ En proceso",
      IF(INDEX(Extraídas!B:B,MATCH(LEFT($A571,6)&amp;"*",Extraídas!A:A,0))="Recibidas",
         "⏳ Pendiente","❌ No ingresada")),
   "❌ No ingresada"
)</f>
        <v>✅ En proceso</v>
      </c>
      <c r="C571" s="255" t="str">
        <f t="array" ref="C571">IFERROR(
   IF(INDEX([1]PCRs!B:B,MATCH(LEFT($A571,6)&amp;"*",[1]PCRs!A:A,0))="Positivo",
      "✅ Positivo",
      IF(INDEX([1]PCRs!B:B,MATCH(LEFT($A571,6)&amp;"*",[1]PCRs!A:A,0))="Negativo",
         "❌ Negativo",
         "⏳ No realizado")),
   "⏳ No realizado"
)</f>
        <v>❌ Negativo</v>
      </c>
      <c r="D571" s="255" t="str">
        <f>IFERROR(
   CHOOSE(
      MATCH(VLOOKUP(LEFT(A618,6)&amp;"*",'Identificación genética'!A:C,2,FALSE),
               {"En proceso";"Finalizado"},0),
      "🔬 En proceso",
      "🎯 Finalizado"
   ),
"❌ NA")</f>
        <v>🎯 Finalizado</v>
      </c>
      <c r="E571" t="s">
        <v>85</v>
      </c>
      <c r="G571" t="str">
        <f>_xlfn.XLOOKUP(A571, Extraídas!A:A, Extraídas!G:G, "")</f>
        <v/>
      </c>
    </row>
    <row r="572" spans="1:7" x14ac:dyDescent="0.3">
      <c r="A572" s="632" t="s">
        <v>687</v>
      </c>
      <c r="B572" s="255" t="str">
        <f>IFERROR(
   IF(INDEX(Extraídas!B:B,MATCH(LEFT($A572,6)&amp;"*",Extraídas!A:A,0))="Extraídas",
      "✅ En proceso",
      IF(INDEX(Extraídas!B:B,MATCH(LEFT($A572,6)&amp;"*",Extraídas!A:A,0))="Recibidas",
         "⏳ Pendiente","❌ No ingresada")),
   "❌ No ingresada"
)</f>
        <v>✅ En proceso</v>
      </c>
      <c r="C572" s="255" t="str">
        <f t="array" ref="C572">IFERROR(
   IF(INDEX([1]PCRs!B:B,MATCH(LEFT($A572,6)&amp;"*",[1]PCRs!A:A,0))="Positivo",
      "✅ Positivo",
      IF(INDEX([1]PCRs!B:B,MATCH(LEFT($A572,6)&amp;"*",[1]PCRs!A:A,0))="Negativo",
         "❌ Negativo",
         "⏳ No realizado")),
   "⏳ No realizado"
)</f>
        <v>❌ Negativo</v>
      </c>
      <c r="D572" s="255" t="str">
        <f>IFERROR(
   CHOOSE(
      MATCH(VLOOKUP(LEFT(A619,6)&amp;"*",'Identificación genética'!A:C,2,FALSE),
               {"En proceso";"Finalizado"},0),
      "🔬 En proceso",
      "🎯 Finalizado"
   ),
"❌ NA")</f>
        <v>🎯 Finalizado</v>
      </c>
      <c r="E572" t="s">
        <v>85</v>
      </c>
      <c r="F572" s="111">
        <v>45705</v>
      </c>
      <c r="G572" t="str">
        <f>_xlfn.XLOOKUP(A572, Extraídas!A:A, Extraídas!G:G, "")</f>
        <v>Cianobacterias</v>
      </c>
    </row>
    <row r="573" spans="1:7" x14ac:dyDescent="0.3">
      <c r="A573" s="567" t="s">
        <v>2222</v>
      </c>
      <c r="B573" s="255" t="str">
        <f>IFERROR(
   IF(INDEX(Extraídas!B:B,MATCH(LEFT($A573,6)&amp;"*",Extraídas!A:A,0))="Extraídas",
      "✅ En proceso",
      IF(INDEX(Extraídas!B:B,MATCH(LEFT($A573,6)&amp;"*",Extraídas!A:A,0))="Recibidas",
         "⏳ Pendiente","❌ No ingresada")),
   "❌ No ingresada"
)</f>
        <v>✅ En proceso</v>
      </c>
      <c r="C573" s="255" t="str">
        <f t="array" ref="C573">IFERROR(
   IF(INDEX([1]PCRs!B:B,MATCH(LEFT($A573,6)&amp;"*",[1]PCRs!A:A,0))="Positivo",
      "✅ Positivo",
      IF(INDEX([1]PCRs!B:B,MATCH(LEFT($A573,6)&amp;"*",[1]PCRs!A:A,0))="Negativo",
         "❌ Negativo",
         "⏳ No realizado")),
   "⏳ No realizado"
)</f>
        <v>✅ Positivo</v>
      </c>
      <c r="D573" s="255" t="str">
        <f>IFERROR(
   CHOOSE(
      MATCH(VLOOKUP(LEFT(A620,6)&amp;"*",'Identificación genética'!A:C,2,FALSE),
               {"En proceso";"Finalizado"},0),
      "🔬 En proceso",
      "🎯 Finalizado"
   ),
"❌ NA")</f>
        <v>🎯 Finalizado</v>
      </c>
      <c r="E573" t="s">
        <v>85</v>
      </c>
      <c r="G573" t="str">
        <f>_xlfn.XLOOKUP(A573, Extraídas!A:A, Extraídas!G:G, "")</f>
        <v/>
      </c>
    </row>
    <row r="574" spans="1:7" x14ac:dyDescent="0.3">
      <c r="A574" s="567" t="s">
        <v>1245</v>
      </c>
      <c r="B574" s="255" t="str">
        <f>IFERROR(
   IF(INDEX(Extraídas!B:B,MATCH(LEFT($A574,6)&amp;"*",Extraídas!A:A,0))="Extraídas",
      "✅ En proceso",
      IF(INDEX(Extraídas!B:B,MATCH(LEFT($A574,6)&amp;"*",Extraídas!A:A,0))="Recibidas",
         "⏳ Pendiente","❌ No ingresada")),
   "❌ No ingresada"
)</f>
        <v>✅ En proceso</v>
      </c>
      <c r="C574" s="255" t="str">
        <f t="array" ref="C574">IFERROR(
   IF(INDEX([1]PCRs!B:B,MATCH(LEFT($A574,6)&amp;"*",[1]PCRs!A:A,0))="Positivo",
      "✅ Positivo",
      IF(INDEX([1]PCRs!B:B,MATCH(LEFT($A574,6)&amp;"*",[1]PCRs!A:A,0))="Negativo",
         "❌ Negativo",
         "⏳ No realizado")),
   "⏳ No realizado"
)</f>
        <v>✅ Positivo</v>
      </c>
      <c r="D574" s="255" t="str">
        <f>IFERROR(
   CHOOSE(
      MATCH(VLOOKUP(LEFT(A621,6)&amp;"*",'Identificación genética'!A:C,2,FALSE),
               {"En proceso";"Finalizado"},0),
      "🔬 En proceso",
      "🎯 Finalizado"
   ),
"❌ NA")</f>
        <v>🎯 Finalizado</v>
      </c>
      <c r="E574" t="s">
        <v>85</v>
      </c>
      <c r="G574" t="str">
        <f>_xlfn.XLOOKUP(A574, Extraídas!A:A, Extraídas!G:G, "")</f>
        <v/>
      </c>
    </row>
    <row r="575" spans="1:7" x14ac:dyDescent="0.3">
      <c r="A575" s="567" t="s">
        <v>2223</v>
      </c>
      <c r="B575" s="255" t="str">
        <f>IFERROR(
   IF(INDEX(Extraídas!B:B,MATCH(LEFT($A575,6)&amp;"*",Extraídas!A:A,0))="Extraídas",
      "✅ En proceso",
      IF(INDEX(Extraídas!B:B,MATCH(LEFT($A575,6)&amp;"*",Extraídas!A:A,0))="Recibidas",
         "⏳ Pendiente","❌ No ingresada")),
   "❌ No ingresada"
)</f>
        <v>✅ En proceso</v>
      </c>
      <c r="C575" s="255" t="str">
        <f t="array" ref="C575">IFERROR(
   IF(INDEX([1]PCRs!B:B,MATCH(LEFT($A575,6)&amp;"*",[1]PCRs!A:A,0))="Positivo",
      "✅ Positivo",
      IF(INDEX([1]PCRs!B:B,MATCH(LEFT($A575,6)&amp;"*",[1]PCRs!A:A,0))="Negativo",
         "❌ Negativo",
         "⏳ No realizado")),
   "⏳ No realizado"
)</f>
        <v>✅ Positivo</v>
      </c>
      <c r="D575" s="255" t="str">
        <f>IFERROR(
   CHOOSE(
      MATCH(VLOOKUP(LEFT(A622,6)&amp;"*",'Identificación genética'!A:C,2,FALSE),
               {"En proceso";"Finalizado"},0),
      "🔬 En proceso",
      "🎯 Finalizado"
   ),
"❌ NA")</f>
        <v>🎯 Finalizado</v>
      </c>
      <c r="E575" t="s">
        <v>85</v>
      </c>
      <c r="G575" t="str">
        <f>_xlfn.XLOOKUP(A575, Extraídas!A:A, Extraídas!G:G, "")</f>
        <v/>
      </c>
    </row>
    <row r="576" spans="1:7" x14ac:dyDescent="0.3">
      <c r="A576" s="631" t="s">
        <v>688</v>
      </c>
      <c r="B576" s="255" t="str">
        <f>IFERROR(
   IF(INDEX(Extraídas!B:B,MATCH(LEFT($A576,6)&amp;"*",Extraídas!A:A,0))="Extraídas",
      "✅ En proceso",
      IF(INDEX(Extraídas!B:B,MATCH(LEFT($A576,6)&amp;"*",Extraídas!A:A,0))="Recibidas",
         "⏳ Pendiente","❌ No ingresada")),
   "❌ No ingresada"
)</f>
        <v>✅ En proceso</v>
      </c>
      <c r="C576" s="255" t="str">
        <f t="array" ref="C576">IFERROR(
   IF(INDEX([1]PCRs!B:B,MATCH(LEFT($A576,6)&amp;"*",[1]PCRs!A:A,0))="Positivo",
      "✅ Positivo",
      IF(INDEX([1]PCRs!B:B,MATCH(LEFT($A576,6)&amp;"*",[1]PCRs!A:A,0))="Negativo",
         "❌ Negativo",
         "⏳ No realizado")),
   "⏳ No realizado"
)</f>
        <v>✅ Positivo</v>
      </c>
      <c r="D576" s="255" t="str">
        <f>IFERROR(
   CHOOSE(
      MATCH(VLOOKUP(LEFT(A623,6)&amp;"*",'Identificación genética'!A:C,2,FALSE),
               {"En proceso";"Finalizado"},0),
      "🔬 En proceso",
      "🎯 Finalizado"
   ),
"❌ NA")</f>
        <v>🎯 Finalizado</v>
      </c>
      <c r="E576" t="s">
        <v>85</v>
      </c>
      <c r="F576" s="110">
        <v>45925</v>
      </c>
      <c r="G576" t="str">
        <f>_xlfn.XLOOKUP(A576, Extraídas!A:A, Extraídas!G:G, "")</f>
        <v>Microalgas</v>
      </c>
    </row>
    <row r="577" spans="1:7" x14ac:dyDescent="0.3">
      <c r="A577" s="630" t="s">
        <v>689</v>
      </c>
      <c r="B577" s="255" t="str">
        <f>IFERROR(
   IF(INDEX(Extraídas!B:B,MATCH(LEFT($A577,6)&amp;"*",Extraídas!A:A,0))="Extraídas",
      "✅ En proceso",
      IF(INDEX(Extraídas!B:B,MATCH(LEFT($A577,6)&amp;"*",Extraídas!A:A,0))="Recibidas",
         "⏳ Pendiente","❌ No ingresada")),
   "❌ No ingresada"
)</f>
        <v>✅ En proceso</v>
      </c>
      <c r="C577" s="255" t="str">
        <f t="array" ref="C577">IFERROR(
   IF(INDEX([1]PCRs!B:B,MATCH(LEFT($A577,6)&amp;"*",[1]PCRs!A:A,0))="Positivo",
      "✅ Positivo",
      IF(INDEX([1]PCRs!B:B,MATCH(LEFT($A577,6)&amp;"*",[1]PCRs!A:A,0))="Negativo",
         "❌ Negativo",
         "⏳ No realizado")),
   "⏳ No realizado"
)</f>
        <v>✅ Positivo</v>
      </c>
      <c r="D577" s="255" t="str">
        <f>IFERROR(
   CHOOSE(
      MATCH(VLOOKUP(LEFT(A624,6)&amp;"*",'Identificación genética'!A:C,2,FALSE),
               {"En proceso";"Finalizado"},0),
      "🔬 En proceso",
      "🎯 Finalizado"
   ),
"❌ NA")</f>
        <v>🎯 Finalizado</v>
      </c>
      <c r="E577" t="s">
        <v>85</v>
      </c>
      <c r="F577" s="111">
        <v>45817</v>
      </c>
      <c r="G577" t="str">
        <f>_xlfn.XLOOKUP(A577, Extraídas!A:A, Extraídas!G:G, "")</f>
        <v>Cianobacterias</v>
      </c>
    </row>
    <row r="578" spans="1:7" x14ac:dyDescent="0.3">
      <c r="A578" s="631" t="s">
        <v>690</v>
      </c>
      <c r="B578" s="255" t="str">
        <f>IFERROR(
   IF(INDEX(Extraídas!B:B,MATCH(LEFT($A578,6)&amp;"*",Extraídas!A:A,0))="Extraídas",
      "✅ En proceso",
      IF(INDEX(Extraídas!B:B,MATCH(LEFT($A578,6)&amp;"*",Extraídas!A:A,0))="Recibidas",
         "⏳ Pendiente","❌ No ingresada")),
   "❌ No ingresada"
)</f>
        <v>✅ En proceso</v>
      </c>
      <c r="C578" s="255" t="str">
        <f t="array" ref="C578">IFERROR(
   IF(INDEX([1]PCRs!B:B,MATCH(LEFT($A578,6)&amp;"*",[1]PCRs!A:A,0))="Positivo",
      "✅ Positivo",
      IF(INDEX([1]PCRs!B:B,MATCH(LEFT($A578,6)&amp;"*",[1]PCRs!A:A,0))="Negativo",
         "❌ Negativo",
         "⏳ No realizado")),
   "⏳ No realizado"
)</f>
        <v>✅ Positivo</v>
      </c>
      <c r="D578" s="255" t="str">
        <f>IFERROR(
   CHOOSE(
      MATCH(VLOOKUP(LEFT(A625,6)&amp;"*",'Identificación genética'!A:C,2,FALSE),
               {"En proceso";"Finalizado"},0),
      "🔬 En proceso",
      "🎯 Finalizado"
   ),
"❌ NA")</f>
        <v>🎯 Finalizado</v>
      </c>
      <c r="E578" t="s">
        <v>85</v>
      </c>
      <c r="F578" s="110">
        <v>45940</v>
      </c>
      <c r="G578" t="str">
        <f>_xlfn.XLOOKUP(A578, Extraídas!A:A, Extraídas!G:G, "")</f>
        <v>Microalgas</v>
      </c>
    </row>
    <row r="579" spans="1:7" x14ac:dyDescent="0.3">
      <c r="A579" s="632" t="s">
        <v>691</v>
      </c>
      <c r="B579" s="255" t="str">
        <f>IFERROR(
   IF(INDEX(Extraídas!B:B,MATCH(LEFT($A579,6)&amp;"*",Extraídas!A:A,0))="Extraídas",
      "✅ En proceso",
      IF(INDEX(Extraídas!B:B,MATCH(LEFT($A579,6)&amp;"*",Extraídas!A:A,0))="Recibidas",
         "⏳ Pendiente","❌ No ingresada")),
   "❌ No ingresada"
)</f>
        <v>✅ En proceso</v>
      </c>
      <c r="C579" s="255" t="str">
        <f t="array" ref="C579">IFERROR(
   IF(INDEX([1]PCRs!B:B,MATCH(LEFT($A579,6)&amp;"*",[1]PCRs!A:A,0))="Positivo",
      "✅ Positivo",
      IF(INDEX([1]PCRs!B:B,MATCH(LEFT($A579,6)&amp;"*",[1]PCRs!A:A,0))="Negativo",
         "❌ Negativo",
         "⏳ No realizado")),
   "⏳ No realizado"
)</f>
        <v>✅ Positivo</v>
      </c>
      <c r="D579" s="255" t="str">
        <f>IFERROR(
   CHOOSE(
      MATCH(VLOOKUP(LEFT(A626,6)&amp;"*",'Identificación genética'!A:C,2,FALSE),
               {"En proceso";"Finalizado"},0),
      "🔬 En proceso",
      "🎯 Finalizado"
   ),
"❌ NA")</f>
        <v>🎯 Finalizado</v>
      </c>
      <c r="E579" t="s">
        <v>85</v>
      </c>
      <c r="F579" s="111">
        <v>45705</v>
      </c>
      <c r="G579" t="str">
        <f>_xlfn.XLOOKUP(A579, Extraídas!A:A, Extraídas!G:G, "")</f>
        <v>Cianobacterias</v>
      </c>
    </row>
    <row r="580" spans="1:7" x14ac:dyDescent="0.3">
      <c r="A580" s="631" t="s">
        <v>692</v>
      </c>
      <c r="B580" s="255" t="str">
        <f>IFERROR(
   IF(INDEX(Extraídas!B:B,MATCH(LEFT($A580,6)&amp;"*",Extraídas!A:A,0))="Extraídas",
      "✅ En proceso",
      IF(INDEX(Extraídas!B:B,MATCH(LEFT($A580,6)&amp;"*",Extraídas!A:A,0))="Recibidas",
         "⏳ Pendiente","❌ No ingresada")),
   "❌ No ingresada"
)</f>
        <v>✅ En proceso</v>
      </c>
      <c r="C580" s="255" t="str">
        <f t="array" ref="C580">IFERROR(
   IF(INDEX([1]PCRs!B:B,MATCH(LEFT($A580,6)&amp;"*",[1]PCRs!A:A,0))="Positivo",
      "✅ Positivo",
      IF(INDEX([1]PCRs!B:B,MATCH(LEFT($A580,6)&amp;"*",[1]PCRs!A:A,0))="Negativo",
         "❌ Negativo",
         "⏳ No realizado")),
   "⏳ No realizado"
)</f>
        <v>✅ Positivo</v>
      </c>
      <c r="D580" s="255" t="str">
        <f>IFERROR(
   CHOOSE(
      MATCH(VLOOKUP(LEFT(A627,6)&amp;"*",'Identificación genética'!A:C,2,FALSE),
               {"En proceso";"Finalizado"},0),
      "🔬 En proceso",
      "🎯 Finalizado"
   ),
"❌ NA")</f>
        <v>🎯 Finalizado</v>
      </c>
      <c r="E580" t="s">
        <v>85</v>
      </c>
      <c r="F580" s="110">
        <v>45931</v>
      </c>
      <c r="G580" t="str">
        <f>_xlfn.XLOOKUP(A580, Extraídas!A:A, Extraídas!G:G, "")</f>
        <v>Microalgas</v>
      </c>
    </row>
    <row r="581" spans="1:7" ht="15" thickBot="1" x14ac:dyDescent="0.35">
      <c r="A581" s="632" t="s">
        <v>693</v>
      </c>
      <c r="B581" s="255" t="str">
        <f>IFERROR(
   IF(INDEX(Extraídas!B:B,MATCH(LEFT($A581,6)&amp;"*",Extraídas!A:A,0))="Extraídas",
      "✅ En proceso",
      IF(INDEX(Extraídas!B:B,MATCH(LEFT($A581,6)&amp;"*",Extraídas!A:A,0))="Recibidas",
         "⏳ Pendiente","❌ No ingresada")),
   "❌ No ingresada"
)</f>
        <v>✅ En proceso</v>
      </c>
      <c r="C581" s="255" t="str">
        <f t="array" ref="C581">IFERROR(
   IF(INDEX([1]PCRs!B:B,MATCH(LEFT($A581,6)&amp;"*",[1]PCRs!A:A,0))="Positivo",
      "✅ Positivo",
      IF(INDEX([1]PCRs!B:B,MATCH(LEFT($A581,6)&amp;"*",[1]PCRs!A:A,0))="Negativo",
         "❌ Negativo",
         "⏳ No realizado")),
   "⏳ No realizado"
)</f>
        <v>✅ Positivo</v>
      </c>
      <c r="D581" s="255" t="str">
        <f>IFERROR(
   CHOOSE(
      MATCH(VLOOKUP(LEFT(A628,6)&amp;"*",'Identificación genética'!A:C,2,FALSE),
               {"En proceso";"Finalizado"},0),
      "🔬 En proceso",
      "🎯 Finalizado"
   ),
"❌ NA")</f>
        <v>🎯 Finalizado</v>
      </c>
      <c r="E581" t="s">
        <v>85</v>
      </c>
      <c r="F581" s="29">
        <v>45772</v>
      </c>
      <c r="G581" t="str">
        <f>_xlfn.XLOOKUP(A581, Extraídas!A:A, Extraídas!G:G, "")</f>
        <v>Cianobacterias</v>
      </c>
    </row>
    <row r="582" spans="1:7" ht="15" thickBot="1" x14ac:dyDescent="0.35">
      <c r="A582" s="631" t="s">
        <v>695</v>
      </c>
      <c r="B582" s="255" t="str">
        <f>IFERROR(
   IF(INDEX(Extraídas!B:B,MATCH(LEFT($A582,6)&amp;"*",Extraídas!A:A,0))="Extraídas",
      "✅ En proceso",
      IF(INDEX(Extraídas!B:B,MATCH(LEFT($A582,6)&amp;"*",Extraídas!A:A,0))="Recibidas",
         "⏳ Pendiente","❌ No ingresada")),
   "❌ No ingresada"
)</f>
        <v>✅ En proceso</v>
      </c>
      <c r="C582" s="255" t="str">
        <f t="array" ref="C582">IFERROR(
   IF(INDEX([1]PCRs!B:B,MATCH(LEFT($A582,6)&amp;"*",[1]PCRs!A:A,0))="Positivo",
      "✅ Positivo",
      IF(INDEX([1]PCRs!B:B,MATCH(LEFT($A582,6)&amp;"*",[1]PCRs!A:A,0))="Negativo",
         "❌ Negativo",
         "⏳ No realizado")),
   "⏳ No realizado"
)</f>
        <v>✅ Positivo</v>
      </c>
      <c r="D582" s="255" t="str">
        <f>IFERROR(
   CHOOSE(
      MATCH(VLOOKUP(LEFT(A629,6)&amp;"*",'Identificación genética'!A:C,2,FALSE),
               {"En proceso";"Finalizado"},0),
      "🔬 En proceso",
      "🎯 Finalizado"
   ),
"❌ NA")</f>
        <v>🎯 Finalizado</v>
      </c>
      <c r="E582" t="s">
        <v>85</v>
      </c>
      <c r="F582" s="578">
        <v>45925</v>
      </c>
      <c r="G582" t="str">
        <f>_xlfn.XLOOKUP(A582, Extraídas!A:A, Extraídas!G:G, "")</f>
        <v>Microalgas</v>
      </c>
    </row>
    <row r="583" spans="1:7" ht="15" thickBot="1" x14ac:dyDescent="0.35">
      <c r="A583" s="631" t="s">
        <v>696</v>
      </c>
      <c r="B583" s="255" t="str">
        <f>IFERROR(
   IF(INDEX(Extraídas!B:B,MATCH(LEFT($A583,6)&amp;"*",Extraídas!A:A,0))="Extraídas",
      "✅ En proceso",
      IF(INDEX(Extraídas!B:B,MATCH(LEFT($A583,6)&amp;"*",Extraídas!A:A,0))="Recibidas",
         "⏳ Pendiente","❌ No ingresada")),
   "❌ No ingresada"
)</f>
        <v>✅ En proceso</v>
      </c>
      <c r="C583" s="255" t="str">
        <f t="array" ref="C583">IFERROR(
   IF(INDEX([1]PCRs!B:B,MATCH(LEFT($A583,6)&amp;"*",[1]PCRs!A:A,0))="Positivo",
      "✅ Positivo",
      IF(INDEX([1]PCRs!B:B,MATCH(LEFT($A583,6)&amp;"*",[1]PCRs!A:A,0))="Negativo",
         "❌ Negativo",
         "⏳ No realizado")),
   "⏳ No realizado"
)</f>
        <v>✅ Positivo</v>
      </c>
      <c r="D583" s="255" t="str">
        <f>IFERROR(
   CHOOSE(
      MATCH(VLOOKUP(LEFT(A630,6)&amp;"*",'Identificación genética'!A:C,2,FALSE),
               {"En proceso";"Finalizado"},0),
      "🔬 En proceso",
      "🎯 Finalizado"
   ),
"❌ NA")</f>
        <v>🎯 Finalizado</v>
      </c>
      <c r="E583" t="s">
        <v>85</v>
      </c>
      <c r="F583" s="578">
        <v>45933</v>
      </c>
      <c r="G583" t="str">
        <f>_xlfn.XLOOKUP(A583, Extraídas!A:A, Extraídas!G:G, "")</f>
        <v>Microalgas</v>
      </c>
    </row>
    <row r="584" spans="1:7" x14ac:dyDescent="0.3">
      <c r="A584" s="256" t="s">
        <v>2193</v>
      </c>
      <c r="B584" s="255" t="str">
        <f>IFERROR(
   IF(INDEX(Extraídas!B:B,MATCH(LEFT($A584,6)&amp;"*",Extraídas!A:A,0))="Extraídas",
      "✅ En proceso",
      IF(INDEX(Extraídas!B:B,MATCH(LEFT($A584,6)&amp;"*",Extraídas!A:A,0))="Recibidas",
         "⏳ Pendiente","❌ No ingresada")),
   "❌ No ingresada"
)</f>
        <v>✅ En proceso</v>
      </c>
      <c r="C584" s="255" t="str">
        <f t="array" ref="C584">IFERROR(
   IF(INDEX([1]PCRs!B:B,MATCH(LEFT($A584,6)&amp;"*",[1]PCRs!A:A,0))="Positivo",
      "✅ Positivo",
      IF(INDEX([1]PCRs!B:B,MATCH(LEFT($A584,6)&amp;"*",[1]PCRs!A:A,0))="Negativo",
         "❌ Negativo",
         "⏳ No realizado")),
   "⏳ No realizado"
)</f>
        <v>✅ Positivo</v>
      </c>
      <c r="D584" s="255" t="str">
        <f>IFERROR(
   CHOOSE(
      MATCH(VLOOKUP(LEFT(A631,6)&amp;"*",'Identificación genética'!A:C,2,FALSE),
               {"En proceso";"Finalizado"},0),
      "🔬 En proceso",
      "🎯 Finalizado"
   ),
"❌ NA")</f>
        <v>🎯 Finalizado</v>
      </c>
      <c r="E584" t="s">
        <v>85</v>
      </c>
      <c r="G584" t="str">
        <f>_xlfn.XLOOKUP(A584, Extraídas!A:A, Extraídas!G:G, "")</f>
        <v/>
      </c>
    </row>
    <row r="585" spans="1:7" x14ac:dyDescent="0.3">
      <c r="A585" s="630" t="s">
        <v>697</v>
      </c>
      <c r="B585" s="255" t="str">
        <f>IFERROR(
   IF(INDEX(Extraídas!B:B,MATCH(LEFT($A585,6)&amp;"*",Extraídas!A:A,0))="Extraídas",
      "✅ En proceso",
      IF(INDEX(Extraídas!B:B,MATCH(LEFT($A585,6)&amp;"*",Extraídas!A:A,0))="Recibidas",
         "⏳ Pendiente","❌ No ingresada")),
   "❌ No ingresada"
)</f>
        <v>✅ En proceso</v>
      </c>
      <c r="C585" s="255" t="str">
        <f t="array" ref="C585">IFERROR(
   IF(INDEX([1]PCRs!B:B,MATCH(LEFT($A585,6)&amp;"*",[1]PCRs!A:A,0))="Positivo",
      "✅ Positivo",
      IF(INDEX([1]PCRs!B:B,MATCH(LEFT($A585,6)&amp;"*",[1]PCRs!A:A,0))="Negativo",
         "❌ Negativo",
         "⏳ No realizado")),
   "⏳ No realizado"
)</f>
        <v>❌ Negativo</v>
      </c>
      <c r="D585" s="255" t="str">
        <f>IFERROR(
   CHOOSE(
      MATCH(VLOOKUP(LEFT(A632,6)&amp;"*",'Identificación genética'!A:C,2,FALSE),
               {"En proceso";"Finalizado"},0),
      "🔬 En proceso",
      "🎯 Finalizado"
   ),
"❌ NA")</f>
        <v>🎯 Finalizado</v>
      </c>
      <c r="E585" t="s">
        <v>85</v>
      </c>
      <c r="F585" s="111">
        <v>45817</v>
      </c>
      <c r="G585" t="str">
        <f>_xlfn.XLOOKUP(A585, Extraídas!A:A, Extraídas!G:G, "")</f>
        <v>Cianobacterias</v>
      </c>
    </row>
    <row r="586" spans="1:7" x14ac:dyDescent="0.3">
      <c r="A586" s="567" t="s">
        <v>1812</v>
      </c>
      <c r="B586" s="255" t="str">
        <f>IFERROR(
   IF(INDEX(Extraídas!B:B,MATCH(LEFT($A586,6)&amp;"*",Extraídas!A:A,0))="Extraídas",
      "✅ En proceso",
      IF(INDEX(Extraídas!B:B,MATCH(LEFT($A586,6)&amp;"*",Extraídas!A:A,0))="Recibidas",
         "⏳ Pendiente","❌ No ingresada")),
   "❌ No ingresada"
)</f>
        <v>✅ En proceso</v>
      </c>
      <c r="C586" s="255" t="str">
        <f t="array" ref="C586">IFERROR(
   IF(INDEX([1]PCRs!B:B,MATCH(LEFT($A586,6)&amp;"*",[1]PCRs!A:A,0))="Positivo",
      "✅ Positivo",
      IF(INDEX([1]PCRs!B:B,MATCH(LEFT($A586,6)&amp;"*",[1]PCRs!A:A,0))="Negativo",
         "❌ Negativo",
         "⏳ No realizado")),
   "⏳ No realizado"
)</f>
        <v>❌ Negativo</v>
      </c>
      <c r="D586" s="255" t="str">
        <f>IFERROR(
   CHOOSE(
      MATCH(VLOOKUP(LEFT(A633,6)&amp;"*",'Identificación genética'!A:C,2,FALSE),
               {"En proceso";"Finalizado"},0),
      "🔬 En proceso",
      "🎯 Finalizado"
   ),
"❌ NA")</f>
        <v>🎯 Finalizado</v>
      </c>
      <c r="E586" t="s">
        <v>85</v>
      </c>
      <c r="G586" t="str">
        <f>_xlfn.XLOOKUP(A586, Extraídas!A:A, Extraídas!G:G, "")</f>
        <v/>
      </c>
    </row>
    <row r="587" spans="1:7" x14ac:dyDescent="0.3">
      <c r="A587" s="631" t="s">
        <v>698</v>
      </c>
      <c r="B587" s="255" t="str">
        <f>IFERROR(
   IF(INDEX(Extraídas!B:B,MATCH(LEFT($A587,6)&amp;"*",Extraídas!A:A,0))="Extraídas",
      "✅ En proceso",
      IF(INDEX(Extraídas!B:B,MATCH(LEFT($A587,6)&amp;"*",Extraídas!A:A,0))="Recibidas",
         "⏳ Pendiente","❌ No ingresada")),
   "❌ No ingresada"
)</f>
        <v>✅ En proceso</v>
      </c>
      <c r="C587" s="255" t="str">
        <f t="array" ref="C587">IFERROR(
   IF(INDEX([1]PCRs!B:B,MATCH(LEFT($A587,6)&amp;"*",[1]PCRs!A:A,0))="Positivo",
      "✅ Positivo",
      IF(INDEX([1]PCRs!B:B,MATCH(LEFT($A587,6)&amp;"*",[1]PCRs!A:A,0))="Negativo",
         "❌ Negativo",
         "⏳ No realizado")),
   "⏳ No realizado"
)</f>
        <v>❌ Negativo</v>
      </c>
      <c r="D587" s="255" t="str">
        <f>IFERROR(
   CHOOSE(
      MATCH(VLOOKUP(LEFT(A634,6)&amp;"*",'Identificación genética'!A:C,2,FALSE),
               {"En proceso";"Finalizado"},0),
      "🔬 En proceso",
      "🎯 Finalizado"
   ),
"❌ NA")</f>
        <v>🎯 Finalizado</v>
      </c>
      <c r="E587" t="s">
        <v>85</v>
      </c>
      <c r="F587" s="110">
        <v>45925</v>
      </c>
      <c r="G587" t="str">
        <f>_xlfn.XLOOKUP(A587, Extraídas!A:A, Extraídas!G:G, "")</f>
        <v>Microalgas</v>
      </c>
    </row>
    <row r="588" spans="1:7" x14ac:dyDescent="0.3">
      <c r="A588" s="567" t="s">
        <v>2194</v>
      </c>
      <c r="B588" s="255" t="str">
        <f>IFERROR(
   IF(INDEX(Extraídas!B:B,MATCH(LEFT($A588,6)&amp;"*",Extraídas!A:A,0))="Extraídas",
      "✅ En proceso",
      IF(INDEX(Extraídas!B:B,MATCH(LEFT($A588,6)&amp;"*",Extraídas!A:A,0))="Recibidas",
         "⏳ Pendiente","❌ No ingresada")),
   "❌ No ingresada"
)</f>
        <v>✅ En proceso</v>
      </c>
      <c r="C588" s="255" t="str">
        <f t="array" ref="C588">IFERROR(
   IF(INDEX([1]PCRs!B:B,MATCH(LEFT($A588,6)&amp;"*",[1]PCRs!A:A,0))="Positivo",
      "✅ Positivo",
      IF(INDEX([1]PCRs!B:B,MATCH(LEFT($A588,6)&amp;"*",[1]PCRs!A:A,0))="Negativo",
         "❌ Negativo",
         "⏳ No realizado")),
   "⏳ No realizado"
)</f>
        <v>❌ Negativo</v>
      </c>
      <c r="D588" s="255" t="str">
        <f>IFERROR(
   CHOOSE(
      MATCH(VLOOKUP(LEFT(A635,6)&amp;"*",'Identificación genética'!A:C,2,FALSE),
               {"En proceso";"Finalizado"},0),
      "🔬 En proceso",
      "🎯 Finalizado"
   ),
"❌ NA")</f>
        <v>🎯 Finalizado</v>
      </c>
      <c r="E588" t="s">
        <v>85</v>
      </c>
      <c r="G588" t="str">
        <f>_xlfn.XLOOKUP(A588, Extraídas!A:A, Extraídas!G:G, "")</f>
        <v/>
      </c>
    </row>
    <row r="589" spans="1:7" x14ac:dyDescent="0.3">
      <c r="A589" s="631" t="s">
        <v>699</v>
      </c>
      <c r="B589" s="255" t="str">
        <f>IFERROR(
   IF(INDEX(Extraídas!B:B,MATCH(LEFT($A589,6)&amp;"*",Extraídas!A:A,0))="Extraídas",
      "✅ En proceso",
      IF(INDEX(Extraídas!B:B,MATCH(LEFT($A589,6)&amp;"*",Extraídas!A:A,0))="Recibidas",
         "⏳ Pendiente","❌ No ingresada")),
   "❌ No ingresada"
)</f>
        <v>✅ En proceso</v>
      </c>
      <c r="C589" s="255" t="str">
        <f t="array" ref="C589">IFERROR(
   IF(INDEX([1]PCRs!B:B,MATCH(LEFT($A589,6)&amp;"*",[1]PCRs!A:A,0))="Positivo",
      "✅ Positivo",
      IF(INDEX([1]PCRs!B:B,MATCH(LEFT($A589,6)&amp;"*",[1]PCRs!A:A,0))="Negativo",
         "❌ Negativo",
         "⏳ No realizado")),
   "⏳ No realizado"
)</f>
        <v>❌ Negativo</v>
      </c>
      <c r="D589" s="255" t="str">
        <f>IFERROR(
   CHOOSE(
      MATCH(VLOOKUP(LEFT(A636,6)&amp;"*",'Identificación genética'!A:C,2,FALSE),
               {"En proceso";"Finalizado"},0),
      "🔬 En proceso",
      "🎯 Finalizado"
   ),
"❌ NA")</f>
        <v>🎯 Finalizado</v>
      </c>
      <c r="E589" t="s">
        <v>85</v>
      </c>
      <c r="F589" s="110">
        <v>45933</v>
      </c>
      <c r="G589" t="str">
        <f>_xlfn.XLOOKUP(A589, Extraídas!A:A, Extraídas!G:G, "")</f>
        <v>Microalgas</v>
      </c>
    </row>
    <row r="590" spans="1:7" x14ac:dyDescent="0.3">
      <c r="A590" s="632" t="s">
        <v>700</v>
      </c>
      <c r="B590" s="255" t="str">
        <f>IFERROR(
   IF(INDEX(Extraídas!B:B,MATCH(LEFT($A590,6)&amp;"*",Extraídas!A:A,0))="Extraídas",
      "✅ En proceso",
      IF(INDEX(Extraídas!B:B,MATCH(LEFT($A590,6)&amp;"*",Extraídas!A:A,0))="Recibidas",
         "⏳ Pendiente","❌ No ingresada")),
   "❌ No ingresada"
)</f>
        <v>✅ En proceso</v>
      </c>
      <c r="C590" s="255" t="str">
        <f t="array" ref="C590">IFERROR(
   IF(INDEX([1]PCRs!B:B,MATCH(LEFT($A590,6)&amp;"*",[1]PCRs!A:A,0))="Positivo",
      "✅ Positivo",
      IF(INDEX([1]PCRs!B:B,MATCH(LEFT($A590,6)&amp;"*",[1]PCRs!A:A,0))="Negativo",
         "❌ Negativo",
         "⏳ No realizado")),
   "⏳ No realizado"
)</f>
        <v>❌ Negativo</v>
      </c>
      <c r="D590" s="255" t="str">
        <f>IFERROR(
   CHOOSE(
      MATCH(VLOOKUP(LEFT(A637,6)&amp;"*",'Identificación genética'!A:C,2,FALSE),
               {"En proceso";"Finalizado"},0),
      "🔬 En proceso",
      "🎯 Finalizado"
   ),
"❌ NA")</f>
        <v>🎯 Finalizado</v>
      </c>
      <c r="E590" t="s">
        <v>85</v>
      </c>
      <c r="F590" s="579">
        <v>45705</v>
      </c>
      <c r="G590" t="str">
        <f>_xlfn.XLOOKUP(A590, Extraídas!A:A, Extraídas!G:G, "")</f>
        <v>Cianobacterias</v>
      </c>
    </row>
    <row r="591" spans="1:7" x14ac:dyDescent="0.3">
      <c r="A591" s="632" t="s">
        <v>701</v>
      </c>
      <c r="B591" s="255" t="str">
        <f>IFERROR(
   IF(INDEX(Extraídas!B:B,MATCH(LEFT($A591,6)&amp;"*",Extraídas!A:A,0))="Extraídas",
      "✅ En proceso",
      IF(INDEX(Extraídas!B:B,MATCH(LEFT($A591,6)&amp;"*",Extraídas!A:A,0))="Recibidas",
         "⏳ Pendiente","❌ No ingresada")),
   "❌ No ingresada"
)</f>
        <v>✅ En proceso</v>
      </c>
      <c r="C591" s="255" t="str">
        <f t="array" ref="C591">IFERROR(
   IF(INDEX([1]PCRs!B:B,MATCH(LEFT($A591,6)&amp;"*",[1]PCRs!A:A,0))="Positivo",
      "✅ Positivo",
      IF(INDEX([1]PCRs!B:B,MATCH(LEFT($A591,6)&amp;"*",[1]PCRs!A:A,0))="Negativo",
         "❌ Negativo",
         "⏳ No realizado")),
   "⏳ No realizado"
)</f>
        <v>❌ Negativo</v>
      </c>
      <c r="D591" s="255" t="str">
        <f>IFERROR(
   CHOOSE(
      MATCH(VLOOKUP(LEFT(A638,6)&amp;"*",'Identificación genética'!A:C,2,FALSE),
               {"En proceso";"Finalizado"},0),
      "🔬 En proceso",
      "🎯 Finalizado"
   ),
"❌ NA")</f>
        <v>🎯 Finalizado</v>
      </c>
      <c r="E591" t="s">
        <v>85</v>
      </c>
      <c r="F591" s="29">
        <v>45772</v>
      </c>
      <c r="G591" t="str">
        <f>_xlfn.XLOOKUP(A591, Extraídas!A:A, Extraídas!G:G, "")</f>
        <v>Cianobacterias</v>
      </c>
    </row>
    <row r="592" spans="1:7" x14ac:dyDescent="0.3">
      <c r="A592" s="631" t="s">
        <v>702</v>
      </c>
      <c r="B592" s="255" t="str">
        <f>IFERROR(
   IF(INDEX(Extraídas!B:B,MATCH(LEFT($A592,6)&amp;"*",Extraídas!A:A,0))="Extraídas",
      "✅ En proceso",
      IF(INDEX(Extraídas!B:B,MATCH(LEFT($A592,6)&amp;"*",Extraídas!A:A,0))="Recibidas",
         "⏳ Pendiente","❌ No ingresada")),
   "❌ No ingresada"
)</f>
        <v>✅ En proceso</v>
      </c>
      <c r="C592" s="255" t="str">
        <f t="array" ref="C592">IFERROR(
   IF(INDEX([1]PCRs!B:B,MATCH(LEFT($A592,6)&amp;"*",[1]PCRs!A:A,0))="Positivo",
      "✅ Positivo",
      IF(INDEX([1]PCRs!B:B,MATCH(LEFT($A592,6)&amp;"*",[1]PCRs!A:A,0))="Negativo",
         "❌ Negativo",
         "⏳ No realizado")),
   "⏳ No realizado"
)</f>
        <v>❌ Negativo</v>
      </c>
      <c r="D592" s="255" t="str">
        <f>IFERROR(
   CHOOSE(
      MATCH(VLOOKUP(LEFT(A639,6)&amp;"*",'Identificación genética'!A:C,2,FALSE),
               {"En proceso";"Finalizado"},0),
      "🔬 En proceso",
      "🎯 Finalizado"
   ),
"❌ NA")</f>
        <v>🎯 Finalizado</v>
      </c>
      <c r="E592" t="s">
        <v>85</v>
      </c>
      <c r="F592" s="583">
        <v>45925</v>
      </c>
      <c r="G592" t="str">
        <f>_xlfn.XLOOKUP(A592, Extraídas!A:A, Extraídas!G:G, "")</f>
        <v>Microalgas</v>
      </c>
    </row>
    <row r="593" spans="1:7" x14ac:dyDescent="0.3">
      <c r="A593" s="630" t="s">
        <v>703</v>
      </c>
      <c r="B593" s="255" t="str">
        <f>IFERROR(
   IF(INDEX(Extraídas!B:B,MATCH(LEFT($A593,6)&amp;"*",Extraídas!A:A,0))="Extraídas",
      "✅ En proceso",
      IF(INDEX(Extraídas!B:B,MATCH(LEFT($A593,6)&amp;"*",Extraídas!A:A,0))="Recibidas",
         "⏳ Pendiente","❌ No ingresada")),
   "❌ No ingresada"
)</f>
        <v>✅ En proceso</v>
      </c>
      <c r="C593" s="255" t="str">
        <f t="array" ref="C593">IFERROR(
   IF(INDEX([1]PCRs!B:B,MATCH(LEFT($A593,6)&amp;"*",[1]PCRs!A:A,0))="Positivo",
      "✅ Positivo",
      IF(INDEX([1]PCRs!B:B,MATCH(LEFT($A593,6)&amp;"*",[1]PCRs!A:A,0))="Negativo",
         "❌ Negativo",
         "⏳ No realizado")),
   "⏳ No realizado"
)</f>
        <v>❌ Negativo</v>
      </c>
      <c r="D593" s="255" t="str">
        <f>IFERROR(
   CHOOSE(
      MATCH(VLOOKUP(LEFT(A640,6)&amp;"*",'Identificación genética'!A:C,2,FALSE),
               {"En proceso";"Finalizado"},0),
      "🔬 En proceso",
      "🎯 Finalizado"
   ),
"❌ NA")</f>
        <v>🎯 Finalizado</v>
      </c>
      <c r="E593" t="s">
        <v>85</v>
      </c>
      <c r="F593" s="579">
        <v>45817</v>
      </c>
      <c r="G593" t="str">
        <f>_xlfn.XLOOKUP(A593, Extraídas!A:A, Extraídas!G:G, "")</f>
        <v>Cianobacterias</v>
      </c>
    </row>
    <row r="594" spans="1:7" x14ac:dyDescent="0.3">
      <c r="A594" s="256" t="s">
        <v>1066</v>
      </c>
      <c r="B594" s="255" t="str">
        <f>IFERROR(
   IF(INDEX(Extraídas!B:B,MATCH(LEFT($A594,6)&amp;"*",Extraídas!A:A,0))="Extraídas",
      "✅ En proceso",
      IF(INDEX(Extraídas!B:B,MATCH(LEFT($A594,6)&amp;"*",Extraídas!A:A,0))="Recibidas",
         "⏳ Pendiente","❌ No ingresada")),
   "❌ No ingresada"
)</f>
        <v>✅ En proceso</v>
      </c>
      <c r="C594" s="255" t="str">
        <f t="array" ref="C594">IFERROR(
   IF(INDEX([1]PCRs!B:B,MATCH(LEFT($A594,6)&amp;"*",[1]PCRs!A:A,0))="Positivo",
      "✅ Positivo",
      IF(INDEX([1]PCRs!B:B,MATCH(LEFT($A594,6)&amp;"*",[1]PCRs!A:A,0))="Negativo",
         "❌ Negativo",
         "⏳ No realizado")),
   "⏳ No realizado"
)</f>
        <v>❌ Negativo</v>
      </c>
      <c r="D594" s="255" t="str">
        <f>IFERROR(
   CHOOSE(
      MATCH(VLOOKUP(LEFT(A641,6)&amp;"*",'Identificación genética'!A:C,2,FALSE),
               {"En proceso";"Finalizado"},0),
      "🔬 En proceso",
      "🎯 Finalizado"
   ),
"❌ NA")</f>
        <v>🎯 Finalizado</v>
      </c>
      <c r="E594" t="s">
        <v>85</v>
      </c>
      <c r="G594" t="str">
        <f>_xlfn.XLOOKUP(A594, Extraídas!A:A, Extraídas!G:G, "")</f>
        <v/>
      </c>
    </row>
    <row r="595" spans="1:7" x14ac:dyDescent="0.3">
      <c r="A595" s="631" t="s">
        <v>704</v>
      </c>
      <c r="B595" s="255" t="str">
        <f>IFERROR(
   IF(INDEX(Extraídas!B:B,MATCH(LEFT($A595,6)&amp;"*",Extraídas!A:A,0))="Extraídas",
      "✅ En proceso",
      IF(INDEX(Extraídas!B:B,MATCH(LEFT($A595,6)&amp;"*",Extraídas!A:A,0))="Recibidas",
         "⏳ Pendiente","❌ No ingresada")),
   "❌ No ingresada"
)</f>
        <v>✅ En proceso</v>
      </c>
      <c r="C595" s="255" t="str">
        <f t="array" ref="C595">IFERROR(
   IF(INDEX([1]PCRs!B:B,MATCH(LEFT($A595,6)&amp;"*",[1]PCRs!A:A,0))="Positivo",
      "✅ Positivo",
      IF(INDEX([1]PCRs!B:B,MATCH(LEFT($A595,6)&amp;"*",[1]PCRs!A:A,0))="Negativo",
         "❌ Negativo",
         "⏳ No realizado")),
   "⏳ No realizado"
)</f>
        <v>❌ Negativo</v>
      </c>
      <c r="D595" s="255" t="str">
        <f>IFERROR(
   CHOOSE(
      MATCH(VLOOKUP(LEFT(A642,6)&amp;"*",'Identificación genética'!A:C,2,FALSE),
               {"En proceso";"Finalizado"},0),
      "🔬 En proceso",
      "🎯 Finalizado"
   ),
"❌ NA")</f>
        <v>🎯 Finalizado</v>
      </c>
      <c r="E595" t="s">
        <v>85</v>
      </c>
      <c r="F595" s="583">
        <v>45933</v>
      </c>
      <c r="G595" t="str">
        <f>_xlfn.XLOOKUP(A595, Extraídas!A:A, Extraídas!G:G, "")</f>
        <v>Microalgas</v>
      </c>
    </row>
    <row r="596" spans="1:7" x14ac:dyDescent="0.3">
      <c r="A596" s="632" t="s">
        <v>705</v>
      </c>
      <c r="B596" s="255" t="str">
        <f>IFERROR(
   IF(INDEX(Extraídas!B:B,MATCH(LEFT($A596,6)&amp;"*",Extraídas!A:A,0))="Extraídas",
      "✅ En proceso",
      IF(INDEX(Extraídas!B:B,MATCH(LEFT($A596,6)&amp;"*",Extraídas!A:A,0))="Recibidas",
         "⏳ Pendiente","❌ No ingresada")),
   "❌ No ingresada"
)</f>
        <v>✅ En proceso</v>
      </c>
      <c r="C596" s="255" t="str">
        <f t="array" ref="C596">IFERROR(
   IF(INDEX([1]PCRs!B:B,MATCH(LEFT($A596,6)&amp;"*",[1]PCRs!A:A,0))="Positivo",
      "✅ Positivo",
      IF(INDEX([1]PCRs!B:B,MATCH(LEFT($A596,6)&amp;"*",[1]PCRs!A:A,0))="Negativo",
         "❌ Negativo",
         "⏳ No realizado")),
   "⏳ No realizado"
)</f>
        <v>❌ Negativo</v>
      </c>
      <c r="D596" s="255" t="str">
        <f>IFERROR(
   CHOOSE(
      MATCH(VLOOKUP(LEFT(A643,6)&amp;"*",'Identificación genética'!A:C,2,FALSE),
               {"En proceso";"Finalizado"},0),
      "🔬 En proceso",
      "🎯 Finalizado"
   ),
"❌ NA")</f>
        <v>🎯 Finalizado</v>
      </c>
      <c r="E596" t="s">
        <v>85</v>
      </c>
      <c r="F596" s="579">
        <v>45705</v>
      </c>
      <c r="G596" t="str">
        <f>_xlfn.XLOOKUP(A596, Extraídas!A:A, Extraídas!G:G, "")</f>
        <v>Cianobacterias</v>
      </c>
    </row>
    <row r="597" spans="1:7" x14ac:dyDescent="0.3">
      <c r="A597" s="631" t="s">
        <v>706</v>
      </c>
      <c r="B597" s="255" t="str">
        <f>IFERROR(
   IF(INDEX(Extraídas!B:B,MATCH(LEFT($A597,6)&amp;"*",Extraídas!A:A,0))="Extraídas",
      "✅ En proceso",
      IF(INDEX(Extraídas!B:B,MATCH(LEFT($A597,6)&amp;"*",Extraídas!A:A,0))="Recibidas",
         "⏳ Pendiente","❌ No ingresada")),
   "❌ No ingresada"
)</f>
        <v>✅ En proceso</v>
      </c>
      <c r="C597" s="255" t="str">
        <f t="array" ref="C597">IFERROR(
   IF(INDEX([1]PCRs!B:B,MATCH(LEFT($A597,6)&amp;"*",[1]PCRs!A:A,0))="Positivo",
      "✅ Positivo",
      IF(INDEX([1]PCRs!B:B,MATCH(LEFT($A597,6)&amp;"*",[1]PCRs!A:A,0))="Negativo",
         "❌ Negativo",
         "⏳ No realizado")),
   "⏳ No realizado"
)</f>
        <v>❌ Negativo</v>
      </c>
      <c r="D597" s="255" t="str">
        <f>IFERROR(
   CHOOSE(
      MATCH(VLOOKUP(LEFT(A644,6)&amp;"*",'Identificación genética'!A:C,2,FALSE),
               {"En proceso";"Finalizado"},0),
      "🔬 En proceso",
      "🎯 Finalizado"
   ),
"❌ NA")</f>
        <v>🎯 Finalizado</v>
      </c>
      <c r="E597" t="s">
        <v>85</v>
      </c>
      <c r="F597" s="575">
        <v>45940</v>
      </c>
      <c r="G597" t="str">
        <f>_xlfn.XLOOKUP(A597, Extraídas!A:A, Extraídas!G:G, "")</f>
        <v>Microalgas</v>
      </c>
    </row>
    <row r="598" spans="1:7" x14ac:dyDescent="0.3">
      <c r="A598" s="632" t="s">
        <v>707</v>
      </c>
      <c r="B598" s="255" t="str">
        <f>IFERROR(
   IF(INDEX(Extraídas!B:B,MATCH(LEFT($A598,6)&amp;"*",Extraídas!A:A,0))="Extraídas",
      "✅ En proceso",
      IF(INDEX(Extraídas!B:B,MATCH(LEFT($A598,6)&amp;"*",Extraídas!A:A,0))="Recibidas",
         "⏳ Pendiente","❌ No ingresada")),
   "❌ No ingresada"
)</f>
        <v>✅ En proceso</v>
      </c>
      <c r="C598" s="255" t="str">
        <f t="array" ref="C598">IFERROR(
   IF(INDEX([1]PCRs!B:B,MATCH(LEFT($A598,6)&amp;"*",[1]PCRs!A:A,0))="Positivo",
      "✅ Positivo",
      IF(INDEX([1]PCRs!B:B,MATCH(LEFT($A598,6)&amp;"*",[1]PCRs!A:A,0))="Negativo",
         "❌ Negativo",
         "⏳ No realizado")),
   "⏳ No realizado"
)</f>
        <v>❌ Negativo</v>
      </c>
      <c r="D598" s="255" t="str">
        <f>IFERROR(
   CHOOSE(
      MATCH(VLOOKUP(LEFT(A645,6)&amp;"*",'Identificación genética'!A:C,2,FALSE),
               {"En proceso";"Finalizado"},0),
      "🔬 En proceso",
      "🎯 Finalizado"
   ),
"❌ NA")</f>
        <v>🎯 Finalizado</v>
      </c>
      <c r="E598" t="s">
        <v>85</v>
      </c>
      <c r="F598" s="111">
        <v>45733</v>
      </c>
      <c r="G598" t="str">
        <f>_xlfn.XLOOKUP(A598, Extraídas!A:A, Extraídas!G:G, "")</f>
        <v>Cianobacterias</v>
      </c>
    </row>
    <row r="599" spans="1:7" x14ac:dyDescent="0.3">
      <c r="A599" s="631" t="s">
        <v>708</v>
      </c>
      <c r="B599" s="255" t="str">
        <f>IFERROR(
   IF(INDEX(Extraídas!B:B,MATCH(LEFT($A599,6)&amp;"*",Extraídas!A:A,0))="Extraídas",
      "✅ En proceso",
      IF(INDEX(Extraídas!B:B,MATCH(LEFT($A599,6)&amp;"*",Extraídas!A:A,0))="Recibidas",
         "⏳ Pendiente","❌ No ingresada")),
   "❌ No ingresada"
)</f>
        <v>✅ En proceso</v>
      </c>
      <c r="C599" s="255" t="str">
        <f t="array" ref="C599">IFERROR(
   IF(INDEX([1]PCRs!B:B,MATCH(LEFT($A599,6)&amp;"*",[1]PCRs!A:A,0))="Positivo",
      "✅ Positivo",
      IF(INDEX([1]PCRs!B:B,MATCH(LEFT($A599,6)&amp;"*",[1]PCRs!A:A,0))="Negativo",
         "❌ Negativo",
         "⏳ No realizado")),
   "⏳ No realizado"
)</f>
        <v>❌ Negativo</v>
      </c>
      <c r="D599" s="255" t="str">
        <f>IFERROR(
   CHOOSE(
      MATCH(VLOOKUP(LEFT(A646,6)&amp;"*",'Identificación genética'!A:C,2,FALSE),
               {"En proceso";"Finalizado"},0),
      "🔬 En proceso",
      "🎯 Finalizado"
   ),
"❌ NA")</f>
        <v>🎯 Finalizado</v>
      </c>
      <c r="E599" t="s">
        <v>85</v>
      </c>
      <c r="F599" s="110">
        <v>45933</v>
      </c>
      <c r="G599" t="str">
        <f>_xlfn.XLOOKUP(A599, Extraídas!A:A, Extraídas!G:G, "")</f>
        <v>Microalgas</v>
      </c>
    </row>
    <row r="600" spans="1:7" x14ac:dyDescent="0.3">
      <c r="A600" s="567" t="s">
        <v>2224</v>
      </c>
      <c r="B600" s="255" t="str">
        <f>IFERROR(
   IF(INDEX(Extraídas!B:B,MATCH(LEFT($A600,6)&amp;"*",Extraídas!A:A,0))="Extraídas",
      "✅ En proceso",
      IF(INDEX(Extraídas!B:B,MATCH(LEFT($A600,6)&amp;"*",Extraídas!A:A,0))="Recibidas",
         "⏳ Pendiente","❌ No ingresada")),
   "❌ No ingresada"
)</f>
        <v>✅ En proceso</v>
      </c>
      <c r="C600" s="255" t="str">
        <f t="array" ref="C600">IFERROR(
   IF(INDEX([1]PCRs!B:B,MATCH(LEFT($A600,6)&amp;"*",[1]PCRs!A:A,0))="Positivo",
      "✅ Positivo",
      IF(INDEX([1]PCRs!B:B,MATCH(LEFT($A600,6)&amp;"*",[1]PCRs!A:A,0))="Negativo",
         "❌ Negativo",
         "⏳ No realizado")),
   "⏳ No realizado"
)</f>
        <v>❌ Negativo</v>
      </c>
      <c r="D600" s="255" t="str">
        <f>IFERROR(
   CHOOSE(
      MATCH(VLOOKUP(LEFT(A647,6)&amp;"*",'Identificación genética'!A:C,2,FALSE),
               {"En proceso";"Finalizado"},0),
      "🔬 En proceso",
      "🎯 Finalizado"
   ),
"❌ NA")</f>
        <v>🎯 Finalizado</v>
      </c>
      <c r="E600" t="s">
        <v>85</v>
      </c>
      <c r="G600" t="str">
        <f>_xlfn.XLOOKUP(A600, Extraídas!A:A, Extraídas!G:G, "")</f>
        <v/>
      </c>
    </row>
    <row r="601" spans="1:7" x14ac:dyDescent="0.3">
      <c r="A601" s="567" t="s">
        <v>2225</v>
      </c>
      <c r="B601" s="255" t="str">
        <f>IFERROR(
   IF(INDEX(Extraídas!B:B,MATCH(LEFT($A601,6)&amp;"*",Extraídas!A:A,0))="Extraídas",
      "✅ En proceso",
      IF(INDEX(Extraídas!B:B,MATCH(LEFT($A601,6)&amp;"*",Extraídas!A:A,0))="Recibidas",
         "⏳ Pendiente","❌ No ingresada")),
   "❌ No ingresada"
)</f>
        <v>✅ En proceso</v>
      </c>
      <c r="C601" s="255" t="str">
        <f t="array" ref="C601">IFERROR(
   IF(INDEX([1]PCRs!B:B,MATCH(LEFT($A601,6)&amp;"*",[1]PCRs!A:A,0))="Positivo",
      "✅ Positivo",
      IF(INDEX([1]PCRs!B:B,MATCH(LEFT($A601,6)&amp;"*",[1]PCRs!A:A,0))="Negativo",
         "❌ Negativo",
         "⏳ No realizado")),
   "⏳ No realizado"
)</f>
        <v>✅ Positivo</v>
      </c>
      <c r="D601" s="255" t="str">
        <f>IFERROR(
   CHOOSE(
      MATCH(VLOOKUP(LEFT(A648,6)&amp;"*",'Identificación genética'!A:C,2,FALSE),
               {"En proceso";"Finalizado"},0),
      "🔬 En proceso",
      "🎯 Finalizado"
   ),
"❌ NA")</f>
        <v>🎯 Finalizado</v>
      </c>
      <c r="E601" t="s">
        <v>85</v>
      </c>
      <c r="G601" t="str">
        <f>_xlfn.XLOOKUP(A601, Extraídas!A:A, Extraídas!G:G, "")</f>
        <v/>
      </c>
    </row>
    <row r="602" spans="1:7" x14ac:dyDescent="0.3">
      <c r="A602" s="631" t="s">
        <v>709</v>
      </c>
      <c r="B602" s="255" t="str">
        <f>IFERROR(
   IF(INDEX(Extraídas!B:B,MATCH(LEFT($A602,6)&amp;"*",Extraídas!A:A,0))="Extraídas",
      "✅ En proceso",
      IF(INDEX(Extraídas!B:B,MATCH(LEFT($A602,6)&amp;"*",Extraídas!A:A,0))="Recibidas",
         "⏳ Pendiente","❌ No ingresada")),
   "❌ No ingresada"
)</f>
        <v>✅ En proceso</v>
      </c>
      <c r="C602" s="255" t="str">
        <f t="array" ref="C602">IFERROR(
   IF(INDEX([1]PCRs!B:B,MATCH(LEFT($A602,6)&amp;"*",[1]PCRs!A:A,0))="Positivo",
      "✅ Positivo",
      IF(INDEX([1]PCRs!B:B,MATCH(LEFT($A602,6)&amp;"*",[1]PCRs!A:A,0))="Negativo",
         "❌ Negativo",
         "⏳ No realizado")),
   "⏳ No realizado"
)</f>
        <v>✅ Positivo</v>
      </c>
      <c r="D602" s="255" t="str">
        <f>IFERROR(
   CHOOSE(
      MATCH(VLOOKUP(LEFT(A649,6)&amp;"*",'Identificación genética'!A:C,2,FALSE),
               {"En proceso";"Finalizado"},0),
      "🔬 En proceso",
      "🎯 Finalizado"
   ),
"❌ NA")</f>
        <v>🎯 Finalizado</v>
      </c>
      <c r="E602" t="s">
        <v>85</v>
      </c>
      <c r="F602" s="29">
        <v>45772</v>
      </c>
      <c r="G602" t="str">
        <f>_xlfn.XLOOKUP(A602, Extraídas!A:A, Extraídas!G:G, "")</f>
        <v>Microalgas</v>
      </c>
    </row>
    <row r="603" spans="1:7" x14ac:dyDescent="0.3">
      <c r="A603" s="567" t="s">
        <v>2165</v>
      </c>
      <c r="B603" s="255" t="str">
        <f>IFERROR(
   IF(INDEX(Extraídas!B:B,MATCH(LEFT($A603,6)&amp;"*",Extraídas!A:A,0))="Extraídas",
      "✅ En proceso",
      IF(INDEX(Extraídas!B:B,MATCH(LEFT($A603,6)&amp;"*",Extraídas!A:A,0))="Recibidas",
         "⏳ Pendiente","❌ No ingresada")),
   "❌ No ingresada"
)</f>
        <v>✅ En proceso</v>
      </c>
      <c r="C603" s="255" t="str">
        <f t="array" ref="C603">IFERROR(
   IF(INDEX([1]PCRs!B:B,MATCH(LEFT($A603,6)&amp;"*",[1]PCRs!A:A,0))="Positivo",
      "✅ Positivo",
      IF(INDEX([1]PCRs!B:B,MATCH(LEFT($A603,6)&amp;"*",[1]PCRs!A:A,0))="Negativo",
         "❌ Negativo",
         "⏳ No realizado")),
   "⏳ No realizado"
)</f>
        <v>✅ Positivo</v>
      </c>
      <c r="D603" s="255" t="str">
        <f>IFERROR(
   CHOOSE(
      MATCH(VLOOKUP(LEFT(A650,6)&amp;"*",'Identificación genética'!A:C,2,FALSE),
               {"En proceso";"Finalizado"},0),
      "🔬 En proceso",
      "🎯 Finalizado"
   ),
"❌ NA")</f>
        <v>🎯 Finalizado</v>
      </c>
      <c r="E603" t="s">
        <v>85</v>
      </c>
      <c r="G603" t="str">
        <f>_xlfn.XLOOKUP(A603, Extraídas!A:A, Extraídas!G:G, "")</f>
        <v/>
      </c>
    </row>
    <row r="604" spans="1:7" ht="15" thickBot="1" x14ac:dyDescent="0.35">
      <c r="A604" s="632" t="s">
        <v>710</v>
      </c>
      <c r="B604" s="255" t="str">
        <f>IFERROR(
   IF(INDEX(Extraídas!B:B,MATCH(LEFT($A604,6)&amp;"*",Extraídas!A:A,0))="Extraídas",
      "✅ En proceso",
      IF(INDEX(Extraídas!B:B,MATCH(LEFT($A604,6)&amp;"*",Extraídas!A:A,0))="Recibidas",
         "⏳ Pendiente","❌ No ingresada")),
   "❌ No ingresada"
)</f>
        <v>✅ En proceso</v>
      </c>
      <c r="C604" s="255" t="str">
        <f t="array" ref="C604">IFERROR(
   IF(INDEX([1]PCRs!B:B,MATCH(LEFT($A604,6)&amp;"*",[1]PCRs!A:A,0))="Positivo",
      "✅ Positivo",
      IF(INDEX([1]PCRs!B:B,MATCH(LEFT($A604,6)&amp;"*",[1]PCRs!A:A,0))="Negativo",
         "❌ Negativo",
         "⏳ No realizado")),
   "⏳ No realizado"
)</f>
        <v>✅ Positivo</v>
      </c>
      <c r="D604" s="255" t="str">
        <f>IFERROR(
   CHOOSE(
      MATCH(VLOOKUP(LEFT(A651,6)&amp;"*",'Identificación genética'!A:C,2,FALSE),
               {"En proceso";"Finalizado"},0),
      "🔬 En proceso",
      "🎯 Finalizado"
   ),
"❌ NA")</f>
        <v>🎯 Finalizado</v>
      </c>
      <c r="E604" t="s">
        <v>85</v>
      </c>
      <c r="F604" s="29">
        <v>45772</v>
      </c>
      <c r="G604" t="str">
        <f>_xlfn.XLOOKUP(A604, Extraídas!A:A, Extraídas!G:G, "")</f>
        <v>Cianobacterias</v>
      </c>
    </row>
    <row r="605" spans="1:7" ht="15" thickBot="1" x14ac:dyDescent="0.35">
      <c r="A605" s="631" t="s">
        <v>711</v>
      </c>
      <c r="B605" s="255" t="str">
        <f>IFERROR(
   IF(INDEX(Extraídas!B:B,MATCH(LEFT($A605,6)&amp;"*",Extraídas!A:A,0))="Extraídas",
      "✅ En proceso",
      IF(INDEX(Extraídas!B:B,MATCH(LEFT($A605,6)&amp;"*",Extraídas!A:A,0))="Recibidas",
         "⏳ Pendiente","❌ No ingresada")),
   "❌ No ingresada"
)</f>
        <v>✅ En proceso</v>
      </c>
      <c r="C605" s="255" t="str">
        <f t="array" ref="C605">IFERROR(
   IF(INDEX([1]PCRs!B:B,MATCH(LEFT($A605,6)&amp;"*",[1]PCRs!A:A,0))="Positivo",
      "✅ Positivo",
      IF(INDEX([1]PCRs!B:B,MATCH(LEFT($A605,6)&amp;"*",[1]PCRs!A:A,0))="Negativo",
         "❌ Negativo",
         "⏳ No realizado")),
   "⏳ No realizado"
)</f>
        <v>✅ Positivo</v>
      </c>
      <c r="D605" s="255" t="str">
        <f>IFERROR(
   CHOOSE(
      MATCH(VLOOKUP(LEFT(A652,6)&amp;"*",'Identificación genética'!A:C,2,FALSE),
               {"En proceso";"Finalizado"},0),
      "🔬 En proceso",
      "🎯 Finalizado"
   ),
"❌ NA")</f>
        <v>🎯 Finalizado</v>
      </c>
      <c r="E605" t="s">
        <v>85</v>
      </c>
      <c r="F605" s="619">
        <v>45922</v>
      </c>
      <c r="G605" t="str">
        <f>_xlfn.XLOOKUP(A605, Extraídas!A:A, Extraídas!G:G, "")</f>
        <v>Cianobacterias</v>
      </c>
    </row>
    <row r="606" spans="1:7" ht="15" thickBot="1" x14ac:dyDescent="0.35">
      <c r="A606" s="631" t="s">
        <v>712</v>
      </c>
      <c r="B606" s="255" t="str">
        <f>IFERROR(
   IF(INDEX(Extraídas!B:B,MATCH(LEFT($A606,6)&amp;"*",Extraídas!A:A,0))="Extraídas",
      "✅ En proceso",
      IF(INDEX(Extraídas!B:B,MATCH(LEFT($A606,6)&amp;"*",Extraídas!A:A,0))="Recibidas",
         "⏳ Pendiente","❌ No ingresada")),
   "❌ No ingresada"
)</f>
        <v>✅ En proceso</v>
      </c>
      <c r="C606" s="255" t="str">
        <f t="array" ref="C606">IFERROR(
   IF(INDEX([1]PCRs!B:B,MATCH(LEFT($A606,6)&amp;"*",[1]PCRs!A:A,0))="Positivo",
      "✅ Positivo",
      IF(INDEX([1]PCRs!B:B,MATCH(LEFT($A606,6)&amp;"*",[1]PCRs!A:A,0))="Negativo",
         "❌ Negativo",
         "⏳ No realizado")),
   "⏳ No realizado"
)</f>
        <v>✅ Positivo</v>
      </c>
      <c r="D606" s="255" t="str">
        <f>IFERROR(
   CHOOSE(
      MATCH(VLOOKUP(LEFT(A653,6)&amp;"*",'Identificación genética'!A:C,2,FALSE),
               {"En proceso";"Finalizado"},0),
      "🔬 En proceso",
      "🎯 Finalizado"
   ),
"❌ NA")</f>
        <v>🎯 Finalizado</v>
      </c>
      <c r="E606" t="s">
        <v>85</v>
      </c>
      <c r="F606" s="578">
        <v>45925</v>
      </c>
      <c r="G606" t="str">
        <f>_xlfn.XLOOKUP(A606, Extraídas!A:A, Extraídas!G:G, "")</f>
        <v>Microalgas</v>
      </c>
    </row>
    <row r="607" spans="1:7" x14ac:dyDescent="0.3">
      <c r="A607" s="632" t="s">
        <v>713</v>
      </c>
      <c r="B607" s="255" t="str">
        <f>IFERROR(
   IF(INDEX(Extraídas!B:B,MATCH(LEFT($A607,6)&amp;"*",Extraídas!A:A,0))="Extraídas",
      "✅ En proceso",
      IF(INDEX(Extraídas!B:B,MATCH(LEFT($A607,6)&amp;"*",Extraídas!A:A,0))="Recibidas",
         "⏳ Pendiente","❌ No ingresada")),
   "❌ No ingresada"
)</f>
        <v>✅ En proceso</v>
      </c>
      <c r="C607" s="255" t="str">
        <f t="array" ref="C607">IFERROR(
   IF(INDEX([1]PCRs!B:B,MATCH(LEFT($A607,6)&amp;"*",[1]PCRs!A:A,0))="Positivo",
      "✅ Positivo",
      IF(INDEX([1]PCRs!B:B,MATCH(LEFT($A607,6)&amp;"*",[1]PCRs!A:A,0))="Negativo",
         "❌ Negativo",
         "⏳ No realizado")),
   "⏳ No realizado"
)</f>
        <v>✅ Positivo</v>
      </c>
      <c r="D607" s="255" t="str">
        <f>IFERROR(
   CHOOSE(
      MATCH(VLOOKUP(LEFT(A654,6)&amp;"*",'Identificación genética'!A:C,2,FALSE),
               {"En proceso";"Finalizado"},0),
      "🔬 En proceso",
      "🎯 Finalizado"
   ),
"❌ NA")</f>
        <v>🎯 Finalizado</v>
      </c>
      <c r="E607" t="s">
        <v>85</v>
      </c>
      <c r="F607" s="29">
        <v>45772</v>
      </c>
      <c r="G607" t="str">
        <f>_xlfn.XLOOKUP(A607, Extraídas!A:A, Extraídas!G:G, "")</f>
        <v>Cianobacterias</v>
      </c>
    </row>
    <row r="608" spans="1:7" x14ac:dyDescent="0.3">
      <c r="A608" s="631" t="s">
        <v>714</v>
      </c>
      <c r="B608" s="255" t="str">
        <f>IFERROR(
   IF(INDEX(Extraídas!B:B,MATCH(LEFT($A608,6)&amp;"*",Extraídas!A:A,0))="Extraídas",
      "✅ En proceso",
      IF(INDEX(Extraídas!B:B,MATCH(LEFT($A608,6)&amp;"*",Extraídas!A:A,0))="Recibidas",
         "⏳ Pendiente","❌ No ingresada")),
   "❌ No ingresada"
)</f>
        <v>✅ En proceso</v>
      </c>
      <c r="C608" s="255" t="str">
        <f t="array" ref="C608">IFERROR(
   IF(INDEX([1]PCRs!B:B,MATCH(LEFT($A608,6)&amp;"*",[1]PCRs!A:A,0))="Positivo",
      "✅ Positivo",
      IF(INDEX([1]PCRs!B:B,MATCH(LEFT($A608,6)&amp;"*",[1]PCRs!A:A,0))="Negativo",
         "❌ Negativo",
         "⏳ No realizado")),
   "⏳ No realizado"
)</f>
        <v>✅ Positivo</v>
      </c>
      <c r="D608" s="255" t="str">
        <f>IFERROR(
   CHOOSE(
      MATCH(VLOOKUP(LEFT(A655,6)&amp;"*",'Identificación genética'!A:C,2,FALSE),
               {"En proceso";"Finalizado"},0),
      "🔬 En proceso",
      "🎯 Finalizado"
   ),
"❌ NA")</f>
        <v>🎯 Finalizado</v>
      </c>
      <c r="E608" t="s">
        <v>85</v>
      </c>
      <c r="F608" s="575">
        <v>45925</v>
      </c>
      <c r="G608" t="str">
        <f>_xlfn.XLOOKUP(A608, Extraídas!A:A, Extraídas!G:G, "")</f>
        <v>Microalgas</v>
      </c>
    </row>
    <row r="609" spans="1:7" x14ac:dyDescent="0.3">
      <c r="A609" s="256" t="s">
        <v>1058</v>
      </c>
      <c r="B609" s="255" t="str">
        <f>IFERROR(
   IF(INDEX(Extraídas!B:B,MATCH(LEFT($A609,6)&amp;"*",Extraídas!A:A,0))="Extraídas",
      "✅ En proceso",
      IF(INDEX(Extraídas!B:B,MATCH(LEFT($A609,6)&amp;"*",Extraídas!A:A,0))="Recibidas",
         "⏳ Pendiente","❌ No ingresada")),
   "❌ No ingresada"
)</f>
        <v>✅ En proceso</v>
      </c>
      <c r="C609" s="255" t="str">
        <f t="array" ref="C609">IFERROR(
   IF(INDEX([1]PCRs!B:B,MATCH(LEFT($A609,6)&amp;"*",[1]PCRs!A:A,0))="Positivo",
      "✅ Positivo",
      IF(INDEX([1]PCRs!B:B,MATCH(LEFT($A609,6)&amp;"*",[1]PCRs!A:A,0))="Negativo",
         "❌ Negativo",
         "⏳ No realizado")),
   "⏳ No realizado"
)</f>
        <v>✅ Positivo</v>
      </c>
      <c r="D609" s="255" t="str">
        <f>IFERROR(
   CHOOSE(
      MATCH(VLOOKUP(LEFT(A656,6)&amp;"*",'Identificación genética'!A:C,2,FALSE),
               {"En proceso";"Finalizado"},0),
      "🔬 En proceso",
      "🎯 Finalizado"
   ),
"❌ NA")</f>
        <v>🎯 Finalizado</v>
      </c>
      <c r="E609" t="s">
        <v>85</v>
      </c>
      <c r="G609" t="str">
        <f>_xlfn.XLOOKUP(A609, Extraídas!A:A, Extraídas!G:G, "")</f>
        <v/>
      </c>
    </row>
    <row r="610" spans="1:7" x14ac:dyDescent="0.3">
      <c r="A610" s="630" t="s">
        <v>715</v>
      </c>
      <c r="B610" s="255" t="str">
        <f>IFERROR(
   IF(INDEX(Extraídas!B:B,MATCH(LEFT($A610,6)&amp;"*",Extraídas!A:A,0))="Extraídas",
      "✅ En proceso",
      IF(INDEX(Extraídas!B:B,MATCH(LEFT($A610,6)&amp;"*",Extraídas!A:A,0))="Recibidas",
         "⏳ Pendiente","❌ No ingresada")),
   "❌ No ingresada"
)</f>
        <v>✅ En proceso</v>
      </c>
      <c r="C610" s="255" t="str">
        <f t="array" ref="C610">IFERROR(
   IF(INDEX([1]PCRs!B:B,MATCH(LEFT($A610,6)&amp;"*",[1]PCRs!A:A,0))="Positivo",
      "✅ Positivo",
      IF(INDEX([1]PCRs!B:B,MATCH(LEFT($A610,6)&amp;"*",[1]PCRs!A:A,0))="Negativo",
         "❌ Negativo",
         "⏳ No realizado")),
   "⏳ No realizado"
)</f>
        <v>✅ Positivo</v>
      </c>
      <c r="D610" s="255" t="str">
        <f>IFERROR(
   CHOOSE(
      MATCH(VLOOKUP(LEFT(A657,6)&amp;"*",'Identificación genética'!A:C,2,FALSE),
               {"En proceso";"Finalizado"},0),
      "🔬 En proceso",
      "🎯 Finalizado"
   ),
"❌ NA")</f>
        <v>🎯 Finalizado</v>
      </c>
      <c r="E610" t="s">
        <v>85</v>
      </c>
      <c r="F610" s="579">
        <v>45817</v>
      </c>
      <c r="G610" t="str">
        <f>_xlfn.XLOOKUP(A610, Extraídas!A:A, Extraídas!G:G, "")</f>
        <v>Cianobacterias</v>
      </c>
    </row>
    <row r="611" spans="1:7" x14ac:dyDescent="0.3">
      <c r="A611" s="631" t="s">
        <v>716</v>
      </c>
      <c r="B611" s="255" t="str">
        <f>IFERROR(
   IF(INDEX(Extraídas!B:B,MATCH(LEFT($A611,6)&amp;"*",Extraídas!A:A,0))="Extraídas",
      "✅ En proceso",
      IF(INDEX(Extraídas!B:B,MATCH(LEFT($A611,6)&amp;"*",Extraídas!A:A,0))="Recibidas",
         "⏳ Pendiente","❌ No ingresada")),
   "❌ No ingresada"
)</f>
        <v>✅ En proceso</v>
      </c>
      <c r="C611" s="255" t="str">
        <f t="array" ref="C611">IFERROR(
   IF(INDEX([1]PCRs!B:B,MATCH(LEFT($A611,6)&amp;"*",[1]PCRs!A:A,0))="Positivo",
      "✅ Positivo",
      IF(INDEX([1]PCRs!B:B,MATCH(LEFT($A611,6)&amp;"*",[1]PCRs!A:A,0))="Negativo",
         "❌ Negativo",
         "⏳ No realizado")),
   "⏳ No realizado"
)</f>
        <v>✅ Positivo</v>
      </c>
      <c r="D611" s="255" t="str">
        <f>IFERROR(
   CHOOSE(
      MATCH(VLOOKUP(LEFT(A658,6)&amp;"*",'Identificación genética'!A:C,2,FALSE),
               {"En proceso";"Finalizado"},0),
      "🔬 En proceso",
      "🎯 Finalizado"
   ),
"❌ NA")</f>
        <v>🎯 Finalizado</v>
      </c>
      <c r="E611" t="s">
        <v>85</v>
      </c>
      <c r="F611" s="583">
        <v>45930</v>
      </c>
      <c r="G611" t="str">
        <f>_xlfn.XLOOKUP(A611, Extraídas!A:A, Extraídas!G:G, "")</f>
        <v>Microalgas</v>
      </c>
    </row>
    <row r="612" spans="1:7" x14ac:dyDescent="0.3">
      <c r="A612" s="630" t="s">
        <v>717</v>
      </c>
      <c r="B612" s="255" t="str">
        <f>IFERROR(
   IF(INDEX(Extraídas!B:B,MATCH(LEFT($A612,6)&amp;"*",Extraídas!A:A,0))="Extraídas",
      "✅ En proceso",
      IF(INDEX(Extraídas!B:B,MATCH(LEFT($A612,6)&amp;"*",Extraídas!A:A,0))="Recibidas",
         "⏳ Pendiente","❌ No ingresada")),
   "❌ No ingresada"
)</f>
        <v>✅ En proceso</v>
      </c>
      <c r="C612" s="255" t="str">
        <f t="array" ref="C612">IFERROR(
   IF(INDEX([1]PCRs!B:B,MATCH(LEFT($A612,6)&amp;"*",[1]PCRs!A:A,0))="Positivo",
      "✅ Positivo",
      IF(INDEX([1]PCRs!B:B,MATCH(LEFT($A612,6)&amp;"*",[1]PCRs!A:A,0))="Negativo",
         "❌ Negativo",
         "⏳ No realizado")),
   "⏳ No realizado"
)</f>
        <v>✅ Positivo</v>
      </c>
      <c r="D612" s="255" t="str">
        <f>IFERROR(
   CHOOSE(
      MATCH(VLOOKUP(LEFT(A659,6)&amp;"*",'Identificación genética'!A:C,2,FALSE),
               {"En proceso";"Finalizado"},0),
      "🔬 En proceso",
      "🎯 Finalizado"
   ),
"❌ NA")</f>
        <v>🎯 Finalizado</v>
      </c>
      <c r="E612" t="s">
        <v>85</v>
      </c>
      <c r="F612" s="579">
        <v>45817</v>
      </c>
      <c r="G612" t="str">
        <f>_xlfn.XLOOKUP(A612, Extraídas!A:A, Extraídas!G:G, "")</f>
        <v>Cianobacterias</v>
      </c>
    </row>
    <row r="613" spans="1:7" x14ac:dyDescent="0.3">
      <c r="A613" s="567" t="s">
        <v>2226</v>
      </c>
      <c r="B613" s="255" t="str">
        <f>IFERROR(
   IF(INDEX(Extraídas!B:B,MATCH(LEFT($A613,6)&amp;"*",Extraídas!A:A,0))="Extraídas",
      "✅ En proceso",
      IF(INDEX(Extraídas!B:B,MATCH(LEFT($A613,6)&amp;"*",Extraídas!A:A,0))="Recibidas",
         "⏳ Pendiente","❌ No ingresada")),
   "❌ No ingresada"
)</f>
        <v>✅ En proceso</v>
      </c>
      <c r="C613" s="255" t="str">
        <f t="array" ref="C613">IFERROR(
   IF(INDEX([1]PCRs!B:B,MATCH(LEFT($A613,6)&amp;"*",[1]PCRs!A:A,0))="Positivo",
      "✅ Positivo",
      IF(INDEX([1]PCRs!B:B,MATCH(LEFT($A613,6)&amp;"*",[1]PCRs!A:A,0))="Negativo",
         "❌ Negativo",
         "⏳ No realizado")),
   "⏳ No realizado"
)</f>
        <v>✅ Positivo</v>
      </c>
      <c r="D613" s="255" t="str">
        <f>IFERROR(
   CHOOSE(
      MATCH(VLOOKUP(LEFT(A660,6)&amp;"*",'Identificación genética'!A:C,2,FALSE),
               {"En proceso";"Finalizado"},0),
      "🔬 En proceso",
      "🎯 Finalizado"
   ),
"❌ NA")</f>
        <v>❌ NA</v>
      </c>
      <c r="E613" t="s">
        <v>85</v>
      </c>
      <c r="G613" t="str">
        <f>_xlfn.XLOOKUP(A613, Extraídas!A:A, Extraídas!G:G, "")</f>
        <v/>
      </c>
    </row>
    <row r="614" spans="1:7" x14ac:dyDescent="0.3">
      <c r="A614" s="256" t="s">
        <v>1145</v>
      </c>
      <c r="B614" s="255" t="str">
        <f>IFERROR(
   IF(INDEX(Extraídas!B:B,MATCH(LEFT($A614,6)&amp;"*",Extraídas!A:A,0))="Extraídas",
      "✅ En proceso",
      IF(INDEX(Extraídas!B:B,MATCH(LEFT($A614,6)&amp;"*",Extraídas!A:A,0))="Recibidas",
         "⏳ Pendiente","❌ No ingresada")),
   "❌ No ingresada"
)</f>
        <v>✅ En proceso</v>
      </c>
      <c r="C614" s="255" t="str">
        <f t="array" ref="C614">IFERROR(
   IF(INDEX([1]PCRs!B:B,MATCH(LEFT($A614,6)&amp;"*",[1]PCRs!A:A,0))="Positivo",
      "✅ Positivo",
      IF(INDEX([1]PCRs!B:B,MATCH(LEFT($A614,6)&amp;"*",[1]PCRs!A:A,0))="Negativo",
         "❌ Negativo",
         "⏳ No realizado")),
   "⏳ No realizado"
)</f>
        <v>✅ Positivo</v>
      </c>
      <c r="D614" s="255" t="str">
        <f>IFERROR(
   CHOOSE(
      MATCH(VLOOKUP(LEFT(A661,6)&amp;"*",'Identificación genética'!A:C,2,FALSE),
               {"En proceso";"Finalizado"},0),
      "🔬 En proceso",
      "🎯 Finalizado"
   ),
"❌ NA")</f>
        <v>🎯 Finalizado</v>
      </c>
      <c r="E614" t="s">
        <v>85</v>
      </c>
      <c r="G614" t="str">
        <f>_xlfn.XLOOKUP(A614, Extraídas!A:A, Extraídas!G:G, "")</f>
        <v/>
      </c>
    </row>
    <row r="615" spans="1:7" ht="15" thickBot="1" x14ac:dyDescent="0.35">
      <c r="A615" s="632" t="s">
        <v>718</v>
      </c>
      <c r="B615" s="255" t="str">
        <f>IFERROR(
   IF(INDEX(Extraídas!B:B,MATCH(LEFT($A615,6)&amp;"*",Extraídas!A:A,0))="Extraídas",
      "✅ En proceso",
      IF(INDEX(Extraídas!B:B,MATCH(LEFT($A615,6)&amp;"*",Extraídas!A:A,0))="Recibidas",
         "⏳ Pendiente","❌ No ingresada")),
   "❌ No ingresada"
)</f>
        <v>✅ En proceso</v>
      </c>
      <c r="C615" s="255" t="str">
        <f t="array" ref="C615">IFERROR(
   IF(INDEX([1]PCRs!B:B,MATCH(LEFT($A615,6)&amp;"*",[1]PCRs!A:A,0))="Positivo",
      "✅ Positivo",
      IF(INDEX([1]PCRs!B:B,MATCH(LEFT($A615,6)&amp;"*",[1]PCRs!A:A,0))="Negativo",
         "❌ Negativo",
         "⏳ No realizado")),
   "⏳ No realizado"
)</f>
        <v>✅ Positivo</v>
      </c>
      <c r="D615" s="255" t="str">
        <f>IFERROR(
   CHOOSE(
      MATCH(VLOOKUP(LEFT(A662,6)&amp;"*",'Identificación genética'!A:C,2,FALSE),
               {"En proceso";"Finalizado"},0),
      "🔬 En proceso",
      "🎯 Finalizado"
   ),
"❌ NA")</f>
        <v>🎯 Finalizado</v>
      </c>
      <c r="E615" t="s">
        <v>85</v>
      </c>
      <c r="F615" s="111">
        <v>45705</v>
      </c>
      <c r="G615" t="str">
        <f>_xlfn.XLOOKUP(A615, Extraídas!A:A, Extraídas!G:G, "")</f>
        <v>Cianobacterias</v>
      </c>
    </row>
    <row r="616" spans="1:7" ht="15" thickBot="1" x14ac:dyDescent="0.35">
      <c r="A616" s="256" t="s">
        <v>2240</v>
      </c>
      <c r="B616" s="255" t="str">
        <f>IFERROR(
   IF(INDEX(Extraídas!B:B,MATCH(LEFT($A616,6)&amp;"*",Extraídas!A:A,0))="Extraídas",
      "✅ En proceso",
      IF(INDEX(Extraídas!B:B,MATCH(LEFT($A616,6)&amp;"*",Extraídas!A:A,0))="Recibidas",
         "⏳ Pendiente","❌ No ingresada")),
   "❌ No ingresada"
)</f>
        <v>✅ En proceso</v>
      </c>
      <c r="C616" s="255" t="str">
        <f t="array" ref="C616">IFERROR(
   IF(INDEX([1]PCRs!B:B,MATCH(LEFT($A616,6)&amp;"*",[1]PCRs!A:A,0))="Positivo",
      "✅ Positivo",
      IF(INDEX([1]PCRs!B:B,MATCH(LEFT($A616,6)&amp;"*",[1]PCRs!A:A,0))="Negativo",
         "❌ Negativo",
         "⏳ No realizado")),
   "⏳ No realizado"
)</f>
        <v>✅ Positivo</v>
      </c>
      <c r="D616" s="255" t="str">
        <f>IFERROR(
   CHOOSE(
      MATCH(VLOOKUP(LEFT(A663,6)&amp;"*",'Identificación genética'!A:C,2,FALSE),
               {"En proceso";"Finalizado"},0),
      "🔬 En proceso",
      "🎯 Finalizado"
   ),
"❌ NA")</f>
        <v>🎯 Finalizado</v>
      </c>
      <c r="E616" t="s">
        <v>85</v>
      </c>
      <c r="F616" s="576"/>
      <c r="G616" t="str">
        <f>_xlfn.XLOOKUP(A616, Extraídas!A:A, Extraídas!G:G, "")</f>
        <v/>
      </c>
    </row>
    <row r="617" spans="1:7" ht="15" thickBot="1" x14ac:dyDescent="0.35">
      <c r="A617" s="632" t="s">
        <v>719</v>
      </c>
      <c r="B617" s="255" t="str">
        <f>IFERROR(
   IF(INDEX(Extraídas!B:B,MATCH(LEFT($A617,6)&amp;"*",Extraídas!A:A,0))="Extraídas",
      "✅ En proceso",
      IF(INDEX(Extraídas!B:B,MATCH(LEFT($A617,6)&amp;"*",Extraídas!A:A,0))="Recibidas",
         "⏳ Pendiente","❌ No ingresada")),
   "❌ No ingresada"
)</f>
        <v>✅ En proceso</v>
      </c>
      <c r="C617" s="255" t="str">
        <f t="array" ref="C617">IFERROR(
   IF(INDEX([1]PCRs!B:B,MATCH(LEFT($A617,6)&amp;"*",[1]PCRs!A:A,0))="Positivo",
      "✅ Positivo",
      IF(INDEX([1]PCRs!B:B,MATCH(LEFT($A617,6)&amp;"*",[1]PCRs!A:A,0))="Negativo",
         "❌ Negativo",
         "⏳ No realizado")),
   "⏳ No realizado"
)</f>
        <v>✅ Positivo</v>
      </c>
      <c r="D617" s="255" t="str">
        <f>IFERROR(
   CHOOSE(
      MATCH(VLOOKUP(LEFT(A664,6)&amp;"*",'Identificación genética'!A:C,2,FALSE),
               {"En proceso";"Finalizado"},0),
      "🔬 En proceso",
      "🎯 Finalizado"
   ),
"❌ NA")</f>
        <v>❌ NA</v>
      </c>
      <c r="E617" t="s">
        <v>85</v>
      </c>
      <c r="F617" s="593">
        <v>45705</v>
      </c>
      <c r="G617" t="str">
        <f>_xlfn.XLOOKUP(A617, Extraídas!A:A, Extraídas!G:G, "")</f>
        <v>Cianobacterias</v>
      </c>
    </row>
    <row r="618" spans="1:7" ht="15" thickBot="1" x14ac:dyDescent="0.35">
      <c r="A618" s="567" t="s">
        <v>2227</v>
      </c>
      <c r="B618" s="255" t="str">
        <f>IFERROR(
   IF(INDEX(Extraídas!B:B,MATCH(LEFT($A618,6)&amp;"*",Extraídas!A:A,0))="Extraídas",
      "✅ En proceso",
      IF(INDEX(Extraídas!B:B,MATCH(LEFT($A618,6)&amp;"*",Extraídas!A:A,0))="Recibidas",
         "⏳ Pendiente","❌ No ingresada")),
   "❌ No ingresada"
)</f>
        <v>✅ En proceso</v>
      </c>
      <c r="C618" s="255" t="str">
        <f t="array" ref="C618">IFERROR(
   IF(INDEX([1]PCRs!B:B,MATCH(LEFT($A618,6)&amp;"*",[1]PCRs!A:A,0))="Positivo",
      "✅ Positivo",
      IF(INDEX([1]PCRs!B:B,MATCH(LEFT($A618,6)&amp;"*",[1]PCRs!A:A,0))="Negativo",
         "❌ Negativo",
         "⏳ No realizado")),
   "⏳ No realizado"
)</f>
        <v>✅ Positivo</v>
      </c>
      <c r="D618" s="255" t="str">
        <f>IFERROR(
   CHOOSE(
      MATCH(VLOOKUP(LEFT(A665,6)&amp;"*",'Identificación genética'!A:C,2,FALSE),
               {"En proceso";"Finalizado"},0),
      "🔬 En proceso",
      "🎯 Finalizado"
   ),
"❌ NA")</f>
        <v>❌ NA</v>
      </c>
      <c r="E618" t="s">
        <v>85</v>
      </c>
      <c r="F618" s="576"/>
      <c r="G618" t="str">
        <f>_xlfn.XLOOKUP(A618, Extraídas!A:A, Extraídas!G:G, "")</f>
        <v/>
      </c>
    </row>
    <row r="619" spans="1:7" ht="15" thickBot="1" x14ac:dyDescent="0.35">
      <c r="A619" s="631" t="s">
        <v>720</v>
      </c>
      <c r="B619" s="255" t="str">
        <f>IFERROR(
   IF(INDEX(Extraídas!B:B,MATCH(LEFT($A619,6)&amp;"*",Extraídas!A:A,0))="Extraídas",
      "✅ En proceso",
      IF(INDEX(Extraídas!B:B,MATCH(LEFT($A619,6)&amp;"*",Extraídas!A:A,0))="Recibidas",
         "⏳ Pendiente","❌ No ingresada")),
   "❌ No ingresada"
)</f>
        <v>✅ En proceso</v>
      </c>
      <c r="C619" s="255" t="str">
        <f t="array" ref="C619">IFERROR(
   IF(INDEX([1]PCRs!B:B,MATCH(LEFT($A619,6)&amp;"*",[1]PCRs!A:A,0))="Positivo",
      "✅ Positivo",
      IF(INDEX([1]PCRs!B:B,MATCH(LEFT($A619,6)&amp;"*",[1]PCRs!A:A,0))="Negativo",
         "❌ Negativo",
         "⏳ No realizado")),
   "⏳ No realizado"
)</f>
        <v>✅ Positivo</v>
      </c>
      <c r="D619" s="255" t="str">
        <f>IFERROR(
   CHOOSE(
      MATCH(VLOOKUP(LEFT(A666,6)&amp;"*",'Identificación genética'!A:C,2,FALSE),
               {"En proceso";"Finalizado"},0),
      "🔬 En proceso",
      "🎯 Finalizado"
   ),
"❌ NA")</f>
        <v>❌ NA</v>
      </c>
      <c r="E619" t="s">
        <v>85</v>
      </c>
      <c r="F619" s="578">
        <v>45925</v>
      </c>
      <c r="G619" t="str">
        <f>_xlfn.XLOOKUP(A619, Extraídas!A:A, Extraídas!G:G, "")</f>
        <v>Microalgas</v>
      </c>
    </row>
    <row r="620" spans="1:7" x14ac:dyDescent="0.3">
      <c r="A620" s="256" t="s">
        <v>1067</v>
      </c>
      <c r="B620" s="255" t="str">
        <f>IFERROR(
   IF(INDEX(Extraídas!B:B,MATCH(LEFT($A620,6)&amp;"*",Extraídas!A:A,0))="Extraídas",
      "✅ En proceso",
      IF(INDEX(Extraídas!B:B,MATCH(LEFT($A620,6)&amp;"*",Extraídas!A:A,0))="Recibidas",
         "⏳ Pendiente","❌ No ingresada")),
   "❌ No ingresada"
)</f>
        <v>✅ En proceso</v>
      </c>
      <c r="C620" s="255" t="str">
        <f t="array" ref="C620">IFERROR(
   IF(INDEX([1]PCRs!B:B,MATCH(LEFT($A620,6)&amp;"*",[1]PCRs!A:A,0))="Positivo",
      "✅ Positivo",
      IF(INDEX([1]PCRs!B:B,MATCH(LEFT($A620,6)&amp;"*",[1]PCRs!A:A,0))="Negativo",
         "❌ Negativo",
         "⏳ No realizado")),
   "⏳ No realizado"
)</f>
        <v>✅ Positivo</v>
      </c>
      <c r="D620" s="255" t="str">
        <f>IFERROR(
   CHOOSE(
      MATCH(VLOOKUP(LEFT(A667,6)&amp;"*",'Identificación genética'!A:C,2,FALSE),
               {"En proceso";"Finalizado"},0),
      "🔬 En proceso",
      "🎯 Finalizado"
   ),
"❌ NA")</f>
        <v>❌ NA</v>
      </c>
      <c r="E620" t="s">
        <v>85</v>
      </c>
      <c r="G620" t="str">
        <f>_xlfn.XLOOKUP(A620, Extraídas!A:A, Extraídas!G:G, "")</f>
        <v/>
      </c>
    </row>
    <row r="621" spans="1:7" ht="15" thickBot="1" x14ac:dyDescent="0.35">
      <c r="A621" s="631" t="s">
        <v>721</v>
      </c>
      <c r="B621" s="255" t="str">
        <f>IFERROR(
   IF(INDEX(Extraídas!B:B,MATCH(LEFT($A621,6)&amp;"*",Extraídas!A:A,0))="Extraídas",
      "✅ En proceso",
      IF(INDEX(Extraídas!B:B,MATCH(LEFT($A621,6)&amp;"*",Extraídas!A:A,0))="Recibidas",
         "⏳ Pendiente","❌ No ingresada")),
   "❌ No ingresada"
)</f>
        <v>✅ En proceso</v>
      </c>
      <c r="C621" s="255" t="str">
        <f t="array" ref="C621">IFERROR(
   IF(INDEX([1]PCRs!B:B,MATCH(LEFT($A621,6)&amp;"*",[1]PCRs!A:A,0))="Positivo",
      "✅ Positivo",
      IF(INDEX([1]PCRs!B:B,MATCH(LEFT($A621,6)&amp;"*",[1]PCRs!A:A,0))="Negativo",
         "❌ Negativo",
         "⏳ No realizado")),
   "⏳ No realizado"
)</f>
        <v>✅ Positivo</v>
      </c>
      <c r="D621" s="255" t="str">
        <f>IFERROR(
   CHOOSE(
      MATCH(VLOOKUP(LEFT(A668,6)&amp;"*",'Identificación genética'!A:C,2,FALSE),
               {"En proceso";"Finalizado"},0),
      "🔬 En proceso",
      "🎯 Finalizado"
   ),
"❌ NA")</f>
        <v>❌ NA</v>
      </c>
      <c r="E621" t="s">
        <v>85</v>
      </c>
      <c r="F621" s="110">
        <v>45940</v>
      </c>
      <c r="G621" t="str">
        <f>_xlfn.XLOOKUP(A621, Extraídas!A:A, Extraídas!G:G, "")</f>
        <v>Microalgas</v>
      </c>
    </row>
    <row r="622" spans="1:7" ht="15" thickBot="1" x14ac:dyDescent="0.35">
      <c r="A622" s="632" t="s">
        <v>722</v>
      </c>
      <c r="B622" s="255" t="str">
        <f>IFERROR(
   IF(INDEX(Extraídas!B:B,MATCH(LEFT($A622,6)&amp;"*",Extraídas!A:A,0))="Extraídas",
      "✅ En proceso",
      IF(INDEX(Extraídas!B:B,MATCH(LEFT($A622,6)&amp;"*",Extraídas!A:A,0))="Recibidas",
         "⏳ Pendiente","❌ No ingresada")),
   "❌ No ingresada"
)</f>
        <v>✅ En proceso</v>
      </c>
      <c r="C622" s="255" t="str">
        <f t="array" ref="C622">IFERROR(
   IF(INDEX([1]PCRs!B:B,MATCH(LEFT($A622,6)&amp;"*",[1]PCRs!A:A,0))="Positivo",
      "✅ Positivo",
      IF(INDEX([1]PCRs!B:B,MATCH(LEFT($A622,6)&amp;"*",[1]PCRs!A:A,0))="Negativo",
         "❌ Negativo",
         "⏳ No realizado")),
   "⏳ No realizado"
)</f>
        <v>✅ Positivo</v>
      </c>
      <c r="D622" s="255" t="str">
        <f>IFERROR(
   CHOOSE(
      MATCH(VLOOKUP(LEFT(A669,6)&amp;"*",'Identificación genética'!A:C,2,FALSE),
               {"En proceso";"Finalizado"},0),
      "🔬 En proceso",
      "🎯 Finalizado"
   ),
"❌ NA")</f>
        <v>🎯 Finalizado</v>
      </c>
      <c r="E622" t="s">
        <v>85</v>
      </c>
      <c r="F622" s="593">
        <v>45705</v>
      </c>
      <c r="G622" t="str">
        <f>_xlfn.XLOOKUP(A622, Extraídas!A:A, Extraídas!G:G, "")</f>
        <v>Microalgas</v>
      </c>
    </row>
    <row r="623" spans="1:7" ht="15" thickBot="1" x14ac:dyDescent="0.35">
      <c r="A623" s="632" t="s">
        <v>724</v>
      </c>
      <c r="B623" s="255" t="str">
        <f>IFERROR(
   IF(INDEX(Extraídas!B:B,MATCH(LEFT($A623,6)&amp;"*",Extraídas!A:A,0))="Extraídas",
      "✅ En proceso",
      IF(INDEX(Extraídas!B:B,MATCH(LEFT($A623,6)&amp;"*",Extraídas!A:A,0))="Recibidas",
         "⏳ Pendiente","❌ No ingresada")),
   "❌ No ingresada"
)</f>
        <v>✅ En proceso</v>
      </c>
      <c r="C623" s="255" t="str">
        <f t="array" ref="C623">IFERROR(
   IF(INDEX([1]PCRs!B:B,MATCH(LEFT($A623,6)&amp;"*",[1]PCRs!A:A,0))="Positivo",
      "✅ Positivo",
      IF(INDEX([1]PCRs!B:B,MATCH(LEFT($A623,6)&amp;"*",[1]PCRs!A:A,0))="Negativo",
         "❌ Negativo",
         "⏳ No realizado")),
   "⏳ No realizado"
)</f>
        <v>✅ Positivo</v>
      </c>
      <c r="D623" s="255" t="str">
        <f>IFERROR(
   CHOOSE(
      MATCH(VLOOKUP(LEFT(A670,6)&amp;"*",'Identificación genética'!A:C,2,FALSE),
               {"En proceso";"Finalizado"},0),
      "🔬 En proceso",
      "🎯 Finalizado"
   ),
"❌ NA")</f>
        <v>🎯 Finalizado</v>
      </c>
      <c r="E623" t="s">
        <v>85</v>
      </c>
      <c r="F623" s="587">
        <v>45772</v>
      </c>
      <c r="G623" t="str">
        <f>_xlfn.XLOOKUP(A623, Extraídas!A:A, Extraídas!G:G, "")</f>
        <v>Cianobacterias</v>
      </c>
    </row>
    <row r="624" spans="1:7" x14ac:dyDescent="0.3">
      <c r="A624" s="631" t="s">
        <v>725</v>
      </c>
      <c r="B624" s="255" t="str">
        <f>IFERROR(
   IF(INDEX(Extraídas!B:B,MATCH(LEFT($A624,6)&amp;"*",Extraídas!A:A,0))="Extraídas",
      "✅ En proceso",
      IF(INDEX(Extraídas!B:B,MATCH(LEFT($A624,6)&amp;"*",Extraídas!A:A,0))="Recibidas",
         "⏳ Pendiente","❌ No ingresada")),
   "❌ No ingresada"
)</f>
        <v>✅ En proceso</v>
      </c>
      <c r="C624" s="255" t="str">
        <f t="array" ref="C624">IFERROR(
   IF(INDEX([1]PCRs!B:B,MATCH(LEFT($A624,6)&amp;"*",[1]PCRs!A:A,0))="Positivo",
      "✅ Positivo",
      IF(INDEX([1]PCRs!B:B,MATCH(LEFT($A624,6)&amp;"*",[1]PCRs!A:A,0))="Negativo",
         "❌ Negativo",
         "⏳ No realizado")),
   "⏳ No realizado"
)</f>
        <v>✅ Positivo</v>
      </c>
      <c r="D624" s="255" t="str">
        <f>IFERROR(
   CHOOSE(
      MATCH(VLOOKUP(LEFT(A671,6)&amp;"*",'Identificación genética'!A:C,2,FALSE),
               {"En proceso";"Finalizado"},0),
      "🔬 En proceso",
      "🎯 Finalizado"
   ),
"❌ NA")</f>
        <v>🎯 Finalizado</v>
      </c>
      <c r="E624" t="s">
        <v>85</v>
      </c>
      <c r="F624" s="110">
        <v>45925</v>
      </c>
      <c r="G624" t="str">
        <f>_xlfn.XLOOKUP(A624, Extraídas!A:A, Extraídas!G:G, "")</f>
        <v>Microalgas</v>
      </c>
    </row>
    <row r="625" spans="1:7" x14ac:dyDescent="0.3">
      <c r="A625" s="256" t="s">
        <v>1937</v>
      </c>
      <c r="B625" s="255" t="str">
        <f>IFERROR(
   IF(INDEX(Extraídas!B:B,MATCH(LEFT($A625,6)&amp;"*",Extraídas!A:A,0))="Extraídas",
      "✅ En proceso",
      IF(INDEX(Extraídas!B:B,MATCH(LEFT($A625,6)&amp;"*",Extraídas!A:A,0))="Recibidas",
         "⏳ Pendiente","❌ No ingresada")),
   "❌ No ingresada"
)</f>
        <v>✅ En proceso</v>
      </c>
      <c r="C625" s="255" t="str">
        <f t="array" ref="C625">IFERROR(
   IF(INDEX([1]PCRs!B:B,MATCH(LEFT($A625,6)&amp;"*",[1]PCRs!A:A,0))="Positivo",
      "✅ Positivo",
      IF(INDEX([1]PCRs!B:B,MATCH(LEFT($A625,6)&amp;"*",[1]PCRs!A:A,0))="Negativo",
         "❌ Negativo",
         "⏳ No realizado")),
   "⏳ No realizado"
)</f>
        <v>✅ Positivo</v>
      </c>
      <c r="D625" s="255" t="str">
        <f>IFERROR(
   CHOOSE(
      MATCH(VLOOKUP(LEFT(A672,6)&amp;"*",'Identificación genética'!A:C,2,FALSE),
               {"En proceso";"Finalizado"},0),
      "🔬 En proceso",
      "🎯 Finalizado"
   ),
"❌ NA")</f>
        <v>🎯 Finalizado</v>
      </c>
      <c r="E625" t="s">
        <v>85</v>
      </c>
      <c r="G625" t="str">
        <f>_xlfn.XLOOKUP(A625, Extraídas!A:A, Extraídas!G:G, "")</f>
        <v/>
      </c>
    </row>
    <row r="626" spans="1:7" x14ac:dyDescent="0.3">
      <c r="A626" s="632" t="s">
        <v>726</v>
      </c>
      <c r="B626" s="255" t="str">
        <f>IFERROR(
   IF(INDEX(Extraídas!B:B,MATCH(LEFT($A626,6)&amp;"*",Extraídas!A:A,0))="Extraídas",
      "✅ En proceso",
      IF(INDEX(Extraídas!B:B,MATCH(LEFT($A626,6)&amp;"*",Extraídas!A:A,0))="Recibidas",
         "⏳ Pendiente","❌ No ingresada")),
   "❌ No ingresada"
)</f>
        <v>✅ En proceso</v>
      </c>
      <c r="C626" s="255" t="str">
        <f t="array" ref="C626">IFERROR(
   IF(INDEX([1]PCRs!B:B,MATCH(LEFT($A626,6)&amp;"*",[1]PCRs!A:A,0))="Positivo",
      "✅ Positivo",
      IF(INDEX([1]PCRs!B:B,MATCH(LEFT($A626,6)&amp;"*",[1]PCRs!A:A,0))="Negativo",
         "❌ Negativo",
         "⏳ No realizado")),
   "⏳ No realizado"
)</f>
        <v>✅ Positivo</v>
      </c>
      <c r="D626" s="255" t="str">
        <f>IFERROR(
   CHOOSE(
      MATCH(VLOOKUP(LEFT(A673,6)&amp;"*",'Identificación genética'!A:C,2,FALSE),
               {"En proceso";"Finalizado"},0),
      "🔬 En proceso",
      "🎯 Finalizado"
   ),
"❌ NA")</f>
        <v>🎯 Finalizado</v>
      </c>
      <c r="E626" t="s">
        <v>85</v>
      </c>
      <c r="F626" s="29">
        <v>45772</v>
      </c>
      <c r="G626" t="str">
        <f>_xlfn.XLOOKUP(A626, Extraídas!A:A, Extraídas!G:G, "")</f>
        <v>Cianobacterias</v>
      </c>
    </row>
    <row r="627" spans="1:7" x14ac:dyDescent="0.3">
      <c r="A627" s="631" t="s">
        <v>727</v>
      </c>
      <c r="B627" s="255" t="str">
        <f>IFERROR(
   IF(INDEX(Extraídas!B:B,MATCH(LEFT($A627,6)&amp;"*",Extraídas!A:A,0))="Extraídas",
      "✅ En proceso",
      IF(INDEX(Extraídas!B:B,MATCH(LEFT($A627,6)&amp;"*",Extraídas!A:A,0))="Recibidas",
         "⏳ Pendiente","❌ No ingresada")),
   "❌ No ingresada"
)</f>
        <v>✅ En proceso</v>
      </c>
      <c r="C627" s="255" t="str">
        <f t="array" ref="C627">IFERROR(
   IF(INDEX([1]PCRs!B:B,MATCH(LEFT($A627,6)&amp;"*",[1]PCRs!A:A,0))="Positivo",
      "✅ Positivo",
      IF(INDEX([1]PCRs!B:B,MATCH(LEFT($A627,6)&amp;"*",[1]PCRs!A:A,0))="Negativo",
         "❌ Negativo",
         "⏳ No realizado")),
   "⏳ No realizado"
)</f>
        <v>✅ Positivo</v>
      </c>
      <c r="D627" s="255" t="str">
        <f>IFERROR(
   CHOOSE(
      MATCH(VLOOKUP(LEFT(A674,6)&amp;"*",'Identificación genética'!A:C,2,FALSE),
               {"En proceso";"Finalizado"},0),
      "🔬 En proceso",
      "🎯 Finalizado"
   ),
"❌ NA")</f>
        <v>🎯 Finalizado</v>
      </c>
      <c r="E627" t="s">
        <v>85</v>
      </c>
      <c r="F627" s="583">
        <v>45925</v>
      </c>
      <c r="G627" t="str">
        <f>_xlfn.XLOOKUP(A627, Extraídas!A:A, Extraídas!G:G, "")</f>
        <v>Microalgas</v>
      </c>
    </row>
    <row r="628" spans="1:7" x14ac:dyDescent="0.3">
      <c r="A628" s="631" t="s">
        <v>728</v>
      </c>
      <c r="B628" s="255" t="str">
        <f>IFERROR(
   IF(INDEX(Extraídas!B:B,MATCH(LEFT($A628,6)&amp;"*",Extraídas!A:A,0))="Extraídas",
      "✅ En proceso",
      IF(INDEX(Extraídas!B:B,MATCH(LEFT($A628,6)&amp;"*",Extraídas!A:A,0))="Recibidas",
         "⏳ Pendiente","❌ No ingresada")),
   "❌ No ingresada"
)</f>
        <v>✅ En proceso</v>
      </c>
      <c r="C628" s="255" t="str">
        <f t="array" ref="C628">IFERROR(
   IF(INDEX([1]PCRs!B:B,MATCH(LEFT($A628,6)&amp;"*",[1]PCRs!A:A,0))="Positivo",
      "✅ Positivo",
      IF(INDEX([1]PCRs!B:B,MATCH(LEFT($A628,6)&amp;"*",[1]PCRs!A:A,0))="Negativo",
         "❌ Negativo",
         "⏳ No realizado")),
   "⏳ No realizado"
)</f>
        <v>✅ Positivo</v>
      </c>
      <c r="D628" s="255" t="str">
        <f>IFERROR(
   CHOOSE(
      MATCH(VLOOKUP(LEFT(A675,6)&amp;"*",'Identificación genética'!A:C,2,FALSE),
               {"En proceso";"Finalizado"},0),
      "🔬 En proceso",
      "🎯 Finalizado"
   ),
"❌ NA")</f>
        <v>🎯 Finalizado</v>
      </c>
      <c r="E628" t="s">
        <v>85</v>
      </c>
      <c r="F628" s="575">
        <v>45940</v>
      </c>
      <c r="G628" t="str">
        <f>_xlfn.XLOOKUP(A628, Extraídas!A:A, Extraídas!G:G, "")</f>
        <v>Microalgas</v>
      </c>
    </row>
    <row r="629" spans="1:7" x14ac:dyDescent="0.3">
      <c r="A629" s="256" t="s">
        <v>2195</v>
      </c>
      <c r="B629" s="255" t="str">
        <f>IFERROR(
   IF(INDEX(Extraídas!B:B,MATCH(LEFT($A629,6)&amp;"*",Extraídas!A:A,0))="Extraídas",
      "✅ En proceso",
      IF(INDEX(Extraídas!B:B,MATCH(LEFT($A629,6)&amp;"*",Extraídas!A:A,0))="Recibidas",
         "⏳ Pendiente","❌ No ingresada")),
   "❌ No ingresada"
)</f>
        <v>✅ En proceso</v>
      </c>
      <c r="C629" s="255" t="str">
        <f t="array" ref="C629">IFERROR(
   IF(INDEX([1]PCRs!B:B,MATCH(LEFT($A629,6)&amp;"*",[1]PCRs!A:A,0))="Positivo",
      "✅ Positivo",
      IF(INDEX([1]PCRs!B:B,MATCH(LEFT($A629,6)&amp;"*",[1]PCRs!A:A,0))="Negativo",
         "❌ Negativo",
         "⏳ No realizado")),
   "⏳ No realizado"
)</f>
        <v>✅ Positivo</v>
      </c>
      <c r="D629" s="255" t="str">
        <f>IFERROR(
   CHOOSE(
      MATCH(VLOOKUP(LEFT(A676,6)&amp;"*",'Identificación genética'!A:C,2,FALSE),
               {"En proceso";"Finalizado"},0),
      "🔬 En proceso",
      "🎯 Finalizado"
   ),
"❌ NA")</f>
        <v>🎯 Finalizado</v>
      </c>
      <c r="E629" t="s">
        <v>85</v>
      </c>
      <c r="G629" t="str">
        <f>_xlfn.XLOOKUP(A629, Extraídas!A:A, Extraídas!G:G, "")</f>
        <v/>
      </c>
    </row>
    <row r="630" spans="1:7" x14ac:dyDescent="0.3">
      <c r="A630" s="632" t="s">
        <v>729</v>
      </c>
      <c r="B630" s="255" t="str">
        <f>IFERROR(
   IF(INDEX(Extraídas!B:B,MATCH(LEFT($A630,6)&amp;"*",Extraídas!A:A,0))="Extraídas",
      "✅ En proceso",
      IF(INDEX(Extraídas!B:B,MATCH(LEFT($A630,6)&amp;"*",Extraídas!A:A,0))="Recibidas",
         "⏳ Pendiente","❌ No ingresada")),
   "❌ No ingresada"
)</f>
        <v>✅ En proceso</v>
      </c>
      <c r="C630" s="255" t="str">
        <f t="array" ref="C630">IFERROR(
   IF(INDEX([1]PCRs!B:B,MATCH(LEFT($A630,6)&amp;"*",[1]PCRs!A:A,0))="Positivo",
      "✅ Positivo",
      IF(INDEX([1]PCRs!B:B,MATCH(LEFT($A630,6)&amp;"*",[1]PCRs!A:A,0))="Negativo",
         "❌ Negativo",
         "⏳ No realizado")),
   "⏳ No realizado"
)</f>
        <v>✅ Positivo</v>
      </c>
      <c r="D630" s="255" t="str">
        <f>IFERROR(
   CHOOSE(
      MATCH(VLOOKUP(LEFT(A677,6)&amp;"*",'Identificación genética'!A:C,2,FALSE),
               {"En proceso";"Finalizado"},0),
      "🔬 En proceso",
      "🎯 Finalizado"
   ),
"❌ NA")</f>
        <v>🎯 Finalizado</v>
      </c>
      <c r="E630" t="s">
        <v>85</v>
      </c>
      <c r="F630" s="111">
        <v>45733</v>
      </c>
      <c r="G630" t="str">
        <f>_xlfn.XLOOKUP(A630, Extraídas!A:A, Extraídas!G:G, "")</f>
        <v>Cianobacterias</v>
      </c>
    </row>
    <row r="631" spans="1:7" x14ac:dyDescent="0.3">
      <c r="A631" s="630" t="s">
        <v>730</v>
      </c>
      <c r="B631" s="255" t="str">
        <f>IFERROR(
   IF(INDEX(Extraídas!B:B,MATCH(LEFT($A631,6)&amp;"*",Extraídas!A:A,0))="Extraídas",
      "✅ En proceso",
      IF(INDEX(Extraídas!B:B,MATCH(LEFT($A631,6)&amp;"*",Extraídas!A:A,0))="Recibidas",
         "⏳ Pendiente","❌ No ingresada")),
   "❌ No ingresada"
)</f>
        <v>✅ En proceso</v>
      </c>
      <c r="C631" s="255" t="str">
        <f t="array" ref="C631">IFERROR(
   IF(INDEX([1]PCRs!B:B,MATCH(LEFT($A631,6)&amp;"*",[1]PCRs!A:A,0))="Positivo",
      "✅ Positivo",
      IF(INDEX([1]PCRs!B:B,MATCH(LEFT($A631,6)&amp;"*",[1]PCRs!A:A,0))="Negativo",
         "❌ Negativo",
         "⏳ No realizado")),
   "⏳ No realizado"
)</f>
        <v>✅ Positivo</v>
      </c>
      <c r="D631" s="255" t="str">
        <f>IFERROR(
   CHOOSE(
      MATCH(VLOOKUP(LEFT(A678,6)&amp;"*",'Identificación genética'!A:C,2,FALSE),
               {"En proceso";"Finalizado"},0),
      "🔬 En proceso",
      "🎯 Finalizado"
   ),
"❌ NA")</f>
        <v>🎯 Finalizado</v>
      </c>
      <c r="E631" t="s">
        <v>85</v>
      </c>
      <c r="F631" s="111">
        <v>45789</v>
      </c>
      <c r="G631" t="str">
        <f>_xlfn.XLOOKUP(A631, Extraídas!A:A, Extraídas!G:G, "")</f>
        <v>Cianobacterias</v>
      </c>
    </row>
    <row r="632" spans="1:7" ht="15" thickBot="1" x14ac:dyDescent="0.35">
      <c r="A632" s="632" t="s">
        <v>731</v>
      </c>
      <c r="B632" s="255" t="str">
        <f>IFERROR(
   IF(INDEX(Extraídas!B:B,MATCH(LEFT($A632,6)&amp;"*",Extraídas!A:A,0))="Extraídas",
      "✅ En proceso",
      IF(INDEX(Extraídas!B:B,MATCH(LEFT($A632,6)&amp;"*",Extraídas!A:A,0))="Recibidas",
         "⏳ Pendiente","❌ No ingresada")),
   "❌ No ingresada"
)</f>
        <v>✅ En proceso</v>
      </c>
      <c r="C632" s="255" t="str">
        <f t="array" ref="C632">IFERROR(
   IF(INDEX([1]PCRs!B:B,MATCH(LEFT($A632,6)&amp;"*",[1]PCRs!A:A,0))="Positivo",
      "✅ Positivo",
      IF(INDEX([1]PCRs!B:B,MATCH(LEFT($A632,6)&amp;"*",[1]PCRs!A:A,0))="Negativo",
         "❌ Negativo",
         "⏳ No realizado")),
   "⏳ No realizado"
)</f>
        <v>✅ Positivo</v>
      </c>
      <c r="D632" s="255" t="str">
        <f>IFERROR(
   CHOOSE(
      MATCH(VLOOKUP(LEFT(A679,6)&amp;"*",'Identificación genética'!A:C,2,FALSE),
               {"En proceso";"Finalizado"},0),
      "🔬 En proceso",
      "🎯 Finalizado"
   ),
"❌ NA")</f>
        <v>🎯 Finalizado</v>
      </c>
      <c r="E632" t="s">
        <v>85</v>
      </c>
      <c r="F632" s="29">
        <v>45772</v>
      </c>
      <c r="G632" t="str">
        <f>_xlfn.XLOOKUP(A632, Extraídas!A:A, Extraídas!G:G, "")</f>
        <v>Cianobacterias</v>
      </c>
    </row>
    <row r="633" spans="1:7" ht="15" thickBot="1" x14ac:dyDescent="0.35">
      <c r="A633" s="631" t="s">
        <v>732</v>
      </c>
      <c r="B633" s="255" t="str">
        <f>IFERROR(
   IF(INDEX(Extraídas!B:B,MATCH(LEFT($A633,6)&amp;"*",Extraídas!A:A,0))="Extraídas",
      "✅ En proceso",
      IF(INDEX(Extraídas!B:B,MATCH(LEFT($A633,6)&amp;"*",Extraídas!A:A,0))="Recibidas",
         "⏳ Pendiente","❌ No ingresada")),
   "❌ No ingresada"
)</f>
        <v>✅ En proceso</v>
      </c>
      <c r="C633" s="255" t="str">
        <f t="array" ref="C633">IFERROR(
   IF(INDEX([1]PCRs!B:B,MATCH(LEFT($A633,6)&amp;"*",[1]PCRs!A:A,0))="Positivo",
      "✅ Positivo",
      IF(INDEX([1]PCRs!B:B,MATCH(LEFT($A633,6)&amp;"*",[1]PCRs!A:A,0))="Negativo",
         "❌ Negativo",
         "⏳ No realizado")),
   "⏳ No realizado"
)</f>
        <v>✅ Positivo</v>
      </c>
      <c r="D633" s="255" t="str">
        <f>IFERROR(
   CHOOSE(
      MATCH(VLOOKUP(LEFT(A680,6)&amp;"*",'Identificación genética'!A:C,2,FALSE),
               {"En proceso";"Finalizado"},0),
      "🔬 En proceso",
      "🎯 Finalizado"
   ),
"❌ NA")</f>
        <v>🎯 Finalizado</v>
      </c>
      <c r="E633" t="s">
        <v>85</v>
      </c>
      <c r="F633" s="578">
        <v>45925</v>
      </c>
      <c r="G633" t="str">
        <f>_xlfn.XLOOKUP(A633, Extraídas!A:A, Extraídas!G:G, "")</f>
        <v>Microalgas</v>
      </c>
    </row>
    <row r="634" spans="1:7" ht="15" thickBot="1" x14ac:dyDescent="0.35">
      <c r="A634" s="567" t="s">
        <v>2228</v>
      </c>
      <c r="B634" s="255" t="str">
        <f>IFERROR(
   IF(INDEX(Extraídas!B:B,MATCH(LEFT($A634,6)&amp;"*",Extraídas!A:A,0))="Extraídas",
      "✅ En proceso",
      IF(INDEX(Extraídas!B:B,MATCH(LEFT($A634,6)&amp;"*",Extraídas!A:A,0))="Recibidas",
         "⏳ Pendiente","❌ No ingresada")),
   "❌ No ingresada"
)</f>
        <v>✅ En proceso</v>
      </c>
      <c r="C634" s="255" t="str">
        <f t="array" ref="C634">IFERROR(
   IF(INDEX([1]PCRs!B:B,MATCH(LEFT($A634,6)&amp;"*",[1]PCRs!A:A,0))="Positivo",
      "✅ Positivo",
      IF(INDEX([1]PCRs!B:B,MATCH(LEFT($A634,6)&amp;"*",[1]PCRs!A:A,0))="Negativo",
         "❌ Negativo",
         "⏳ No realizado")),
   "⏳ No realizado"
)</f>
        <v>✅ Positivo</v>
      </c>
      <c r="D634" s="255" t="str">
        <f>IFERROR(
   CHOOSE(
      MATCH(VLOOKUP(LEFT(A681,6)&amp;"*",'Identificación genética'!A:C,2,FALSE),
               {"En proceso";"Finalizado"},0),
      "🔬 En proceso",
      "🎯 Finalizado"
   ),
"❌ NA")</f>
        <v>🎯 Finalizado</v>
      </c>
      <c r="E634" t="s">
        <v>85</v>
      </c>
      <c r="F634" s="576"/>
      <c r="G634" t="str">
        <f>_xlfn.XLOOKUP(A634, Extraídas!A:A, Extraídas!G:G, "")</f>
        <v/>
      </c>
    </row>
    <row r="635" spans="1:7" ht="15" thickBot="1" x14ac:dyDescent="0.35">
      <c r="A635" s="256" t="s">
        <v>2179</v>
      </c>
      <c r="B635" s="255" t="str">
        <f>IFERROR(
   IF(INDEX(Extraídas!B:B,MATCH(LEFT($A635,6)&amp;"*",Extraídas!A:A,0))="Extraídas",
      "✅ En proceso",
      IF(INDEX(Extraídas!B:B,MATCH(LEFT($A635,6)&amp;"*",Extraídas!A:A,0))="Recibidas",
         "⏳ Pendiente","❌ No ingresada")),
   "❌ No ingresada"
)</f>
        <v>✅ En proceso</v>
      </c>
      <c r="C635" s="255" t="str">
        <f t="array" ref="C635">IFERROR(
   IF(INDEX([1]PCRs!B:B,MATCH(LEFT($A635,6)&amp;"*",[1]PCRs!A:A,0))="Positivo",
      "✅ Positivo",
      IF(INDEX([1]PCRs!B:B,MATCH(LEFT($A635,6)&amp;"*",[1]PCRs!A:A,0))="Negativo",
         "❌ Negativo",
         "⏳ No realizado")),
   "⏳ No realizado"
)</f>
        <v>✅ Positivo</v>
      </c>
      <c r="D635" s="255" t="str">
        <f>IFERROR(
   CHOOSE(
      MATCH(VLOOKUP(LEFT(A682,6)&amp;"*",'Identificación genética'!A:C,2,FALSE),
               {"En proceso";"Finalizado"},0),
      "🔬 En proceso",
      "🎯 Finalizado"
   ),
"❌ NA")</f>
        <v>🎯 Finalizado</v>
      </c>
      <c r="E635" t="s">
        <v>85</v>
      </c>
      <c r="F635" s="576"/>
      <c r="G635" t="str">
        <f>_xlfn.XLOOKUP(A635, Extraídas!A:A, Extraídas!G:G, "")</f>
        <v/>
      </c>
    </row>
    <row r="636" spans="1:7" ht="15" thickBot="1" x14ac:dyDescent="0.35">
      <c r="A636" s="632" t="s">
        <v>733</v>
      </c>
      <c r="B636" s="255" t="str">
        <f>IFERROR(
   IF(INDEX(Extraídas!B:B,MATCH(LEFT($A636,6)&amp;"*",Extraídas!A:A,0))="Extraídas",
      "✅ En proceso",
      IF(INDEX(Extraídas!B:B,MATCH(LEFT($A636,6)&amp;"*",Extraídas!A:A,0))="Recibidas",
         "⏳ Pendiente","❌ No ingresada")),
   "❌ No ingresada"
)</f>
        <v>✅ En proceso</v>
      </c>
      <c r="C636" s="255" t="str">
        <f t="array" ref="C636">IFERROR(
   IF(INDEX([1]PCRs!B:B,MATCH(LEFT($A636,6)&amp;"*",[1]PCRs!A:A,0))="Positivo",
      "✅ Positivo",
      IF(INDEX([1]PCRs!B:B,MATCH(LEFT($A636,6)&amp;"*",[1]PCRs!A:A,0))="Negativo",
         "❌ Negativo",
         "⏳ No realizado")),
   "⏳ No realizado"
)</f>
        <v>✅ Positivo</v>
      </c>
      <c r="D636" s="255" t="str">
        <f>IFERROR(
   CHOOSE(
      MATCH(VLOOKUP(LEFT(A683,6)&amp;"*",'Identificación genética'!A:C,2,FALSE),
               {"En proceso";"Finalizado"},0),
      "🔬 En proceso",
      "🎯 Finalizado"
   ),
"❌ NA")</f>
        <v>🎯 Finalizado</v>
      </c>
      <c r="E636" t="s">
        <v>85</v>
      </c>
      <c r="F636" s="593">
        <v>45705</v>
      </c>
      <c r="G636" t="str">
        <f>_xlfn.XLOOKUP(A636, Extraídas!A:A, Extraídas!G:G, "")</f>
        <v>Cianobacterias</v>
      </c>
    </row>
    <row r="637" spans="1:7" ht="15" thickBot="1" x14ac:dyDescent="0.35">
      <c r="A637" s="631" t="s">
        <v>734</v>
      </c>
      <c r="B637" s="255" t="str">
        <f>IFERROR(
   IF(INDEX(Extraídas!B:B,MATCH(LEFT($A637,6)&amp;"*",Extraídas!A:A,0))="Extraídas",
      "✅ En proceso",
      IF(INDEX(Extraídas!B:B,MATCH(LEFT($A637,6)&amp;"*",Extraídas!A:A,0))="Recibidas",
         "⏳ Pendiente","❌ No ingresada")),
   "❌ No ingresada"
)</f>
        <v>✅ En proceso</v>
      </c>
      <c r="C637" s="255" t="str">
        <f t="array" ref="C637">IFERROR(
   IF(INDEX([1]PCRs!B:B,MATCH(LEFT($A637,6)&amp;"*",[1]PCRs!A:A,0))="Positivo",
      "✅ Positivo",
      IF(INDEX([1]PCRs!B:B,MATCH(LEFT($A637,6)&amp;"*",[1]PCRs!A:A,0))="Negativo",
         "❌ Negativo",
         "⏳ No realizado")),
   "⏳ No realizado"
)</f>
        <v>✅ Positivo</v>
      </c>
      <c r="D637" s="255" t="str">
        <f>IFERROR(
   CHOOSE(
      MATCH(VLOOKUP(LEFT(A684,6)&amp;"*",'Identificación genética'!A:C,2,FALSE),
               {"En proceso";"Finalizado"},0),
      "🔬 En proceso",
      "🎯 Finalizado"
   ),
"❌ NA")</f>
        <v>🎯 Finalizado</v>
      </c>
      <c r="E637" t="s">
        <v>85</v>
      </c>
      <c r="F637" s="587">
        <v>45768</v>
      </c>
      <c r="G637" t="str">
        <f>_xlfn.XLOOKUP(A637, Extraídas!A:A, Extraídas!G:G, "")</f>
        <v>Microalgas</v>
      </c>
    </row>
    <row r="638" spans="1:7" ht="15" thickBot="1" x14ac:dyDescent="0.35">
      <c r="A638" s="631" t="s">
        <v>735</v>
      </c>
      <c r="B638" s="255" t="str">
        <f>IFERROR(
   IF(INDEX(Extraídas!B:B,MATCH(LEFT($A638,6)&amp;"*",Extraídas!A:A,0))="Extraídas",
      "✅ En proceso",
      IF(INDEX(Extraídas!B:B,MATCH(LEFT($A638,6)&amp;"*",Extraídas!A:A,0))="Recibidas",
         "⏳ Pendiente","❌ No ingresada")),
   "❌ No ingresada"
)</f>
        <v>✅ En proceso</v>
      </c>
      <c r="C638" s="255" t="str">
        <f t="array" ref="C638">IFERROR(
   IF(INDEX([1]PCRs!B:B,MATCH(LEFT($A638,6)&amp;"*",[1]PCRs!A:A,0))="Positivo",
      "✅ Positivo",
      IF(INDEX([1]PCRs!B:B,MATCH(LEFT($A638,6)&amp;"*",[1]PCRs!A:A,0))="Negativo",
         "❌ Negativo",
         "⏳ No realizado")),
   "⏳ No realizado"
)</f>
        <v>✅ Positivo</v>
      </c>
      <c r="D638" s="255" t="str">
        <f>IFERROR(
   CHOOSE(
      MATCH(VLOOKUP(LEFT(A685,6)&amp;"*",'Identificación genética'!A:C,2,FALSE),
               {"En proceso";"Finalizado"},0),
      "🔬 En proceso",
      "🎯 Finalizado"
   ),
"❌ NA")</f>
        <v>🎯 Finalizado</v>
      </c>
      <c r="E638" t="s">
        <v>85</v>
      </c>
      <c r="F638" s="587">
        <v>45768</v>
      </c>
      <c r="G638" t="str">
        <f>_xlfn.XLOOKUP(A638, Extraídas!A:A, Extraídas!G:G, "")</f>
        <v>Cianobacterias</v>
      </c>
    </row>
    <row r="639" spans="1:7" ht="15" thickBot="1" x14ac:dyDescent="0.35">
      <c r="A639" s="256" t="s">
        <v>1147</v>
      </c>
      <c r="B639" s="255" t="str">
        <f>IFERROR(
   IF(INDEX(Extraídas!B:B,MATCH(LEFT($A639,6)&amp;"*",Extraídas!A:A,0))="Extraídas",
      "✅ En proceso",
      IF(INDEX(Extraídas!B:B,MATCH(LEFT($A639,6)&amp;"*",Extraídas!A:A,0))="Recibidas",
         "⏳ Pendiente","❌ No ingresada")),
   "❌ No ingresada"
)</f>
        <v>✅ En proceso</v>
      </c>
      <c r="C639" s="255" t="str">
        <f t="array" ref="C639">IFERROR(
   IF(INDEX([1]PCRs!B:B,MATCH(LEFT($A639,6)&amp;"*",[1]PCRs!A:A,0))="Positivo",
      "✅ Positivo",
      IF(INDEX([1]PCRs!B:B,MATCH(LEFT($A639,6)&amp;"*",[1]PCRs!A:A,0))="Negativo",
         "❌ Negativo",
         "⏳ No realizado")),
   "⏳ No realizado"
)</f>
        <v>✅ Positivo</v>
      </c>
      <c r="D639" s="255" t="str">
        <f>IFERROR(
   CHOOSE(
      MATCH(VLOOKUP(LEFT(A686,6)&amp;"*",'Identificación genética'!A:C,2,FALSE),
               {"En proceso";"Finalizado"},0),
      "🔬 En proceso",
      "🎯 Finalizado"
   ),
"❌ NA")</f>
        <v>🎯 Finalizado</v>
      </c>
      <c r="E639" t="s">
        <v>85</v>
      </c>
      <c r="F639" s="576"/>
      <c r="G639" t="str">
        <f>_xlfn.XLOOKUP(A639, Extraídas!A:A, Extraídas!G:G, "")</f>
        <v/>
      </c>
    </row>
    <row r="640" spans="1:7" x14ac:dyDescent="0.3">
      <c r="A640" s="632" t="s">
        <v>736</v>
      </c>
      <c r="B640" s="255" t="str">
        <f>IFERROR(
   IF(INDEX(Extraídas!B:B,MATCH(LEFT($A640,6)&amp;"*",Extraídas!A:A,0))="Extraídas",
      "✅ En proceso",
      IF(INDEX(Extraídas!B:B,MATCH(LEFT($A640,6)&amp;"*",Extraídas!A:A,0))="Recibidas",
         "⏳ Pendiente","❌ No ingresada")),
   "❌ No ingresada"
)</f>
        <v>✅ En proceso</v>
      </c>
      <c r="C640" s="255" t="str">
        <f t="array" ref="C640">IFERROR(
   IF(INDEX([1]PCRs!B:B,MATCH(LEFT($A640,6)&amp;"*",[1]PCRs!A:A,0))="Positivo",
      "✅ Positivo",
      IF(INDEX([1]PCRs!B:B,MATCH(LEFT($A640,6)&amp;"*",[1]PCRs!A:A,0))="Negativo",
         "❌ Negativo",
         "⏳ No realizado")),
   "⏳ No realizado"
)</f>
        <v>✅ Positivo</v>
      </c>
      <c r="D640" s="255" t="str">
        <f>IFERROR(
   CHOOSE(
      MATCH(VLOOKUP(LEFT(A687,6)&amp;"*",'Identificación genética'!A:C,2,FALSE),
               {"En proceso";"Finalizado"},0),
      "🔬 En proceso",
      "🎯 Finalizado"
   ),
"❌ NA")</f>
        <v>🎯 Finalizado</v>
      </c>
      <c r="E640" t="s">
        <v>85</v>
      </c>
      <c r="F640" s="111">
        <v>45705</v>
      </c>
      <c r="G640" t="str">
        <f>_xlfn.XLOOKUP(A640, Extraídas!A:A, Extraídas!G:G, "")</f>
        <v>Cianobacterias</v>
      </c>
    </row>
    <row r="641" spans="1:7" x14ac:dyDescent="0.3">
      <c r="A641" s="632" t="s">
        <v>737</v>
      </c>
      <c r="B641" s="255" t="str">
        <f>IFERROR(
   IF(INDEX(Extraídas!B:B,MATCH(LEFT($A641,6)&amp;"*",Extraídas!A:A,0))="Extraídas",
      "✅ En proceso",
      IF(INDEX(Extraídas!B:B,MATCH(LEFT($A641,6)&amp;"*",Extraídas!A:A,0))="Recibidas",
         "⏳ Pendiente","❌ No ingresada")),
   "❌ No ingresada"
)</f>
        <v>✅ En proceso</v>
      </c>
      <c r="C641" s="255" t="str">
        <f t="array" ref="C641">IFERROR(
   IF(INDEX([1]PCRs!B:B,MATCH(LEFT($A641,6)&amp;"*",[1]PCRs!A:A,0))="Positivo",
      "✅ Positivo",
      IF(INDEX([1]PCRs!B:B,MATCH(LEFT($A641,6)&amp;"*",[1]PCRs!A:A,0))="Negativo",
         "❌ Negativo",
         "⏳ No realizado")),
   "⏳ No realizado"
)</f>
        <v>✅ Positivo</v>
      </c>
      <c r="D641" s="255" t="str">
        <f>IFERROR(
   CHOOSE(
      MATCH(VLOOKUP(LEFT(A688,6)&amp;"*",'Identificación genética'!A:C,2,FALSE),
               {"En proceso";"Finalizado"},0),
      "🔬 En proceso",
      "🎯 Finalizado"
   ),
"❌ NA")</f>
        <v>🎯 Finalizado</v>
      </c>
      <c r="E641" t="s">
        <v>85</v>
      </c>
      <c r="F641" s="111">
        <v>45705</v>
      </c>
      <c r="G641" t="str">
        <f>_xlfn.XLOOKUP(A641, Extraídas!A:A, Extraídas!G:G, "")</f>
        <v>Cianobacterias</v>
      </c>
    </row>
    <row r="642" spans="1:7" x14ac:dyDescent="0.3">
      <c r="A642" s="563" t="s">
        <v>1148</v>
      </c>
      <c r="B642" s="255" t="str">
        <f>IFERROR(
   IF(INDEX(Extraídas!B:B,MATCH(LEFT($A642,6)&amp;"*",Extraídas!A:A,0))="Extraídas",
      "✅ En proceso",
      IF(INDEX(Extraídas!B:B,MATCH(LEFT($A642,6)&amp;"*",Extraídas!A:A,0))="Recibidas",
         "⏳ Pendiente","❌ No ingresada")),
   "❌ No ingresada"
)</f>
        <v>✅ En proceso</v>
      </c>
      <c r="C642" s="255" t="str">
        <f t="array" ref="C642">IFERROR(
   IF(INDEX([1]PCRs!B:B,MATCH(LEFT($A642,6)&amp;"*",[1]PCRs!A:A,0))="Positivo",
      "✅ Positivo",
      IF(INDEX([1]PCRs!B:B,MATCH(LEFT($A642,6)&amp;"*",[1]PCRs!A:A,0))="Negativo",
         "❌ Negativo",
         "⏳ No realizado")),
   "⏳ No realizado"
)</f>
        <v>❌ Negativo</v>
      </c>
      <c r="D642" s="255" t="str">
        <f>IFERROR(
   CHOOSE(
      MATCH(VLOOKUP(LEFT(A689,6)&amp;"*",'Identificación genética'!A:C,2,FALSE),
               {"En proceso";"Finalizado"},0),
      "🔬 En proceso",
      "🎯 Finalizado"
   ),
"❌ NA")</f>
        <v>🎯 Finalizado</v>
      </c>
      <c r="E642" t="s">
        <v>85</v>
      </c>
      <c r="G642" t="str">
        <f>_xlfn.XLOOKUP(A642, Extraídas!A:A, Extraídas!G:G, "")</f>
        <v/>
      </c>
    </row>
    <row r="643" spans="1:7" x14ac:dyDescent="0.3">
      <c r="A643" s="256" t="s">
        <v>1149</v>
      </c>
      <c r="B643" s="255" t="str">
        <f>IFERROR(
   IF(INDEX(Extraídas!B:B,MATCH(LEFT($A643,6)&amp;"*",Extraídas!A:A,0))="Extraídas",
      "✅ En proceso",
      IF(INDEX(Extraídas!B:B,MATCH(LEFT($A643,6)&amp;"*",Extraídas!A:A,0))="Recibidas",
         "⏳ Pendiente","❌ No ingresada")),
   "❌ No ingresada"
)</f>
        <v>✅ En proceso</v>
      </c>
      <c r="C643" s="255" t="str">
        <f t="array" ref="C643">IFERROR(
   IF(INDEX([1]PCRs!B:B,MATCH(LEFT($A643,6)&amp;"*",[1]PCRs!A:A,0))="Positivo",
      "✅ Positivo",
      IF(INDEX([1]PCRs!B:B,MATCH(LEFT($A643,6)&amp;"*",[1]PCRs!A:A,0))="Negativo",
         "❌ Negativo",
         "⏳ No realizado")),
   "⏳ No realizado"
)</f>
        <v>❌ Negativo</v>
      </c>
      <c r="D643" s="255" t="str">
        <f>IFERROR(
   CHOOSE(
      MATCH(VLOOKUP(LEFT(A690,6)&amp;"*",'Identificación genética'!A:C,2,FALSE),
               {"En proceso";"Finalizado"},0),
      "🔬 En proceso",
      "🎯 Finalizado"
   ),
"❌ NA")</f>
        <v>🎯 Finalizado</v>
      </c>
      <c r="E643" t="s">
        <v>85</v>
      </c>
      <c r="G643" t="str">
        <f>_xlfn.XLOOKUP(A643, Extraídas!A:A, Extraídas!G:G, "")</f>
        <v/>
      </c>
    </row>
    <row r="644" spans="1:7" x14ac:dyDescent="0.3">
      <c r="A644" s="631" t="s">
        <v>738</v>
      </c>
      <c r="B644" s="255" t="str">
        <f>IFERROR(
   IF(INDEX(Extraídas!B:B,MATCH(LEFT($A644,6)&amp;"*",Extraídas!A:A,0))="Extraídas",
      "✅ En proceso",
      IF(INDEX(Extraídas!B:B,MATCH(LEFT($A644,6)&amp;"*",Extraídas!A:A,0))="Recibidas",
         "⏳ Pendiente","❌ No ingresada")),
   "❌ No ingresada"
)</f>
        <v>✅ En proceso</v>
      </c>
      <c r="C644" s="255" t="str">
        <f t="array" ref="C644">IFERROR(
   IF(INDEX([1]PCRs!B:B,MATCH(LEFT($A644,6)&amp;"*",[1]PCRs!A:A,0))="Positivo",
      "✅ Positivo",
      IF(INDEX([1]PCRs!B:B,MATCH(LEFT($A644,6)&amp;"*",[1]PCRs!A:A,0))="Negativo",
         "❌ Negativo",
         "⏳ No realizado")),
   "⏳ No realizado"
)</f>
        <v>❌ Negativo</v>
      </c>
      <c r="D644" s="255" t="str">
        <f>IFERROR(
   CHOOSE(
      MATCH(VLOOKUP(LEFT(A691,6)&amp;"*",'Identificación genética'!A:C,2,FALSE),
               {"En proceso";"Finalizado"},0),
      "🔬 En proceso",
      "🎯 Finalizado"
   ),
"❌ NA")</f>
        <v>🎯 Finalizado</v>
      </c>
      <c r="E644" t="s">
        <v>85</v>
      </c>
      <c r="F644" s="29">
        <v>45768</v>
      </c>
      <c r="G644" t="str">
        <f>_xlfn.XLOOKUP(A644, Extraídas!A:A, Extraídas!G:G, "")</f>
        <v>Microalgas</v>
      </c>
    </row>
    <row r="645" spans="1:7" x14ac:dyDescent="0.3">
      <c r="A645" s="632" t="s">
        <v>739</v>
      </c>
      <c r="B645" s="255" t="str">
        <f>IFERROR(
   IF(INDEX(Extraídas!B:B,MATCH(LEFT($A645,6)&amp;"*",Extraídas!A:A,0))="Extraídas",
      "✅ En proceso",
      IF(INDEX(Extraídas!B:B,MATCH(LEFT($A645,6)&amp;"*",Extraídas!A:A,0))="Recibidas",
         "⏳ Pendiente","❌ No ingresada")),
   "❌ No ingresada"
)</f>
        <v>✅ En proceso</v>
      </c>
      <c r="C645" s="255" t="str">
        <f t="array" ref="C645">IFERROR(
   IF(INDEX([1]PCRs!B:B,MATCH(LEFT($A645,6)&amp;"*",[1]PCRs!A:A,0))="Positivo",
      "✅ Positivo",
      IF(INDEX([1]PCRs!B:B,MATCH(LEFT($A645,6)&amp;"*",[1]PCRs!A:A,0))="Negativo",
         "❌ Negativo",
         "⏳ No realizado")),
   "⏳ No realizado"
)</f>
        <v>❌ Negativo</v>
      </c>
      <c r="D645" s="255" t="str">
        <f>IFERROR(
   CHOOSE(
      MATCH(VLOOKUP(LEFT(A692,6)&amp;"*",'Identificación genética'!A:C,2,FALSE),
               {"En proceso";"Finalizado"},0),
      "🔬 En proceso",
      "🎯 Finalizado"
   ),
"❌ NA")</f>
        <v>🎯 Finalizado</v>
      </c>
      <c r="E645" t="s">
        <v>85</v>
      </c>
      <c r="F645" s="111">
        <v>45705</v>
      </c>
      <c r="G645" t="str">
        <f>_xlfn.XLOOKUP(A645, Extraídas!A:A, Extraídas!G:G, "")</f>
        <v>Cianobacterias</v>
      </c>
    </row>
    <row r="646" spans="1:7" x14ac:dyDescent="0.3">
      <c r="A646" s="567" t="s">
        <v>2229</v>
      </c>
      <c r="B646" s="255" t="str">
        <f>IFERROR(
   IF(INDEX(Extraídas!B:B,MATCH(LEFT($A646,6)&amp;"*",Extraídas!A:A,0))="Extraídas",
      "✅ En proceso",
      IF(INDEX(Extraídas!B:B,MATCH(LEFT($A646,6)&amp;"*",Extraídas!A:A,0))="Recibidas",
         "⏳ Pendiente","❌ No ingresada")),
   "❌ No ingresada"
)</f>
        <v>✅ En proceso</v>
      </c>
      <c r="C646" s="255" t="str">
        <f t="array" ref="C646">IFERROR(
   IF(INDEX([1]PCRs!B:B,MATCH(LEFT($A646,6)&amp;"*",[1]PCRs!A:A,0))="Positivo",
      "✅ Positivo",
      IF(INDEX([1]PCRs!B:B,MATCH(LEFT($A646,6)&amp;"*",[1]PCRs!A:A,0))="Negativo",
         "❌ Negativo",
         "⏳ No realizado")),
   "⏳ No realizado"
)</f>
        <v>❌ Negativo</v>
      </c>
      <c r="D646" s="255" t="str">
        <f>IFERROR(
   CHOOSE(
      MATCH(VLOOKUP(LEFT(A693,6)&amp;"*",'Identificación genética'!A:C,2,FALSE),
               {"En proceso";"Finalizado"},0),
      "🔬 En proceso",
      "🎯 Finalizado"
   ),
"❌ NA")</f>
        <v>🎯 Finalizado</v>
      </c>
      <c r="E646" t="s">
        <v>85</v>
      </c>
      <c r="G646" t="str">
        <f>_xlfn.XLOOKUP(A646, Extraídas!A:A, Extraídas!G:G, "")</f>
        <v/>
      </c>
    </row>
    <row r="647" spans="1:7" ht="15" thickBot="1" x14ac:dyDescent="0.35">
      <c r="A647" s="632" t="s">
        <v>740</v>
      </c>
      <c r="B647" s="255" t="str">
        <f>IFERROR(
   IF(INDEX(Extraídas!B:B,MATCH(LEFT($A647,6)&amp;"*",Extraídas!A:A,0))="Extraídas",
      "✅ En proceso",
      IF(INDEX(Extraídas!B:B,MATCH(LEFT($A647,6)&amp;"*",Extraídas!A:A,0))="Recibidas",
         "⏳ Pendiente","❌ No ingresada")),
   "❌ No ingresada"
)</f>
        <v>✅ En proceso</v>
      </c>
      <c r="C647" s="255" t="str">
        <f t="array" ref="C647">IFERROR(
   IF(INDEX([1]PCRs!B:B,MATCH(LEFT($A647,6)&amp;"*",[1]PCRs!A:A,0))="Positivo",
      "✅ Positivo",
      IF(INDEX([1]PCRs!B:B,MATCH(LEFT($A647,6)&amp;"*",[1]PCRs!A:A,0))="Negativo",
         "❌ Negativo",
         "⏳ No realizado")),
   "⏳ No realizado"
)</f>
        <v>❌ Negativo</v>
      </c>
      <c r="D647" s="255" t="str">
        <f>IFERROR(
   CHOOSE(
      MATCH(VLOOKUP(LEFT(A694,6)&amp;"*",'Identificación genética'!A:C,2,FALSE),
               {"En proceso";"Finalizado"},0),
      "🔬 En proceso",
      "🎯 Finalizado"
   ),
"❌ NA")</f>
        <v>🎯 Finalizado</v>
      </c>
      <c r="E647" t="s">
        <v>85</v>
      </c>
      <c r="F647" s="29">
        <v>45768</v>
      </c>
      <c r="G647" t="str">
        <f>_xlfn.XLOOKUP(A647, Extraídas!A:A, Extraídas!G:G, "")</f>
        <v>Cianobacterias</v>
      </c>
    </row>
    <row r="648" spans="1:7" ht="15" thickBot="1" x14ac:dyDescent="0.35">
      <c r="A648" s="631" t="s">
        <v>741</v>
      </c>
      <c r="B648" s="255" t="str">
        <f>IFERROR(
   IF(INDEX(Extraídas!B:B,MATCH(LEFT($A648,6)&amp;"*",Extraídas!A:A,0))="Extraídas",
      "✅ En proceso",
      IF(INDEX(Extraídas!B:B,MATCH(LEFT($A648,6)&amp;"*",Extraídas!A:A,0))="Recibidas",
         "⏳ Pendiente","❌ No ingresada")),
   "❌ No ingresada"
)</f>
        <v>✅ En proceso</v>
      </c>
      <c r="C648" s="255" t="str">
        <f t="array" ref="C648">IFERROR(
   IF(INDEX([1]PCRs!B:B,MATCH(LEFT($A648,6)&amp;"*",[1]PCRs!A:A,0))="Positivo",
      "✅ Positivo",
      IF(INDEX([1]PCRs!B:B,MATCH(LEFT($A648,6)&amp;"*",[1]PCRs!A:A,0))="Negativo",
         "❌ Negativo",
         "⏳ No realizado")),
   "⏳ No realizado"
)</f>
        <v>❌ Negativo</v>
      </c>
      <c r="D648" s="255" t="str">
        <f>IFERROR(
   CHOOSE(
      MATCH(VLOOKUP(LEFT(A695,6)&amp;"*",'Identificación genética'!A:C,2,FALSE),
               {"En proceso";"Finalizado"},0),
      "🔬 En proceso",
      "🎯 Finalizado"
   ),
"❌ NA")</f>
        <v>🎯 Finalizado</v>
      </c>
      <c r="E648" t="s">
        <v>85</v>
      </c>
      <c r="F648" s="587">
        <v>45768</v>
      </c>
      <c r="G648" t="str">
        <f>_xlfn.XLOOKUP(A648, Extraídas!A:A, Extraídas!G:G, "")</f>
        <v>Cianobacterias</v>
      </c>
    </row>
    <row r="649" spans="1:7" ht="15" thickBot="1" x14ac:dyDescent="0.35">
      <c r="A649" s="631" t="s">
        <v>742</v>
      </c>
      <c r="B649" s="255" t="str">
        <f>IFERROR(
   IF(INDEX(Extraídas!B:B,MATCH(LEFT($A649,6)&amp;"*",Extraídas!A:A,0))="Extraídas",
      "✅ En proceso",
      IF(INDEX(Extraídas!B:B,MATCH(LEFT($A649,6)&amp;"*",Extraídas!A:A,0))="Recibidas",
         "⏳ Pendiente","❌ No ingresada")),
   "❌ No ingresada"
)</f>
        <v>✅ En proceso</v>
      </c>
      <c r="C649" s="255" t="str">
        <f t="array" ref="C649">IFERROR(
   IF(INDEX([1]PCRs!B:B,MATCH(LEFT($A649,6)&amp;"*",[1]PCRs!A:A,0))="Positivo",
      "✅ Positivo",
      IF(INDEX([1]PCRs!B:B,MATCH(LEFT($A649,6)&amp;"*",[1]PCRs!A:A,0))="Negativo",
         "❌ Negativo",
         "⏳ No realizado")),
   "⏳ No realizado"
)</f>
        <v>✅ Positivo</v>
      </c>
      <c r="D649" s="255" t="str">
        <f>IFERROR(
   CHOOSE(
      MATCH(VLOOKUP(LEFT(A696,6)&amp;"*",'Identificación genética'!A:C,2,FALSE),
               {"En proceso";"Finalizado"},0),
      "🔬 En proceso",
      "🎯 Finalizado"
   ),
"❌ NA")</f>
        <v>🎯 Finalizado</v>
      </c>
      <c r="E649" t="s">
        <v>85</v>
      </c>
      <c r="F649" s="587">
        <v>45768</v>
      </c>
      <c r="G649" t="str">
        <f>_xlfn.XLOOKUP(A649, Extraídas!A:A, Extraídas!G:G, "")</f>
        <v>Cianobacterias</v>
      </c>
    </row>
    <row r="650" spans="1:7" ht="15" thickBot="1" x14ac:dyDescent="0.35">
      <c r="A650" s="631" t="s">
        <v>743</v>
      </c>
      <c r="B650" s="255" t="str">
        <f>IFERROR(
   IF(INDEX(Extraídas!B:B,MATCH(LEFT($A650,6)&amp;"*",Extraídas!A:A,0))="Extraídas",
      "✅ En proceso",
      IF(INDEX(Extraídas!B:B,MATCH(LEFT($A650,6)&amp;"*",Extraídas!A:A,0))="Recibidas",
         "⏳ Pendiente","❌ No ingresada")),
   "❌ No ingresada"
)</f>
        <v>✅ En proceso</v>
      </c>
      <c r="C650" s="255" t="str">
        <f t="array" ref="C650">IFERROR(
   IF(INDEX([1]PCRs!B:B,MATCH(LEFT($A650,6)&amp;"*",[1]PCRs!A:A,0))="Positivo",
      "✅ Positivo",
      IF(INDEX([1]PCRs!B:B,MATCH(LEFT($A650,6)&amp;"*",[1]PCRs!A:A,0))="Negativo",
         "❌ Negativo",
         "⏳ No realizado")),
   "⏳ No realizado"
)</f>
        <v>✅ Positivo</v>
      </c>
      <c r="D650" s="255" t="str">
        <f>IFERROR(
   CHOOSE(
      MATCH(VLOOKUP(LEFT(A697,6)&amp;"*",'Identificación genética'!A:C,2,FALSE),
               {"En proceso";"Finalizado"},0),
      "🔬 En proceso",
      "🎯 Finalizado"
   ),
"❌ NA")</f>
        <v>🎯 Finalizado</v>
      </c>
      <c r="E650" t="s">
        <v>85</v>
      </c>
      <c r="F650" s="587">
        <v>45768</v>
      </c>
      <c r="G650" t="str">
        <f>_xlfn.XLOOKUP(A650, Extraídas!A:A, Extraídas!G:G, "")</f>
        <v>Cianobacterias</v>
      </c>
    </row>
    <row r="651" spans="1:7" ht="15" thickBot="1" x14ac:dyDescent="0.35">
      <c r="A651" s="645" t="s">
        <v>744</v>
      </c>
      <c r="B651" s="255" t="str">
        <f>IFERROR(
   IF(INDEX(Extraídas!B:B,MATCH(LEFT($A651,6)&amp;"*",Extraídas!A:A,0))="Extraídas",
      "✅ En proceso",
      IF(INDEX(Extraídas!B:B,MATCH(LEFT($A651,6)&amp;"*",Extraídas!A:A,0))="Recibidas",
         "⏳ Pendiente","❌ No ingresada")),
   "❌ No ingresada"
)</f>
        <v>✅ En proceso</v>
      </c>
      <c r="C651" s="255" t="str">
        <f t="array" ref="C651">IFERROR(
   IF(INDEX([1]PCRs!B:B,MATCH(LEFT($A651,6)&amp;"*",[1]PCRs!A:A,0))="Positivo",
      "✅ Positivo",
      IF(INDEX([1]PCRs!B:B,MATCH(LEFT($A651,6)&amp;"*",[1]PCRs!A:A,0))="Negativo",
         "❌ Negativo",
         "⏳ No realizado")),
   "⏳ No realizado"
)</f>
        <v>✅ Positivo</v>
      </c>
      <c r="D651" s="255" t="str">
        <f>IFERROR(
   CHOOSE(
      MATCH(VLOOKUP(LEFT(A698,6)&amp;"*",'Identificación genética'!A:C,2,FALSE),
               {"En proceso";"Finalizado"},0),
      "🔬 En proceso",
      "🎯 Finalizado"
   ),
"❌ NA")</f>
        <v>🎯 Finalizado</v>
      </c>
      <c r="E651" t="s">
        <v>85</v>
      </c>
      <c r="F651" s="587">
        <v>45768</v>
      </c>
      <c r="G651" t="str">
        <f>_xlfn.XLOOKUP(A651, Extraídas!A:A, Extraídas!G:G, "")</f>
        <v>Cianobacterias</v>
      </c>
    </row>
    <row r="652" spans="1:7" ht="15" thickBot="1" x14ac:dyDescent="0.35">
      <c r="A652" s="646" t="s">
        <v>745</v>
      </c>
      <c r="B652" s="255" t="str">
        <f>IFERROR(
   IF(INDEX(Extraídas!B:B,MATCH(LEFT($A652,6)&amp;"*",Extraídas!A:A,0))="Extraídas",
      "✅ En proceso",
      IF(INDEX(Extraídas!B:B,MATCH(LEFT($A652,6)&amp;"*",Extraídas!A:A,0))="Recibidas",
         "⏳ Pendiente","❌ No ingresada")),
   "❌ No ingresada"
)</f>
        <v>✅ En proceso</v>
      </c>
      <c r="C652" s="255" t="str">
        <f t="array" ref="C652">IFERROR(
   IF(INDEX([1]PCRs!B:B,MATCH(LEFT($A652,6)&amp;"*",[1]PCRs!A:A,0))="Positivo",
      "✅ Positivo",
      IF(INDEX([1]PCRs!B:B,MATCH(LEFT($A652,6)&amp;"*",[1]PCRs!A:A,0))="Negativo",
         "❌ Negativo",
         "⏳ No realizado")),
   "⏳ No realizado"
)</f>
        <v>✅ Positivo</v>
      </c>
      <c r="D652" s="255" t="str">
        <f>IFERROR(
   CHOOSE(
      MATCH(VLOOKUP(LEFT(A699,6)&amp;"*",'Identificación genética'!A:C,2,FALSE),
               {"En proceso";"Finalizado"},0),
      "🔬 En proceso",
      "🎯 Finalizado"
   ),
"❌ NA")</f>
        <v>🎯 Finalizado</v>
      </c>
      <c r="E652" t="s">
        <v>85</v>
      </c>
      <c r="F652" s="587">
        <v>45768</v>
      </c>
      <c r="G652" t="str">
        <f>_xlfn.XLOOKUP(A652, Extraídas!A:A, Extraídas!G:G, "")</f>
        <v>Cianobacterias</v>
      </c>
    </row>
    <row r="653" spans="1:7" ht="15" thickBot="1" x14ac:dyDescent="0.35">
      <c r="A653" s="647" t="s">
        <v>746</v>
      </c>
      <c r="B653" s="255" t="str">
        <f>IFERROR(
   IF(INDEX(Extraídas!B:B,MATCH(LEFT($A653,6)&amp;"*",Extraídas!A:A,0))="Extraídas",
      "✅ En proceso",
      IF(INDEX(Extraídas!B:B,MATCH(LEFT($A653,6)&amp;"*",Extraídas!A:A,0))="Recibidas",
         "⏳ Pendiente","❌ No ingresada")),
   "❌ No ingresada"
)</f>
        <v>✅ En proceso</v>
      </c>
      <c r="C653" s="255" t="str">
        <f t="array" ref="C653">IFERROR(
   IF(INDEX([1]PCRs!B:B,MATCH(LEFT($A653,6)&amp;"*",[1]PCRs!A:A,0))="Positivo",
      "✅ Positivo",
      IF(INDEX([1]PCRs!B:B,MATCH(LEFT($A653,6)&amp;"*",[1]PCRs!A:A,0))="Negativo",
         "❌ Negativo",
         "⏳ No realizado")),
   "⏳ No realizado"
)</f>
        <v>✅ Positivo</v>
      </c>
      <c r="D653" s="255" t="str">
        <f>IFERROR(
   CHOOSE(
      MATCH(VLOOKUP(LEFT(A700,6)&amp;"*",'Identificación genética'!A:C,2,FALSE),
               {"En proceso";"Finalizado"},0),
      "🔬 En proceso",
      "🎯 Finalizado"
   ),
"❌ NA")</f>
        <v>🎯 Finalizado</v>
      </c>
      <c r="E653" t="s">
        <v>85</v>
      </c>
      <c r="F653" s="578">
        <v>45940</v>
      </c>
      <c r="G653" t="str">
        <f>_xlfn.XLOOKUP(A653, Extraídas!A:A, Extraídas!G:G, "")</f>
        <v>Microalgas</v>
      </c>
    </row>
    <row r="654" spans="1:7" ht="15" thickBot="1" x14ac:dyDescent="0.35">
      <c r="A654" s="646" t="s">
        <v>747</v>
      </c>
      <c r="B654" s="255" t="str">
        <f>IFERROR(
   IF(INDEX(Extraídas!B:B,MATCH(LEFT($A654,6)&amp;"*",Extraídas!A:A,0))="Extraídas",
      "✅ En proceso",
      IF(INDEX(Extraídas!B:B,MATCH(LEFT($A654,6)&amp;"*",Extraídas!A:A,0))="Recibidas",
         "⏳ Pendiente","❌ No ingresada")),
   "❌ No ingresada"
)</f>
        <v>✅ En proceso</v>
      </c>
      <c r="C654" s="255" t="str">
        <f t="array" ref="C654">IFERROR(
   IF(INDEX([1]PCRs!B:B,MATCH(LEFT($A654,6)&amp;"*",[1]PCRs!A:A,0))="Positivo",
      "✅ Positivo",
      IF(INDEX([1]PCRs!B:B,MATCH(LEFT($A654,6)&amp;"*",[1]PCRs!A:A,0))="Negativo",
         "❌ Negativo",
         "⏳ No realizado")),
   "⏳ No realizado"
)</f>
        <v>✅ Positivo</v>
      </c>
      <c r="D654" s="255" t="str">
        <f>IFERROR(
   CHOOSE(
      MATCH(VLOOKUP(LEFT(A701,6)&amp;"*",'Identificación genética'!A:C,2,FALSE),
               {"En proceso";"Finalizado"},0),
      "🔬 En proceso",
      "🎯 Finalizado"
   ),
"❌ NA")</f>
        <v>🎯 Finalizado</v>
      </c>
      <c r="E654" t="s">
        <v>85</v>
      </c>
      <c r="F654" s="587">
        <v>45768</v>
      </c>
      <c r="G654" t="str">
        <f>_xlfn.XLOOKUP(A654, Extraídas!A:A, Extraídas!G:G, "")</f>
        <v>Cianobacterias</v>
      </c>
    </row>
    <row r="655" spans="1:7" ht="15" thickBot="1" x14ac:dyDescent="0.35">
      <c r="A655" s="648" t="s">
        <v>748</v>
      </c>
      <c r="B655" s="255" t="str">
        <f>IFERROR(
   IF(INDEX(Extraídas!B:B,MATCH(LEFT($A655,6)&amp;"*",Extraídas!A:A,0))="Extraídas",
      "✅ En proceso",
      IF(INDEX(Extraídas!B:B,MATCH(LEFT($A655,6)&amp;"*",Extraídas!A:A,0))="Recibidas",
         "⏳ Pendiente","❌ No ingresada")),
   "❌ No ingresada"
)</f>
        <v>✅ En proceso</v>
      </c>
      <c r="C655" s="255" t="str">
        <f t="array" ref="C655">IFERROR(
   IF(INDEX([1]PCRs!B:B,MATCH(LEFT($A655,6)&amp;"*",[1]PCRs!A:A,0))="Positivo",
      "✅ Positivo",
      IF(INDEX([1]PCRs!B:B,MATCH(LEFT($A655,6)&amp;"*",[1]PCRs!A:A,0))="Negativo",
         "❌ Negativo",
         "⏳ No realizado")),
   "⏳ No realizado"
)</f>
        <v>✅ Positivo</v>
      </c>
      <c r="D655" s="255" t="str">
        <f>IFERROR(
   CHOOSE(
      MATCH(VLOOKUP(LEFT(A702,6)&amp;"*",'Identificación genética'!A:C,2,FALSE),
               {"En proceso";"Finalizado"},0),
      "🔬 En proceso",
      "🎯 Finalizado"
   ),
"❌ NA")</f>
        <v>🎯 Finalizado</v>
      </c>
      <c r="E655" t="s">
        <v>85</v>
      </c>
      <c r="F655" s="593">
        <v>45733</v>
      </c>
      <c r="G655" t="str">
        <f>_xlfn.XLOOKUP(A655, Extraídas!A:A, Extraídas!G:G, "")</f>
        <v>Microalgas</v>
      </c>
    </row>
    <row r="656" spans="1:7" ht="15" thickBot="1" x14ac:dyDescent="0.35">
      <c r="A656" s="646" t="s">
        <v>749</v>
      </c>
      <c r="B656" s="255" t="str">
        <f>IFERROR(
   IF(INDEX(Extraídas!B:B,MATCH(LEFT($A656,6)&amp;"*",Extraídas!A:A,0))="Extraídas",
      "✅ En proceso",
      IF(INDEX(Extraídas!B:B,MATCH(LEFT($A656,6)&amp;"*",Extraídas!A:A,0))="Recibidas",
         "⏳ Pendiente","❌ No ingresada")),
   "❌ No ingresada"
)</f>
        <v>✅ En proceso</v>
      </c>
      <c r="C656" s="255" t="str">
        <f t="array" ref="C656">IFERROR(
   IF(INDEX([1]PCRs!B:B,MATCH(LEFT($A656,6)&amp;"*",[1]PCRs!A:A,0))="Positivo",
      "✅ Positivo",
      IF(INDEX([1]PCRs!B:B,MATCH(LEFT($A656,6)&amp;"*",[1]PCRs!A:A,0))="Negativo",
         "❌ Negativo",
         "⏳ No realizado")),
   "⏳ No realizado"
)</f>
        <v>❌ Negativo</v>
      </c>
      <c r="D656" s="255" t="str">
        <f>IFERROR(
   CHOOSE(
      MATCH(VLOOKUP(LEFT(A703,6)&amp;"*",'Identificación genética'!A:C,2,FALSE),
               {"En proceso";"Finalizado"},0),
      "🔬 En proceso",
      "🎯 Finalizado"
   ),
"❌ NA")</f>
        <v>🎯 Finalizado</v>
      </c>
      <c r="E656" t="s">
        <v>85</v>
      </c>
      <c r="F656" s="587">
        <v>45768</v>
      </c>
      <c r="G656" t="str">
        <f>_xlfn.XLOOKUP(A656, Extraídas!A:A, Extraídas!G:G, "")</f>
        <v>Cianobacterias</v>
      </c>
    </row>
    <row r="657" spans="1:7" ht="15" thickBot="1" x14ac:dyDescent="0.35">
      <c r="A657" s="647" t="s">
        <v>750</v>
      </c>
      <c r="B657" s="255" t="str">
        <f>IFERROR(
   IF(INDEX(Extraídas!B:B,MATCH(LEFT($A657,6)&amp;"*",Extraídas!A:A,0))="Extraídas",
      "✅ En proceso",
      IF(INDEX(Extraídas!B:B,MATCH(LEFT($A657,6)&amp;"*",Extraídas!A:A,0))="Recibidas",
         "⏳ Pendiente","❌ No ingresada")),
   "❌ No ingresada"
)</f>
        <v>✅ En proceso</v>
      </c>
      <c r="C657" s="255" t="str">
        <f t="array" ref="C657">IFERROR(
   IF(INDEX([1]PCRs!B:B,MATCH(LEFT($A657,6)&amp;"*",[1]PCRs!A:A,0))="Positivo",
      "✅ Positivo",
      IF(INDEX([1]PCRs!B:B,MATCH(LEFT($A657,6)&amp;"*",[1]PCRs!A:A,0))="Negativo",
         "❌ Negativo",
         "⏳ No realizado")),
   "⏳ No realizado"
)</f>
        <v>❌ Negativo</v>
      </c>
      <c r="D657" s="255" t="str">
        <f>IFERROR(
   CHOOSE(
      MATCH(VLOOKUP(LEFT(A704,6)&amp;"*",'Identificación genética'!A:C,2,FALSE),
               {"En proceso";"Finalizado"},0),
      "🔬 En proceso",
      "🎯 Finalizado"
   ),
"❌ NA")</f>
        <v>🎯 Finalizado</v>
      </c>
      <c r="E657" t="s">
        <v>85</v>
      </c>
      <c r="F657" s="593">
        <v>45705</v>
      </c>
      <c r="G657" t="str">
        <f>_xlfn.XLOOKUP(A657, Extraídas!A:A, Extraídas!G:G, "")</f>
        <v>Microalgas</v>
      </c>
    </row>
    <row r="658" spans="1:7" ht="15" thickBot="1" x14ac:dyDescent="0.35">
      <c r="A658" s="646" t="s">
        <v>751</v>
      </c>
      <c r="B658" s="255" t="str">
        <f>IFERROR(
   IF(INDEX(Extraídas!B:B,MATCH(LEFT($A658,6)&amp;"*",Extraídas!A:A,0))="Extraídas",
      "✅ En proceso",
      IF(INDEX(Extraídas!B:B,MATCH(LEFT($A658,6)&amp;"*",Extraídas!A:A,0))="Recibidas",
         "⏳ Pendiente","❌ No ingresada")),
   "❌ No ingresada"
)</f>
        <v>✅ En proceso</v>
      </c>
      <c r="C658" s="255" t="str">
        <f t="array" ref="C658">IFERROR(
   IF(INDEX([1]PCRs!B:B,MATCH(LEFT($A658,6)&amp;"*",[1]PCRs!A:A,0))="Positivo",
      "✅ Positivo",
      IF(INDEX([1]PCRs!B:B,MATCH(LEFT($A658,6)&amp;"*",[1]PCRs!A:A,0))="Negativo",
         "❌ Negativo",
         "⏳ No realizado")),
   "⏳ No realizado"
)</f>
        <v>❌ Negativo</v>
      </c>
      <c r="D658" s="255" t="str">
        <f>IFERROR(
   CHOOSE(
      MATCH(VLOOKUP(LEFT(A705,6)&amp;"*",'Identificación genética'!A:C,2,FALSE),
               {"En proceso";"Finalizado"},0),
      "🔬 En proceso",
      "🎯 Finalizado"
   ),
"❌ NA")</f>
        <v>🎯 Finalizado</v>
      </c>
      <c r="E658" t="s">
        <v>85</v>
      </c>
      <c r="F658" s="587">
        <v>45768</v>
      </c>
      <c r="G658" t="str">
        <f>_xlfn.XLOOKUP(A658, Extraídas!A:A, Extraídas!G:G, "")</f>
        <v>Cianobacterias</v>
      </c>
    </row>
    <row r="659" spans="1:7" ht="15" thickBot="1" x14ac:dyDescent="0.35">
      <c r="A659" s="616" t="s">
        <v>1996</v>
      </c>
      <c r="B659" s="255" t="str">
        <f>IFERROR(
   IF(INDEX(Extraídas!B:B,MATCH(LEFT($A659,6)&amp;"*",Extraídas!A:A,0))="Extraídas",
      "✅ En proceso",
      IF(INDEX(Extraídas!B:B,MATCH(LEFT($A659,6)&amp;"*",Extraídas!A:A,0))="Recibidas",
         "⏳ Pendiente","❌ No ingresada")),
   "❌ No ingresada"
)</f>
        <v>✅ En proceso</v>
      </c>
      <c r="C659" s="255" t="str">
        <f t="array" ref="C659">IFERROR(
   IF(INDEX([1]PCRs!B:B,MATCH(LEFT($A659,6)&amp;"*",[1]PCRs!A:A,0))="Positivo",
      "✅ Positivo",
      IF(INDEX([1]PCRs!B:B,MATCH(LEFT($A659,6)&amp;"*",[1]PCRs!A:A,0))="Negativo",
         "❌ Negativo",
         "⏳ No realizado")),
   "⏳ No realizado"
)</f>
        <v>❌ Negativo</v>
      </c>
      <c r="D659" s="255" t="str">
        <f>IFERROR(
   CHOOSE(
      MATCH(VLOOKUP(LEFT(A706,6)&amp;"*",'Identificación genética'!A:C,2,FALSE),
               {"En proceso";"Finalizado"},0),
      "🔬 En proceso",
      "🎯 Finalizado"
   ),
"❌ NA")</f>
        <v>🎯 Finalizado</v>
      </c>
      <c r="E659" t="s">
        <v>85</v>
      </c>
      <c r="F659" s="601"/>
      <c r="G659" t="str">
        <f>_xlfn.XLOOKUP(A659, Extraídas!A:A, Extraídas!G:G, "")</f>
        <v/>
      </c>
    </row>
    <row r="660" spans="1:7" ht="15" thickBot="1" x14ac:dyDescent="0.35">
      <c r="A660" s="647" t="s">
        <v>752</v>
      </c>
      <c r="B660" s="255" t="str">
        <f t="array" ref="B660">IFERROR(
   IF(INDEX([1]Extraídas!B:B,MATCH(LEFT($A660,6)&amp;"*",[1]Extraídas!A:A,0))="Extraídas",
      "✅ En proceso",
      IF(INDEX([1]Extraídas!B:B,MATCH(LEFT($A660,6)&amp;"*",[1]Extraídas!A:A,0))="Recibidas",
         "⏳ Pendiente","❌ No ingresada")),
   "❌ No ingresada"
)</f>
        <v>✅ En proceso</v>
      </c>
      <c r="C660" s="255" t="str">
        <f t="array" ref="C660">IFERROR(
   IF(INDEX([1]PCRs!B:B,MATCH(LEFT($A660,6)&amp;"*",[1]PCRs!A:A,0))="Positivo",
      "✅ Positivo",
      IF(INDEX([1]PCRs!B:B,MATCH(LEFT($A660,6)&amp;"*",[1]PCRs!A:A,0))="Negativo",
         "❌ Negativo",
         "⏳ No realizado")),
   "⏳ No realizado"
)</f>
        <v>⏳ No realizado</v>
      </c>
      <c r="D660" s="255" t="str">
        <f>IFERROR(
   CHOOSE(
      MATCH(VLOOKUP(LEFT(A707,6)&amp;"*",'Identificación genética'!A:C,2,FALSE),
               {"En proceso";"Finalizado"},0),
      "🔬 En proceso",
      "🎯 Finalizado"
   ),
"❌ NA")</f>
        <v>🎯 Finalizado</v>
      </c>
      <c r="E660" t="s">
        <v>85</v>
      </c>
      <c r="F660" s="130">
        <v>45768</v>
      </c>
      <c r="G660" t="str">
        <f>_xlfn.XLOOKUP(A660, Extraídas!A:A, Extraídas!G:G, "")</f>
        <v>Cianobacterias</v>
      </c>
    </row>
    <row r="661" spans="1:7" ht="15" thickBot="1" x14ac:dyDescent="0.35">
      <c r="A661" s="646" t="s">
        <v>753</v>
      </c>
      <c r="B661" s="255" t="str">
        <f>IFERROR(
   IF(INDEX(Extraídas!B:B,MATCH(LEFT($A661,6)&amp;"*",Extraídas!A:A,0))="Extraídas",
      "✅ En proceso",
      IF(INDEX(Extraídas!B:B,MATCH(LEFT($A661,6)&amp;"*",Extraídas!A:A,0))="Recibidas",
         "⏳ Pendiente","❌ No ingresada")),
   "❌ No ingresada"
)</f>
        <v>✅ En proceso</v>
      </c>
      <c r="C661" s="255" t="str">
        <f t="array" ref="C661">IFERROR(
   IF(INDEX([1]PCRs!B:B,MATCH(LEFT($A661,6)&amp;"*",[1]PCRs!A:A,0))="Positivo",
      "✅ Positivo",
      IF(INDEX([1]PCRs!B:B,MATCH(LEFT($A661,6)&amp;"*",[1]PCRs!A:A,0))="Negativo",
         "❌ Negativo",
         "⏳ No realizado")),
   "⏳ No realizado"
)</f>
        <v>✅ Positivo</v>
      </c>
      <c r="D661" s="255" t="str">
        <f>IFERROR(
   CHOOSE(
      MATCH(VLOOKUP(LEFT(A708,6)&amp;"*",'Identificación genética'!A:C,2,FALSE),
               {"En proceso";"Finalizado"},0),
      "🔬 En proceso",
      "🎯 Finalizado"
   ),
"❌ NA")</f>
        <v>🎯 Finalizado</v>
      </c>
      <c r="E661" t="s">
        <v>85</v>
      </c>
      <c r="F661" s="29">
        <v>45768</v>
      </c>
      <c r="G661" t="str">
        <f>_xlfn.XLOOKUP(A661, Extraídas!A:A, Extraídas!G:G, "")</f>
        <v>Cianobacterias</v>
      </c>
    </row>
    <row r="662" spans="1:7" ht="15" thickBot="1" x14ac:dyDescent="0.35">
      <c r="A662" s="647" t="s">
        <v>754</v>
      </c>
      <c r="B662" s="255" t="str">
        <f>IFERROR(
   IF(INDEX(Extraídas!B:B,MATCH(LEFT($A662,6)&amp;"*",Extraídas!A:A,0))="Extraídas",
      "✅ En proceso",
      IF(INDEX(Extraídas!B:B,MATCH(LEFT($A662,6)&amp;"*",Extraídas!A:A,0))="Recibidas",
         "⏳ Pendiente","❌ No ingresada")),
   "❌ No ingresada"
)</f>
        <v>✅ En proceso</v>
      </c>
      <c r="C662" s="255" t="str">
        <f t="array" ref="C662">IFERROR(
   IF(INDEX([1]PCRs!B:B,MATCH(LEFT($A662,6)&amp;"*",[1]PCRs!A:A,0))="Positivo",
      "✅ Positivo",
      IF(INDEX([1]PCRs!B:B,MATCH(LEFT($A662,6)&amp;"*",[1]PCRs!A:A,0))="Negativo",
         "❌ Negativo",
         "⏳ No realizado")),
   "⏳ No realizado"
)</f>
        <v>✅ Positivo</v>
      </c>
      <c r="D662" s="255" t="str">
        <f>IFERROR(
   CHOOSE(
      MATCH(VLOOKUP(LEFT(A709,6)&amp;"*",'Identificación genética'!A:C,2,FALSE),
               {"En proceso";"Finalizado"},0),
      "🔬 En proceso",
      "🎯 Finalizado"
   ),
"❌ NA")</f>
        <v>🎯 Finalizado</v>
      </c>
      <c r="E662" t="s">
        <v>85</v>
      </c>
      <c r="F662" s="110">
        <v>45933</v>
      </c>
      <c r="G662" t="str">
        <f>_xlfn.XLOOKUP(A662, Extraídas!A:A, Extraídas!G:G, "")</f>
        <v>Microalgas</v>
      </c>
    </row>
    <row r="663" spans="1:7" ht="15" thickBot="1" x14ac:dyDescent="0.35">
      <c r="A663" s="649" t="s">
        <v>755</v>
      </c>
      <c r="B663" s="255" t="str">
        <f>IFERROR(
   IF(INDEX(Extraídas!B:B,MATCH(LEFT($A663,6)&amp;"*",Extraídas!A:A,0))="Extraídas",
      "✅ En proceso",
      IF(INDEX(Extraídas!B:B,MATCH(LEFT($A663,6)&amp;"*",Extraídas!A:A,0))="Recibidas",
         "⏳ Pendiente","❌ No ingresada")),
   "❌ No ingresada"
)</f>
        <v>✅ En proceso</v>
      </c>
      <c r="C663" s="255" t="str">
        <f t="array" ref="C663">IFERROR(
   IF(INDEX([1]PCRs!B:B,MATCH(LEFT($A663,6)&amp;"*",[1]PCRs!A:A,0))="Positivo",
      "✅ Positivo",
      IF(INDEX([1]PCRs!B:B,MATCH(LEFT($A663,6)&amp;"*",[1]PCRs!A:A,0))="Negativo",
         "❌ Negativo",
         "⏳ No realizado")),
   "⏳ No realizado"
)</f>
        <v>✅ Positivo</v>
      </c>
      <c r="D663" s="255" t="str">
        <f>IFERROR(
   CHOOSE(
      MATCH(VLOOKUP(LEFT(A710,6)&amp;"*",'Identificación genética'!A:C,2,FALSE),
               {"En proceso";"Finalizado"},0),
      "🔬 En proceso",
      "🎯 Finalizado"
   ),
"❌ NA")</f>
        <v>🎯 Finalizado</v>
      </c>
      <c r="E663" t="s">
        <v>85</v>
      </c>
      <c r="F663" s="111">
        <v>45733</v>
      </c>
      <c r="G663" t="str">
        <f>_xlfn.XLOOKUP(A663, Extraídas!A:A, Extraídas!G:G, "")</f>
        <v>Cianobacterias</v>
      </c>
    </row>
    <row r="664" spans="1:7" ht="15" thickBot="1" x14ac:dyDescent="0.35">
      <c r="A664" s="558" t="s">
        <v>2274</v>
      </c>
      <c r="B664" t="str">
        <f t="array" ref="B664">IFERROR(
   IF(INDEX([1]Extraídas!B:B,MATCH(LEFT($A664,6)&amp;"*",[1]Extraídas!A:A,0))="Extraídas",
      "✅ En proceso",
      IF(INDEX([1]Extraídas!B:B,MATCH(LEFT($A664,6)&amp;"*",[1]Extraídas!A:A,0))="Recibidas",
         "⏳ Pendiente","❌ No ingresada")),
   "❌ No ingresada"
)</f>
        <v>✅ En proceso</v>
      </c>
      <c r="C664" s="255" t="str">
        <f t="array" ref="C664">IFERROR(
   IF(INDEX([1]PCRs!B:B,MATCH(LEFT($A664,6)&amp;"*",[1]PCRs!A:A,0))="Positivo",
      "✅ Positivo",
      IF(INDEX([1]PCRs!B:B,MATCH(LEFT($A664,6)&amp;"*",[1]PCRs!A:A,0))="Negativo",
         "❌ Negativo",
         "⏳ No realizado")),
   "⏳ No realizado"
)</f>
        <v>❌ Negativo</v>
      </c>
      <c r="D664" s="255" t="str">
        <f>IFERROR(
   CHOOSE(
      MATCH(VLOOKUP(LEFT(A711,6)&amp;"*",'Identificación genética'!A:C,2,FALSE),
               {"En proceso";"Finalizado"},0),
      "🔬 En proceso",
      "🎯 Finalizado"
   ),
"❌ NA")</f>
        <v>🎯 Finalizado</v>
      </c>
      <c r="E664" t="s">
        <v>85</v>
      </c>
      <c r="G664" t="str">
        <f>_xlfn.XLOOKUP(A664, Extraídas!A:A, Extraídas!G:G, "")</f>
        <v/>
      </c>
    </row>
    <row r="665" spans="1:7" ht="15" thickBot="1" x14ac:dyDescent="0.35">
      <c r="A665" s="646" t="s">
        <v>756</v>
      </c>
      <c r="B665" s="255" t="str">
        <f t="array" ref="B665">IFERROR(
   IF(INDEX([1]Extraídas!B:B,MATCH(LEFT($A665,6)&amp;"*",[1]Extraídas!A:A,0))="Extraídas",
      "✅ En proceso",
      IF(INDEX([1]Extraídas!B:B,MATCH(LEFT($A665,6)&amp;"*",[1]Extraídas!A:A,0))="Recibidas",
         "⏳ Pendiente","❌ No ingresada")),
   "❌ No ingresada"
)</f>
        <v>✅ En proceso</v>
      </c>
      <c r="C665" s="255" t="str">
        <f t="array" ref="C665">IFERROR(
   IF(INDEX([1]PCRs!B:B,MATCH(LEFT($A665,6)&amp;"*",[1]PCRs!A:A,0))="Positivo",
      "✅ Positivo",
      IF(INDEX([1]PCRs!B:B,MATCH(LEFT($A665,6)&amp;"*",[1]PCRs!A:A,0))="Negativo",
         "❌ Negativo",
         "⏳ No realizado")),
   "⏳ No realizado"
)</f>
        <v>❌ Negativo</v>
      </c>
      <c r="D665" s="255" t="str">
        <f>IFERROR(
   CHOOSE(
      MATCH(VLOOKUP(LEFT(A712,6)&amp;"*",'Identificación genética'!A:C,2,FALSE),
               {"En proceso";"Finalizado"},0),
      "🔬 En proceso",
      "🎯 Finalizado"
   ),
"❌ NA")</f>
        <v>🎯 Finalizado</v>
      </c>
      <c r="E665" t="s">
        <v>85</v>
      </c>
      <c r="F665" s="29">
        <v>45768</v>
      </c>
      <c r="G665" t="str">
        <f>_xlfn.XLOOKUP(A665, Extraídas!A:A, Extraídas!G:G, "")</f>
        <v>Cianobacterias</v>
      </c>
    </row>
    <row r="666" spans="1:7" ht="15" thickBot="1" x14ac:dyDescent="0.35">
      <c r="A666" s="647" t="s">
        <v>757</v>
      </c>
      <c r="B666" s="255" t="str">
        <f t="array" ref="B666">IFERROR(
   IF(INDEX([1]Extraídas!B:B,MATCH(LEFT($A666,6)&amp;"*",[1]Extraídas!A:A,0))="Extraídas",
      "✅ En proceso",
      IF(INDEX([1]Extraídas!B:B,MATCH(LEFT($A666,6)&amp;"*",[1]Extraídas!A:A,0))="Recibidas",
         "⏳ Pendiente","❌ No ingresada")),
   "❌ No ingresada"
)</f>
        <v>✅ En proceso</v>
      </c>
      <c r="C666" s="255" t="str">
        <f t="array" ref="C666">IFERROR(
   IF(INDEX([1]PCRs!B:B,MATCH(LEFT($A666,6)&amp;"*",[1]PCRs!A:A,0))="Positivo",
      "✅ Positivo",
      IF(INDEX([1]PCRs!B:B,MATCH(LEFT($A666,6)&amp;"*",[1]PCRs!A:A,0))="Negativo",
         "❌ Negativo",
         "⏳ No realizado")),
   "⏳ No realizado"
)</f>
        <v>❌ Negativo</v>
      </c>
      <c r="D666" s="255" t="str">
        <f>IFERROR(
   CHOOSE(
      MATCH(VLOOKUP(LEFT(A713,6)&amp;"*",'Identificación genética'!A:C,2,FALSE),
               {"En proceso";"Finalizado"},0),
      "🔬 En proceso",
      "🎯 Finalizado"
   ),
"❌ NA")</f>
        <v>🎯 Finalizado</v>
      </c>
      <c r="E666" t="s">
        <v>85</v>
      </c>
      <c r="F666" s="29">
        <v>45768</v>
      </c>
      <c r="G666" t="str">
        <f>_xlfn.XLOOKUP(A666, Extraídas!A:A, Extraídas!G:G, "")</f>
        <v>Cianobacterias</v>
      </c>
    </row>
    <row r="667" spans="1:7" ht="15" thickBot="1" x14ac:dyDescent="0.35">
      <c r="A667" s="646" t="s">
        <v>758</v>
      </c>
      <c r="B667" s="255" t="str">
        <f t="array" ref="B667">IFERROR(
   IF(INDEX([1]Extraídas!B:B,MATCH(LEFT($A667,6)&amp;"*",[1]Extraídas!A:A,0))="Extraídas",
      "✅ En proceso",
      IF(INDEX([1]Extraídas!B:B,MATCH(LEFT($A667,6)&amp;"*",[1]Extraídas!A:A,0))="Recibidas",
         "⏳ Pendiente","❌ No ingresada")),
   "❌ No ingresada"
)</f>
        <v>✅ En proceso</v>
      </c>
      <c r="C667" s="255" t="str">
        <f t="array" ref="C667">IFERROR(
   IF(INDEX([1]PCRs!B:B,MATCH(LEFT($A667,6)&amp;"*",[1]PCRs!A:A,0))="Positivo",
      "✅ Positivo",
      IF(INDEX([1]PCRs!B:B,MATCH(LEFT($A667,6)&amp;"*",[1]PCRs!A:A,0))="Negativo",
         "❌ Negativo",
         "⏳ No realizado")),
   "⏳ No realizado"
)</f>
        <v>⏳ No realizado</v>
      </c>
      <c r="D667" s="255" t="str">
        <f>IFERROR(
   CHOOSE(
      MATCH(VLOOKUP(LEFT(A714,6)&amp;"*",'Identificación genética'!A:C,2,FALSE),
               {"En proceso";"Finalizado"},0),
      "🔬 En proceso",
      "🎯 Finalizado"
   ),
"❌ NA")</f>
        <v>🎯 Finalizado</v>
      </c>
      <c r="E667" t="s">
        <v>85</v>
      </c>
      <c r="F667" s="29">
        <v>45768</v>
      </c>
      <c r="G667" t="str">
        <f>_xlfn.XLOOKUP(A667, Extraídas!A:A, Extraídas!G:G, "")</f>
        <v>Cianobacterias</v>
      </c>
    </row>
    <row r="668" spans="1:7" ht="15" thickBot="1" x14ac:dyDescent="0.35">
      <c r="A668" s="647" t="s">
        <v>759</v>
      </c>
      <c r="B668" s="255" t="str">
        <f t="array" ref="B668">IFERROR(
   IF(INDEX([1]Extraídas!B:B,MATCH(LEFT($A668,6)&amp;"*",[1]Extraídas!A:A,0))="Extraídas",
      "✅ En proceso",
      IF(INDEX([1]Extraídas!B:B,MATCH(LEFT($A668,6)&amp;"*",[1]Extraídas!A:A,0))="Recibidas",
         "⏳ Pendiente","❌ No ingresada")),
   "❌ No ingresada"
)</f>
        <v>✅ En proceso</v>
      </c>
      <c r="C668" s="255" t="str">
        <f t="array" ref="C668">IFERROR(
   IF(INDEX([1]PCRs!B:B,MATCH(LEFT($A668,6)&amp;"*",[1]PCRs!A:A,0))="Positivo",
      "✅ Positivo",
      IF(INDEX([1]PCRs!B:B,MATCH(LEFT($A668,6)&amp;"*",[1]PCRs!A:A,0))="Negativo",
         "❌ Negativo",
         "⏳ No realizado")),
   "⏳ No realizado"
)</f>
        <v>⏳ No realizado</v>
      </c>
      <c r="D668" s="255" t="str">
        <f>IFERROR(
   CHOOSE(
      MATCH(VLOOKUP(LEFT(A715,6)&amp;"*",'Identificación genética'!A:C,2,FALSE),
               {"En proceso";"Finalizado"},0),
      "🔬 En proceso",
      "🎯 Finalizado"
   ),
"❌ NA")</f>
        <v>🎯 Finalizado</v>
      </c>
      <c r="E668" t="s">
        <v>85</v>
      </c>
      <c r="F668" s="29">
        <v>45768</v>
      </c>
      <c r="G668" t="str">
        <f>_xlfn.XLOOKUP(A668, Extraídas!A:A, Extraídas!G:G, "")</f>
        <v>Cianobacterias</v>
      </c>
    </row>
    <row r="669" spans="1:7" ht="15" thickBot="1" x14ac:dyDescent="0.35">
      <c r="A669" s="647" t="s">
        <v>760</v>
      </c>
      <c r="B669" s="255" t="str">
        <f>IFERROR(
   IF(INDEX(Extraídas!B:B,MATCH(LEFT($A669,6)&amp;"*",Extraídas!A:A,0))="Extraídas",
      "✅ En proceso",
      IF(INDEX(Extraídas!B:B,MATCH(LEFT($A669,6)&amp;"*",Extraídas!A:A,0))="Recibidas",
         "⏳ Pendiente","❌ No ingresada")),
   "❌ No ingresada"
)</f>
        <v>✅ En proceso</v>
      </c>
      <c r="C669" s="255" t="str">
        <f t="array" ref="C669">IFERROR(
   IF(INDEX([1]PCRs!B:B,MATCH(LEFT($A669,6)&amp;"*",[1]PCRs!A:A,0))="Positivo",
      "✅ Positivo",
      IF(INDEX([1]PCRs!B:B,MATCH(LEFT($A669,6)&amp;"*",[1]PCRs!A:A,0))="Negativo",
         "❌ Negativo",
         "⏳ No realizado")),
   "⏳ No realizado"
)</f>
        <v>✅ Positivo</v>
      </c>
      <c r="D669" s="255" t="str">
        <f>IFERROR(
   CHOOSE(
      MATCH(VLOOKUP(LEFT(A716,6)&amp;"*",'Identificación genética'!A:C,2,FALSE),
               {"En proceso";"Finalizado"},0),
      "🔬 En proceso",
      "🎯 Finalizado"
   ),
"❌ NA")</f>
        <v>🎯 Finalizado</v>
      </c>
      <c r="E669" t="s">
        <v>85</v>
      </c>
      <c r="F669" s="29">
        <v>45768</v>
      </c>
      <c r="G669" t="str">
        <f>_xlfn.XLOOKUP(A669, Extraídas!A:A, Extraídas!G:G, "")</f>
        <v>Cianobacterias</v>
      </c>
    </row>
    <row r="670" spans="1:7" ht="15" thickBot="1" x14ac:dyDescent="0.35">
      <c r="A670" s="648" t="s">
        <v>761</v>
      </c>
      <c r="B670" s="255" t="str">
        <f>IFERROR(
   IF(INDEX(Extraídas!B:B,MATCH(LEFT($A670,6)&amp;"*",Extraídas!A:A,0))="Extraídas",
      "✅ En proceso",
      IF(INDEX(Extraídas!B:B,MATCH(LEFT($A670,6)&amp;"*",Extraídas!A:A,0))="Recibidas",
         "⏳ Pendiente","❌ No ingresada")),
   "❌ No ingresada"
)</f>
        <v>✅ En proceso</v>
      </c>
      <c r="C670" s="255" t="str">
        <f t="array" ref="C670">IFERROR(
   IF(INDEX([1]PCRs!B:B,MATCH(LEFT($A670,6)&amp;"*",[1]PCRs!A:A,0))="Positivo",
      "✅ Positivo",
      IF(INDEX([1]PCRs!B:B,MATCH(LEFT($A670,6)&amp;"*",[1]PCRs!A:A,0))="Negativo",
         "❌ Negativo",
         "⏳ No realizado")),
   "⏳ No realizado"
)</f>
        <v>❌ Negativo</v>
      </c>
      <c r="D670" s="255" t="str">
        <f>IFERROR(
   CHOOSE(
      MATCH(VLOOKUP(LEFT(A717,6)&amp;"*",'Identificación genética'!A:C,2,FALSE),
               {"En proceso";"Finalizado"},0),
      "🔬 En proceso",
      "🎯 Finalizado"
   ),
"❌ NA")</f>
        <v>🎯 Finalizado</v>
      </c>
      <c r="E670" t="s">
        <v>85</v>
      </c>
      <c r="F670" s="111">
        <v>45848</v>
      </c>
      <c r="G670" t="str">
        <f>_xlfn.XLOOKUP(A670, Extraídas!A:A, Extraídas!G:G, "")</f>
        <v>Cianobacterias</v>
      </c>
    </row>
    <row r="671" spans="1:7" ht="15" thickBot="1" x14ac:dyDescent="0.35">
      <c r="A671" s="646" t="s">
        <v>762</v>
      </c>
      <c r="B671" s="255" t="str">
        <f>IFERROR(
   IF(INDEX(Extraídas!B:B,MATCH(LEFT($A671,6)&amp;"*",Extraídas!A:A,0))="Extraídas",
      "✅ En proceso",
      IF(INDEX(Extraídas!B:B,MATCH(LEFT($A671,6)&amp;"*",Extraídas!A:A,0))="Recibidas",
         "⏳ Pendiente","❌ No ingresada")),
   "❌ No ingresada"
)</f>
        <v>✅ En proceso</v>
      </c>
      <c r="C671" s="255" t="str">
        <f t="array" ref="C671">IFERROR(
   IF(INDEX([1]PCRs!B:B,MATCH(LEFT($A671,6)&amp;"*",[1]PCRs!A:A,0))="Positivo",
      "✅ Positivo",
      IF(INDEX([1]PCRs!B:B,MATCH(LEFT($A671,6)&amp;"*",[1]PCRs!A:A,0))="Negativo",
         "❌ Negativo",
         "⏳ No realizado")),
   "⏳ No realizado"
)</f>
        <v>❌ Negativo</v>
      </c>
      <c r="D671" s="255" t="str">
        <f>IFERROR(
   CHOOSE(
      MATCH(VLOOKUP(LEFT(A718,6)&amp;"*",'Identificación genética'!A:C,2,FALSE),
               {"En proceso";"Finalizado"},0),
      "🔬 En proceso",
      "🎯 Finalizado"
   ),
"❌ NA")</f>
        <v>🎯 Finalizado</v>
      </c>
      <c r="E671" t="s">
        <v>85</v>
      </c>
      <c r="F671" s="29">
        <v>45768</v>
      </c>
      <c r="G671" t="str">
        <f>_xlfn.XLOOKUP(A671, Extraídas!A:A, Extraídas!G:G, "")</f>
        <v>Cianobacterias</v>
      </c>
    </row>
    <row r="672" spans="1:7" ht="15" thickBot="1" x14ac:dyDescent="0.35">
      <c r="A672" s="647" t="s">
        <v>763</v>
      </c>
      <c r="B672" s="255" t="str">
        <f>IFERROR(
   IF(INDEX(Extraídas!B:B,MATCH(LEFT($A672,6)&amp;"*",Extraídas!A:A,0))="Extraídas",
      "✅ En proceso",
      IF(INDEX(Extraídas!B:B,MATCH(LEFT($A672,6)&amp;"*",Extraídas!A:A,0))="Recibidas",
         "⏳ Pendiente","❌ No ingresada")),
   "❌ No ingresada"
)</f>
        <v>✅ En proceso</v>
      </c>
      <c r="C672" s="255" t="str">
        <f t="array" ref="C672">IFERROR(
   IF(INDEX([1]PCRs!B:B,MATCH(LEFT($A672,6)&amp;"*",[1]PCRs!A:A,0))="Positivo",
      "✅ Positivo",
      IF(INDEX([1]PCRs!B:B,MATCH(LEFT($A672,6)&amp;"*",[1]PCRs!A:A,0))="Negativo",
         "❌ Negativo",
         "⏳ No realizado")),
   "⏳ No realizado"
)</f>
        <v>❌ Negativo</v>
      </c>
      <c r="D672" s="255" t="str">
        <f>IFERROR(
   CHOOSE(
      MATCH(VLOOKUP(LEFT(A719,6)&amp;"*",'Identificación genética'!A:C,2,FALSE),
               {"En proceso";"Finalizado"},0),
      "🔬 En proceso",
      "🎯 Finalizado"
   ),
"❌ NA")</f>
        <v>🎯 Finalizado</v>
      </c>
      <c r="E672" t="s">
        <v>85</v>
      </c>
      <c r="F672" s="29">
        <v>45768</v>
      </c>
      <c r="G672" t="str">
        <f>_xlfn.XLOOKUP(A672, Extraídas!A:A, Extraídas!G:G, "")</f>
        <v>Cianobacterias</v>
      </c>
    </row>
    <row r="673" spans="1:7" ht="15" thickBot="1" x14ac:dyDescent="0.35">
      <c r="A673" s="646" t="s">
        <v>764</v>
      </c>
      <c r="B673" s="255" t="str">
        <f>IFERROR(
   IF(INDEX(Extraídas!B:B,MATCH(LEFT($A673,6)&amp;"*",Extraídas!A:A,0))="Extraídas",
      "✅ En proceso",
      IF(INDEX(Extraídas!B:B,MATCH(LEFT($A673,6)&amp;"*",Extraídas!A:A,0))="Recibidas",
         "⏳ Pendiente","❌ No ingresada")),
   "❌ No ingresada"
)</f>
        <v>✅ En proceso</v>
      </c>
      <c r="C673" s="255" t="str">
        <f t="array" ref="C673">IFERROR(
   IF(INDEX([1]PCRs!B:B,MATCH(LEFT($A673,6)&amp;"*",[1]PCRs!A:A,0))="Positivo",
      "✅ Positivo",
      IF(INDEX([1]PCRs!B:B,MATCH(LEFT($A673,6)&amp;"*",[1]PCRs!A:A,0))="Negativo",
         "❌ Negativo",
         "⏳ No realizado")),
   "⏳ No realizado"
)</f>
        <v>❌ Negativo</v>
      </c>
      <c r="D673" s="255" t="str">
        <f>IFERROR(
   CHOOSE(
      MATCH(VLOOKUP(LEFT(A720,6)&amp;"*",'Identificación genética'!A:C,2,FALSE),
               {"En proceso";"Finalizado"},0),
      "🔬 En proceso",
      "🎯 Finalizado"
   ),
"❌ NA")</f>
        <v>🎯 Finalizado</v>
      </c>
      <c r="E673" t="s">
        <v>85</v>
      </c>
      <c r="F673" s="29">
        <v>45768</v>
      </c>
      <c r="G673" t="str">
        <f>_xlfn.XLOOKUP(A673, Extraídas!A:A, Extraídas!G:G, "")</f>
        <v>Cianobacterias</v>
      </c>
    </row>
    <row r="674" spans="1:7" ht="15" thickBot="1" x14ac:dyDescent="0.35">
      <c r="A674" s="646" t="s">
        <v>765</v>
      </c>
      <c r="B674" s="255" t="str">
        <f>IFERROR(
   IF(INDEX(Extraídas!B:B,MATCH(LEFT($A674,6)&amp;"*",Extraídas!A:A,0))="Extraídas",
      "✅ En proceso",
      IF(INDEX(Extraídas!B:B,MATCH(LEFT($A674,6)&amp;"*",Extraídas!A:A,0))="Recibidas",
         "⏳ Pendiente","❌ No ingresada")),
   "❌ No ingresada"
)</f>
        <v>✅ En proceso</v>
      </c>
      <c r="C674" s="255" t="str">
        <f t="array" ref="C674">IFERROR(
   IF(INDEX([1]PCRs!B:B,MATCH(LEFT($A674,6)&amp;"*",[1]PCRs!A:A,0))="Positivo",
      "✅ Positivo",
      IF(INDEX([1]PCRs!B:B,MATCH(LEFT($A674,6)&amp;"*",[1]PCRs!A:A,0))="Negativo",
         "❌ Negativo",
         "⏳ No realizado")),
   "⏳ No realizado"
)</f>
        <v>❌ Negativo</v>
      </c>
      <c r="D674" s="255" t="str">
        <f>IFERROR(
   CHOOSE(
      MATCH(VLOOKUP(LEFT(A721,6)&amp;"*",'Identificación genética'!A:C,2,FALSE),
               {"En proceso";"Finalizado"},0),
      "🔬 En proceso",
      "🎯 Finalizado"
   ),
"❌ NA")</f>
        <v>🎯 Finalizado</v>
      </c>
      <c r="E674" t="s">
        <v>85</v>
      </c>
      <c r="F674" s="110">
        <v>45933</v>
      </c>
      <c r="G674" t="str">
        <f>_xlfn.XLOOKUP(A674, Extraídas!A:A, Extraídas!G:G, "")</f>
        <v>Microalgas</v>
      </c>
    </row>
    <row r="675" spans="1:7" ht="15" thickBot="1" x14ac:dyDescent="0.35">
      <c r="A675" s="647" t="s">
        <v>766</v>
      </c>
      <c r="B675" s="255" t="str">
        <f>IFERROR(
   IF(INDEX(Extraídas!B:B,MATCH(LEFT($A675,6)&amp;"*",Extraídas!A:A,0))="Extraídas",
      "✅ En proceso",
      IF(INDEX(Extraídas!B:B,MATCH(LEFT($A675,6)&amp;"*",Extraídas!A:A,0))="Recibidas",
         "⏳ Pendiente","❌ No ingresada")),
   "❌ No ingresada"
)</f>
        <v>✅ En proceso</v>
      </c>
      <c r="C675" s="255" t="str">
        <f t="array" ref="C675">IFERROR(
   IF(INDEX([1]PCRs!B:B,MATCH(LEFT($A675,6)&amp;"*",[1]PCRs!A:A,0))="Positivo",
      "✅ Positivo",
      IF(INDEX([1]PCRs!B:B,MATCH(LEFT($A675,6)&amp;"*",[1]PCRs!A:A,0))="Negativo",
         "❌ Negativo",
         "⏳ No realizado")),
   "⏳ No realizado"
)</f>
        <v>❌ Negativo</v>
      </c>
      <c r="D675" s="255" t="str">
        <f>IFERROR(
   CHOOSE(
      MATCH(VLOOKUP(LEFT(A722,6)&amp;"*",'Identificación genética'!A:C,2,FALSE),
               {"En proceso";"Finalizado"},0),
      "🔬 En proceso",
      "🎯 Finalizado"
   ),
"❌ NA")</f>
        <v>🎯 Finalizado</v>
      </c>
      <c r="E675" t="s">
        <v>85</v>
      </c>
      <c r="F675" s="29">
        <v>45768</v>
      </c>
      <c r="G675" t="str">
        <f>_xlfn.XLOOKUP(A675, Extraídas!A:A, Extraídas!G:G, "")</f>
        <v>Cianobacterias</v>
      </c>
    </row>
    <row r="676" spans="1:7" ht="15" thickBot="1" x14ac:dyDescent="0.35">
      <c r="A676" s="649" t="s">
        <v>767</v>
      </c>
      <c r="B676" s="255" t="str">
        <f>IFERROR(
   IF(INDEX(Extraídas!B:B,MATCH(LEFT($A676,6)&amp;"*",Extraídas!A:A,0))="Extraídas",
      "✅ En proceso",
      IF(INDEX(Extraídas!B:B,MATCH(LEFT($A676,6)&amp;"*",Extraídas!A:A,0))="Recibidas",
         "⏳ Pendiente","❌ No ingresada")),
   "❌ No ingresada"
)</f>
        <v>✅ En proceso</v>
      </c>
      <c r="C676" s="255" t="str">
        <f t="array" ref="C676">IFERROR(
   IF(INDEX([1]PCRs!B:B,MATCH(LEFT($A676,6)&amp;"*",[1]PCRs!A:A,0))="Positivo",
      "✅ Positivo",
      IF(INDEX([1]PCRs!B:B,MATCH(LEFT($A676,6)&amp;"*",[1]PCRs!A:A,0))="Negativo",
         "❌ Negativo",
         "⏳ No realizado")),
   "⏳ No realizado"
)</f>
        <v>❌ Negativo</v>
      </c>
      <c r="D676" s="255" t="str">
        <f>IFERROR(
   CHOOSE(
      MATCH(VLOOKUP(LEFT(A723,6)&amp;"*",'Identificación genética'!A:C,2,FALSE),
               {"En proceso";"Finalizado"},0),
      "🔬 En proceso",
      "🎯 Finalizado"
   ),
"❌ NA")</f>
        <v>🎯 Finalizado</v>
      </c>
      <c r="E676" t="s">
        <v>85</v>
      </c>
      <c r="F676" s="29">
        <v>45772</v>
      </c>
      <c r="G676" t="str">
        <f>_xlfn.XLOOKUP(A676, Extraídas!A:A, Extraídas!G:G, "")</f>
        <v>Cianobacterias</v>
      </c>
    </row>
    <row r="677" spans="1:7" ht="15" thickBot="1" x14ac:dyDescent="0.35">
      <c r="A677" s="647" t="s">
        <v>768</v>
      </c>
      <c r="B677" s="255" t="str">
        <f>IFERROR(
   IF(INDEX(Extraídas!B:B,MATCH(LEFT($A677,6)&amp;"*",Extraídas!A:A,0))="Extraídas",
      "✅ En proceso",
      IF(INDEX(Extraídas!B:B,MATCH(LEFT($A677,6)&amp;"*",Extraídas!A:A,0))="Recibidas",
         "⏳ Pendiente","❌ No ingresada")),
   "❌ No ingresada"
)</f>
        <v>✅ En proceso</v>
      </c>
      <c r="C677" s="255" t="str">
        <f t="array" ref="C677">IFERROR(
   IF(INDEX([1]PCRs!B:B,MATCH(LEFT($A677,6)&amp;"*",[1]PCRs!A:A,0))="Positivo",
      "✅ Positivo",
      IF(INDEX([1]PCRs!B:B,MATCH(LEFT($A677,6)&amp;"*",[1]PCRs!A:A,0))="Negativo",
         "❌ Negativo",
         "⏳ No realizado")),
   "⏳ No realizado"
)</f>
        <v>❌ Negativo</v>
      </c>
      <c r="D677" s="255" t="str">
        <f>IFERROR(
   CHOOSE(
      MATCH(VLOOKUP(LEFT(A724,6)&amp;"*",'Identificación genética'!A:C,2,FALSE),
               {"En proceso";"Finalizado"},0),
      "🔬 En proceso",
      "🎯 Finalizado"
   ),
"❌ NA")</f>
        <v>🎯 Finalizado</v>
      </c>
      <c r="E677" t="s">
        <v>85</v>
      </c>
      <c r="F677" s="583">
        <v>45925</v>
      </c>
      <c r="G677" t="str">
        <f>_xlfn.XLOOKUP(A677, Extraídas!A:A, Extraídas!G:G, "")</f>
        <v>Microalgas</v>
      </c>
    </row>
    <row r="678" spans="1:7" ht="15" thickBot="1" x14ac:dyDescent="0.35">
      <c r="A678" s="561" t="s">
        <v>2230</v>
      </c>
      <c r="B678" s="255" t="str">
        <f>IFERROR(
   IF(INDEX(Extraídas!B:B,MATCH(LEFT($A678,6)&amp;"*",Extraídas!A:A,0))="Extraídas",
      "✅ En proceso",
      IF(INDEX(Extraídas!B:B,MATCH(LEFT($A678,6)&amp;"*",Extraídas!A:A,0))="Recibidas",
         "⏳ Pendiente","❌ No ingresada")),
   "❌ No ingresada"
)</f>
        <v>✅ En proceso</v>
      </c>
      <c r="C678" s="255" t="str">
        <f t="array" ref="C678">IFERROR(
   IF(INDEX([1]PCRs!B:B,MATCH(LEFT($A678,6)&amp;"*",[1]PCRs!A:A,0))="Positivo",
      "✅ Positivo",
      IF(INDEX([1]PCRs!B:B,MATCH(LEFT($A678,6)&amp;"*",[1]PCRs!A:A,0))="Negativo",
         "❌ Negativo",
         "⏳ No realizado")),
   "⏳ No realizado"
)</f>
        <v>✅ Positivo</v>
      </c>
      <c r="D678" s="255" t="str">
        <f>IFERROR(
   CHOOSE(
      MATCH(VLOOKUP(LEFT(A725,6)&amp;"*",'Identificación genética'!A:C,2,FALSE),
               {"En proceso";"Finalizado"},0),
      "🔬 En proceso",
      "🎯 Finalizado"
   ),
"❌ NA")</f>
        <v>🎯 Finalizado</v>
      </c>
      <c r="E678" t="s">
        <v>85</v>
      </c>
      <c r="G678" t="str">
        <f>_xlfn.XLOOKUP(A678, Extraídas!A:A, Extraídas!G:G, "")</f>
        <v/>
      </c>
    </row>
    <row r="679" spans="1:7" ht="15" thickBot="1" x14ac:dyDescent="0.35">
      <c r="A679" s="650" t="s">
        <v>769</v>
      </c>
      <c r="B679" s="255" t="str">
        <f>IFERROR(
   IF(INDEX(Extraídas!B:B,MATCH(LEFT($A679,6)&amp;"*",Extraídas!A:A,0))="Extraídas",
      "✅ En proceso",
      IF(INDEX(Extraídas!B:B,MATCH(LEFT($A679,6)&amp;"*",Extraídas!A:A,0))="Recibidas",
         "⏳ Pendiente","❌ No ingresada")),
   "❌ No ingresada"
)</f>
        <v>✅ En proceso</v>
      </c>
      <c r="C679" s="255" t="str">
        <f t="array" ref="C679">IFERROR(
   IF(INDEX([1]PCRs!B:B,MATCH(LEFT($A679,6)&amp;"*",[1]PCRs!A:A,0))="Positivo",
      "✅ Positivo",
      IF(INDEX([1]PCRs!B:B,MATCH(LEFT($A679,6)&amp;"*",[1]PCRs!A:A,0))="Negativo",
         "❌ Negativo",
         "⏳ No realizado")),
   "⏳ No realizado"
)</f>
        <v>✅ Positivo</v>
      </c>
      <c r="D679" s="255" t="str">
        <f>IFERROR(
   CHOOSE(
      MATCH(VLOOKUP(LEFT(A726,6)&amp;"*",'Identificación genética'!A:C,2,FALSE),
               {"En proceso";"Finalizado"},0),
      "🔬 En proceso",
      "🎯 Finalizado"
   ),
"❌ NA")</f>
        <v>🎯 Finalizado</v>
      </c>
      <c r="E679" t="s">
        <v>85</v>
      </c>
      <c r="F679" s="579">
        <v>45817</v>
      </c>
      <c r="G679" t="str">
        <f>_xlfn.XLOOKUP(A679, Extraídas!A:A, Extraídas!G:G, "")</f>
        <v>Cianobacterias</v>
      </c>
    </row>
    <row r="680" spans="1:7" ht="15" thickBot="1" x14ac:dyDescent="0.35">
      <c r="A680" s="649" t="s">
        <v>770</v>
      </c>
      <c r="B680" s="255" t="str">
        <f>IFERROR(
   IF(INDEX(Extraídas!B:B,MATCH(LEFT($A680,6)&amp;"*",Extraídas!A:A,0))="Extraídas",
      "✅ En proceso",
      IF(INDEX(Extraídas!B:B,MATCH(LEFT($A680,6)&amp;"*",Extraídas!A:A,0))="Recibidas",
         "⏳ Pendiente","❌ No ingresada")),
   "❌ No ingresada"
)</f>
        <v>✅ En proceso</v>
      </c>
      <c r="C680" s="255" t="str">
        <f t="array" ref="C680">IFERROR(
   IF(INDEX([1]PCRs!B:B,MATCH(LEFT($A680,6)&amp;"*",[1]PCRs!A:A,0))="Positivo",
      "✅ Positivo",
      IF(INDEX([1]PCRs!B:B,MATCH(LEFT($A680,6)&amp;"*",[1]PCRs!A:A,0))="Negativo",
         "❌ Negativo",
         "⏳ No realizado")),
   "⏳ No realizado"
)</f>
        <v>✅ Positivo</v>
      </c>
      <c r="D680" s="255" t="str">
        <f>IFERROR(
   CHOOSE(
      MATCH(VLOOKUP(LEFT(A727,6)&amp;"*",'Identificación genética'!A:C,2,FALSE),
               {"En proceso";"Finalizado"},0),
      "🔬 En proceso",
      "🎯 Finalizado"
   ),
"❌ NA")</f>
        <v>🎯 Finalizado</v>
      </c>
      <c r="E680" t="s">
        <v>85</v>
      </c>
      <c r="F680" s="191">
        <v>45772</v>
      </c>
      <c r="G680" t="str">
        <f>_xlfn.XLOOKUP(A680, Extraídas!A:A, Extraídas!G:G, "")</f>
        <v>Cianobacterias</v>
      </c>
    </row>
    <row r="681" spans="1:7" ht="15" thickBot="1" x14ac:dyDescent="0.35">
      <c r="A681" s="647" t="s">
        <v>771</v>
      </c>
      <c r="B681" s="255" t="str">
        <f>IFERROR(
   IF(INDEX(Extraídas!B:B,MATCH(LEFT($A681,6)&amp;"*",Extraídas!A:A,0))="Extraídas",
      "✅ En proceso",
      IF(INDEX(Extraídas!B:B,MATCH(LEFT($A681,6)&amp;"*",Extraídas!A:A,0))="Recibidas",
         "⏳ Pendiente","❌ No ingresada")),
   "❌ No ingresada"
)</f>
        <v>✅ En proceso</v>
      </c>
      <c r="C681" s="255" t="str">
        <f t="array" ref="C681">IFERROR(
   IF(INDEX([1]PCRs!B:B,MATCH(LEFT($A681,6)&amp;"*",[1]PCRs!A:A,0))="Positivo",
      "✅ Positivo",
      IF(INDEX([1]PCRs!B:B,MATCH(LEFT($A681,6)&amp;"*",[1]PCRs!A:A,0))="Negativo",
         "❌ Negativo",
         "⏳ No realizado")),
   "⏳ No realizado"
)</f>
        <v>✅ Positivo</v>
      </c>
      <c r="D681" s="255" t="str">
        <f>IFERROR(
   CHOOSE(
      MATCH(VLOOKUP(LEFT(A728,6)&amp;"*",'Identificación genética'!A:C,2,FALSE),
               {"En proceso";"Finalizado"},0),
      "🔬 En proceso",
      "🎯 Finalizado"
   ),
"❌ NA")</f>
        <v>🎯 Finalizado</v>
      </c>
      <c r="E681" t="s">
        <v>85</v>
      </c>
      <c r="F681" s="192">
        <v>45925</v>
      </c>
      <c r="G681" t="str">
        <f>_xlfn.XLOOKUP(A681, Extraídas!A:A, Extraídas!G:G, "")</f>
        <v>Microalgas</v>
      </c>
    </row>
    <row r="682" spans="1:7" ht="15" thickBot="1" x14ac:dyDescent="0.35">
      <c r="A682" s="555" t="s">
        <v>2253</v>
      </c>
      <c r="B682" s="255" t="str">
        <f>IFERROR(
   IF(INDEX(Extraídas!B:B,MATCH(LEFT($A682,6)&amp;"*",Extraídas!A:A,0))="Extraídas",
      "✅ En proceso",
      IF(INDEX(Extraídas!B:B,MATCH(LEFT($A682,6)&amp;"*",Extraídas!A:A,0))="Recibidas",
         "⏳ Pendiente","❌ No ingresada")),
   "❌ No ingresada"
)</f>
        <v>✅ En proceso</v>
      </c>
      <c r="C682" s="255" t="str">
        <f t="array" ref="C682">IFERROR(
   IF(INDEX([1]PCRs!B:B,MATCH(LEFT($A682,6)&amp;"*",[1]PCRs!A:A,0))="Positivo",
      "✅ Positivo",
      IF(INDEX([1]PCRs!B:B,MATCH(LEFT($A682,6)&amp;"*",[1]PCRs!A:A,0))="Negativo",
         "❌ Negativo",
         "⏳ No realizado")),
   "⏳ No realizado"
)</f>
        <v>✅ Positivo</v>
      </c>
      <c r="D682" s="255" t="str">
        <f>IFERROR(
   CHOOSE(
      MATCH(VLOOKUP(LEFT(A729,6)&amp;"*",'Identificación genética'!A:C,2,FALSE),
               {"En proceso";"Finalizado"},0),
      "🔬 En proceso",
      "🎯 Finalizado"
   ),
"❌ NA")</f>
        <v>🎯 Finalizado</v>
      </c>
      <c r="E682" t="s">
        <v>85</v>
      </c>
      <c r="F682" s="577"/>
      <c r="G682" t="str">
        <f>_xlfn.XLOOKUP(A682, Extraídas!A:A, Extraídas!G:G, "")</f>
        <v/>
      </c>
    </row>
    <row r="683" spans="1:7" ht="15" thickBot="1" x14ac:dyDescent="0.35">
      <c r="A683" s="649" t="s">
        <v>772</v>
      </c>
      <c r="B683" s="255" t="str">
        <f>IFERROR(
   IF(INDEX(Extraídas!B:B,MATCH(LEFT($A683,6)&amp;"*",Extraídas!A:A,0))="Extraídas",
      "✅ En proceso",
      IF(INDEX(Extraídas!B:B,MATCH(LEFT($A683,6)&amp;"*",Extraídas!A:A,0))="Recibidas",
         "⏳ Pendiente","❌ No ingresada")),
   "❌ No ingresada"
)</f>
        <v>✅ En proceso</v>
      </c>
      <c r="C683" s="255" t="str">
        <f t="array" ref="C683">IFERROR(
   IF(INDEX([1]PCRs!B:B,MATCH(LEFT($A683,6)&amp;"*",[1]PCRs!A:A,0))="Positivo",
      "✅ Positivo",
      IF(INDEX([1]PCRs!B:B,MATCH(LEFT($A683,6)&amp;"*",[1]PCRs!A:A,0))="Negativo",
         "❌ Negativo",
         "⏳ No realizado")),
   "⏳ No realizado"
)</f>
        <v>✅ Positivo</v>
      </c>
      <c r="D683" s="255" t="str">
        <f>IFERROR(
   CHOOSE(
      MATCH(VLOOKUP(LEFT(A730,6)&amp;"*",'Identificación genética'!A:C,2,FALSE),
               {"En proceso";"Finalizado"},0),
      "🔬 En proceso",
      "🎯 Finalizado"
   ),
"❌ NA")</f>
        <v>🎯 Finalizado</v>
      </c>
      <c r="E683" t="s">
        <v>85</v>
      </c>
      <c r="F683" s="581">
        <v>45772</v>
      </c>
      <c r="G683" t="str">
        <f>_xlfn.XLOOKUP(A683, Extraídas!A:A, Extraídas!G:G, "")</f>
        <v>Cianobacterias</v>
      </c>
    </row>
    <row r="684" spans="1:7" ht="15" thickBot="1" x14ac:dyDescent="0.35">
      <c r="A684" s="647" t="s">
        <v>773</v>
      </c>
      <c r="B684" s="255" t="str">
        <f>IFERROR(
   IF(INDEX(Extraídas!B:B,MATCH(LEFT($A684,6)&amp;"*",Extraídas!A:A,0))="Extraídas",
      "✅ En proceso",
      IF(INDEX(Extraídas!B:B,MATCH(LEFT($A684,6)&amp;"*",Extraídas!A:A,0))="Recibidas",
         "⏳ Pendiente","❌ No ingresada")),
   "❌ No ingresada"
)</f>
        <v>✅ En proceso</v>
      </c>
      <c r="C684" s="255" t="str">
        <f t="array" ref="C684">IFERROR(
   IF(INDEX([1]PCRs!B:B,MATCH(LEFT($A684,6)&amp;"*",[1]PCRs!A:A,0))="Positivo",
      "✅ Positivo",
      IF(INDEX([1]PCRs!B:B,MATCH(LEFT($A684,6)&amp;"*",[1]PCRs!A:A,0))="Negativo",
         "❌ Negativo",
         "⏳ No realizado")),
   "⏳ No realizado"
)</f>
        <v>✅ Positivo</v>
      </c>
      <c r="D684" s="255" t="str">
        <f>IFERROR(
   CHOOSE(
      MATCH(VLOOKUP(LEFT(A731,6)&amp;"*",'Identificación genética'!A:C,2,FALSE),
               {"En proceso";"Finalizado"},0),
      "🔬 En proceso",
      "🎯 Finalizado"
   ),
"❌ NA")</f>
        <v>🎯 Finalizado</v>
      </c>
      <c r="E684" t="s">
        <v>85</v>
      </c>
      <c r="F684" s="578">
        <v>45925</v>
      </c>
      <c r="G684" t="str">
        <f>_xlfn.XLOOKUP(A684, Extraídas!A:A, Extraídas!G:G, "")</f>
        <v>Microalgas</v>
      </c>
    </row>
    <row r="685" spans="1:7" ht="15" thickBot="1" x14ac:dyDescent="0.35">
      <c r="A685" s="649" t="s">
        <v>774</v>
      </c>
      <c r="B685" s="255" t="str">
        <f>IFERROR(
   IF(INDEX(Extraídas!B:B,MATCH(LEFT($A685,6)&amp;"*",Extraídas!A:A,0))="Extraídas",
      "✅ En proceso",
      IF(INDEX(Extraídas!B:B,MATCH(LEFT($A685,6)&amp;"*",Extraídas!A:A,0))="Recibidas",
         "⏳ Pendiente","❌ No ingresada")),
   "❌ No ingresada"
)</f>
        <v>⏳ Pendiente</v>
      </c>
      <c r="C685" s="255" t="str">
        <f t="array" ref="C685">IFERROR(
   IF(INDEX([1]PCRs!B:B,MATCH(LEFT($A685,6)&amp;"*",[1]PCRs!A:A,0))="Positivo",
      "✅ Positivo",
      IF(INDEX([1]PCRs!B:B,MATCH(LEFT($A685,6)&amp;"*",[1]PCRs!A:A,0))="Negativo",
         "❌ Negativo",
         "⏳ No realizado")),
   "⏳ No realizado"
)</f>
        <v>✅ Positivo</v>
      </c>
      <c r="D685" s="255" t="str">
        <f>IFERROR(
   CHOOSE(
      MATCH(VLOOKUP(LEFT(A732,6)&amp;"*",'Identificación genética'!A:C,2,FALSE),
               {"En proceso";"Finalizado"},0),
      "🔬 En proceso",
      "🎯 Finalizado"
   ),
"❌ NA")</f>
        <v>🎯 Finalizado</v>
      </c>
      <c r="E685" t="s">
        <v>85</v>
      </c>
      <c r="F685" s="587">
        <v>45772</v>
      </c>
      <c r="G685" t="str">
        <f>_xlfn.XLOOKUP(A685, Extraídas!A:A, Extraídas!G:G, "")</f>
        <v>Cianobacterias</v>
      </c>
    </row>
    <row r="686" spans="1:7" ht="15" thickBot="1" x14ac:dyDescent="0.35">
      <c r="A686" s="647" t="s">
        <v>775</v>
      </c>
      <c r="B686" s="255" t="str">
        <f>IFERROR(
   IF(INDEX(Extraídas!B:B,MATCH(LEFT($A686,6)&amp;"*",Extraídas!A:A,0))="Extraídas",
      "✅ En proceso",
      IF(INDEX(Extraídas!B:B,MATCH(LEFT($A686,6)&amp;"*",Extraídas!A:A,0))="Recibidas",
         "⏳ Pendiente","❌ No ingresada")),
   "❌ No ingresada"
)</f>
        <v>⏳ Pendiente</v>
      </c>
      <c r="C686" s="255" t="str">
        <f t="array" ref="C686">IFERROR(
   IF(INDEX([1]PCRs!B:B,MATCH(LEFT($A686,6)&amp;"*",[1]PCRs!A:A,0))="Positivo",
      "✅ Positivo",
      IF(INDEX([1]PCRs!B:B,MATCH(LEFT($A686,6)&amp;"*",[1]PCRs!A:A,0))="Negativo",
         "❌ Negativo",
         "⏳ No realizado")),
   "⏳ No realizado"
)</f>
        <v>✅ Positivo</v>
      </c>
      <c r="D686" s="255" t="str">
        <f>IFERROR(
   CHOOSE(
      MATCH(VLOOKUP(LEFT(A733,6)&amp;"*",'Identificación genética'!A:C,2,FALSE),
               {"En proceso";"Finalizado"},0),
      "🔬 En proceso",
      "🎯 Finalizado"
   ),
"❌ NA")</f>
        <v>🎯 Finalizado</v>
      </c>
      <c r="E686" t="s">
        <v>85</v>
      </c>
      <c r="F686" s="578">
        <v>45925</v>
      </c>
      <c r="G686" t="str">
        <f>_xlfn.XLOOKUP(A686, Extraídas!A:A, Extraídas!G:G, "")</f>
        <v>Microalgas</v>
      </c>
    </row>
    <row r="687" spans="1:7" ht="15" thickBot="1" x14ac:dyDescent="0.35">
      <c r="A687" s="649" t="s">
        <v>776</v>
      </c>
      <c r="B687" s="255" t="str">
        <f>IFERROR(
   IF(INDEX(Extraídas!B:B,MATCH(LEFT($A687,6)&amp;"*",Extraídas!A:A,0))="Extraídas",
      "✅ En proceso",
      IF(INDEX(Extraídas!B:B,MATCH(LEFT($A687,6)&amp;"*",Extraídas!A:A,0))="Recibidas",
         "⏳ Pendiente","❌ No ingresada")),
   "❌ No ingresada"
)</f>
        <v>⏳ Pendiente</v>
      </c>
      <c r="C687" s="255" t="str">
        <f t="array" ref="C687">IFERROR(
   IF(INDEX([1]PCRs!B:B,MATCH(LEFT($A687,6)&amp;"*",[1]PCRs!A:A,0))="Positivo",
      "✅ Positivo",
      IF(INDEX([1]PCRs!B:B,MATCH(LEFT($A687,6)&amp;"*",[1]PCRs!A:A,0))="Negativo",
         "❌ Negativo",
         "⏳ No realizado")),
   "⏳ No realizado"
)</f>
        <v>✅ Positivo</v>
      </c>
      <c r="D687" s="255" t="str">
        <f>IFERROR(
   CHOOSE(
      MATCH(VLOOKUP(LEFT(A734,6)&amp;"*",'Identificación genética'!A:C,2,FALSE),
               {"En proceso";"Finalizado"},0),
      "🔬 En proceso",
      "🎯 Finalizado"
   ),
"❌ NA")</f>
        <v>🎯 Finalizado</v>
      </c>
      <c r="E687" t="s">
        <v>85</v>
      </c>
      <c r="F687" s="587">
        <v>45772</v>
      </c>
      <c r="G687" t="str">
        <f>_xlfn.XLOOKUP(A687, Extraídas!A:A, Extraídas!G:G, "")</f>
        <v>Cianobacterias</v>
      </c>
    </row>
    <row r="688" spans="1:7" ht="15" thickBot="1" x14ac:dyDescent="0.35">
      <c r="A688" s="647" t="s">
        <v>777</v>
      </c>
      <c r="B688" s="255" t="str">
        <f>IFERROR(
   IF(INDEX(Extraídas!B:B,MATCH(LEFT($A688,6)&amp;"*",Extraídas!A:A,0))="Extraídas",
      "✅ En proceso",
      IF(INDEX(Extraídas!B:B,MATCH(LEFT($A688,6)&amp;"*",Extraídas!A:A,0))="Recibidas",
         "⏳ Pendiente","❌ No ingresada")),
   "❌ No ingresada"
)</f>
        <v>⏳ Pendiente</v>
      </c>
      <c r="C688" s="255" t="str">
        <f t="array" ref="C688">IFERROR(
   IF(INDEX([1]PCRs!B:B,MATCH(LEFT($A688,6)&amp;"*",[1]PCRs!A:A,0))="Positivo",
      "✅ Positivo",
      IF(INDEX([1]PCRs!B:B,MATCH(LEFT($A688,6)&amp;"*",[1]PCRs!A:A,0))="Negativo",
         "❌ Negativo",
         "⏳ No realizado")),
   "⏳ No realizado"
)</f>
        <v>✅ Positivo</v>
      </c>
      <c r="D688" s="255" t="str">
        <f>IFERROR(
   CHOOSE(
      MATCH(VLOOKUP(LEFT(A735,6)&amp;"*",'Identificación genética'!A:C,2,FALSE),
               {"En proceso";"Finalizado"},0),
      "🔬 En proceso",
      "🎯 Finalizado"
   ),
"❌ NA")</f>
        <v>🎯 Finalizado</v>
      </c>
      <c r="E688" t="s">
        <v>85</v>
      </c>
      <c r="F688" s="578">
        <v>45925</v>
      </c>
      <c r="G688" t="str">
        <f>_xlfn.XLOOKUP(A688, Extraídas!A:A, Extraídas!G:G, "")</f>
        <v>Microalgas</v>
      </c>
    </row>
    <row r="689" spans="1:7" ht="15" thickBot="1" x14ac:dyDescent="0.35">
      <c r="A689" s="649" t="s">
        <v>778</v>
      </c>
      <c r="B689" s="255" t="str">
        <f>IFERROR(
   IF(INDEX(Extraídas!B:B,MATCH(LEFT($A689,6)&amp;"*",Extraídas!A:A,0))="Extraídas",
      "✅ En proceso",
      IF(INDEX(Extraídas!B:B,MATCH(LEFT($A689,6)&amp;"*",Extraídas!A:A,0))="Recibidas",
         "⏳ Pendiente","❌ No ingresada")),
   "❌ No ingresada"
)</f>
        <v>⏳ Pendiente</v>
      </c>
      <c r="C689" s="255" t="str">
        <f t="array" ref="C689">IFERROR(
   IF(INDEX([1]PCRs!B:B,MATCH(LEFT($A689,6)&amp;"*",[1]PCRs!A:A,0))="Positivo",
      "✅ Positivo",
      IF(INDEX([1]PCRs!B:B,MATCH(LEFT($A689,6)&amp;"*",[1]PCRs!A:A,0))="Negativo",
         "❌ Negativo",
         "⏳ No realizado")),
   "⏳ No realizado"
)</f>
        <v>✅ Positivo</v>
      </c>
      <c r="D689" s="255" t="str">
        <f>IFERROR(
   CHOOSE(
      MATCH(VLOOKUP(LEFT(A736,6)&amp;"*",'Identificación genética'!A:C,2,FALSE),
               {"En proceso";"Finalizado"},0),
      "🔬 En proceso",
      "🎯 Finalizado"
   ),
"❌ NA")</f>
        <v>🎯 Finalizado</v>
      </c>
      <c r="E689" t="s">
        <v>85</v>
      </c>
      <c r="F689" s="581">
        <v>45772</v>
      </c>
      <c r="G689" t="str">
        <f>_xlfn.XLOOKUP(A689, Extraídas!A:A, Extraídas!G:G, "")</f>
        <v>Cianobacterias</v>
      </c>
    </row>
    <row r="690" spans="1:7" ht="15" thickBot="1" x14ac:dyDescent="0.35">
      <c r="A690" s="647" t="s">
        <v>779</v>
      </c>
      <c r="B690" s="255" t="str">
        <f>IFERROR(
   IF(INDEX(Extraídas!B:B,MATCH(LEFT($A690,6)&amp;"*",Extraídas!A:A,0))="Extraídas",
      "✅ En proceso",
      IF(INDEX(Extraídas!B:B,MATCH(LEFT($A690,6)&amp;"*",Extraídas!A:A,0))="Recibidas",
         "⏳ Pendiente","❌ No ingresada")),
   "❌ No ingresada"
)</f>
        <v>⏳ Pendiente</v>
      </c>
      <c r="C690" s="255" t="str">
        <f t="array" ref="C690">IFERROR(
   IF(INDEX([1]PCRs!B:B,MATCH(LEFT($A690,6)&amp;"*",[1]PCRs!A:A,0))="Positivo",
      "✅ Positivo",
      IF(INDEX([1]PCRs!B:B,MATCH(LEFT($A690,6)&amp;"*",[1]PCRs!A:A,0))="Negativo",
         "❌ Negativo",
         "⏳ No realizado")),
   "⏳ No realizado"
)</f>
        <v>✅ Positivo</v>
      </c>
      <c r="D690" s="255" t="str">
        <f>IFERROR(
   CHOOSE(
      MATCH(VLOOKUP(LEFT(A737,6)&amp;"*",'Identificación genética'!A:C,2,FALSE),
               {"En proceso";"Finalizado"},0),
      "🔬 En proceso",
      "🎯 Finalizado"
   ),
"❌ NA")</f>
        <v>🎯 Finalizado</v>
      </c>
      <c r="E690" t="s">
        <v>85</v>
      </c>
      <c r="F690" s="598">
        <v>45925</v>
      </c>
      <c r="G690" t="str">
        <f>_xlfn.XLOOKUP(A690, Extraídas!A:A, Extraídas!G:G, "")</f>
        <v>Microalgas</v>
      </c>
    </row>
    <row r="691" spans="1:7" ht="15" thickBot="1" x14ac:dyDescent="0.35">
      <c r="A691" s="561" t="s">
        <v>2231</v>
      </c>
      <c r="B691" s="255" t="str">
        <f>IFERROR(
   IF(INDEX(Extraídas!B:B,MATCH(LEFT($A691,6)&amp;"*",Extraídas!A:A,0))="Extraídas",
      "✅ En proceso",
      IF(INDEX(Extraídas!B:B,MATCH(LEFT($A691,6)&amp;"*",Extraídas!A:A,0))="Recibidas",
         "⏳ Pendiente","❌ No ingresada")),
   "❌ No ingresada"
)</f>
        <v>⏳ Pendiente</v>
      </c>
      <c r="C691" s="255" t="str">
        <f t="array" ref="C691">IFERROR(
   IF(INDEX([1]PCRs!B:B,MATCH(LEFT($A691,6)&amp;"*",[1]PCRs!A:A,0))="Positivo",
      "✅ Positivo",
      IF(INDEX([1]PCRs!B:B,MATCH(LEFT($A691,6)&amp;"*",[1]PCRs!A:A,0))="Negativo",
         "❌ Negativo",
         "⏳ No realizado")),
   "⏳ No realizado"
)</f>
        <v>✅ Positivo</v>
      </c>
      <c r="D691" s="255" t="str">
        <f>IFERROR(
   CHOOSE(
      MATCH(VLOOKUP(LEFT(A738,6)&amp;"*",'Identificación genética'!A:C,2,FALSE),
               {"En proceso";"Finalizado"},0),
      "🔬 En proceso",
      "🎯 Finalizado"
   ),
"❌ NA")</f>
        <v>🎯 Finalizado</v>
      </c>
      <c r="E691" t="s">
        <v>85</v>
      </c>
      <c r="G691" t="str">
        <f>_xlfn.XLOOKUP(A691, Extraídas!A:A, Extraídas!G:G, "")</f>
        <v/>
      </c>
    </row>
    <row r="692" spans="1:7" ht="15" thickBot="1" x14ac:dyDescent="0.35">
      <c r="A692" s="647" t="s">
        <v>780</v>
      </c>
      <c r="B692" s="255" t="str">
        <f>IFERROR(
   IF(INDEX(Extraídas!B:B,MATCH(LEFT($A692,6)&amp;"*",Extraídas!A:A,0))="Extraídas",
      "✅ En proceso",
      IF(INDEX(Extraídas!B:B,MATCH(LEFT($A692,6)&amp;"*",Extraídas!A:A,0))="Recibidas",
         "⏳ Pendiente","❌ No ingresada")),
   "❌ No ingresada"
)</f>
        <v>⏳ Pendiente</v>
      </c>
      <c r="C692" s="255" t="str">
        <f t="array" ref="C692">IFERROR(
   IF(INDEX([1]PCRs!B:B,MATCH(LEFT($A692,6)&amp;"*",[1]PCRs!A:A,0))="Positivo",
      "✅ Positivo",
      IF(INDEX([1]PCRs!B:B,MATCH(LEFT($A692,6)&amp;"*",[1]PCRs!A:A,0))="Negativo",
         "❌ Negativo",
         "⏳ No realizado")),
   "⏳ No realizado"
)</f>
        <v>✅ Positivo</v>
      </c>
      <c r="D692" s="255" t="str">
        <f>IFERROR(
   CHOOSE(
      MATCH(VLOOKUP(LEFT(A739,6)&amp;"*",'Identificación genética'!A:C,2,FALSE),
               {"En proceso";"Finalizado"},0),
      "🔬 En proceso",
      "🎯 Finalizado"
   ),
"❌ NA")</f>
        <v>🎯 Finalizado</v>
      </c>
      <c r="E692" t="s">
        <v>85</v>
      </c>
      <c r="F692" s="588">
        <v>45925</v>
      </c>
      <c r="G692" t="str">
        <f>_xlfn.XLOOKUP(A692, Extraídas!A:A, Extraídas!G:G, "")</f>
        <v>Microalgas</v>
      </c>
    </row>
    <row r="693" spans="1:7" ht="15" thickBot="1" x14ac:dyDescent="0.35">
      <c r="A693" s="646" t="s">
        <v>781</v>
      </c>
      <c r="B693" s="255" t="str">
        <f>IFERROR(
   IF(INDEX(Extraídas!B:B,MATCH(LEFT($A693,6)&amp;"*",Extraídas!A:A,0))="Extraídas",
      "✅ En proceso",
      IF(INDEX(Extraídas!B:B,MATCH(LEFT($A693,6)&amp;"*",Extraídas!A:A,0))="Recibidas",
         "⏳ Pendiente","❌ No ingresada")),
   "❌ No ingresada"
)</f>
        <v>⏳ Pendiente</v>
      </c>
      <c r="C693" s="255" t="str">
        <f t="array" ref="C693">IFERROR(
   IF(INDEX([1]PCRs!B:B,MATCH(LEFT($A693,6)&amp;"*",[1]PCRs!A:A,0))="Positivo",
      "✅ Positivo",
      IF(INDEX([1]PCRs!B:B,MATCH(LEFT($A693,6)&amp;"*",[1]PCRs!A:A,0))="Negativo",
         "❌ Negativo",
         "⏳ No realizado")),
   "⏳ No realizado"
)</f>
        <v>✅ Positivo</v>
      </c>
      <c r="D693" s="255" t="str">
        <f>IFERROR(
   CHOOSE(
      MATCH(VLOOKUP(LEFT(A740,6)&amp;"*",'Identificación genética'!A:C,2,FALSE),
               {"En proceso";"Finalizado"},0),
      "🔬 En proceso",
      "🎯 Finalizado"
   ),
"❌ NA")</f>
        <v>🎯 Finalizado</v>
      </c>
      <c r="E693" t="s">
        <v>85</v>
      </c>
      <c r="F693" s="591">
        <v>45925</v>
      </c>
      <c r="G693" t="str">
        <f>_xlfn.XLOOKUP(A693, Extraídas!A:A, Extraídas!G:G, "")</f>
        <v>Microalgas</v>
      </c>
    </row>
    <row r="694" spans="1:7" ht="15" thickBot="1" x14ac:dyDescent="0.35">
      <c r="A694" s="648" t="s">
        <v>782</v>
      </c>
      <c r="B694" s="255" t="str">
        <f>IFERROR(
   IF(INDEX(Extraídas!B:B,MATCH(LEFT($A694,6)&amp;"*",Extraídas!A:A,0))="Extraídas",
      "✅ En proceso",
      IF(INDEX(Extraídas!B:B,MATCH(LEFT($A694,6)&amp;"*",Extraídas!A:A,0))="Recibidas",
         "⏳ Pendiente","❌ No ingresada")),
   "❌ No ingresada"
)</f>
        <v>⏳ Pendiente</v>
      </c>
      <c r="C694" s="255" t="str">
        <f t="array" ref="C694">IFERROR(
   IF(INDEX([1]PCRs!B:B,MATCH(LEFT($A694,6)&amp;"*",[1]PCRs!A:A,0))="Positivo",
      "✅ Positivo",
      IF(INDEX([1]PCRs!B:B,MATCH(LEFT($A694,6)&amp;"*",[1]PCRs!A:A,0))="Negativo",
         "❌ Negativo",
         "⏳ No realizado")),
   "⏳ No realizado"
)</f>
        <v>✅ Positivo</v>
      </c>
      <c r="D694" s="255" t="str">
        <f>IFERROR(
   CHOOSE(
      MATCH(VLOOKUP(LEFT(A741,6)&amp;"*",'Identificación genética'!A:C,2,FALSE),
               {"En proceso";"Finalizado"},0),
      "🔬 En proceso",
      "🎯 Finalizado"
   ),
"❌ NA")</f>
        <v>🎯 Finalizado</v>
      </c>
      <c r="E694" t="s">
        <v>85</v>
      </c>
      <c r="F694" s="597">
        <v>45733</v>
      </c>
      <c r="G694" t="str">
        <f>_xlfn.XLOOKUP(A694, Extraídas!A:A, Extraídas!G:G, "")</f>
        <v>Cianobacterias</v>
      </c>
    </row>
    <row r="695" spans="1:7" ht="15" thickBot="1" x14ac:dyDescent="0.35">
      <c r="A695" s="646" t="s">
        <v>783</v>
      </c>
      <c r="B695" s="255" t="str">
        <f>IFERROR(
   IF(INDEX(Extraídas!B:B,MATCH(LEFT($A695,6)&amp;"*",Extraídas!A:A,0))="Extraídas",
      "✅ En proceso",
      IF(INDEX(Extraídas!B:B,MATCH(LEFT($A695,6)&amp;"*",Extraídas!A:A,0))="Recibidas",
         "⏳ Pendiente","❌ No ingresada")),
   "❌ No ingresada"
)</f>
        <v>⏳ Pendiente</v>
      </c>
      <c r="C695" s="255" t="str">
        <f t="array" ref="C695">IFERROR(
   IF(INDEX([1]PCRs!B:B,MATCH(LEFT($A695,6)&amp;"*",[1]PCRs!A:A,0))="Positivo",
      "✅ Positivo",
      IF(INDEX([1]PCRs!B:B,MATCH(LEFT($A695,6)&amp;"*",[1]PCRs!A:A,0))="Negativo",
         "❌ Negativo",
         "⏳ No realizado")),
   "⏳ No realizado"
)</f>
        <v>✅ Positivo</v>
      </c>
      <c r="D695" s="255" t="str">
        <f>IFERROR(
   CHOOSE(
      MATCH(VLOOKUP(LEFT(A742,6)&amp;"*",'Identificación genética'!A:C,2,FALSE),
               {"En proceso";"Finalizado"},0),
      "🔬 En proceso",
      "🎯 Finalizado"
   ),
"❌ NA")</f>
        <v>🎯 Finalizado</v>
      </c>
      <c r="E695" t="s">
        <v>85</v>
      </c>
      <c r="F695" s="224">
        <v>45933</v>
      </c>
      <c r="G695" t="str">
        <f>_xlfn.XLOOKUP(A695, Extraídas!A:A, Extraídas!G:G, "")</f>
        <v>Microalgas</v>
      </c>
    </row>
    <row r="696" spans="1:7" ht="15" thickBot="1" x14ac:dyDescent="0.35">
      <c r="A696" s="648" t="s">
        <v>784</v>
      </c>
      <c r="B696" s="255" t="str">
        <f>IFERROR(
   IF(INDEX(Extraídas!B:B,MATCH(LEFT($A696,6)&amp;"*",Extraídas!A:A,0))="Extraídas",
      "✅ En proceso",
      IF(INDEX(Extraídas!B:B,MATCH(LEFT($A696,6)&amp;"*",Extraídas!A:A,0))="Recibidas",
         "⏳ Pendiente","❌ No ingresada")),
   "❌ No ingresada"
)</f>
        <v>⏳ Pendiente</v>
      </c>
      <c r="C696" s="255" t="str">
        <f t="array" ref="C696">IFERROR(
   IF(INDEX([1]PCRs!B:B,MATCH(LEFT($A696,6)&amp;"*",[1]PCRs!A:A,0))="Positivo",
      "✅ Positivo",
      IF(INDEX([1]PCRs!B:B,MATCH(LEFT($A696,6)&amp;"*",[1]PCRs!A:A,0))="Negativo",
         "❌ Negativo",
         "⏳ No realizado")),
   "⏳ No realizado"
)</f>
        <v>✅ Positivo</v>
      </c>
      <c r="D696" s="255" t="str">
        <f>IFERROR(
   CHOOSE(
      MATCH(VLOOKUP(LEFT(A743,6)&amp;"*",'Identificación genética'!A:C,2,FALSE),
               {"En proceso";"Finalizado"},0),
      "🔬 En proceso",
      "🎯 Finalizado"
   ),
"❌ NA")</f>
        <v>🎯 Finalizado</v>
      </c>
      <c r="E696" t="s">
        <v>85</v>
      </c>
      <c r="F696" s="111">
        <v>45705</v>
      </c>
      <c r="G696" t="str">
        <f>_xlfn.XLOOKUP(A696, Extraídas!A:A, Extraídas!G:G, "")</f>
        <v>Cianobacterias</v>
      </c>
    </row>
    <row r="697" spans="1:7" ht="15" thickBot="1" x14ac:dyDescent="0.35">
      <c r="A697" s="651" t="s">
        <v>785</v>
      </c>
      <c r="B697" s="255" t="str">
        <f>IFERROR(
   IF(INDEX(Extraídas!B:B,MATCH(LEFT($A697,6)&amp;"*",Extraídas!A:A,0))="Extraídas",
      "✅ En proceso",
      IF(INDEX(Extraídas!B:B,MATCH(LEFT($A697,6)&amp;"*",Extraídas!A:A,0))="Recibidas",
         "⏳ Pendiente","❌ No ingresada")),
   "❌ No ingresada"
)</f>
        <v>⏳ Pendiente</v>
      </c>
      <c r="C697" s="255" t="str">
        <f t="array" ref="C697">IFERROR(
   IF(INDEX([1]PCRs!B:B,MATCH(LEFT($A697,6)&amp;"*",[1]PCRs!A:A,0))="Positivo",
      "✅ Positivo",
      IF(INDEX([1]PCRs!B:B,MATCH(LEFT($A697,6)&amp;"*",[1]PCRs!A:A,0))="Negativo",
         "❌ Negativo",
         "⏳ No realizado")),
   "⏳ No realizado"
)</f>
        <v>✅ Positivo</v>
      </c>
      <c r="D697" s="255" t="str">
        <f>IFERROR(
   CHOOSE(
      MATCH(VLOOKUP(LEFT(A744,6)&amp;"*",'Identificación genética'!A:C,2,FALSE),
               {"En proceso";"Finalizado"},0),
      "🔬 En proceso",
      "🎯 Finalizado"
   ),
"❌ NA")</f>
        <v>🎯 Finalizado</v>
      </c>
      <c r="E697" t="s">
        <v>85</v>
      </c>
      <c r="F697" s="600">
        <v>45817</v>
      </c>
      <c r="G697" t="str">
        <f>_xlfn.XLOOKUP(A697, Extraídas!A:A, Extraídas!G:G, "")</f>
        <v>Microalgas</v>
      </c>
    </row>
    <row r="698" spans="1:7" ht="15" thickBot="1" x14ac:dyDescent="0.35">
      <c r="A698" s="648" t="s">
        <v>786</v>
      </c>
      <c r="B698" s="255" t="str">
        <f>IFERROR(
   IF(INDEX(Extraídas!B:B,MATCH(LEFT($A698,6)&amp;"*",Extraídas!A:A,0))="Extraídas",
      "✅ En proceso",
      IF(INDEX(Extraídas!B:B,MATCH(LEFT($A698,6)&amp;"*",Extraídas!A:A,0))="Recibidas",
         "⏳ Pendiente","❌ No ingresada")),
   "❌ No ingresada"
)</f>
        <v>⏳ Pendiente</v>
      </c>
      <c r="C698" s="255" t="str">
        <f t="array" ref="C698">IFERROR(
   IF(INDEX([1]PCRs!B:B,MATCH(LEFT($A698,6)&amp;"*",[1]PCRs!A:A,0))="Positivo",
      "✅ Positivo",
      IF(INDEX([1]PCRs!B:B,MATCH(LEFT($A698,6)&amp;"*",[1]PCRs!A:A,0))="Negativo",
         "❌ Negativo",
         "⏳ No realizado")),
   "⏳ No realizado"
)</f>
        <v>✅ Positivo</v>
      </c>
      <c r="D698" s="255" t="str">
        <f>IFERROR(
   CHOOSE(
      MATCH(VLOOKUP(LEFT(A745,6)&amp;"*",'Identificación genética'!A:C,2,FALSE),
               {"En proceso";"Finalizado"},0),
      "🔬 En proceso",
      "🎯 Finalizado"
   ),
"❌ NA")</f>
        <v>🎯 Finalizado</v>
      </c>
      <c r="E698" t="s">
        <v>85</v>
      </c>
      <c r="F698" s="191">
        <v>45772</v>
      </c>
      <c r="G698" t="str">
        <f>_xlfn.XLOOKUP(A698, Extraídas!A:A, Extraídas!G:G, "")</f>
        <v>Cianobacterias</v>
      </c>
    </row>
    <row r="699" spans="1:7" ht="15" thickBot="1" x14ac:dyDescent="0.35">
      <c r="A699" s="646" t="s">
        <v>787</v>
      </c>
      <c r="B699" s="255" t="str">
        <f>IFERROR(
   IF(INDEX(Extraídas!B:B,MATCH(LEFT($A699,6)&amp;"*",Extraídas!A:A,0))="Extraídas",
      "✅ En proceso",
      IF(INDEX(Extraídas!B:B,MATCH(LEFT($A699,6)&amp;"*",Extraídas!A:A,0))="Recibidas",
         "⏳ Pendiente","❌ No ingresada")),
   "❌ No ingresada"
)</f>
        <v>✅ En proceso</v>
      </c>
      <c r="C699" s="255" t="str">
        <f t="array" ref="C699">IFERROR(
   IF(INDEX([1]PCRs!B:B,MATCH(LEFT($A699,6)&amp;"*",[1]PCRs!A:A,0))="Positivo",
      "✅ Positivo",
      IF(INDEX([1]PCRs!B:B,MATCH(LEFT($A699,6)&amp;"*",[1]PCRs!A:A,0))="Negativo",
         "❌ Negativo",
         "⏳ No realizado")),
   "⏳ No realizado"
)</f>
        <v>❌ Negativo</v>
      </c>
      <c r="D699" s="255" t="str">
        <f>IFERROR(
   CHOOSE(
      MATCH(VLOOKUP(LEFT(A746,6)&amp;"*",'Identificación genética'!A:C,2,FALSE),
               {"En proceso";"Finalizado"},0),
      "🔬 En proceso",
      "🎯 Finalizado"
   ),
"❌ NA")</f>
        <v>🎯 Finalizado</v>
      </c>
      <c r="E699" t="s">
        <v>85</v>
      </c>
      <c r="F699" s="224">
        <v>45933</v>
      </c>
      <c r="G699" t="str">
        <f>_xlfn.XLOOKUP(A699, Extraídas!A:A, Extraídas!G:G, "")</f>
        <v>Microalgas</v>
      </c>
    </row>
    <row r="700" spans="1:7" ht="15" thickBot="1" x14ac:dyDescent="0.35">
      <c r="A700" s="648" t="s">
        <v>788</v>
      </c>
      <c r="B700" s="255" t="str">
        <f>IFERROR(
   IF(INDEX(Extraídas!B:B,MATCH(LEFT($A700,6)&amp;"*",Extraídas!A:A,0))="Extraídas",
      "✅ En proceso",
      IF(INDEX(Extraídas!B:B,MATCH(LEFT($A700,6)&amp;"*",Extraídas!A:A,0))="Recibidas",
         "⏳ Pendiente","❌ No ingresada")),
   "❌ No ingresada"
)</f>
        <v>✅ En proceso</v>
      </c>
      <c r="C700" s="255" t="str">
        <f t="array" ref="C700">IFERROR(
   IF(INDEX([1]PCRs!B:B,MATCH(LEFT($A700,6)&amp;"*",[1]PCRs!A:A,0))="Positivo",
      "✅ Positivo",
      IF(INDEX([1]PCRs!B:B,MATCH(LEFT($A700,6)&amp;"*",[1]PCRs!A:A,0))="Negativo",
         "❌ Negativo",
         "⏳ No realizado")),
   "⏳ No realizado"
)</f>
        <v>❌ Negativo</v>
      </c>
      <c r="D700" s="255" t="str">
        <f>IFERROR(
   CHOOSE(
      MATCH(VLOOKUP(LEFT(A747,6)&amp;"*",'Identificación genética'!A:C,2,FALSE),
               {"En proceso";"Finalizado"},0),
      "🔬 En proceso",
      "🎯 Finalizado"
   ),
"❌ NA")</f>
        <v>🎯 Finalizado</v>
      </c>
      <c r="E700" t="s">
        <v>85</v>
      </c>
      <c r="F700" s="206">
        <v>45848</v>
      </c>
      <c r="G700" t="str">
        <f>_xlfn.XLOOKUP(A700, Extraídas!A:A, Extraídas!G:G, "")</f>
        <v>Cianobacterias</v>
      </c>
    </row>
    <row r="701" spans="1:7" ht="15" thickBot="1" x14ac:dyDescent="0.35">
      <c r="A701" s="646" t="s">
        <v>789</v>
      </c>
      <c r="B701" s="255" t="str">
        <f>IFERROR(
   IF(INDEX(Extraídas!B:B,MATCH(LEFT($A701,6)&amp;"*",Extraídas!A:A,0))="Extraídas",
      "✅ En proceso",
      IF(INDEX(Extraídas!B:B,MATCH(LEFT($A701,6)&amp;"*",Extraídas!A:A,0))="Recibidas",
         "⏳ Pendiente","❌ No ingresada")),
   "❌ No ingresada"
)</f>
        <v>✅ En proceso</v>
      </c>
      <c r="C701" s="255" t="str">
        <f t="array" ref="C701">IFERROR(
   IF(INDEX([1]PCRs!B:B,MATCH(LEFT($A701,6)&amp;"*",[1]PCRs!A:A,0))="Positivo",
      "✅ Positivo",
      IF(INDEX([1]PCRs!B:B,MATCH(LEFT($A701,6)&amp;"*",[1]PCRs!A:A,0))="Negativo",
         "❌ Negativo",
         "⏳ No realizado")),
   "⏳ No realizado"
)</f>
        <v>❌ Negativo</v>
      </c>
      <c r="D701" s="255" t="str">
        <f>IFERROR(
   CHOOSE(
      MATCH(VLOOKUP(LEFT(A748,6)&amp;"*",'Identificación genética'!A:C,2,FALSE),
               {"En proceso";"Finalizado"},0),
      "🔬 En proceso",
      "🎯 Finalizado"
   ),
"❌ NA")</f>
        <v>🎯 Finalizado</v>
      </c>
      <c r="E701" t="s">
        <v>85</v>
      </c>
      <c r="F701" s="180">
        <v>45938</v>
      </c>
      <c r="G701" t="str">
        <f>_xlfn.XLOOKUP(A701, Extraídas!A:A, Extraídas!G:G, "")</f>
        <v>Cianobacterias</v>
      </c>
    </row>
    <row r="702" spans="1:7" ht="15" thickBot="1" x14ac:dyDescent="0.35">
      <c r="A702" s="647" t="s">
        <v>790</v>
      </c>
      <c r="B702" s="255" t="str">
        <f>IFERROR(
   IF(INDEX(Extraídas!B:B,MATCH(LEFT($A702,6)&amp;"*",Extraídas!A:A,0))="Extraídas",
      "✅ En proceso",
      IF(INDEX(Extraídas!B:B,MATCH(LEFT($A702,6)&amp;"*",Extraídas!A:A,0))="Recibidas",
         "⏳ Pendiente","❌ No ingresada")),
   "❌ No ingresada"
)</f>
        <v>✅ En proceso</v>
      </c>
      <c r="C702" s="255" t="str">
        <f t="array" ref="C702">IFERROR(
   IF(INDEX([1]PCRs!B:B,MATCH(LEFT($A702,6)&amp;"*",[1]PCRs!A:A,0))="Positivo",
      "✅ Positivo",
      IF(INDEX([1]PCRs!B:B,MATCH(LEFT($A702,6)&amp;"*",[1]PCRs!A:A,0))="Negativo",
         "❌ Negativo",
         "⏳ No realizado")),
   "⏳ No realizado"
)</f>
        <v>❌ Negativo</v>
      </c>
      <c r="D702" s="255" t="str">
        <f>IFERROR(
   CHOOSE(
      MATCH(VLOOKUP(LEFT(A749,6)&amp;"*",'Identificación genética'!A:C,2,FALSE),
               {"En proceso";"Finalizado"},0),
      "🔬 En proceso",
      "🎯 Finalizado"
   ),
"❌ NA")</f>
        <v>🎯 Finalizado</v>
      </c>
      <c r="E702" t="s">
        <v>85</v>
      </c>
      <c r="F702" s="98">
        <v>45938</v>
      </c>
      <c r="G702" t="str">
        <f>_xlfn.XLOOKUP(A702, Extraídas!A:A, Extraídas!G:G, "")</f>
        <v>Cianobacterias</v>
      </c>
    </row>
    <row r="703" spans="1:7" ht="15" thickBot="1" x14ac:dyDescent="0.35">
      <c r="A703" s="646" t="s">
        <v>791</v>
      </c>
      <c r="B703" s="255" t="str">
        <f>IFERROR(
   IF(INDEX(Extraídas!B:B,MATCH(LEFT($A703,6)&amp;"*",Extraídas!A:A,0))="Extraídas",
      "✅ En proceso",
      IF(INDEX(Extraídas!B:B,MATCH(LEFT($A703,6)&amp;"*",Extraídas!A:A,0))="Recibidas",
         "⏳ Pendiente","❌ No ingresada")),
   "❌ No ingresada"
)</f>
        <v>⏳ Pendiente</v>
      </c>
      <c r="C703" s="255" t="str">
        <f t="array" ref="C703">IFERROR(
   IF(INDEX([1]PCRs!B:B,MATCH(LEFT($A703,6)&amp;"*",[1]PCRs!A:A,0))="Positivo",
      "✅ Positivo",
      IF(INDEX([1]PCRs!B:B,MATCH(LEFT($A703,6)&amp;"*",[1]PCRs!A:A,0))="Negativo",
         "❌ Negativo",
         "⏳ No realizado")),
   "⏳ No realizado"
)</f>
        <v>✅ Positivo</v>
      </c>
      <c r="D703" s="255" t="str">
        <f>IFERROR(
   CHOOSE(
      MATCH(VLOOKUP(LEFT(A750,6)&amp;"*",'Identificación genética'!A:C,2,FALSE),
               {"En proceso";"Finalizado"},0),
      "🔬 En proceso",
      "🎯 Finalizado"
   ),
"❌ NA")</f>
        <v>🎯 Finalizado</v>
      </c>
      <c r="E703" t="s">
        <v>85</v>
      </c>
      <c r="F703" s="98">
        <v>45938</v>
      </c>
      <c r="G703" t="str">
        <f>_xlfn.XLOOKUP(A703, Extraídas!A:A, Extraídas!G:G, "")</f>
        <v>Cianobacterias</v>
      </c>
    </row>
    <row r="704" spans="1:7" ht="15" thickBot="1" x14ac:dyDescent="0.35">
      <c r="A704" s="647" t="s">
        <v>792</v>
      </c>
      <c r="B704" s="255" t="str">
        <f>IFERROR(
   IF(INDEX(Extraídas!B:B,MATCH(LEFT($A704,6)&amp;"*",Extraídas!A:A,0))="Extraídas",
      "✅ En proceso",
      IF(INDEX(Extraídas!B:B,MATCH(LEFT($A704,6)&amp;"*",Extraídas!A:A,0))="Recibidas",
         "⏳ Pendiente","❌ No ingresada")),
   "❌ No ingresada"
)</f>
        <v>⏳ Pendiente</v>
      </c>
      <c r="C704" s="255" t="str">
        <f t="array" ref="C704">IFERROR(
   IF(INDEX([1]PCRs!B:B,MATCH(LEFT($A704,6)&amp;"*",[1]PCRs!A:A,0))="Positivo",
      "✅ Positivo",
      IF(INDEX([1]PCRs!B:B,MATCH(LEFT($A704,6)&amp;"*",[1]PCRs!A:A,0))="Negativo",
         "❌ Negativo",
         "⏳ No realizado")),
   "⏳ No realizado"
)</f>
        <v>✅ Positivo</v>
      </c>
      <c r="D704" s="255" t="str">
        <f>IFERROR(
   CHOOSE(
      MATCH(VLOOKUP(LEFT(A751,6)&amp;"*",'Identificación genética'!A:C,2,FALSE),
               {"En proceso";"Finalizado"},0),
      "🔬 En proceso",
      "🎯 Finalizado"
   ),
"❌ NA")</f>
        <v>🎯 Finalizado</v>
      </c>
      <c r="E704" t="s">
        <v>85</v>
      </c>
      <c r="F704" s="98">
        <v>45938</v>
      </c>
      <c r="G704" t="str">
        <f>_xlfn.XLOOKUP(A704, Extraídas!A:A, Extraídas!G:G, "")</f>
        <v>Cianobacterias</v>
      </c>
    </row>
    <row r="705" spans="1:7" ht="15" thickBot="1" x14ac:dyDescent="0.35">
      <c r="A705" s="649" t="s">
        <v>793</v>
      </c>
      <c r="B705" s="255" t="str">
        <f>IFERROR(
   IF(INDEX(Extraídas!B:B,MATCH(LEFT($A705,6)&amp;"*",Extraídas!A:A,0))="Extraídas",
      "✅ En proceso",
      IF(INDEX(Extraídas!B:B,MATCH(LEFT($A705,6)&amp;"*",Extraídas!A:A,0))="Recibidas",
         "⏳ Pendiente","❌ No ingresada")),
   "❌ No ingresada"
)</f>
        <v>⏳ Pendiente</v>
      </c>
      <c r="C705" s="255" t="str">
        <f t="array" ref="C705">IFERROR(
   IF(INDEX([1]PCRs!B:B,MATCH(LEFT($A705,6)&amp;"*",[1]PCRs!A:A,0))="Positivo",
      "✅ Positivo",
      IF(INDEX([1]PCRs!B:B,MATCH(LEFT($A705,6)&amp;"*",[1]PCRs!A:A,0))="Negativo",
         "❌ Negativo",
         "⏳ No realizado")),
   "⏳ No realizado"
)</f>
        <v>✅ Positivo</v>
      </c>
      <c r="D705" s="255" t="str">
        <f>IFERROR(
   CHOOSE(
      MATCH(VLOOKUP(LEFT(A752,6)&amp;"*",'Identificación genética'!A:C,2,FALSE),
               {"En proceso";"Finalizado"},0),
      "🔬 En proceso",
      "🎯 Finalizado"
   ),
"❌ NA")</f>
        <v>🎯 Finalizado</v>
      </c>
      <c r="E705" t="s">
        <v>85</v>
      </c>
      <c r="F705" s="29">
        <v>45768</v>
      </c>
      <c r="G705" t="str">
        <f>_xlfn.XLOOKUP(A705, Extraídas!A:A, Extraídas!G:G, "")</f>
        <v>Cianobacterias</v>
      </c>
    </row>
    <row r="706" spans="1:7" ht="15" thickBot="1" x14ac:dyDescent="0.35">
      <c r="A706" s="647" t="s">
        <v>794</v>
      </c>
      <c r="B706" s="255" t="str">
        <f>IFERROR(
   IF(INDEX(Extraídas!B:B,MATCH(LEFT($A706,6)&amp;"*",Extraídas!A:A,0))="Extraídas",
      "✅ En proceso",
      IF(INDEX(Extraídas!B:B,MATCH(LEFT($A706,6)&amp;"*",Extraídas!A:A,0))="Recibidas",
         "⏳ Pendiente","❌ No ingresada")),
   "❌ No ingresada"
)</f>
        <v>⏳ Pendiente</v>
      </c>
      <c r="C706" s="255" t="str">
        <f t="array" ref="C706">IFERROR(
   IF(INDEX([1]PCRs!B:B,MATCH(LEFT($A706,6)&amp;"*",[1]PCRs!A:A,0))="Positivo",
      "✅ Positivo",
      IF(INDEX([1]PCRs!B:B,MATCH(LEFT($A706,6)&amp;"*",[1]PCRs!A:A,0))="Negativo",
         "❌ Negativo",
         "⏳ No realizado")),
   "⏳ No realizado"
)</f>
        <v>✅ Positivo</v>
      </c>
      <c r="D706" s="255" t="str">
        <f>IFERROR(
   CHOOSE(
      MATCH(VLOOKUP(LEFT(A753,6)&amp;"*",'Identificación genética'!A:C,2,FALSE),
               {"En proceso";"Finalizado"},0),
      "🔬 En proceso",
      "🎯 Finalizado"
   ),
"❌ NA")</f>
        <v>🎯 Finalizado</v>
      </c>
      <c r="E706" t="s">
        <v>85</v>
      </c>
      <c r="F706" s="98">
        <v>45938</v>
      </c>
      <c r="G706" t="str">
        <f>_xlfn.XLOOKUP(A706, Extraídas!A:A, Extraídas!G:G, "")</f>
        <v>Microalgas</v>
      </c>
    </row>
    <row r="707" spans="1:7" ht="15" thickBot="1" x14ac:dyDescent="0.35">
      <c r="A707" s="649" t="s">
        <v>795</v>
      </c>
      <c r="B707" s="255" t="str">
        <f>IFERROR(
   IF(INDEX(Extraídas!B:B,MATCH(LEFT($A707,6)&amp;"*",Extraídas!A:A,0))="Extraídas",
      "✅ En proceso",
      IF(INDEX(Extraídas!B:B,MATCH(LEFT($A707,6)&amp;"*",Extraídas!A:A,0))="Recibidas",
         "⏳ Pendiente","❌ No ingresada")),
   "❌ No ingresada"
)</f>
        <v>⏳ Pendiente</v>
      </c>
      <c r="C707" s="255" t="str">
        <f t="array" ref="C707">IFERROR(
   IF(INDEX([1]PCRs!B:B,MATCH(LEFT($A707,6)&amp;"*",[1]PCRs!A:A,0))="Positivo",
      "✅ Positivo",
      IF(INDEX([1]PCRs!B:B,MATCH(LEFT($A707,6)&amp;"*",[1]PCRs!A:A,0))="Negativo",
         "❌ Negativo",
         "⏳ No realizado")),
   "⏳ No realizado"
)</f>
        <v>✅ Positivo</v>
      </c>
      <c r="D707" s="255" t="str">
        <f>IFERROR(
   CHOOSE(
      MATCH(VLOOKUP(LEFT(A754,6)&amp;"*",'Identificación genética'!A:C,2,FALSE),
               {"En proceso";"Finalizado"},0),
      "🔬 En proceso",
      "🎯 Finalizado"
   ),
"❌ NA")</f>
        <v>🎯 Finalizado</v>
      </c>
      <c r="E707" t="s">
        <v>85</v>
      </c>
      <c r="F707" s="586">
        <v>45768</v>
      </c>
      <c r="G707" t="str">
        <f>_xlfn.XLOOKUP(A707, Extraídas!A:A, Extraídas!G:G, "")</f>
        <v>Cianobacterias</v>
      </c>
    </row>
    <row r="708" spans="1:7" ht="15" thickBot="1" x14ac:dyDescent="0.35">
      <c r="A708" s="647" t="s">
        <v>796</v>
      </c>
      <c r="B708" s="255" t="str">
        <f>IFERROR(
   IF(INDEX(Extraídas!B:B,MATCH(LEFT($A708,6)&amp;"*",Extraídas!A:A,0))="Extraídas",
      "✅ En proceso",
      IF(INDEX(Extraídas!B:B,MATCH(LEFT($A708,6)&amp;"*",Extraídas!A:A,0))="Recibidas",
         "⏳ Pendiente","❌ No ingresada")),
   "❌ No ingresada"
)</f>
        <v>⏳ Pendiente</v>
      </c>
      <c r="C708" s="255" t="str">
        <f t="array" ref="C708">IFERROR(
   IF(INDEX([1]PCRs!B:B,MATCH(LEFT($A708,6)&amp;"*",[1]PCRs!A:A,0))="Positivo",
      "✅ Positivo",
      IF(INDEX([1]PCRs!B:B,MATCH(LEFT($A708,6)&amp;"*",[1]PCRs!A:A,0))="Negativo",
         "❌ Negativo",
         "⏳ No realizado")),
   "⏳ No realizado"
)</f>
        <v>✅ Positivo</v>
      </c>
      <c r="D708" s="255" t="str">
        <f>IFERROR(
   CHOOSE(
      MATCH(VLOOKUP(LEFT(A755,6)&amp;"*",'Identificación genética'!A:C,2,FALSE),
               {"En proceso";"Finalizado"},0),
      "🔬 En proceso",
      "🎯 Finalizado"
   ),
"❌ NA")</f>
        <v>🎯 Finalizado</v>
      </c>
      <c r="E708" t="s">
        <v>85</v>
      </c>
      <c r="F708" s="575">
        <v>45940</v>
      </c>
      <c r="G708" t="str">
        <f>_xlfn.XLOOKUP(A708, Extraídas!A:A, Extraídas!G:G, "")</f>
        <v>Microalgas</v>
      </c>
    </row>
    <row r="709" spans="1:7" ht="15" thickBot="1" x14ac:dyDescent="0.35">
      <c r="A709" s="649" t="s">
        <v>797</v>
      </c>
      <c r="B709" s="255" t="str">
        <f>IFERROR(
   IF(INDEX(Extraídas!B:B,MATCH(LEFT($A709,6)&amp;"*",Extraídas!A:A,0))="Extraídas",
      "✅ En proceso",
      IF(INDEX(Extraídas!B:B,MATCH(LEFT($A709,6)&amp;"*",Extraídas!A:A,0))="Recibidas",
         "⏳ Pendiente","❌ No ingresada")),
   "❌ No ingresada"
)</f>
        <v>⏳ Pendiente</v>
      </c>
      <c r="C709" s="255" t="str">
        <f t="array" ref="C709">IFERROR(
   IF(INDEX([1]PCRs!B:B,MATCH(LEFT($A709,6)&amp;"*",[1]PCRs!A:A,0))="Positivo",
      "✅ Positivo",
      IF(INDEX([1]PCRs!B:B,MATCH(LEFT($A709,6)&amp;"*",[1]PCRs!A:A,0))="Negativo",
         "❌ Negativo",
         "⏳ No realizado")),
   "⏳ No realizado"
)</f>
        <v>✅ Positivo</v>
      </c>
      <c r="D709" s="255" t="str">
        <f>IFERROR(
   CHOOSE(
      MATCH(VLOOKUP(LEFT(A756,6)&amp;"*",'Identificación genética'!A:C,2,FALSE),
               {"En proceso";"Finalizado"},0),
      "🔬 En proceso",
      "🎯 Finalizado"
   ),
"❌ NA")</f>
        <v>🎯 Finalizado</v>
      </c>
      <c r="E709" t="s">
        <v>85</v>
      </c>
      <c r="F709" s="586">
        <v>45768</v>
      </c>
      <c r="G709" t="str">
        <f>_xlfn.XLOOKUP(A709, Extraídas!A:A, Extraídas!G:G, "")</f>
        <v>Cianobacterias</v>
      </c>
    </row>
    <row r="710" spans="1:7" ht="15" thickBot="1" x14ac:dyDescent="0.35">
      <c r="A710" s="647" t="s">
        <v>798</v>
      </c>
      <c r="B710" s="255" t="str">
        <f>IFERROR(
   IF(INDEX(Extraídas!B:B,MATCH(LEFT($A710,6)&amp;"*",Extraídas!A:A,0))="Extraídas",
      "✅ En proceso",
      IF(INDEX(Extraídas!B:B,MATCH(LEFT($A710,6)&amp;"*",Extraídas!A:A,0))="Recibidas",
         "⏳ Pendiente","❌ No ingresada")),
   "❌ No ingresada"
)</f>
        <v>⏳ Pendiente</v>
      </c>
      <c r="C710" s="255" t="str">
        <f t="array" ref="C710">IFERROR(
   IF(INDEX([1]PCRs!B:B,MATCH(LEFT($A710,6)&amp;"*",[1]PCRs!A:A,0))="Positivo",
      "✅ Positivo",
      IF(INDEX([1]PCRs!B:B,MATCH(LEFT($A710,6)&amp;"*",[1]PCRs!A:A,0))="Negativo",
         "❌ Negativo",
         "⏳ No realizado")),
   "⏳ No realizado"
)</f>
        <v>✅ Positivo</v>
      </c>
      <c r="D710" s="255" t="str">
        <f>IFERROR(
   CHOOSE(
      MATCH(VLOOKUP(LEFT(A757,6)&amp;"*",'Identificación genética'!A:C,2,FALSE),
               {"En proceso";"Finalizado"},0),
      "🔬 En proceso",
      "🎯 Finalizado"
   ),
"❌ NA")</f>
        <v>🎯 Finalizado</v>
      </c>
      <c r="E710" t="s">
        <v>85</v>
      </c>
      <c r="F710" s="583">
        <v>45940</v>
      </c>
      <c r="G710" t="str">
        <f>_xlfn.XLOOKUP(A710, Extraídas!A:A, Extraídas!G:G, "")</f>
        <v>Microalgas</v>
      </c>
    </row>
    <row r="711" spans="1:7" ht="15" thickBot="1" x14ac:dyDescent="0.35">
      <c r="A711" s="571" t="s">
        <v>1894</v>
      </c>
      <c r="B711" s="255" t="str">
        <f>IFERROR(
   IF(INDEX(Extraídas!B:B,MATCH(LEFT($A711,6)&amp;"*",Extraídas!A:A,0))="Extraídas",
      "✅ En proceso",
      IF(INDEX(Extraídas!B:B,MATCH(LEFT($A711,6)&amp;"*",Extraídas!A:A,0))="Recibidas",
         "⏳ Pendiente","❌ No ingresada")),
   "❌ No ingresada"
)</f>
        <v>⏳ Pendiente</v>
      </c>
      <c r="C711" s="255" t="str">
        <f t="array" ref="C711">IFERROR(
   IF(INDEX([1]PCRs!B:B,MATCH(LEFT($A711,6)&amp;"*",[1]PCRs!A:A,0))="Positivo",
      "✅ Positivo",
      IF(INDEX([1]PCRs!B:B,MATCH(LEFT($A711,6)&amp;"*",[1]PCRs!A:A,0))="Negativo",
         "❌ Negativo",
         "⏳ No realizado")),
   "⏳ No realizado"
)</f>
        <v>✅ Positivo</v>
      </c>
      <c r="D711" s="255" t="str">
        <f>IFERROR(
   CHOOSE(
      MATCH(VLOOKUP(LEFT(A758,6)&amp;"*",'Identificación genética'!A:C,2,FALSE),
               {"En proceso";"Finalizado"},0),
      "🔬 En proceso",
      "🎯 Finalizado"
   ),
"❌ NA")</f>
        <v>🎯 Finalizado</v>
      </c>
      <c r="E711" t="s">
        <v>85</v>
      </c>
      <c r="G711" t="str">
        <f>_xlfn.XLOOKUP(A711, Extraídas!A:A, Extraídas!G:G, "")</f>
        <v/>
      </c>
    </row>
    <row r="712" spans="1:7" ht="15" thickBot="1" x14ac:dyDescent="0.35">
      <c r="A712" s="618" t="s">
        <v>2244</v>
      </c>
      <c r="B712" s="255" t="str">
        <f>IFERROR(
   IF(INDEX(Extraídas!B:B,MATCH(LEFT($A712,6)&amp;"*",Extraídas!A:A,0))="Extraídas",
      "✅ En proceso",
      IF(INDEX(Extraídas!B:B,MATCH(LEFT($A712,6)&amp;"*",Extraídas!A:A,0))="Recibidas",
         "⏳ Pendiente","❌ No ingresada")),
   "❌ No ingresada"
)</f>
        <v>⏳ Pendiente</v>
      </c>
      <c r="C712" s="255" t="str">
        <f t="array" ref="C712">IFERROR(
   IF(INDEX([1]PCRs!B:B,MATCH(LEFT($A712,6)&amp;"*",[1]PCRs!A:A,0))="Positivo",
      "✅ Positivo",
      IF(INDEX([1]PCRs!B:B,MATCH(LEFT($A712,6)&amp;"*",[1]PCRs!A:A,0))="Negativo",
         "❌ Negativo",
         "⏳ No realizado")),
   "⏳ No realizado"
)</f>
        <v>✅ Positivo</v>
      </c>
      <c r="D712" s="255" t="str">
        <f>IFERROR(
   CHOOSE(
      MATCH(VLOOKUP(LEFT(A759,6)&amp;"*",'Identificación genética'!A:C,2,FALSE),
               {"En proceso";"Finalizado"},0),
      "🔬 En proceso",
      "🎯 Finalizado"
   ),
"❌ NA")</f>
        <v>🎯 Finalizado</v>
      </c>
      <c r="E712" t="s">
        <v>85</v>
      </c>
      <c r="G712" t="str">
        <f>_xlfn.XLOOKUP(A712, Extraídas!A:A, Extraídas!G:G, "")</f>
        <v/>
      </c>
    </row>
    <row r="713" spans="1:7" ht="15" thickBot="1" x14ac:dyDescent="0.35">
      <c r="A713" s="646" t="s">
        <v>799</v>
      </c>
      <c r="B713" s="255" t="str">
        <f>IFERROR(
   IF(INDEX(Extraídas!B:B,MATCH(LEFT($A713,6)&amp;"*",Extraídas!A:A,0))="Extraídas",
      "✅ En proceso",
      IF(INDEX(Extraídas!B:B,MATCH(LEFT($A713,6)&amp;"*",Extraídas!A:A,0))="Recibidas",
         "⏳ Pendiente","❌ No ingresada")),
   "❌ No ingresada"
)</f>
        <v>⏳ Pendiente</v>
      </c>
      <c r="C713" s="255" t="str">
        <f t="array" ref="C713">IFERROR(
   IF(INDEX([1]PCRs!B:B,MATCH(LEFT($A713,6)&amp;"*",[1]PCRs!A:A,0))="Positivo",
      "✅ Positivo",
      IF(INDEX([1]PCRs!B:B,MATCH(LEFT($A713,6)&amp;"*",[1]PCRs!A:A,0))="Negativo",
         "❌ Negativo",
         "⏳ No realizado")),
   "⏳ No realizado"
)</f>
        <v>✅ Positivo</v>
      </c>
      <c r="D713" s="255" t="str">
        <f>IFERROR(
   CHOOSE(
      MATCH(VLOOKUP(LEFT(A760,6)&amp;"*",'Identificación genética'!A:C,2,FALSE),
               {"En proceso";"Finalizado"},0),
      "🔬 En proceso",
      "🎯 Finalizado"
   ),
"❌ NA")</f>
        <v>🎯 Finalizado</v>
      </c>
      <c r="E713" t="s">
        <v>85</v>
      </c>
      <c r="F713" s="98">
        <v>45938</v>
      </c>
      <c r="G713" t="str">
        <f>_xlfn.XLOOKUP(A713, Extraídas!A:A, Extraídas!G:G, "")</f>
        <v>Cianobacterias</v>
      </c>
    </row>
    <row r="714" spans="1:7" ht="15" thickBot="1" x14ac:dyDescent="0.35">
      <c r="A714" s="650" t="s">
        <v>800</v>
      </c>
      <c r="B714" s="255" t="str">
        <f>IFERROR(
   IF(INDEX(Extraídas!B:B,MATCH(LEFT($A714,6)&amp;"*",Extraídas!A:A,0))="Extraídas",
      "✅ En proceso",
      IF(INDEX(Extraídas!B:B,MATCH(LEFT($A714,6)&amp;"*",Extraídas!A:A,0))="Recibidas",
         "⏳ Pendiente","❌ No ingresada")),
   "❌ No ingresada"
)</f>
        <v>✅ En proceso</v>
      </c>
      <c r="C714" s="255" t="str">
        <f t="array" ref="C714">IFERROR(
   IF(INDEX([1]PCRs!B:B,MATCH(LEFT($A714,6)&amp;"*",[1]PCRs!A:A,0))="Positivo",
      "✅ Positivo",
      IF(INDEX([1]PCRs!B:B,MATCH(LEFT($A714,6)&amp;"*",[1]PCRs!A:A,0))="Negativo",
         "❌ Negativo",
         "⏳ No realizado")),
   "⏳ No realizado"
)</f>
        <v>✅ Positivo</v>
      </c>
      <c r="D714" s="255" t="str">
        <f>IFERROR(
   CHOOSE(
      MATCH(VLOOKUP(LEFT(A761,6)&amp;"*",'Identificación genética'!A:C,2,FALSE),
               {"En proceso";"Finalizado"},0),
      "🔬 En proceso",
      "🎯 Finalizado"
   ),
"❌ NA")</f>
        <v>🎯 Finalizado</v>
      </c>
      <c r="E714" t="s">
        <v>85</v>
      </c>
      <c r="F714" s="111">
        <v>45757</v>
      </c>
      <c r="G714" t="str">
        <f>_xlfn.XLOOKUP(A714, Extraídas!A:A, Extraídas!G:G, "")</f>
        <v>Cianobacterias</v>
      </c>
    </row>
    <row r="715" spans="1:7" ht="15" thickBot="1" x14ac:dyDescent="0.35">
      <c r="A715" s="646" t="s">
        <v>801</v>
      </c>
      <c r="B715" s="255" t="str">
        <f>IFERROR(
   IF(INDEX(Extraídas!B:B,MATCH(LEFT($A715,6)&amp;"*",Extraídas!A:A,0))="Extraídas",
      "✅ En proceso",
      IF(INDEX(Extraídas!B:B,MATCH(LEFT($A715,6)&amp;"*",Extraídas!A:A,0))="Recibidas",
         "⏳ Pendiente","❌ No ingresada")),
   "❌ No ingresada"
)</f>
        <v>✅ En proceso</v>
      </c>
      <c r="C715" s="255" t="str">
        <f t="array" ref="C715">IFERROR(
   IF(INDEX([1]PCRs!B:B,MATCH(LEFT($A715,6)&amp;"*",[1]PCRs!A:A,0))="Positivo",
      "✅ Positivo",
      IF(INDEX([1]PCRs!B:B,MATCH(LEFT($A715,6)&amp;"*",[1]PCRs!A:A,0))="Negativo",
         "❌ Negativo",
         "⏳ No realizado")),
   "⏳ No realizado"
)</f>
        <v>✅ Positivo</v>
      </c>
      <c r="D715" s="255" t="str">
        <f>IFERROR(
   CHOOSE(
      MATCH(VLOOKUP(LEFT(A762,6)&amp;"*",'Identificación genética'!A:C,2,FALSE),
               {"En proceso";"Finalizado"},0),
      "🔬 En proceso",
      "🎯 Finalizado"
   ),
"❌ NA")</f>
        <v>🎯 Finalizado</v>
      </c>
      <c r="E715" t="s">
        <v>85</v>
      </c>
      <c r="F715" s="110">
        <v>45933</v>
      </c>
      <c r="G715" t="str">
        <f>_xlfn.XLOOKUP(A715, Extraídas!A:A, Extraídas!G:G, "")</f>
        <v>Microalgas</v>
      </c>
    </row>
    <row r="716" spans="1:7" ht="15" thickBot="1" x14ac:dyDescent="0.35">
      <c r="A716" s="647" t="s">
        <v>802</v>
      </c>
      <c r="B716" s="255" t="str">
        <f>IFERROR(
   IF(INDEX(Extraídas!B:B,MATCH(LEFT($A716,6)&amp;"*",Extraídas!A:A,0))="Extraídas",
      "✅ En proceso",
      IF(INDEX(Extraídas!B:B,MATCH(LEFT($A716,6)&amp;"*",Extraídas!A:A,0))="Recibidas",
         "⏳ Pendiente","❌ No ingresada")),
   "❌ No ingresada"
)</f>
        <v>✅ En proceso</v>
      </c>
      <c r="C716" s="255" t="str">
        <f t="array" ref="C716">IFERROR(
   IF(INDEX([1]PCRs!B:B,MATCH(LEFT($A716,6)&amp;"*",[1]PCRs!A:A,0))="Positivo",
      "✅ Positivo",
      IF(INDEX([1]PCRs!B:B,MATCH(LEFT($A716,6)&amp;"*",[1]PCRs!A:A,0))="Negativo",
         "❌ Negativo",
         "⏳ No realizado")),
   "⏳ No realizado"
)</f>
        <v>✅ Positivo</v>
      </c>
      <c r="D716" s="255" t="str">
        <f>IFERROR(
   CHOOSE(
      MATCH(VLOOKUP(LEFT(A763,6)&amp;"*",'Identificación genética'!A:C,2,FALSE),
               {"En proceso";"Finalizado"},0),
      "🔬 En proceso",
      "🎯 Finalizado"
   ),
"❌ NA")</f>
        <v>🎯 Finalizado</v>
      </c>
      <c r="E716" t="s">
        <v>85</v>
      </c>
      <c r="F716" s="98">
        <v>45922</v>
      </c>
      <c r="G716" t="str">
        <f>_xlfn.XLOOKUP(A716, Extraídas!A:A, Extraídas!G:G, "")</f>
        <v>Cianobacterias</v>
      </c>
    </row>
    <row r="717" spans="1:7" ht="15" thickBot="1" x14ac:dyDescent="0.35">
      <c r="A717" s="649" t="s">
        <v>803</v>
      </c>
      <c r="B717" s="255" t="str">
        <f>IFERROR(
   IF(INDEX(Extraídas!B:B,MATCH(LEFT($A717,6)&amp;"*",Extraídas!A:A,0))="Extraídas",
      "✅ En proceso",
      IF(INDEX(Extraídas!B:B,MATCH(LEFT($A717,6)&amp;"*",Extraídas!A:A,0))="Recibidas",
         "⏳ Pendiente","❌ No ingresada")),
   "❌ No ingresada"
)</f>
        <v>✅ En proceso</v>
      </c>
      <c r="C717" s="255" t="str">
        <f t="array" ref="C717">IFERROR(
   IF(INDEX([1]PCRs!B:B,MATCH(LEFT($A717,6)&amp;"*",[1]PCRs!A:A,0))="Positivo",
      "✅ Positivo",
      IF(INDEX([1]PCRs!B:B,MATCH(LEFT($A717,6)&amp;"*",[1]PCRs!A:A,0))="Negativo",
         "❌ Negativo",
         "⏳ No realizado")),
   "⏳ No realizado"
)</f>
        <v>✅ Positivo</v>
      </c>
      <c r="D717" s="255" t="str">
        <f>IFERROR(
   CHOOSE(
      MATCH(VLOOKUP(LEFT(A764,6)&amp;"*",'Identificación genética'!A:C,2,FALSE),
               {"En proceso";"Finalizado"},0),
      "🔬 En proceso",
      "🎯 Finalizado"
   ),
"❌ NA")</f>
        <v>🎯 Finalizado</v>
      </c>
      <c r="E717" t="s">
        <v>85</v>
      </c>
      <c r="F717" s="29">
        <v>45768</v>
      </c>
      <c r="G717" t="str">
        <f>_xlfn.XLOOKUP(A717, Extraídas!A:A, Extraídas!G:G, "")</f>
        <v>Cianobacterias</v>
      </c>
    </row>
    <row r="718" spans="1:7" ht="15" thickBot="1" x14ac:dyDescent="0.35">
      <c r="A718" s="647" t="s">
        <v>804</v>
      </c>
      <c r="B718" s="255" t="str">
        <f>IFERROR(
   IF(INDEX(Extraídas!B:B,MATCH(LEFT($A718,6)&amp;"*",Extraídas!A:A,0))="Extraídas",
      "✅ En proceso",
      IF(INDEX(Extraídas!B:B,MATCH(LEFT($A718,6)&amp;"*",Extraídas!A:A,0))="Recibidas",
         "⏳ Pendiente","❌ No ingresada")),
   "❌ No ingresada"
)</f>
        <v>✅ En proceso</v>
      </c>
      <c r="C718" s="255" t="str">
        <f t="array" ref="C718">IFERROR(
   IF(INDEX([1]PCRs!B:B,MATCH(LEFT($A718,6)&amp;"*",[1]PCRs!A:A,0))="Positivo",
      "✅ Positivo",
      IF(INDEX([1]PCRs!B:B,MATCH(LEFT($A718,6)&amp;"*",[1]PCRs!A:A,0))="Negativo",
         "❌ Negativo",
         "⏳ No realizado")),
   "⏳ No realizado"
)</f>
        <v>✅ Positivo</v>
      </c>
      <c r="D718" s="255" t="str">
        <f>IFERROR(
   CHOOSE(
      MATCH(VLOOKUP(LEFT(A765,6)&amp;"*",'Identificación genética'!A:C,2,FALSE),
               {"En proceso";"Finalizado"},0),
      "🔬 En proceso",
      "🎯 Finalizado"
   ),
"❌ NA")</f>
        <v>❌ NA</v>
      </c>
      <c r="E718" t="s">
        <v>85</v>
      </c>
      <c r="F718" s="586">
        <v>45768</v>
      </c>
      <c r="G718" t="str">
        <f>_xlfn.XLOOKUP(A718, Extraídas!A:A, Extraídas!G:G, "")</f>
        <v>Microalgas</v>
      </c>
    </row>
    <row r="719" spans="1:7" ht="15" thickBot="1" x14ac:dyDescent="0.35">
      <c r="A719" s="646" t="s">
        <v>805</v>
      </c>
      <c r="B719" s="255" t="str">
        <f>IFERROR(
   IF(INDEX(Extraídas!B:B,MATCH(LEFT($A719,6)&amp;"*",Extraídas!A:A,0))="Extraídas",
      "✅ En proceso",
      IF(INDEX(Extraídas!B:B,MATCH(LEFT($A719,6)&amp;"*",Extraídas!A:A,0))="Recibidas",
         "⏳ Pendiente","❌ No ingresada")),
   "❌ No ingresada"
)</f>
        <v>⏳ Pendiente</v>
      </c>
      <c r="C719" s="255" t="str">
        <f t="array" ref="C719">IFERROR(
   IF(INDEX([1]PCRs!B:B,MATCH(LEFT($A719,6)&amp;"*",[1]PCRs!A:A,0))="Positivo",
      "✅ Positivo",
      IF(INDEX([1]PCRs!B:B,MATCH(LEFT($A719,6)&amp;"*",[1]PCRs!A:A,0))="Negativo",
         "❌ Negativo",
         "⏳ No realizado")),
   "⏳ No realizado"
)</f>
        <v>✅ Positivo</v>
      </c>
      <c r="D719" s="255" t="str">
        <f>IFERROR(
   CHOOSE(
      MATCH(VLOOKUP(LEFT(A766,6)&amp;"*",'Identificación genética'!A:C,2,FALSE),
               {"En proceso";"Finalizado"},0),
      "🔬 En proceso",
      "🎯 Finalizado"
   ),
"❌ NA")</f>
        <v>❌ NA</v>
      </c>
      <c r="E719" t="s">
        <v>85</v>
      </c>
      <c r="F719" s="583">
        <v>45922</v>
      </c>
      <c r="G719" t="str">
        <f>_xlfn.XLOOKUP(A719, Extraídas!A:A, Extraídas!G:G, "")</f>
        <v>Cianobacterias</v>
      </c>
    </row>
    <row r="720" spans="1:7" ht="15" thickBot="1" x14ac:dyDescent="0.35">
      <c r="A720" s="647" t="s">
        <v>806</v>
      </c>
      <c r="B720" s="255" t="str">
        <f>IFERROR(
   IF(INDEX(Extraídas!B:B,MATCH(LEFT($A720,6)&amp;"*",Extraídas!A:A,0))="Extraídas",
      "✅ En proceso",
      IF(INDEX(Extraídas!B:B,MATCH(LEFT($A720,6)&amp;"*",Extraídas!A:A,0))="Recibidas",
         "⏳ Pendiente","❌ No ingresada")),
   "❌ No ingresada"
)</f>
        <v>⏳ Pendiente</v>
      </c>
      <c r="C720" s="255" t="str">
        <f t="array" ref="C720">IFERROR(
   IF(INDEX([1]PCRs!B:B,MATCH(LEFT($A720,6)&amp;"*",[1]PCRs!A:A,0))="Positivo",
      "✅ Positivo",
      IF(INDEX([1]PCRs!B:B,MATCH(LEFT($A720,6)&amp;"*",[1]PCRs!A:A,0))="Negativo",
         "❌ Negativo",
         "⏳ No realizado")),
   "⏳ No realizado"
)</f>
        <v>✅ Positivo</v>
      </c>
      <c r="D720" s="255" t="str">
        <f>IFERROR(
   CHOOSE(
      MATCH(VLOOKUP(LEFT(A767,6)&amp;"*",'Identificación genética'!A:C,2,FALSE),
               {"En proceso";"Finalizado"},0),
      "🔬 En proceso",
      "🎯 Finalizado"
   ),
"❌ NA")</f>
        <v>❌ NA</v>
      </c>
      <c r="E720" t="s">
        <v>85</v>
      </c>
      <c r="F720" s="586">
        <v>45848</v>
      </c>
      <c r="G720" t="str">
        <f>_xlfn.XLOOKUP(A720, Extraídas!A:A, Extraídas!G:G, "")</f>
        <v>Microalgas</v>
      </c>
    </row>
    <row r="721" spans="1:7" ht="15" thickBot="1" x14ac:dyDescent="0.35">
      <c r="A721" s="649" t="s">
        <v>807</v>
      </c>
      <c r="B721" s="255" t="str">
        <f>IFERROR(
   IF(INDEX(Extraídas!B:B,MATCH(LEFT($A721,6)&amp;"*",Extraídas!A:A,0))="Extraídas",
      "✅ En proceso",
      IF(INDEX(Extraídas!B:B,MATCH(LEFT($A721,6)&amp;"*",Extraídas!A:A,0))="Recibidas",
         "⏳ Pendiente","❌ No ingresada")),
   "❌ No ingresada"
)</f>
        <v>⏳ Pendiente</v>
      </c>
      <c r="C721" s="255" t="str">
        <f t="array" ref="C721">IFERROR(
   IF(INDEX([1]PCRs!B:B,MATCH(LEFT($A721,6)&amp;"*",[1]PCRs!A:A,0))="Positivo",
      "✅ Positivo",
      IF(INDEX([1]PCRs!B:B,MATCH(LEFT($A721,6)&amp;"*",[1]PCRs!A:A,0))="Negativo",
         "❌ Negativo",
         "⏳ No realizado")),
   "⏳ No realizado"
)</f>
        <v>✅ Positivo</v>
      </c>
      <c r="D721" s="255" t="str">
        <f>IFERROR(
   CHOOSE(
      MATCH(VLOOKUP(LEFT(A768,6)&amp;"*",'Identificación genética'!A:C,2,FALSE),
               {"En proceso";"Finalizado"},0),
      "🔬 En proceso",
      "🎯 Finalizado"
   ),
"❌ NA")</f>
        <v>❌ NA</v>
      </c>
      <c r="E721" t="s">
        <v>85</v>
      </c>
      <c r="F721" s="575">
        <v>45922</v>
      </c>
      <c r="G721" t="str">
        <f>_xlfn.XLOOKUP(A721, Extraídas!A:A, Extraídas!G:G, "")</f>
        <v>Cianobacterias</v>
      </c>
    </row>
    <row r="722" spans="1:7" ht="15" thickBot="1" x14ac:dyDescent="0.35">
      <c r="A722" s="647" t="s">
        <v>808</v>
      </c>
      <c r="B722" s="255" t="str">
        <f>IFERROR(
   IF(INDEX(Extraídas!B:B,MATCH(LEFT($A722,6)&amp;"*",Extraídas!A:A,0))="Extraídas",
      "✅ En proceso",
      IF(INDEX(Extraídas!B:B,MATCH(LEFT($A722,6)&amp;"*",Extraídas!A:A,0))="Recibidas",
         "⏳ Pendiente","❌ No ingresada")),
   "❌ No ingresada"
)</f>
        <v>⏳ Pendiente</v>
      </c>
      <c r="C722" s="255" t="str">
        <f t="array" ref="C722">IFERROR(
   IF(INDEX([1]PCRs!B:B,MATCH(LEFT($A722,6)&amp;"*",[1]PCRs!A:A,0))="Positivo",
      "✅ Positivo",
      IF(INDEX([1]PCRs!B:B,MATCH(LEFT($A722,6)&amp;"*",[1]PCRs!A:A,0))="Negativo",
         "❌ Negativo",
         "⏳ No realizado")),
   "⏳ No realizado"
)</f>
        <v>✅ Positivo</v>
      </c>
      <c r="D722" s="255" t="str">
        <f>IFERROR(
   CHOOSE(
      MATCH(VLOOKUP(LEFT(A769,6)&amp;"*",'Identificación genética'!A:C,2,FALSE),
               {"En proceso";"Finalizado"},0),
      "🔬 En proceso",
      "🎯 Finalizado"
   ),
"❌ NA")</f>
        <v>🎯 Finalizado</v>
      </c>
      <c r="E722" t="s">
        <v>85</v>
      </c>
      <c r="F722" s="586">
        <v>45768</v>
      </c>
      <c r="G722" t="str">
        <f>_xlfn.XLOOKUP(A722, Extraídas!A:A, Extraídas!G:G, "")</f>
        <v>Microalgas</v>
      </c>
    </row>
    <row r="723" spans="1:7" ht="15" thickBot="1" x14ac:dyDescent="0.35">
      <c r="A723" s="646" t="s">
        <v>809</v>
      </c>
      <c r="B723" s="255" t="str">
        <f>IFERROR(
   IF(INDEX(Extraídas!B:B,MATCH(LEFT($A723,6)&amp;"*",Extraídas!A:A,0))="Extraídas",
      "✅ En proceso",
      IF(INDEX(Extraídas!B:B,MATCH(LEFT($A723,6)&amp;"*",Extraídas!A:A,0))="Recibidas",
         "⏳ Pendiente","❌ No ingresada")),
   "❌ No ingresada"
)</f>
        <v>⏳ Pendiente</v>
      </c>
      <c r="C723" s="255" t="str">
        <f t="array" ref="C723">IFERROR(
   IF(INDEX([1]PCRs!B:B,MATCH(LEFT($A723,6)&amp;"*",[1]PCRs!A:A,0))="Positivo",
      "✅ Positivo",
      IF(INDEX([1]PCRs!B:B,MATCH(LEFT($A723,6)&amp;"*",[1]PCRs!A:A,0))="Negativo",
         "❌ Negativo",
         "⏳ No realizado")),
   "⏳ No realizado"
)</f>
        <v>✅ Positivo</v>
      </c>
      <c r="D723" s="255" t="str">
        <f>IFERROR(
   CHOOSE(
      MATCH(VLOOKUP(LEFT(A770,6)&amp;"*",'Identificación genética'!A:C,2,FALSE),
               {"En proceso";"Finalizado"},0),
      "🔬 En proceso",
      "🎯 Finalizado"
   ),
"❌ NA")</f>
        <v>🎯 Finalizado</v>
      </c>
      <c r="E723" t="s">
        <v>85</v>
      </c>
      <c r="F723" s="583">
        <v>45922</v>
      </c>
      <c r="G723" t="str">
        <f>_xlfn.XLOOKUP(A723, Extraídas!A:A, Extraídas!G:G, "")</f>
        <v>Cianobacterias</v>
      </c>
    </row>
    <row r="724" spans="1:7" ht="15" thickBot="1" x14ac:dyDescent="0.35">
      <c r="A724" s="556" t="s">
        <v>1050</v>
      </c>
      <c r="B724" s="255" t="str">
        <f>IFERROR(
   IF(INDEX(Extraídas!B:B,MATCH(LEFT($A724,6)&amp;"*",Extraídas!A:A,0))="Extraídas",
      "✅ En proceso",
      IF(INDEX(Extraídas!B:B,MATCH(LEFT($A724,6)&amp;"*",Extraídas!A:A,0))="Recibidas",
         "⏳ Pendiente","❌ No ingresada")),
   "❌ No ingresada"
)</f>
        <v>⏳ Pendiente</v>
      </c>
      <c r="C724" s="255" t="str">
        <f t="array" ref="C724">IFERROR(
   IF(INDEX([1]PCRs!B:B,MATCH(LEFT($A724,6)&amp;"*",[1]PCRs!A:A,0))="Positivo",
      "✅ Positivo",
      IF(INDEX([1]PCRs!B:B,MATCH(LEFT($A724,6)&amp;"*",[1]PCRs!A:A,0))="Negativo",
         "❌ Negativo",
         "⏳ No realizado")),
   "⏳ No realizado"
)</f>
        <v>✅ Positivo</v>
      </c>
      <c r="D724" s="255" t="str">
        <f>IFERROR(
   CHOOSE(
      MATCH(VLOOKUP(LEFT(A771,6)&amp;"*",'Identificación genética'!A:C,2,FALSE),
               {"En proceso";"Finalizado"},0),
      "🔬 En proceso",
      "🎯 Finalizado"
   ),
"❌ NA")</f>
        <v>🎯 Finalizado</v>
      </c>
      <c r="E724" t="s">
        <v>85</v>
      </c>
      <c r="G724" t="str">
        <f>_xlfn.XLOOKUP(A724, Extraídas!A:A, Extraídas!G:G, "")</f>
        <v/>
      </c>
    </row>
    <row r="725" spans="1:7" ht="15" thickBot="1" x14ac:dyDescent="0.35">
      <c r="A725" s="646" t="s">
        <v>810</v>
      </c>
      <c r="B725" s="255" t="str">
        <f>IFERROR(
   IF(INDEX(Extraídas!B:B,MATCH(LEFT($A725,6)&amp;"*",Extraídas!A:A,0))="Extraídas",
      "✅ En proceso",
      IF(INDEX(Extraídas!B:B,MATCH(LEFT($A725,6)&amp;"*",Extraídas!A:A,0))="Recibidas",
         "⏳ Pendiente","❌ No ingresada")),
   "❌ No ingresada"
)</f>
        <v>⏳ Pendiente</v>
      </c>
      <c r="C725" s="255" t="str">
        <f t="array" ref="C725">IFERROR(
   IF(INDEX([1]PCRs!B:B,MATCH(LEFT($A725,6)&amp;"*",[1]PCRs!A:A,0))="Positivo",
      "✅ Positivo",
      IF(INDEX([1]PCRs!B:B,MATCH(LEFT($A725,6)&amp;"*",[1]PCRs!A:A,0))="Negativo",
         "❌ Negativo",
         "⏳ No realizado")),
   "⏳ No realizado"
)</f>
        <v>✅ Positivo</v>
      </c>
      <c r="D725" s="255" t="str">
        <f>IFERROR(
   CHOOSE(
      MATCH(VLOOKUP(LEFT(A772,6)&amp;"*",'Identificación genética'!A:C,2,FALSE),
               {"En proceso";"Finalizado"},0),
      "🔬 En proceso",
      "🎯 Finalizado"
   ),
"❌ NA")</f>
        <v>🎯 Finalizado</v>
      </c>
      <c r="E725" t="s">
        <v>85</v>
      </c>
      <c r="F725" s="586">
        <v>45848</v>
      </c>
      <c r="G725" t="str">
        <f>_xlfn.XLOOKUP(A725, Extraídas!A:A, Extraídas!G:G, "")</f>
        <v>Cianobacterias</v>
      </c>
    </row>
    <row r="726" spans="1:7" ht="15" thickBot="1" x14ac:dyDescent="0.35">
      <c r="A726" s="648" t="s">
        <v>811</v>
      </c>
      <c r="B726" s="255" t="str">
        <f>IFERROR(
   IF(INDEX(Extraídas!B:B,MATCH(LEFT($A726,6)&amp;"*",Extraídas!A:A,0))="Extraídas",
      "✅ En proceso",
      IF(INDEX(Extraídas!B:B,MATCH(LEFT($A726,6)&amp;"*",Extraídas!A:A,0))="Recibidas",
         "⏳ Pendiente","❌ No ingresada")),
   "❌ No ingresada"
)</f>
        <v>⏳ Pendiente</v>
      </c>
      <c r="C726" s="255" t="str">
        <f t="array" ref="C726">IFERROR(
   IF(INDEX([1]PCRs!B:B,MATCH(LEFT($A726,6)&amp;"*",[1]PCRs!A:A,0))="Positivo",
      "✅ Positivo",
      IF(INDEX([1]PCRs!B:B,MATCH(LEFT($A726,6)&amp;"*",[1]PCRs!A:A,0))="Negativo",
         "❌ Negativo",
         "⏳ No realizado")),
   "⏳ No realizado"
)</f>
        <v>✅ Positivo</v>
      </c>
      <c r="D726" s="255" t="str">
        <f>IFERROR(
   CHOOSE(
      MATCH(VLOOKUP(LEFT(A773,6)&amp;"*",'Identificación genética'!A:C,2,FALSE),
               {"En proceso";"Finalizado"},0),
      "🔬 En proceso",
      "🎯 Finalizado"
   ),
"❌ NA")</f>
        <v>🎯 Finalizado</v>
      </c>
      <c r="E726" t="s">
        <v>85</v>
      </c>
      <c r="F726" s="575">
        <v>45922</v>
      </c>
      <c r="G726" t="str">
        <f>_xlfn.XLOOKUP(A726, Extraídas!A:A, Extraídas!G:G, "")</f>
        <v>Chlorophyceae</v>
      </c>
    </row>
    <row r="727" spans="1:7" ht="15" thickBot="1" x14ac:dyDescent="0.35">
      <c r="A727" s="646" t="s">
        <v>812</v>
      </c>
      <c r="B727" s="255" t="str">
        <f>IFERROR(
   IF(INDEX(Extraídas!B:B,MATCH(LEFT($A727,6)&amp;"*",Extraídas!A:A,0))="Extraídas",
      "✅ En proceso",
      IF(INDEX(Extraídas!B:B,MATCH(LEFT($A727,6)&amp;"*",Extraídas!A:A,0))="Recibidas",
         "⏳ Pendiente","❌ No ingresada")),
   "❌ No ingresada"
)</f>
        <v>⏳ Pendiente</v>
      </c>
      <c r="C727" s="255" t="str">
        <f t="array" ref="C727">IFERROR(
   IF(INDEX([1]PCRs!B:B,MATCH(LEFT($A727,6)&amp;"*",[1]PCRs!A:A,0))="Positivo",
      "✅ Positivo",
      IF(INDEX([1]PCRs!B:B,MATCH(LEFT($A727,6)&amp;"*",[1]PCRs!A:A,0))="Negativo",
         "❌ Negativo",
         "⏳ No realizado")),
   "⏳ No realizado"
)</f>
        <v>✅ Positivo</v>
      </c>
      <c r="D727" s="255" t="str">
        <f>IFERROR(
   CHOOSE(
      MATCH(VLOOKUP(LEFT(A774,6)&amp;"*",'Identificación genética'!A:C,2,FALSE),
               {"En proceso";"Finalizado"},0),
      "🔬 En proceso",
      "🎯 Finalizado"
   ),
"❌ NA")</f>
        <v>🎯 Finalizado</v>
      </c>
      <c r="E727" t="s">
        <v>85</v>
      </c>
      <c r="F727" s="98">
        <v>45922</v>
      </c>
      <c r="G727" t="str">
        <f>_xlfn.XLOOKUP(A727, Extraídas!A:A, Extraídas!G:G, "")</f>
        <v>Cianobacterias</v>
      </c>
    </row>
    <row r="728" spans="1:7" ht="15" thickBot="1" x14ac:dyDescent="0.35">
      <c r="A728" s="647" t="s">
        <v>813</v>
      </c>
      <c r="B728" s="255" t="str">
        <f>IFERROR(
   IF(INDEX(Extraídas!B:B,MATCH(LEFT($A728,6)&amp;"*",Extraídas!A:A,0))="Extraídas",
      "✅ En proceso",
      IF(INDEX(Extraídas!B:B,MATCH(LEFT($A728,6)&amp;"*",Extraídas!A:A,0))="Recibidas",
         "⏳ Pendiente","❌ No ingresada")),
   "❌ No ingresada"
)</f>
        <v>⏳ Pendiente</v>
      </c>
      <c r="C728" s="255" t="str">
        <f t="array" ref="C728">IFERROR(
   IF(INDEX([1]PCRs!B:B,MATCH(LEFT($A728,6)&amp;"*",[1]PCRs!A:A,0))="Positivo",
      "✅ Positivo",
      IF(INDEX([1]PCRs!B:B,MATCH(LEFT($A728,6)&amp;"*",[1]PCRs!A:A,0))="Negativo",
         "❌ Negativo",
         "⏳ No realizado")),
   "⏳ No realizado"
)</f>
        <v>✅ Positivo</v>
      </c>
      <c r="D728" s="255" t="str">
        <f>IFERROR(
   CHOOSE(
      MATCH(VLOOKUP(LEFT(A775,6)&amp;"*",'Identificación genética'!A:C,2,FALSE),
               {"En proceso";"Finalizado"},0),
      "🔬 En proceso",
      "🎯 Finalizado"
   ),
"❌ NA")</f>
        <v>🎯 Finalizado</v>
      </c>
      <c r="E728" t="s">
        <v>85</v>
      </c>
      <c r="F728" s="29">
        <v>45768</v>
      </c>
      <c r="G728" t="str">
        <f>_xlfn.XLOOKUP(A728, Extraídas!A:A, Extraídas!G:G, "")</f>
        <v>Microalgas</v>
      </c>
    </row>
    <row r="729" spans="1:7" ht="15" thickBot="1" x14ac:dyDescent="0.35">
      <c r="A729" s="646" t="s">
        <v>814</v>
      </c>
      <c r="B729" s="255" t="str">
        <f>IFERROR(
   IF(INDEX(Extraídas!B:B,MATCH(LEFT($A729,6)&amp;"*",Extraídas!A:A,0))="Extraídas",
      "✅ En proceso",
      IF(INDEX(Extraídas!B:B,MATCH(LEFT($A729,6)&amp;"*",Extraídas!A:A,0))="Recibidas",
         "⏳ Pendiente","❌ No ingresada")),
   "❌ No ingresada"
)</f>
        <v>⏳ Pendiente</v>
      </c>
      <c r="C729" s="255" t="str">
        <f t="array" ref="C729">IFERROR(
   IF(INDEX([1]PCRs!B:B,MATCH(LEFT($A729,6)&amp;"*",[1]PCRs!A:A,0))="Positivo",
      "✅ Positivo",
      IF(INDEX([1]PCRs!B:B,MATCH(LEFT($A729,6)&amp;"*",[1]PCRs!A:A,0))="Negativo",
         "❌ Negativo",
         "⏳ No realizado")),
   "⏳ No realizado"
)</f>
        <v>✅ Positivo</v>
      </c>
      <c r="D729" s="255" t="str">
        <f>IFERROR(
   CHOOSE(
      MATCH(VLOOKUP(LEFT(A776,6)&amp;"*",'Identificación genética'!A:C,2,FALSE),
               {"En proceso";"Finalizado"},0),
      "🔬 En proceso",
      "🎯 Finalizado"
   ),
"❌ NA")</f>
        <v>🎯 Finalizado</v>
      </c>
      <c r="E729" t="s">
        <v>85</v>
      </c>
      <c r="F729" s="98">
        <v>45922</v>
      </c>
      <c r="G729" t="str">
        <f>_xlfn.XLOOKUP(A729, Extraídas!A:A, Extraídas!G:G, "")</f>
        <v>Cianobacterias</v>
      </c>
    </row>
    <row r="730" spans="1:7" ht="15" thickBot="1" x14ac:dyDescent="0.35">
      <c r="A730" s="556" t="s">
        <v>1150</v>
      </c>
      <c r="B730" s="255" t="str">
        <f>IFERROR(
   IF(INDEX(Extraídas!B:B,MATCH(LEFT($A730,6)&amp;"*",Extraídas!A:A,0))="Extraídas",
      "✅ En proceso",
      IF(INDEX(Extraídas!B:B,MATCH(LEFT($A730,6)&amp;"*",Extraídas!A:A,0))="Recibidas",
         "⏳ Pendiente","❌ No ingresada")),
   "❌ No ingresada"
)</f>
        <v>⏳ Pendiente</v>
      </c>
      <c r="C730" s="255" t="str">
        <f t="array" ref="C730">IFERROR(
   IF(INDEX([1]PCRs!B:B,MATCH(LEFT($A730,6)&amp;"*",[1]PCRs!A:A,0))="Positivo",
      "✅ Positivo",
      IF(INDEX([1]PCRs!B:B,MATCH(LEFT($A730,6)&amp;"*",[1]PCRs!A:A,0))="Negativo",
         "❌ Negativo",
         "⏳ No realizado")),
   "⏳ No realizado"
)</f>
        <v>✅ Positivo</v>
      </c>
      <c r="D730" s="255" t="str">
        <f>IFERROR(
   CHOOSE(
      MATCH(VLOOKUP(LEFT(A777,6)&amp;"*",'Identificación genética'!A:C,2,FALSE),
               {"En proceso";"Finalizado"},0),
      "🔬 En proceso",
      "🎯 Finalizado"
   ),
"❌ NA")</f>
        <v>❌ NA</v>
      </c>
      <c r="E730" t="s">
        <v>85</v>
      </c>
      <c r="G730" t="str">
        <f>_xlfn.XLOOKUP(A730, Extraídas!A:A, Extraídas!G:G, "")</f>
        <v/>
      </c>
    </row>
    <row r="731" spans="1:7" ht="15" thickBot="1" x14ac:dyDescent="0.35">
      <c r="A731" s="646" t="s">
        <v>815</v>
      </c>
      <c r="B731" s="255" t="str">
        <f>IFERROR(
   IF(INDEX(Extraídas!B:B,MATCH(LEFT($A731,6)&amp;"*",Extraídas!A:A,0))="Extraídas",
      "✅ En proceso",
      IF(INDEX(Extraídas!B:B,MATCH(LEFT($A731,6)&amp;"*",Extraídas!A:A,0))="Recibidas",
         "⏳ Pendiente","❌ No ingresada")),
   "❌ No ingresada"
)</f>
        <v>⏳ Pendiente</v>
      </c>
      <c r="C731" s="255" t="str">
        <f t="array" ref="C731">IFERROR(
   IF(INDEX([1]PCRs!B:B,MATCH(LEFT($A731,6)&amp;"*",[1]PCRs!A:A,0))="Positivo",
      "✅ Positivo",
      IF(INDEX([1]PCRs!B:B,MATCH(LEFT($A731,6)&amp;"*",[1]PCRs!A:A,0))="Negativo",
         "❌ Negativo",
         "⏳ No realizado")),
   "⏳ No realizado"
)</f>
        <v>✅ Positivo</v>
      </c>
      <c r="D731" s="255" t="str">
        <f>IFERROR(
   CHOOSE(
      MATCH(VLOOKUP(LEFT(A778,6)&amp;"*",'Identificación genética'!A:C,2,FALSE),
               {"En proceso";"Finalizado"},0),
      "🔬 En proceso",
      "🎯 Finalizado"
   ),
"❌ NA")</f>
        <v>❌ NA</v>
      </c>
      <c r="E731" t="s">
        <v>85</v>
      </c>
      <c r="F731" s="98">
        <v>45938</v>
      </c>
      <c r="G731" t="str">
        <f>_xlfn.XLOOKUP(A731, Extraídas!A:A, Extraídas!G:G, "")</f>
        <v>Cianobacterias</v>
      </c>
    </row>
    <row r="732" spans="1:7" ht="15" thickBot="1" x14ac:dyDescent="0.35">
      <c r="A732" s="604" t="s">
        <v>2015</v>
      </c>
      <c r="B732" s="255" t="str">
        <f>IFERROR(
   IF(INDEX(Extraídas!B:B,MATCH(LEFT($A732,6)&amp;"*",Extraídas!A:A,0))="Extraídas",
      "✅ En proceso",
      IF(INDEX(Extraídas!B:B,MATCH(LEFT($A732,6)&amp;"*",Extraídas!A:A,0))="Recibidas",
         "⏳ Pendiente","❌ No ingresada")),
   "❌ No ingresada"
)</f>
        <v>⏳ Pendiente</v>
      </c>
      <c r="C732" s="255" t="str">
        <f t="array" ref="C732">IFERROR(
   IF(INDEX([1]PCRs!B:B,MATCH(LEFT($A732,6)&amp;"*",[1]PCRs!A:A,0))="Positivo",
      "✅ Positivo",
      IF(INDEX([1]PCRs!B:B,MATCH(LEFT($A732,6)&amp;"*",[1]PCRs!A:A,0))="Negativo",
         "❌ Negativo",
         "⏳ No realizado")),
   "⏳ No realizado"
)</f>
        <v>✅ Positivo</v>
      </c>
      <c r="D732" s="255" t="str">
        <f>IFERROR(
   CHOOSE(
      MATCH(VLOOKUP(LEFT(A779,6)&amp;"*",'Identificación genética'!A:C,2,FALSE),
               {"En proceso";"Finalizado"},0),
      "🔬 En proceso",
      "🎯 Finalizado"
   ),
"❌ NA")</f>
        <v>❌ NA</v>
      </c>
      <c r="E732" t="s">
        <v>85</v>
      </c>
      <c r="G732" t="str">
        <f>_xlfn.XLOOKUP(A732, Extraídas!A:A, Extraídas!G:G, "")</f>
        <v/>
      </c>
    </row>
    <row r="733" spans="1:7" ht="15" thickBot="1" x14ac:dyDescent="0.35">
      <c r="A733" s="647" t="s">
        <v>816</v>
      </c>
      <c r="B733" s="255" t="str">
        <f>IFERROR(
   IF(INDEX(Extraídas!B:B,MATCH(LEFT($A733,6)&amp;"*",Extraídas!A:A,0))="Extraídas",
      "✅ En proceso",
      IF(INDEX(Extraídas!B:B,MATCH(LEFT($A733,6)&amp;"*",Extraídas!A:A,0))="Recibidas",
         "⏳ Pendiente","❌ No ingresada")),
   "❌ No ingresada"
)</f>
        <v>⏳ Pendiente</v>
      </c>
      <c r="C733" s="255" t="str">
        <f t="array" ref="C733">IFERROR(
   IF(INDEX([1]PCRs!B:B,MATCH(LEFT($A733,6)&amp;"*",[1]PCRs!A:A,0))="Positivo",
      "✅ Positivo",
      IF(INDEX([1]PCRs!B:B,MATCH(LEFT($A733,6)&amp;"*",[1]PCRs!A:A,0))="Negativo",
         "❌ Negativo",
         "⏳ No realizado")),
   "⏳ No realizado"
)</f>
        <v>✅ Positivo</v>
      </c>
      <c r="D733" s="255" t="str">
        <f>IFERROR(
   CHOOSE(
      MATCH(VLOOKUP(LEFT(A780,6)&amp;"*",'Identificación genética'!A:C,2,FALSE),
               {"En proceso";"Finalizado"},0),
      "🔬 En proceso",
      "🎯 Finalizado"
   ),
"❌ NA")</f>
        <v>❌ NA</v>
      </c>
      <c r="E733" t="s">
        <v>85</v>
      </c>
      <c r="F733" s="98">
        <v>45938</v>
      </c>
      <c r="G733" t="str">
        <f>_xlfn.XLOOKUP(A733, Extraídas!A:A, Extraídas!G:G, "")</f>
        <v>Cianobacterias</v>
      </c>
    </row>
    <row r="734" spans="1:7" ht="15" thickBot="1" x14ac:dyDescent="0.35">
      <c r="A734" s="646" t="s">
        <v>817</v>
      </c>
      <c r="B734" s="255" t="str">
        <f>IFERROR(
   IF(INDEX(Extraídas!B:B,MATCH(LEFT($A734,6)&amp;"*",Extraídas!A:A,0))="Extraídas",
      "✅ En proceso",
      IF(INDEX(Extraídas!B:B,MATCH(LEFT($A734,6)&amp;"*",Extraídas!A:A,0))="Recibidas",
         "⏳ Pendiente","❌ No ingresada")),
   "❌ No ingresada"
)</f>
        <v>⏳ Pendiente</v>
      </c>
      <c r="C734" s="255" t="str">
        <f t="array" ref="C734">IFERROR(
   IF(INDEX([1]PCRs!B:B,MATCH(LEFT($A734,6)&amp;"*",[1]PCRs!A:A,0))="Positivo",
      "✅ Positivo",
      IF(INDEX([1]PCRs!B:B,MATCH(LEFT($A734,6)&amp;"*",[1]PCRs!A:A,0))="Negativo",
         "❌ Negativo",
         "⏳ No realizado")),
   "⏳ No realizado"
)</f>
        <v>✅ Positivo</v>
      </c>
      <c r="D734" s="255" t="str">
        <f>IFERROR(
   CHOOSE(
      MATCH(VLOOKUP(LEFT(A781,6)&amp;"*",'Identificación genética'!A:C,2,FALSE),
               {"En proceso";"Finalizado"},0),
      "🔬 En proceso",
      "🎯 Finalizado"
   ),
"❌ NA")</f>
        <v>❌ NA</v>
      </c>
      <c r="E734" t="s">
        <v>85</v>
      </c>
      <c r="F734" s="98">
        <v>45938</v>
      </c>
      <c r="G734" t="str">
        <f>_xlfn.XLOOKUP(A734, Extraídas!A:A, Extraídas!G:G, "")</f>
        <v>Cianobacterias</v>
      </c>
    </row>
    <row r="735" spans="1:7" ht="15" thickBot="1" x14ac:dyDescent="0.35">
      <c r="A735" s="647" t="s">
        <v>818</v>
      </c>
      <c r="B735" s="255" t="str">
        <f>IFERROR(
   IF(INDEX(Extraídas!B:B,MATCH(LEFT($A735,6)&amp;"*",Extraídas!A:A,0))="Extraídas",
      "✅ En proceso",
      IF(INDEX(Extraídas!B:B,MATCH(LEFT($A735,6)&amp;"*",Extraídas!A:A,0))="Recibidas",
         "⏳ Pendiente","❌ No ingresada")),
   "❌ No ingresada"
)</f>
        <v>⏳ Pendiente</v>
      </c>
      <c r="C735" s="255" t="str">
        <f t="array" ref="C735">IFERROR(
   IF(INDEX([1]PCRs!B:B,MATCH(LEFT($A735,6)&amp;"*",[1]PCRs!A:A,0))="Positivo",
      "✅ Positivo",
      IF(INDEX([1]PCRs!B:B,MATCH(LEFT($A735,6)&amp;"*",[1]PCRs!A:A,0))="Negativo",
         "❌ Negativo",
         "⏳ No realizado")),
   "⏳ No realizado"
)</f>
        <v>✅ Positivo</v>
      </c>
      <c r="D735" s="255" t="str">
        <f>IFERROR(
   CHOOSE(
      MATCH(VLOOKUP(LEFT(A782,6)&amp;"*",'Identificación genética'!A:C,2,FALSE),
               {"En proceso";"Finalizado"},0),
      "🔬 En proceso",
      "🎯 Finalizado"
   ),
"❌ NA")</f>
        <v>❌ NA</v>
      </c>
      <c r="E735" t="s">
        <v>85</v>
      </c>
      <c r="F735" s="98">
        <v>45938</v>
      </c>
      <c r="G735" t="str">
        <f>_xlfn.XLOOKUP(A735, Extraídas!A:A, Extraídas!G:G, "")</f>
        <v>Cianobacterias</v>
      </c>
    </row>
    <row r="736" spans="1:7" ht="15" thickBot="1" x14ac:dyDescent="0.35">
      <c r="A736" s="555" t="s">
        <v>1151</v>
      </c>
      <c r="B736" s="255" t="str">
        <f>IFERROR(
   IF(INDEX(Extraídas!B:B,MATCH(LEFT($A736,6)&amp;"*",Extraídas!A:A,0))="Extraídas",
      "✅ En proceso",
      IF(INDEX(Extraídas!B:B,MATCH(LEFT($A736,6)&amp;"*",Extraídas!A:A,0))="Recibidas",
         "⏳ Pendiente","❌ No ingresada")),
   "❌ No ingresada"
)</f>
        <v>⏳ Pendiente</v>
      </c>
      <c r="C736" s="255" t="str">
        <f t="array" ref="C736">IFERROR(
   IF(INDEX([1]PCRs!B:B,MATCH(LEFT($A736,6)&amp;"*",[1]PCRs!A:A,0))="Positivo",
      "✅ Positivo",
      IF(INDEX([1]PCRs!B:B,MATCH(LEFT($A736,6)&amp;"*",[1]PCRs!A:A,0))="Negativo",
         "❌ Negativo",
         "⏳ No realizado")),
   "⏳ No realizado"
)</f>
        <v>✅ Positivo</v>
      </c>
      <c r="D736" s="255" t="str">
        <f>IFERROR(
   CHOOSE(
      MATCH(VLOOKUP(LEFT(A783,6)&amp;"*",'Identificación genética'!A:C,2,FALSE),
               {"En proceso";"Finalizado"},0),
      "🔬 En proceso",
      "🎯 Finalizado"
   ),
"❌ NA")</f>
        <v>❌ NA</v>
      </c>
      <c r="E736" t="s">
        <v>85</v>
      </c>
      <c r="G736" t="str">
        <f>_xlfn.XLOOKUP(A736, Extraídas!A:A, Extraídas!G:G, "")</f>
        <v/>
      </c>
    </row>
    <row r="737" spans="1:7" ht="15" thickBot="1" x14ac:dyDescent="0.35">
      <c r="A737" s="648" t="s">
        <v>819</v>
      </c>
      <c r="B737" s="255" t="str">
        <f>IFERROR(
   IF(INDEX(Extraídas!B:B,MATCH(LEFT($A737,6)&amp;"*",Extraídas!A:A,0))="Extraídas",
      "✅ En proceso",
      IF(INDEX(Extraídas!B:B,MATCH(LEFT($A737,6)&amp;"*",Extraídas!A:A,0))="Recibidas",
         "⏳ Pendiente","❌ No ingresada")),
   "❌ No ingresada"
)</f>
        <v>⏳ Pendiente</v>
      </c>
      <c r="C737" s="255" t="str">
        <f t="array" ref="C737">IFERROR(
   IF(INDEX([1]PCRs!B:B,MATCH(LEFT($A737,6)&amp;"*",[1]PCRs!A:A,0))="Positivo",
      "✅ Positivo",
      IF(INDEX([1]PCRs!B:B,MATCH(LEFT($A737,6)&amp;"*",[1]PCRs!A:A,0))="Negativo",
         "❌ Negativo",
         "⏳ No realizado")),
   "⏳ No realizado"
)</f>
        <v>✅ Positivo</v>
      </c>
      <c r="D737" s="255" t="str">
        <f>IFERROR(
   CHOOSE(
      MATCH(VLOOKUP(LEFT(A784,6)&amp;"*",'Identificación genética'!A:C,2,FALSE),
               {"En proceso";"Finalizado"},0),
      "🔬 En proceso",
      "🎯 Finalizado"
   ),
"❌ NA")</f>
        <v>❌ NA</v>
      </c>
      <c r="E737" t="s">
        <v>85</v>
      </c>
      <c r="F737" s="111">
        <v>45705</v>
      </c>
      <c r="G737" t="str">
        <f>_xlfn.XLOOKUP(A737, Extraídas!A:A, Extraídas!G:G, "")</f>
        <v>Cianobacterias</v>
      </c>
    </row>
    <row r="738" spans="1:7" ht="15" thickBot="1" x14ac:dyDescent="0.35">
      <c r="A738" s="556" t="s">
        <v>1615</v>
      </c>
      <c r="B738" s="255" t="str">
        <f>IFERROR(
   IF(INDEX(Extraídas!B:B,MATCH(LEFT($A738,6)&amp;"*",Extraídas!A:A,0))="Extraídas",
      "✅ En proceso",
      IF(INDEX(Extraídas!B:B,MATCH(LEFT($A738,6)&amp;"*",Extraídas!A:A,0))="Recibidas",
         "⏳ Pendiente","❌ No ingresada")),
   "❌ No ingresada"
)</f>
        <v>⏳ Pendiente</v>
      </c>
      <c r="C738" s="255" t="str">
        <f t="array" ref="C738">IFERROR(
   IF(INDEX([1]PCRs!B:B,MATCH(LEFT($A738,6)&amp;"*",[1]PCRs!A:A,0))="Positivo",
      "✅ Positivo",
      IF(INDEX([1]PCRs!B:B,MATCH(LEFT($A738,6)&amp;"*",[1]PCRs!A:A,0))="Negativo",
         "❌ Negativo",
         "⏳ No realizado")),
   "⏳ No realizado"
)</f>
        <v>✅ Positivo</v>
      </c>
      <c r="D738" s="255" t="str">
        <f>IFERROR(
   CHOOSE(
      MATCH(VLOOKUP(LEFT(A785,6)&amp;"*",'Identificación genética'!A:C,2,FALSE),
               {"En proceso";"Finalizado"},0),
      "🔬 En proceso",
      "🎯 Finalizado"
   ),
"❌ NA")</f>
        <v>🎯 Finalizado</v>
      </c>
      <c r="E738" t="s">
        <v>85</v>
      </c>
      <c r="G738" t="str">
        <f>_xlfn.XLOOKUP(A738, Extraídas!A:A, Extraídas!G:G, "")</f>
        <v/>
      </c>
    </row>
    <row r="739" spans="1:7" ht="15" thickBot="1" x14ac:dyDescent="0.35">
      <c r="A739" s="648" t="s">
        <v>820</v>
      </c>
      <c r="B739" s="255" t="str">
        <f>IFERROR(
   IF(INDEX(Extraídas!B:B,MATCH(LEFT($A739,6)&amp;"*",Extraídas!A:A,0))="Extraídas",
      "✅ En proceso",
      IF(INDEX(Extraídas!B:B,MATCH(LEFT($A739,6)&amp;"*",Extraídas!A:A,0))="Recibidas",
         "⏳ Pendiente","❌ No ingresada")),
   "❌ No ingresada"
)</f>
        <v>⏳ Pendiente</v>
      </c>
      <c r="C739" s="255" t="str">
        <f t="array" ref="C739">IFERROR(
   IF(INDEX([1]PCRs!B:B,MATCH(LEFT($A739,6)&amp;"*",[1]PCRs!A:A,0))="Positivo",
      "✅ Positivo",
      IF(INDEX([1]PCRs!B:B,MATCH(LEFT($A739,6)&amp;"*",[1]PCRs!A:A,0))="Negativo",
         "❌ Negativo",
         "⏳ No realizado")),
   "⏳ No realizado"
)</f>
        <v>✅ Positivo</v>
      </c>
      <c r="D739" s="255" t="str">
        <f>IFERROR(
   CHOOSE(
      MATCH(VLOOKUP(LEFT(A786,6)&amp;"*",'Identificación genética'!A:C,2,FALSE),
               {"En proceso";"Finalizado"},0),
      "🔬 En proceso",
      "🎯 Finalizado"
   ),
"❌ NA")</f>
        <v>🎯 Finalizado</v>
      </c>
      <c r="E739" t="s">
        <v>85</v>
      </c>
      <c r="F739" s="111">
        <v>45705</v>
      </c>
      <c r="G739" t="str">
        <f>_xlfn.XLOOKUP(A739, Extraídas!A:A, Extraídas!G:G, "")</f>
        <v>Cianobacterias</v>
      </c>
    </row>
    <row r="740" spans="1:7" ht="15" thickBot="1" x14ac:dyDescent="0.35">
      <c r="A740" s="555" t="s">
        <v>2180</v>
      </c>
      <c r="B740" s="255" t="str">
        <f>IFERROR(
   IF(INDEX(Extraídas!B:B,MATCH(LEFT($A740,6)&amp;"*",Extraídas!A:A,0))="Extraídas",
      "✅ En proceso",
      IF(INDEX(Extraídas!B:B,MATCH(LEFT($A740,6)&amp;"*",Extraídas!A:A,0))="Recibidas",
         "⏳ Pendiente","❌ No ingresada")),
   "❌ No ingresada"
)</f>
        <v>✅ En proceso</v>
      </c>
      <c r="C740" s="255" t="str">
        <f t="array" ref="C740">IFERROR(
   IF(INDEX([1]PCRs!B:B,MATCH(LEFT($A740,6)&amp;"*",[1]PCRs!A:A,0))="Positivo",
      "✅ Positivo",
      IF(INDEX([1]PCRs!B:B,MATCH(LEFT($A740,6)&amp;"*",[1]PCRs!A:A,0))="Negativo",
         "❌ Negativo",
         "⏳ No realizado")),
   "⏳ No realizado"
)</f>
        <v>✅ Positivo</v>
      </c>
      <c r="D740" s="255" t="str">
        <f>IFERROR(
   CHOOSE(
      MATCH(VLOOKUP(LEFT(A787,6)&amp;"*",'Identificación genética'!A:C,2,FALSE),
               {"En proceso";"Finalizado"},0),
      "🔬 En proceso",
      "🎯 Finalizado"
   ),
"❌ NA")</f>
        <v>🎯 Finalizado</v>
      </c>
      <c r="E740" t="s">
        <v>85</v>
      </c>
      <c r="G740" t="str">
        <f>_xlfn.XLOOKUP(A740, Extraídas!A:A, Extraídas!G:G, "")</f>
        <v/>
      </c>
    </row>
    <row r="741" spans="1:7" ht="15" thickBot="1" x14ac:dyDescent="0.35">
      <c r="A741" s="648" t="s">
        <v>821</v>
      </c>
      <c r="B741" s="255" t="str">
        <f>IFERROR(
   IF(INDEX(Extraídas!B:B,MATCH(LEFT($A741,6)&amp;"*",Extraídas!A:A,0))="Extraídas",
      "✅ En proceso",
      IF(INDEX(Extraídas!B:B,MATCH(LEFT($A741,6)&amp;"*",Extraídas!A:A,0))="Recibidas",
         "⏳ Pendiente","❌ No ingresada")),
   "❌ No ingresada"
)</f>
        <v>✅ En proceso</v>
      </c>
      <c r="C741" s="255" t="str">
        <f t="array" ref="C741">IFERROR(
   IF(INDEX([1]PCRs!B:B,MATCH(LEFT($A741,6)&amp;"*",[1]PCRs!A:A,0))="Positivo",
      "✅ Positivo",
      IF(INDEX([1]PCRs!B:B,MATCH(LEFT($A741,6)&amp;"*",[1]PCRs!A:A,0))="Negativo",
         "❌ Negativo",
         "⏳ No realizado")),
   "⏳ No realizado"
)</f>
        <v>✅ Positivo</v>
      </c>
      <c r="D741" s="255" t="str">
        <f>IFERROR(
   CHOOSE(
      MATCH(VLOOKUP(LEFT(A788,6)&amp;"*",'Identificación genética'!A:C,2,FALSE),
               {"En proceso";"Finalizado"},0),
      "🔬 En proceso",
      "🎯 Finalizado"
   ),
"❌ NA")</f>
        <v>🎯 Finalizado</v>
      </c>
      <c r="E741" t="s">
        <v>85</v>
      </c>
      <c r="F741" s="111">
        <v>45733</v>
      </c>
      <c r="G741" t="str">
        <f>_xlfn.XLOOKUP(A741, Extraídas!A:A, Extraídas!G:G, "")</f>
        <v>Cianobacterias</v>
      </c>
    </row>
    <row r="742" spans="1:7" ht="15" thickBot="1" x14ac:dyDescent="0.35">
      <c r="A742" s="556" t="s">
        <v>1930</v>
      </c>
      <c r="B742" s="255" t="str">
        <f>IFERROR(
   IF(INDEX(Extraídas!B:B,MATCH(LEFT($A742,6)&amp;"*",Extraídas!A:A,0))="Extraídas",
      "✅ En proceso",
      IF(INDEX(Extraídas!B:B,MATCH(LEFT($A742,6)&amp;"*",Extraídas!A:A,0))="Recibidas",
         "⏳ Pendiente","❌ No ingresada")),
   "❌ No ingresada"
)</f>
        <v>✅ En proceso</v>
      </c>
      <c r="C742" s="255" t="str">
        <f t="array" ref="C742">IFERROR(
   IF(INDEX([1]PCRs!B:B,MATCH(LEFT($A742,6)&amp;"*",[1]PCRs!A:A,0))="Positivo",
      "✅ Positivo",
      IF(INDEX([1]PCRs!B:B,MATCH(LEFT($A742,6)&amp;"*",[1]PCRs!A:A,0))="Negativo",
         "❌ Negativo",
         "⏳ No realizado")),
   "⏳ No realizado"
)</f>
        <v>✅ Positivo</v>
      </c>
      <c r="D742" s="255" t="str">
        <f>IFERROR(
   CHOOSE(
      MATCH(VLOOKUP(LEFT(A789,6)&amp;"*",'Identificación genética'!A:C,2,FALSE),
               {"En proceso";"Finalizado"},0),
      "🔬 En proceso",
      "🎯 Finalizado"
   ),
"❌ NA")</f>
        <v>🎯 Finalizado</v>
      </c>
      <c r="E742" t="s">
        <v>85</v>
      </c>
      <c r="G742" t="str">
        <f>_xlfn.XLOOKUP(A742, Extraídas!A:A, Extraídas!G:G, "")</f>
        <v/>
      </c>
    </row>
    <row r="743" spans="1:7" ht="15" thickBot="1" x14ac:dyDescent="0.35">
      <c r="A743" s="646" t="s">
        <v>822</v>
      </c>
      <c r="B743" s="255" t="str">
        <f>IFERROR(
   IF(INDEX(Extraídas!B:B,MATCH(LEFT($A743,6)&amp;"*",Extraídas!A:A,0))="Extraídas",
      "✅ En proceso",
      IF(INDEX(Extraídas!B:B,MATCH(LEFT($A743,6)&amp;"*",Extraídas!A:A,0))="Recibidas",
         "⏳ Pendiente","❌ No ingresada")),
   "❌ No ingresada"
)</f>
        <v>✅ En proceso</v>
      </c>
      <c r="C743" s="255" t="str">
        <f t="array" ref="C743">IFERROR(
   IF(INDEX([1]PCRs!B:B,MATCH(LEFT($A743,6)&amp;"*",[1]PCRs!A:A,0))="Positivo",
      "✅ Positivo",
      IF(INDEX([1]PCRs!B:B,MATCH(LEFT($A743,6)&amp;"*",[1]PCRs!A:A,0))="Negativo",
         "❌ Negativo",
         "⏳ No realizado")),
   "⏳ No realizado"
)</f>
        <v>✅ Positivo</v>
      </c>
      <c r="D743" s="255" t="str">
        <f>IFERROR(
   CHOOSE(
      MATCH(VLOOKUP(LEFT(A790,6)&amp;"*",'Identificación genética'!A:C,2,FALSE),
               {"En proceso";"Finalizado"},0),
      "🔬 En proceso",
      "🎯 Finalizado"
   ),
"❌ NA")</f>
        <v>🎯 Finalizado</v>
      </c>
      <c r="E743" t="s">
        <v>85</v>
      </c>
      <c r="F743" s="29">
        <v>45768</v>
      </c>
      <c r="G743" t="str">
        <f>_xlfn.XLOOKUP(A743, Extraídas!A:A, Extraídas!G:G, "")</f>
        <v>Microalgas</v>
      </c>
    </row>
    <row r="744" spans="1:7" ht="15" thickBot="1" x14ac:dyDescent="0.35">
      <c r="A744" s="647" t="s">
        <v>823</v>
      </c>
      <c r="B744" s="255" t="str">
        <f>IFERROR(
   IF(INDEX(Extraídas!B:B,MATCH(LEFT($A744,6)&amp;"*",Extraídas!A:A,0))="Extraídas",
      "✅ En proceso",
      IF(INDEX(Extraídas!B:B,MATCH(LEFT($A744,6)&amp;"*",Extraídas!A:A,0))="Recibidas",
         "⏳ Pendiente","❌ No ingresada")),
   "❌ No ingresada"
)</f>
        <v>✅ En proceso</v>
      </c>
      <c r="C744" s="255" t="str">
        <f t="array" ref="C744">IFERROR(
   IF(INDEX([1]PCRs!B:B,MATCH(LEFT($A744,6)&amp;"*",[1]PCRs!A:A,0))="Positivo",
      "✅ Positivo",
      IF(INDEX([1]PCRs!B:B,MATCH(LEFT($A744,6)&amp;"*",[1]PCRs!A:A,0))="Negativo",
         "❌ Negativo",
         "⏳ No realizado")),
   "⏳ No realizado"
)</f>
        <v>✅ Positivo</v>
      </c>
      <c r="D744" s="255" t="str">
        <f>IFERROR(
   CHOOSE(
      MATCH(VLOOKUP(LEFT(A791,6)&amp;"*",'Identificación genética'!A:C,2,FALSE),
               {"En proceso";"Finalizado"},0),
      "🔬 En proceso",
      "🎯 Finalizado"
   ),
"❌ NA")</f>
        <v>🎯 Finalizado</v>
      </c>
      <c r="E744" t="s">
        <v>85</v>
      </c>
      <c r="F744" s="111">
        <v>45733</v>
      </c>
      <c r="G744" t="str">
        <f>_xlfn.XLOOKUP(A744, Extraídas!A:A, Extraídas!G:G, "")</f>
        <v>Microalgas</v>
      </c>
    </row>
    <row r="745" spans="1:7" ht="15" thickBot="1" x14ac:dyDescent="0.35">
      <c r="A745" s="649" t="s">
        <v>824</v>
      </c>
      <c r="B745" s="255" t="str">
        <f>IFERROR(
   IF(INDEX(Extraídas!B:B,MATCH(LEFT($A745,6)&amp;"*",Extraídas!A:A,0))="Extraídas",
      "✅ En proceso",
      IF(INDEX(Extraídas!B:B,MATCH(LEFT($A745,6)&amp;"*",Extraídas!A:A,0))="Recibidas",
         "⏳ Pendiente","❌ No ingresada")),
   "❌ No ingresada"
)</f>
        <v>✅ En proceso</v>
      </c>
      <c r="C745" s="255" t="str">
        <f t="array" ref="C745">IFERROR(
   IF(INDEX([1]PCRs!B:B,MATCH(LEFT($A745,6)&amp;"*",[1]PCRs!A:A,0))="Positivo",
      "✅ Positivo",
      IF(INDEX([1]PCRs!B:B,MATCH(LEFT($A745,6)&amp;"*",[1]PCRs!A:A,0))="Negativo",
         "❌ Negativo",
         "⏳ No realizado")),
   "⏳ No realizado"
)</f>
        <v>✅ Positivo</v>
      </c>
      <c r="D745" s="255" t="str">
        <f>IFERROR(
   CHOOSE(
      MATCH(VLOOKUP(LEFT(A792,6)&amp;"*",'Identificación genética'!A:C,2,FALSE),
               {"En proceso";"Finalizado"},0),
      "🔬 En proceso",
      "🎯 Finalizado"
   ),
"❌ NA")</f>
        <v>🎯 Finalizado</v>
      </c>
      <c r="E745" t="s">
        <v>85</v>
      </c>
      <c r="F745" s="29">
        <v>45768</v>
      </c>
      <c r="G745" t="str">
        <f>_xlfn.XLOOKUP(A745, Extraídas!A:A, Extraídas!G:G, "")</f>
        <v>Cianobacterias</v>
      </c>
    </row>
    <row r="746" spans="1:7" ht="15" thickBot="1" x14ac:dyDescent="0.35">
      <c r="A746" s="647" t="s">
        <v>825</v>
      </c>
      <c r="B746" s="255" t="str">
        <f>IFERROR(
   IF(INDEX(Extraídas!B:B,MATCH(LEFT($A746,6)&amp;"*",Extraídas!A:A,0))="Extraídas",
      "✅ En proceso",
      IF(INDEX(Extraídas!B:B,MATCH(LEFT($A746,6)&amp;"*",Extraídas!A:A,0))="Recibidas",
         "⏳ Pendiente","❌ No ingresada")),
   "❌ No ingresada"
)</f>
        <v>✅ En proceso</v>
      </c>
      <c r="C746" s="255" t="str">
        <f t="array" ref="C746">IFERROR(
   IF(INDEX([1]PCRs!B:B,MATCH(LEFT($A746,6)&amp;"*",[1]PCRs!A:A,0))="Positivo",
      "✅ Positivo",
      IF(INDEX([1]PCRs!B:B,MATCH(LEFT($A746,6)&amp;"*",[1]PCRs!A:A,0))="Negativo",
         "❌ Negativo",
         "⏳ No realizado")),
   "⏳ No realizado"
)</f>
        <v>✅ Positivo</v>
      </c>
      <c r="D746" s="255" t="str">
        <f>IFERROR(
   CHOOSE(
      MATCH(VLOOKUP(LEFT(A793,6)&amp;"*",'Identificación genética'!A:C,2,FALSE),
               {"En proceso";"Finalizado"},0),
      "🔬 En proceso",
      "🎯 Finalizado"
   ),
"❌ NA")</f>
        <v>🎯 Finalizado</v>
      </c>
      <c r="E746" t="s">
        <v>85</v>
      </c>
      <c r="F746" s="98">
        <v>45929</v>
      </c>
      <c r="G746" t="str">
        <f>_xlfn.XLOOKUP(A746, Extraídas!A:A, Extraídas!G:G, "")</f>
        <v>Microalgas</v>
      </c>
    </row>
    <row r="747" spans="1:7" ht="15" thickBot="1" x14ac:dyDescent="0.35">
      <c r="A747" s="649" t="s">
        <v>826</v>
      </c>
      <c r="B747" s="255" t="str">
        <f>IFERROR(
   IF(INDEX(Extraídas!B:B,MATCH(LEFT($A747,6)&amp;"*",Extraídas!A:A,0))="Extraídas",
      "✅ En proceso",
      IF(INDEX(Extraídas!B:B,MATCH(LEFT($A747,6)&amp;"*",Extraídas!A:A,0))="Recibidas",
         "⏳ Pendiente","❌ No ingresada")),
   "❌ No ingresada"
)</f>
        <v>✅ En proceso</v>
      </c>
      <c r="C747" s="255" t="str">
        <f t="array" ref="C747">IFERROR(
   IF(INDEX([1]PCRs!B:B,MATCH(LEFT($A747,6)&amp;"*",[1]PCRs!A:A,0))="Positivo",
      "✅ Positivo",
      IF(INDEX([1]PCRs!B:B,MATCH(LEFT($A747,6)&amp;"*",[1]PCRs!A:A,0))="Negativo",
         "❌ Negativo",
         "⏳ No realizado")),
   "⏳ No realizado"
)</f>
        <v>✅ Positivo</v>
      </c>
      <c r="D747" s="255" t="str">
        <f>IFERROR(
   CHOOSE(
      MATCH(VLOOKUP(LEFT(A794,6)&amp;"*",'Identificación genética'!A:C,2,FALSE),
               {"En proceso";"Finalizado"},0),
      "🔬 En proceso",
      "🎯 Finalizado"
   ),
"❌ NA")</f>
        <v>🎯 Finalizado</v>
      </c>
      <c r="E747" t="s">
        <v>85</v>
      </c>
      <c r="F747" s="593">
        <v>45848</v>
      </c>
      <c r="G747" t="str">
        <f>_xlfn.XLOOKUP(A747, Extraídas!A:A, Extraídas!G:G, "")</f>
        <v>Chlorophyceae</v>
      </c>
    </row>
    <row r="748" spans="1:7" ht="15" thickBot="1" x14ac:dyDescent="0.35">
      <c r="A748" s="647" t="s">
        <v>827</v>
      </c>
      <c r="B748" s="255" t="str">
        <f>IFERROR(
   IF(INDEX(Extraídas!B:B,MATCH(LEFT($A748,6)&amp;"*",Extraídas!A:A,0))="Extraídas",
      "✅ En proceso",
      IF(INDEX(Extraídas!B:B,MATCH(LEFT($A748,6)&amp;"*",Extraídas!A:A,0))="Recibidas",
         "⏳ Pendiente","❌ No ingresada")),
   "❌ No ingresada"
)</f>
        <v>✅ En proceso</v>
      </c>
      <c r="C748" s="255" t="str">
        <f t="array" ref="C748">IFERROR(
   IF(INDEX([1]PCRs!B:B,MATCH(LEFT($A748,6)&amp;"*",[1]PCRs!A:A,0))="Positivo",
      "✅ Positivo",
      IF(INDEX([1]PCRs!B:B,MATCH(LEFT($A748,6)&amp;"*",[1]PCRs!A:A,0))="Negativo",
         "❌ Negativo",
         "⏳ No realizado")),
   "⏳ No realizado"
)</f>
        <v>✅ Positivo</v>
      </c>
      <c r="D748" s="255" t="str">
        <f>IFERROR(
   CHOOSE(
      MATCH(VLOOKUP(LEFT(A795,6)&amp;"*",'Identificación genética'!A:C,2,FALSE),
               {"En proceso";"Finalizado"},0),
      "🔬 En proceso",
      "🎯 Finalizado"
   ),
"❌ NA")</f>
        <v>❌ NA</v>
      </c>
      <c r="E748" t="s">
        <v>85</v>
      </c>
      <c r="F748" s="619">
        <v>45940</v>
      </c>
      <c r="G748" t="str">
        <f>_xlfn.XLOOKUP(A748, Extraídas!A:A, Extraídas!G:G, "")</f>
        <v>Cianobacterias</v>
      </c>
    </row>
    <row r="749" spans="1:7" ht="15" thickBot="1" x14ac:dyDescent="0.35">
      <c r="A749" s="649" t="s">
        <v>828</v>
      </c>
      <c r="B749" s="255" t="str">
        <f>IFERROR(
   IF(INDEX(Extraídas!B:B,MATCH(LEFT($A749,6)&amp;"*",Extraídas!A:A,0))="Extraídas",
      "✅ En proceso",
      IF(INDEX(Extraídas!B:B,MATCH(LEFT($A749,6)&amp;"*",Extraídas!A:A,0))="Recibidas",
         "⏳ Pendiente","❌ No ingresada")),
   "❌ No ingresada"
)</f>
        <v>✅ En proceso</v>
      </c>
      <c r="C749" s="255" t="str">
        <f t="array" ref="C749">IFERROR(
   IF(INDEX([1]PCRs!B:B,MATCH(LEFT($A749,6)&amp;"*",[1]PCRs!A:A,0))="Positivo",
      "✅ Positivo",
      IF(INDEX([1]PCRs!B:B,MATCH(LEFT($A749,6)&amp;"*",[1]PCRs!A:A,0))="Negativo",
         "❌ Negativo",
         "⏳ No realizado")),
   "⏳ No realizado"
)</f>
        <v>✅ Positivo</v>
      </c>
      <c r="D749" s="255" t="str">
        <f>IFERROR(
   CHOOSE(
      MATCH(VLOOKUP(LEFT(A796,6)&amp;"*",'Identificación genética'!A:C,2,FALSE),
               {"En proceso";"Finalizado"},0),
      "🔬 En proceso",
      "🎯 Finalizado"
   ),
"❌ NA")</f>
        <v>❌ NA</v>
      </c>
      <c r="E749" t="s">
        <v>85</v>
      </c>
      <c r="F749" s="593">
        <v>45848</v>
      </c>
      <c r="G749" t="str">
        <f>_xlfn.XLOOKUP(A749, Extraídas!A:A, Extraídas!G:G, "")</f>
        <v>Chlorophyceae</v>
      </c>
    </row>
    <row r="750" spans="1:7" ht="15" thickBot="1" x14ac:dyDescent="0.35">
      <c r="A750" s="647" t="s">
        <v>829</v>
      </c>
      <c r="B750" s="255" t="str">
        <f>IFERROR(
   IF(INDEX(Extraídas!B:B,MATCH(LEFT($A750,6)&amp;"*",Extraídas!A:A,0))="Extraídas",
      "✅ En proceso",
      IF(INDEX(Extraídas!B:B,MATCH(LEFT($A750,6)&amp;"*",Extraídas!A:A,0))="Recibidas",
         "⏳ Pendiente","❌ No ingresada")),
   "❌ No ingresada"
)</f>
        <v>✅ En proceso</v>
      </c>
      <c r="C750" s="255" t="str">
        <f t="array" ref="C750">IFERROR(
   IF(INDEX([1]PCRs!B:B,MATCH(LEFT($A750,6)&amp;"*",[1]PCRs!A:A,0))="Positivo",
      "✅ Positivo",
      IF(INDEX([1]PCRs!B:B,MATCH(LEFT($A750,6)&amp;"*",[1]PCRs!A:A,0))="Negativo",
         "❌ Negativo",
         "⏳ No realizado")),
   "⏳ No realizado"
)</f>
        <v>✅ Positivo</v>
      </c>
      <c r="D750" s="255" t="str">
        <f>IFERROR(
   CHOOSE(
      MATCH(VLOOKUP(LEFT(A797,6)&amp;"*",'Identificación genética'!A:C,2,FALSE),
               {"En proceso";"Finalizado"},0),
      "🔬 En proceso",
      "🎯 Finalizado"
   ),
"❌ NA")</f>
        <v>❌ NA</v>
      </c>
      <c r="E750" t="s">
        <v>85</v>
      </c>
      <c r="F750" s="98">
        <v>45940</v>
      </c>
      <c r="G750" t="str">
        <f>_xlfn.XLOOKUP(A750, Extraídas!A:A, Extraídas!G:G, "")</f>
        <v>Cianobacterias</v>
      </c>
    </row>
    <row r="751" spans="1:7" ht="15" thickBot="1" x14ac:dyDescent="0.35">
      <c r="A751" s="571" t="s">
        <v>1629</v>
      </c>
      <c r="B751" s="255" t="str">
        <f>IFERROR(
   IF(INDEX(Extraídas!B:B,MATCH(LEFT($A751,6)&amp;"*",Extraídas!A:A,0))="Extraídas",
      "✅ En proceso",
      IF(INDEX(Extraídas!B:B,MATCH(LEFT($A751,6)&amp;"*",Extraídas!A:A,0))="Recibidas",
         "⏳ Pendiente","❌ No ingresada")),
   "❌ No ingresada"
)</f>
        <v>✅ En proceso</v>
      </c>
      <c r="C751" s="255" t="str">
        <f t="array" ref="C751">IFERROR(
   IF(INDEX([1]PCRs!B:B,MATCH(LEFT($A751,6)&amp;"*",[1]PCRs!A:A,0))="Positivo",
      "✅ Positivo",
      IF(INDEX([1]PCRs!B:B,MATCH(LEFT($A751,6)&amp;"*",[1]PCRs!A:A,0))="Negativo",
         "❌ Negativo",
         "⏳ No realizado")),
   "⏳ No realizado"
)</f>
        <v>✅ Positivo</v>
      </c>
      <c r="D751" s="255" t="str">
        <f>IFERROR(
   CHOOSE(
      MATCH(VLOOKUP(LEFT(A798,6)&amp;"*",'Identificación genética'!A:C,2,FALSE),
               {"En proceso";"Finalizado"},0),
      "🔬 En proceso",
      "🎯 Finalizado"
   ),
"❌ NA")</f>
        <v>❌ NA</v>
      </c>
      <c r="E751" t="s">
        <v>85</v>
      </c>
      <c r="G751" t="str">
        <f>_xlfn.XLOOKUP(A751, Extraídas!A:A, Extraídas!G:G, "")</f>
        <v/>
      </c>
    </row>
    <row r="752" spans="1:7" ht="15" thickBot="1" x14ac:dyDescent="0.35">
      <c r="A752" s="647" t="s">
        <v>830</v>
      </c>
      <c r="B752" s="255" t="str">
        <f>IFERROR(
   IF(INDEX(Extraídas!B:B,MATCH(LEFT($A752,6)&amp;"*",Extraídas!A:A,0))="Extraídas",
      "✅ En proceso",
      IF(INDEX(Extraídas!B:B,MATCH(LEFT($A752,6)&amp;"*",Extraídas!A:A,0))="Recibidas",
         "⏳ Pendiente","❌ No ingresada")),
   "❌ No ingresada"
)</f>
        <v>✅ En proceso</v>
      </c>
      <c r="C752" s="255" t="str">
        <f t="array" ref="C752">IFERROR(
   IF(INDEX([1]PCRs!B:B,MATCH(LEFT($A752,6)&amp;"*",[1]PCRs!A:A,0))="Positivo",
      "✅ Positivo",
      IF(INDEX([1]PCRs!B:B,MATCH(LEFT($A752,6)&amp;"*",[1]PCRs!A:A,0))="Negativo",
         "❌ Negativo",
         "⏳ No realizado")),
   "⏳ No realizado"
)</f>
        <v>✅ Positivo</v>
      </c>
      <c r="D752" s="255" t="str">
        <f>IFERROR(
   CHOOSE(
      MATCH(VLOOKUP(LEFT(A799,6)&amp;"*",'Identificación genética'!A:C,2,FALSE),
               {"En proceso";"Finalizado"},0),
      "🔬 En proceso",
      "🎯 Finalizado"
   ),
"❌ NA")</f>
        <v>❌ NA</v>
      </c>
      <c r="E752" t="s">
        <v>85</v>
      </c>
      <c r="F752" s="98">
        <v>45938</v>
      </c>
      <c r="G752" t="str">
        <f>_xlfn.XLOOKUP(A752, Extraídas!A:A, Extraídas!G:G, "")</f>
        <v>Cianobacterias</v>
      </c>
    </row>
    <row r="753" spans="1:7" ht="15" thickBot="1" x14ac:dyDescent="0.35">
      <c r="A753" s="646" t="s">
        <v>831</v>
      </c>
      <c r="B753" s="255" t="str">
        <f>IFERROR(
   IF(INDEX(Extraídas!B:B,MATCH(LEFT($A753,6)&amp;"*",Extraídas!A:A,0))="Extraídas",
      "✅ En proceso",
      IF(INDEX(Extraídas!B:B,MATCH(LEFT($A753,6)&amp;"*",Extraídas!A:A,0))="Recibidas",
         "⏳ Pendiente","❌ No ingresada")),
   "❌ No ingresada"
)</f>
        <v>✅ En proceso</v>
      </c>
      <c r="C753" s="255" t="str">
        <f t="array" ref="C753">IFERROR(
   IF(INDEX([1]PCRs!B:B,MATCH(LEFT($A753,6)&amp;"*",[1]PCRs!A:A,0))="Positivo",
      "✅ Positivo",
      IF(INDEX([1]PCRs!B:B,MATCH(LEFT($A753,6)&amp;"*",[1]PCRs!A:A,0))="Negativo",
         "❌ Negativo",
         "⏳ No realizado")),
   "⏳ No realizado"
)</f>
        <v>❌ Negativo</v>
      </c>
      <c r="D753" s="255" t="str">
        <f>IFERROR(
   CHOOSE(
      MATCH(VLOOKUP(LEFT(A800,6)&amp;"*",'Identificación genética'!A:C,2,FALSE),
               {"En proceso";"Finalizado"},0),
      "🔬 En proceso",
      "🎯 Finalizado"
   ),
"❌ NA")</f>
        <v>❌ NA</v>
      </c>
      <c r="E753" t="s">
        <v>85</v>
      </c>
      <c r="F753" s="98">
        <v>45938</v>
      </c>
      <c r="G753" t="str">
        <f>_xlfn.XLOOKUP(A753, Extraídas!A:A, Extraídas!G:G, "")</f>
        <v>Microalgas</v>
      </c>
    </row>
    <row r="754" spans="1:7" ht="15" thickBot="1" x14ac:dyDescent="0.35">
      <c r="A754" s="604" t="s">
        <v>2039</v>
      </c>
      <c r="B754" s="255" t="str">
        <f>IFERROR(
   IF(INDEX(Extraídas!B:B,MATCH(LEFT($A754,6)&amp;"*",Extraídas!A:A,0))="Extraídas",
      "✅ En proceso",
      IF(INDEX(Extraídas!B:B,MATCH(LEFT($A754,6)&amp;"*",Extraídas!A:A,0))="Recibidas",
         "⏳ Pendiente","❌ No ingresada")),
   "❌ No ingresada"
)</f>
        <v>✅ En proceso</v>
      </c>
      <c r="C754" s="255" t="str">
        <f t="array" ref="C754">IFERROR(
   IF(INDEX([1]PCRs!B:B,MATCH(LEFT($A754,6)&amp;"*",[1]PCRs!A:A,0))="Positivo",
      "✅ Positivo",
      IF(INDEX([1]PCRs!B:B,MATCH(LEFT($A754,6)&amp;"*",[1]PCRs!A:A,0))="Negativo",
         "❌ Negativo",
         "⏳ No realizado")),
   "⏳ No realizado"
)</f>
        <v>❌ Negativo</v>
      </c>
      <c r="D754" s="255" t="str">
        <f>IFERROR(
   CHOOSE(
      MATCH(VLOOKUP(LEFT(A801,6)&amp;"*",'Identificación genética'!A:C,2,FALSE),
               {"En proceso";"Finalizado"},0),
      "🔬 En proceso",
      "🎯 Finalizado"
   ),
"❌ NA")</f>
        <v>❌ NA</v>
      </c>
      <c r="E754" t="s">
        <v>85</v>
      </c>
      <c r="F754" s="577"/>
      <c r="G754" t="str">
        <f>_xlfn.XLOOKUP(A754, Extraídas!A:A, Extraídas!G:G, "")</f>
        <v/>
      </c>
    </row>
    <row r="755" spans="1:7" ht="15" thickBot="1" x14ac:dyDescent="0.35">
      <c r="A755" s="648" t="s">
        <v>832</v>
      </c>
      <c r="B755" s="255" t="str">
        <f>IFERROR(
   IF(INDEX(Extraídas!B:B,MATCH(LEFT($A755,6)&amp;"*",Extraídas!A:A,0))="Extraídas",
      "✅ En proceso",
      IF(INDEX(Extraídas!B:B,MATCH(LEFT($A755,6)&amp;"*",Extraídas!A:A,0))="Recibidas",
         "⏳ Pendiente","❌ No ingresada")),
   "❌ No ingresada"
)</f>
        <v>✅ En proceso</v>
      </c>
      <c r="C755" s="255" t="str">
        <f t="array" ref="C755">IFERROR(
   IF(INDEX([1]PCRs!B:B,MATCH(LEFT($A755,6)&amp;"*",[1]PCRs!A:A,0))="Positivo",
      "✅ Positivo",
      IF(INDEX([1]PCRs!B:B,MATCH(LEFT($A755,6)&amp;"*",[1]PCRs!A:A,0))="Negativo",
         "❌ Negativo",
         "⏳ No realizado")),
   "⏳ No realizado"
)</f>
        <v>❌ Negativo</v>
      </c>
      <c r="D755" s="255" t="str">
        <f>IFERROR(
   CHOOSE(
      MATCH(VLOOKUP(LEFT(A802,6)&amp;"*",'Identificación genética'!A:C,2,FALSE),
               {"En proceso";"Finalizado"},0),
      "🔬 En proceso",
      "🎯 Finalizado"
   ),
"❌ NA")</f>
        <v>❌ NA</v>
      </c>
      <c r="E755" t="s">
        <v>85</v>
      </c>
      <c r="F755" s="176">
        <v>45938</v>
      </c>
      <c r="G755" t="str">
        <f>_xlfn.XLOOKUP(A755, Extraídas!A:A, Extraídas!G:G, "")</f>
        <v>Chlorophyceae</v>
      </c>
    </row>
    <row r="756" spans="1:7" ht="15" thickBot="1" x14ac:dyDescent="0.35">
      <c r="A756" s="646" t="s">
        <v>833</v>
      </c>
      <c r="B756" s="255" t="str">
        <f>IFERROR(
   IF(INDEX(Extraídas!B:B,MATCH(LEFT($A756,6)&amp;"*",Extraídas!A:A,0))="Extraídas",
      "✅ En proceso",
      IF(INDEX(Extraídas!B:B,MATCH(LEFT($A756,6)&amp;"*",Extraídas!A:A,0))="Recibidas",
         "⏳ Pendiente","❌ No ingresada")),
   "❌ No ingresada"
)</f>
        <v>✅ En proceso</v>
      </c>
      <c r="C756" s="255" t="str">
        <f t="array" ref="C756">IFERROR(
   IF(INDEX([1]PCRs!B:B,MATCH(LEFT($A756,6)&amp;"*",[1]PCRs!A:A,0))="Positivo",
      "✅ Positivo",
      IF(INDEX([1]PCRs!B:B,MATCH(LEFT($A756,6)&amp;"*",[1]PCRs!A:A,0))="Negativo",
         "❌ Negativo",
         "⏳ No realizado")),
   "⏳ No realizado"
)</f>
        <v>❌ Negativo</v>
      </c>
      <c r="D756" s="255" t="str">
        <f>IFERROR(
   CHOOSE(
      MATCH(VLOOKUP(LEFT(A803,6)&amp;"*",'Identificación genética'!A:C,2,FALSE),
               {"En proceso";"Finalizado"},0),
      "🔬 En proceso",
      "🎯 Finalizado"
   ),
"❌ NA")</f>
        <v>❌ NA</v>
      </c>
      <c r="E756" t="s">
        <v>85</v>
      </c>
      <c r="F756" s="180">
        <v>45938</v>
      </c>
      <c r="G756" t="str">
        <f>_xlfn.XLOOKUP(A756, Extraídas!A:A, Extraídas!G:G, "")</f>
        <v>Cianobacterias</v>
      </c>
    </row>
    <row r="757" spans="1:7" ht="15" thickBot="1" x14ac:dyDescent="0.35">
      <c r="A757" s="647" t="s">
        <v>834</v>
      </c>
      <c r="B757" s="255" t="str">
        <f>IFERROR(
   IF(INDEX(Extraídas!B:B,MATCH(LEFT($A757,6)&amp;"*",Extraídas!A:A,0))="Extraídas",
      "✅ En proceso",
      IF(INDEX(Extraídas!B:B,MATCH(LEFT($A757,6)&amp;"*",Extraídas!A:A,0))="Recibidas",
         "⏳ Pendiente","❌ No ingresada")),
   "❌ No ingresada"
)</f>
        <v>✅ En proceso</v>
      </c>
      <c r="C757" s="255" t="str">
        <f t="array" ref="C757">IFERROR(
   IF(INDEX([1]PCRs!B:B,MATCH(LEFT($A757,6)&amp;"*",[1]PCRs!A:A,0))="Positivo",
      "✅ Positivo",
      IF(INDEX([1]PCRs!B:B,MATCH(LEFT($A757,6)&amp;"*",[1]PCRs!A:A,0))="Negativo",
         "❌ Negativo",
         "⏳ No realizado")),
   "⏳ No realizado"
)</f>
        <v>❌ Negativo</v>
      </c>
      <c r="D757" s="255" t="str">
        <f>IFERROR(
   CHOOSE(
      MATCH(VLOOKUP(LEFT(A804,6)&amp;"*",'Identificación genética'!A:C,2,FALSE),
               {"En proceso";"Finalizado"},0),
      "🔬 En proceso",
      "🎯 Finalizado"
   ),
"❌ NA")</f>
        <v>❌ NA</v>
      </c>
      <c r="E757" t="s">
        <v>85</v>
      </c>
      <c r="F757" s="176">
        <v>45938</v>
      </c>
      <c r="G757" t="str">
        <f>_xlfn.XLOOKUP(A757, Extraídas!A:A, Extraídas!G:G, "")</f>
        <v>Microalgas</v>
      </c>
    </row>
    <row r="758" spans="1:7" ht="15" thickBot="1" x14ac:dyDescent="0.35">
      <c r="A758" s="555" t="s">
        <v>2196</v>
      </c>
      <c r="B758" s="255" t="str">
        <f>IFERROR(
   IF(INDEX(Extraídas!B:B,MATCH(LEFT($A758,6)&amp;"*",Extraídas!A:A,0))="Extraídas",
      "✅ En proceso",
      IF(INDEX(Extraídas!B:B,MATCH(LEFT($A758,6)&amp;"*",Extraídas!A:A,0))="Recibidas",
         "⏳ Pendiente","❌ No ingresada")),
   "❌ No ingresada"
)</f>
        <v>✅ En proceso</v>
      </c>
      <c r="C758" s="255" t="str">
        <f t="array" ref="C758">IFERROR(
   IF(INDEX([1]PCRs!B:B,MATCH(LEFT($A758,6)&amp;"*",[1]PCRs!A:A,0))="Positivo",
      "✅ Positivo",
      IF(INDEX([1]PCRs!B:B,MATCH(LEFT($A758,6)&amp;"*",[1]PCRs!A:A,0))="Negativo",
         "❌ Negativo",
         "⏳ No realizado")),
   "⏳ No realizado"
)</f>
        <v>❌ Negativo</v>
      </c>
      <c r="D758" s="255" t="str">
        <f>IFERROR(
   CHOOSE(
      MATCH(VLOOKUP(LEFT(A805,6)&amp;"*",'Identificación genética'!A:C,2,FALSE),
               {"En proceso";"Finalizado"},0),
      "🔬 En proceso",
      "🎯 Finalizado"
   ),
"❌ NA")</f>
        <v>🎯 Finalizado</v>
      </c>
      <c r="E758" t="s">
        <v>85</v>
      </c>
      <c r="F758" s="585"/>
      <c r="G758" t="str">
        <f>_xlfn.XLOOKUP(A758, Extraídas!A:A, Extraídas!G:G, "")</f>
        <v/>
      </c>
    </row>
    <row r="759" spans="1:7" ht="15" thickBot="1" x14ac:dyDescent="0.35">
      <c r="A759" s="648" t="s">
        <v>835</v>
      </c>
      <c r="B759" s="255" t="str">
        <f>IFERROR(
   IF(INDEX(Extraídas!B:B,MATCH(LEFT($A759,6)&amp;"*",Extraídas!A:A,0))="Extraídas",
      "✅ En proceso",
      IF(INDEX(Extraídas!B:B,MATCH(LEFT($A759,6)&amp;"*",Extraídas!A:A,0))="Recibidas",
         "⏳ Pendiente","❌ No ingresada")),
   "❌ No ingresada"
)</f>
        <v>✅ En proceso</v>
      </c>
      <c r="C759" s="255" t="str">
        <f t="array" ref="C759">IFERROR(
   IF(INDEX([1]PCRs!B:B,MATCH(LEFT($A759,6)&amp;"*",[1]PCRs!A:A,0))="Positivo",
      "✅ Positivo",
      IF(INDEX([1]PCRs!B:B,MATCH(LEFT($A759,6)&amp;"*",[1]PCRs!A:A,0))="Negativo",
         "❌ Negativo",
         "⏳ No realizado")),
   "⏳ No realizado"
)</f>
        <v>❌ Negativo</v>
      </c>
      <c r="D759" s="255" t="str">
        <f>IFERROR(
   CHOOSE(
      MATCH(VLOOKUP(LEFT(A806,6)&amp;"*",'Identificación genética'!A:C,2,FALSE),
               {"En proceso";"Finalizado"},0),
      "🔬 En proceso",
      "🎯 Finalizado"
   ),
"❌ NA")</f>
        <v>🎯 Finalizado</v>
      </c>
      <c r="E759" t="s">
        <v>85</v>
      </c>
      <c r="F759" s="111">
        <v>45733</v>
      </c>
      <c r="G759" t="str">
        <f>_xlfn.XLOOKUP(A759, Extraídas!A:A, Extraídas!G:G, "")</f>
        <v>Cianobacterias</v>
      </c>
    </row>
    <row r="760" spans="1:7" ht="15" thickBot="1" x14ac:dyDescent="0.35">
      <c r="A760" s="646" t="s">
        <v>836</v>
      </c>
      <c r="B760" s="255" t="str">
        <f>IFERROR(
   IF(INDEX(Extraídas!B:B,MATCH(LEFT($A760,6)&amp;"*",Extraídas!A:A,0))="Extraídas",
      "✅ En proceso",
      IF(INDEX(Extraídas!B:B,MATCH(LEFT($A760,6)&amp;"*",Extraídas!A:A,0))="Recibidas",
         "⏳ Pendiente","❌ No ingresada")),
   "❌ No ingresada"
)</f>
        <v>✅ En proceso</v>
      </c>
      <c r="C760" s="255" t="str">
        <f t="array" ref="C760">IFERROR(
   IF(INDEX([1]PCRs!B:B,MATCH(LEFT($A760,6)&amp;"*",[1]PCRs!A:A,0))="Positivo",
      "✅ Positivo",
      IF(INDEX([1]PCRs!B:B,MATCH(LEFT($A760,6)&amp;"*",[1]PCRs!A:A,0))="Negativo",
         "❌ Negativo",
         "⏳ No realizado")),
   "⏳ No realizado"
)</f>
        <v>❌ Negativo</v>
      </c>
      <c r="D760" s="255" t="str">
        <f>IFERROR(
   CHOOSE(
      MATCH(VLOOKUP(LEFT(A807,6)&amp;"*",'Identificación genética'!A:C,2,FALSE),
               {"En proceso";"Finalizado"},0),
      "🔬 En proceso",
      "🎯 Finalizado"
   ),
"❌ NA")</f>
        <v>🎯 Finalizado</v>
      </c>
      <c r="E760" t="s">
        <v>85</v>
      </c>
      <c r="F760" s="135">
        <v>45933</v>
      </c>
      <c r="G760" t="str">
        <f>_xlfn.XLOOKUP(A760, Extraídas!A:A, Extraídas!G:G, "")</f>
        <v>Microalgas</v>
      </c>
    </row>
    <row r="761" spans="1:7" ht="15" thickBot="1" x14ac:dyDescent="0.35">
      <c r="A761" s="556" t="s">
        <v>1056</v>
      </c>
      <c r="B761" s="255" t="str">
        <f>IFERROR(
   IF(INDEX(Extraídas!B:B,MATCH(LEFT($A761,6)&amp;"*",Extraídas!A:A,0))="Extraídas",
      "✅ En proceso",
      IF(INDEX(Extraídas!B:B,MATCH(LEFT($A761,6)&amp;"*",Extraídas!A:A,0))="Recibidas",
         "⏳ Pendiente","❌ No ingresada")),
   "❌ No ingresada"
)</f>
        <v>✅ En proceso</v>
      </c>
      <c r="C761" s="255" t="str">
        <f t="array" ref="C761">IFERROR(
   IF(INDEX([1]PCRs!B:B,MATCH(LEFT($A761,6)&amp;"*",[1]PCRs!A:A,0))="Positivo",
      "✅ Positivo",
      IF(INDEX([1]PCRs!B:B,MATCH(LEFT($A761,6)&amp;"*",[1]PCRs!A:A,0))="Negativo",
         "❌ Negativo",
         "⏳ No realizado")),
   "⏳ No realizado"
)</f>
        <v>❌ Negativo</v>
      </c>
      <c r="D761" s="255" t="str">
        <f>IFERROR(
   CHOOSE(
      MATCH(VLOOKUP(LEFT(A808,6)&amp;"*",'Identificación genética'!A:C,2,FALSE),
               {"En proceso";"Finalizado"},0),
      "🔬 En proceso",
      "🎯 Finalizado"
   ),
"❌ NA")</f>
        <v>🎯 Finalizado</v>
      </c>
      <c r="E761" t="s">
        <v>85</v>
      </c>
      <c r="F761" s="576"/>
      <c r="G761" t="str">
        <f>_xlfn.XLOOKUP(A761, Extraídas!A:A, Extraídas!G:G, "")</f>
        <v/>
      </c>
    </row>
    <row r="762" spans="1:7" ht="15" thickBot="1" x14ac:dyDescent="0.35">
      <c r="A762" s="650" t="s">
        <v>837</v>
      </c>
      <c r="B762" s="255" t="str">
        <f>IFERROR(
   IF(INDEX(Extraídas!B:B,MATCH(LEFT($A762,6)&amp;"*",Extraídas!A:A,0))="Extraídas",
      "✅ En proceso",
      IF(INDEX(Extraídas!B:B,MATCH(LEFT($A762,6)&amp;"*",Extraídas!A:A,0))="Recibidas",
         "⏳ Pendiente","❌ No ingresada")),
   "❌ No ingresada"
)</f>
        <v>✅ En proceso</v>
      </c>
      <c r="C762" s="255" t="str">
        <f t="array" ref="C762">IFERROR(
   IF(INDEX([1]PCRs!B:B,MATCH(LEFT($A762,6)&amp;"*",[1]PCRs!A:A,0))="Positivo",
      "✅ Positivo",
      IF(INDEX([1]PCRs!B:B,MATCH(LEFT($A762,6)&amp;"*",[1]PCRs!A:A,0))="Negativo",
         "❌ Negativo",
         "⏳ No realizado")),
   "⏳ No realizado"
)</f>
        <v>❌ Negativo</v>
      </c>
      <c r="D762" s="255" t="str">
        <f>IFERROR(
   CHOOSE(
      MATCH(VLOOKUP(LEFT(A809,6)&amp;"*",'Identificación genética'!A:C,2,FALSE),
               {"En proceso";"Finalizado"},0),
      "🔬 En proceso",
      "🎯 Finalizado"
   ),
"❌ NA")</f>
        <v>🎯 Finalizado</v>
      </c>
      <c r="E762" t="s">
        <v>85</v>
      </c>
      <c r="F762" s="133">
        <v>45789</v>
      </c>
      <c r="G762" t="str">
        <f>_xlfn.XLOOKUP(A762, Extraídas!A:A, Extraídas!G:G, "")</f>
        <v>Cianobacterias</v>
      </c>
    </row>
    <row r="763" spans="1:7" ht="15" thickBot="1" x14ac:dyDescent="0.35">
      <c r="A763" s="647" t="s">
        <v>838</v>
      </c>
      <c r="B763" s="255" t="str">
        <f>IFERROR(
   IF(INDEX(Extraídas!B:B,MATCH(LEFT($A763,6)&amp;"*",Extraídas!A:A,0))="Extraídas",
      "✅ En proceso",
      IF(INDEX(Extraídas!B:B,MATCH(LEFT($A763,6)&amp;"*",Extraídas!A:A,0))="Recibidas",
         "⏳ Pendiente","❌ No ingresada")),
   "❌ No ingresada"
)</f>
        <v>✅ En proceso</v>
      </c>
      <c r="C763" s="255" t="str">
        <f t="array" ref="C763">IFERROR(
   IF(INDEX([1]PCRs!B:B,MATCH(LEFT($A763,6)&amp;"*",[1]PCRs!A:A,0))="Positivo",
      "✅ Positivo",
      IF(INDEX([1]PCRs!B:B,MATCH(LEFT($A763,6)&amp;"*",[1]PCRs!A:A,0))="Negativo",
         "❌ Negativo",
         "⏳ No realizado")),
   "⏳ No realizado"
)</f>
        <v>❌ Negativo</v>
      </c>
      <c r="D763" s="255" t="str">
        <f>IFERROR(
   CHOOSE(
      MATCH(VLOOKUP(LEFT(A810,6)&amp;"*",'Identificación genética'!A:C,2,FALSE),
               {"En proceso";"Finalizado"},0),
      "🔬 En proceso",
      "🎯 Finalizado"
   ),
"❌ NA")</f>
        <v>🎯 Finalizado</v>
      </c>
      <c r="E763" t="s">
        <v>85</v>
      </c>
      <c r="F763" s="134">
        <v>45933</v>
      </c>
      <c r="G763" t="str">
        <f>_xlfn.XLOOKUP(A763, Extraídas!A:A, Extraídas!G:G, "")</f>
        <v>Microalgas</v>
      </c>
    </row>
    <row r="764" spans="1:7" ht="15" thickBot="1" x14ac:dyDescent="0.35">
      <c r="A764" s="646" t="s">
        <v>839</v>
      </c>
      <c r="B764" s="255" t="str">
        <f>IFERROR(
   IF(INDEX(Extraídas!B:B,MATCH(LEFT($A764,6)&amp;"*",Extraídas!A:A,0))="Extraídas",
      "✅ En proceso",
      IF(INDEX(Extraídas!B:B,MATCH(LEFT($A764,6)&amp;"*",Extraídas!A:A,0))="Recibidas",
         "⏳ Pendiente","❌ No ingresada")),
   "❌ No ingresada"
)</f>
        <v>✅ En proceso</v>
      </c>
      <c r="C764" s="255" t="str">
        <f t="array" ref="C764">IFERROR(
   IF(INDEX([1]PCRs!B:B,MATCH(LEFT($A764,6)&amp;"*",[1]PCRs!A:A,0))="Positivo",
      "✅ Positivo",
      IF(INDEX([1]PCRs!B:B,MATCH(LEFT($A764,6)&amp;"*",[1]PCRs!A:A,0))="Negativo",
         "❌ Negativo",
         "⏳ No realizado")),
   "⏳ No realizado"
)</f>
        <v>❌ Negativo</v>
      </c>
      <c r="D764" s="255" t="str">
        <f>IFERROR(
   CHOOSE(
      MATCH(VLOOKUP(LEFT(A811,6)&amp;"*",'Identificación genética'!A:C,2,FALSE),
               {"En proceso";"Finalizado"},0),
      "🔬 En proceso",
      "🎯 Finalizado"
   ),
"❌ NA")</f>
        <v>🎯 Finalizado</v>
      </c>
      <c r="E764" t="s">
        <v>85</v>
      </c>
      <c r="F764" s="135">
        <v>45933</v>
      </c>
      <c r="G764" t="str">
        <f>_xlfn.XLOOKUP(A764, Extraídas!A:A, Extraídas!G:G, "")</f>
        <v>Microalgas</v>
      </c>
    </row>
    <row r="765" spans="1:7" ht="15" thickBot="1" x14ac:dyDescent="0.35">
      <c r="A765" s="647" t="s">
        <v>840</v>
      </c>
      <c r="B765" s="255" t="str">
        <f t="array" ref="B765">IFERROR(
   IF(INDEX([1]Extraídas!B:B,MATCH(LEFT($A765,6)&amp;"*",[1]Extraídas!A:A,0))="Extraídas",
      "✅ En proceso",
      IF(INDEX([1]Extraídas!B:B,MATCH(LEFT($A765,6)&amp;"*",[1]Extraídas!A:A,0))="Recibidas",
         "⏳ Pendiente","❌ No ingresada")),
   "❌ No ingresada"
)</f>
        <v>⏳ Pendiente</v>
      </c>
      <c r="C765" s="255" t="str">
        <f t="array" ref="C765">IFERROR(
   IF(INDEX([1]PCRs!B:B,MATCH(LEFT($A765,6)&amp;"*",[1]PCRs!A:A,0))="Positivo",
      "✅ Positivo",
      IF(INDEX([1]PCRs!B:B,MATCH(LEFT($A765,6)&amp;"*",[1]PCRs!A:A,0))="Negativo",
         "❌ Negativo",
         "⏳ No realizado")),
   "⏳ No realizado"
)</f>
        <v>⏳ No realizado</v>
      </c>
      <c r="D765" s="255" t="str">
        <f>IFERROR(
   CHOOSE(
      MATCH(VLOOKUP(LEFT(A812,6)&amp;"*",'Identificación genética'!A:C,2,FALSE),
               {"En proceso";"Finalizado"},0),
      "🔬 En proceso",
      "🎯 Finalizado"
   ),
"❌ NA")</f>
        <v>🎯 Finalizado</v>
      </c>
      <c r="E765" t="s">
        <v>85</v>
      </c>
      <c r="F765" s="135">
        <v>45938</v>
      </c>
      <c r="G765" t="str">
        <f>_xlfn.XLOOKUP(A765, Extraídas!A:A, Extraídas!G:G, "")</f>
        <v>Cianobacterias</v>
      </c>
    </row>
    <row r="766" spans="1:7" ht="15" thickBot="1" x14ac:dyDescent="0.35">
      <c r="A766" s="646" t="s">
        <v>841</v>
      </c>
      <c r="B766" s="255" t="str">
        <f t="array" ref="B766">IFERROR(
   IF(INDEX([1]Extraídas!B:B,MATCH(LEFT($A766,6)&amp;"*",[1]Extraídas!A:A,0))="Extraídas",
      "✅ En proceso",
      IF(INDEX([1]Extraídas!B:B,MATCH(LEFT($A766,6)&amp;"*",[1]Extraídas!A:A,0))="Recibidas",
         "⏳ Pendiente","❌ No ingresada")),
   "❌ No ingresada"
)</f>
        <v>⏳ Pendiente</v>
      </c>
      <c r="C766" s="255" t="str">
        <f t="array" ref="C766">IFERROR(
   IF(INDEX([1]PCRs!B:B,MATCH(LEFT($A766,6)&amp;"*",[1]PCRs!A:A,0))="Positivo",
      "✅ Positivo",
      IF(INDEX([1]PCRs!B:B,MATCH(LEFT($A766,6)&amp;"*",[1]PCRs!A:A,0))="Negativo",
         "❌ Negativo",
         "⏳ No realizado")),
   "⏳ No realizado"
)</f>
        <v>⏳ No realizado</v>
      </c>
      <c r="D766" s="255" t="str">
        <f>IFERROR(
   CHOOSE(
      MATCH(VLOOKUP(LEFT(A813,6)&amp;"*",'Identificación genética'!A:C,2,FALSE),
               {"En proceso";"Finalizado"},0),
      "🔬 En proceso",
      "🎯 Finalizado"
   ),
"❌ NA")</f>
        <v>🎯 Finalizado</v>
      </c>
      <c r="E766" t="s">
        <v>85</v>
      </c>
      <c r="F766" s="619">
        <v>45938</v>
      </c>
      <c r="G766" t="str">
        <f>_xlfn.XLOOKUP(A766, Extraídas!A:A, Extraídas!G:G, "")</f>
        <v>Cianobacterias</v>
      </c>
    </row>
    <row r="767" spans="1:7" ht="15" thickBot="1" x14ac:dyDescent="0.35">
      <c r="A767" s="647" t="s">
        <v>842</v>
      </c>
      <c r="B767" s="255" t="str">
        <f t="array" ref="B767">IFERROR(
   IF(INDEX([1]Extraídas!B:B,MATCH(LEFT($A767,6)&amp;"*",[1]Extraídas!A:A,0))="Extraídas",
      "✅ En proceso",
      IF(INDEX([1]Extraídas!B:B,MATCH(LEFT($A767,6)&amp;"*",[1]Extraídas!A:A,0))="Recibidas",
         "⏳ Pendiente","❌ No ingresada")),
   "❌ No ingresada"
)</f>
        <v>⏳ Pendiente</v>
      </c>
      <c r="C767" s="255" t="str">
        <f t="array" ref="C767">IFERROR(
   IF(INDEX([1]PCRs!B:B,MATCH(LEFT($A767,6)&amp;"*",[1]PCRs!A:A,0))="Positivo",
      "✅ Positivo",
      IF(INDEX([1]PCRs!B:B,MATCH(LEFT($A767,6)&amp;"*",[1]PCRs!A:A,0))="Negativo",
         "❌ Negativo",
         "⏳ No realizado")),
   "⏳ No realizado"
)</f>
        <v>⏳ No realizado</v>
      </c>
      <c r="D767" s="255" t="str">
        <f>IFERROR(
   CHOOSE(
      MATCH(VLOOKUP(LEFT(A814,6)&amp;"*",'Identificación genética'!A:C,2,FALSE),
               {"En proceso";"Finalizado"},0),
      "🔬 En proceso",
      "🎯 Finalizado"
   ),
"❌ NA")</f>
        <v>🎯 Finalizado</v>
      </c>
      <c r="E767" t="s">
        <v>85</v>
      </c>
      <c r="F767" s="619">
        <v>45922</v>
      </c>
      <c r="G767" t="str">
        <f>_xlfn.XLOOKUP(A767, Extraídas!A:A, Extraídas!G:G, "")</f>
        <v>Cianobacterias</v>
      </c>
    </row>
    <row r="768" spans="1:7" ht="15" thickBot="1" x14ac:dyDescent="0.35">
      <c r="A768" s="646" t="s">
        <v>843</v>
      </c>
      <c r="B768" s="255" t="str">
        <f t="array" ref="B768">IFERROR(
   IF(INDEX([1]Extraídas!B:B,MATCH(LEFT($A768,6)&amp;"*",[1]Extraídas!A:A,0))="Extraídas",
      "✅ En proceso",
      IF(INDEX([1]Extraídas!B:B,MATCH(LEFT($A768,6)&amp;"*",[1]Extraídas!A:A,0))="Recibidas",
         "⏳ Pendiente","❌ No ingresada")),
   "❌ No ingresada"
)</f>
        <v>✅ En proceso</v>
      </c>
      <c r="C768" s="255" t="str">
        <f t="array" ref="C768">IFERROR(
   IF(INDEX([1]PCRs!B:B,MATCH(LEFT($A768,6)&amp;"*",[1]PCRs!A:A,0))="Positivo",
      "✅ Positivo",
      IF(INDEX([1]PCRs!B:B,MATCH(LEFT($A768,6)&amp;"*",[1]PCRs!A:A,0))="Negativo",
         "❌ Negativo",
         "⏳ No realizado")),
   "⏳ No realizado"
)</f>
        <v>⏳ No realizado</v>
      </c>
      <c r="D768" s="255" t="str">
        <f>IFERROR(
   CHOOSE(
      MATCH(VLOOKUP(LEFT(A815,6)&amp;"*",'Identificación genética'!A:C,2,FALSE),
               {"En proceso";"Finalizado"},0),
      "🔬 En proceso",
      "🎯 Finalizado"
   ),
"❌ NA")</f>
        <v>🎯 Finalizado</v>
      </c>
      <c r="E768" t="s">
        <v>85</v>
      </c>
      <c r="F768" s="578">
        <v>45940</v>
      </c>
      <c r="G768" t="str">
        <f>_xlfn.XLOOKUP(A768, Extraídas!A:A, Extraídas!G:G, "")</f>
        <v>Microalgas</v>
      </c>
    </row>
    <row r="769" spans="1:7" ht="15" thickBot="1" x14ac:dyDescent="0.35">
      <c r="A769" s="647" t="s">
        <v>844</v>
      </c>
      <c r="B769" s="255" t="str">
        <f>IFERROR(
   IF(INDEX(Extraídas!B:B,MATCH(LEFT($A769,6)&amp;"*",Extraídas!A:A,0))="Extraídas",
      "✅ En proceso",
      IF(INDEX(Extraídas!B:B,MATCH(LEFT($A769,6)&amp;"*",Extraídas!A:A,0))="Recibidas",
         "⏳ Pendiente","❌ No ingresada")),
   "❌ No ingresada"
)</f>
        <v>⏳ Pendiente</v>
      </c>
      <c r="C769" s="255" t="str">
        <f t="array" ref="C769">IFERROR(
   IF(INDEX([1]PCRs!B:B,MATCH(LEFT($A769,6)&amp;"*",[1]PCRs!A:A,0))="Positivo",
      "✅ Positivo",
      IF(INDEX([1]PCRs!B:B,MATCH(LEFT($A769,6)&amp;"*",[1]PCRs!A:A,0))="Negativo",
         "❌ Negativo",
         "⏳ No realizado")),
   "⏳ No realizado"
)</f>
        <v>✅ Positivo</v>
      </c>
      <c r="D769" s="255" t="str">
        <f>IFERROR(
   CHOOSE(
      MATCH(VLOOKUP(LEFT(A816,6)&amp;"*",'Identificación genética'!A:C,2,FALSE),
               {"En proceso";"Finalizado"},0),
      "🔬 En proceso",
      "🎯 Finalizado"
   ),
"❌ NA")</f>
        <v>🎯 Finalizado</v>
      </c>
      <c r="E769" t="s">
        <v>85</v>
      </c>
      <c r="F769" s="619">
        <v>45926</v>
      </c>
      <c r="G769" t="str">
        <f>_xlfn.XLOOKUP(A769, Extraídas!A:A, Extraídas!G:G, "")</f>
        <v>Microalgas</v>
      </c>
    </row>
    <row r="770" spans="1:7" ht="15" thickBot="1" x14ac:dyDescent="0.35">
      <c r="A770" s="646" t="s">
        <v>845</v>
      </c>
      <c r="B770" s="255" t="str">
        <f>IFERROR(
   IF(INDEX(Extraídas!B:B,MATCH(LEFT($A770,6)&amp;"*",Extraídas!A:A,0))="Extraídas",
      "✅ En proceso",
      IF(INDEX(Extraídas!B:B,MATCH(LEFT($A770,6)&amp;"*",Extraídas!A:A,0))="Recibidas",
         "⏳ Pendiente","❌ No ingresada")),
   "❌ No ingresada"
)</f>
        <v>⏳ Pendiente</v>
      </c>
      <c r="C770" s="255" t="str">
        <f t="array" ref="C770">IFERROR(
   IF(INDEX([1]PCRs!B:B,MATCH(LEFT($A770,6)&amp;"*",[1]PCRs!A:A,0))="Positivo",
      "✅ Positivo",
      IF(INDEX([1]PCRs!B:B,MATCH(LEFT($A770,6)&amp;"*",[1]PCRs!A:A,0))="Negativo",
         "❌ Negativo",
         "⏳ No realizado")),
   "⏳ No realizado"
)</f>
        <v>✅ Positivo</v>
      </c>
      <c r="D770" s="255" t="str">
        <f>IFERROR(
   CHOOSE(
      MATCH(VLOOKUP(LEFT(A817,6)&amp;"*",'Identificación genética'!A:C,2,FALSE),
               {"En proceso";"Finalizado"},0),
      "🔬 En proceso",
      "🎯 Finalizado"
   ),
"❌ NA")</f>
        <v>🎯 Finalizado</v>
      </c>
      <c r="E770" t="s">
        <v>85</v>
      </c>
      <c r="F770" s="619">
        <v>45926</v>
      </c>
      <c r="G770" t="str">
        <f>_xlfn.XLOOKUP(A770, Extraídas!A:A, Extraídas!G:G, "")</f>
        <v>Microalgas</v>
      </c>
    </row>
    <row r="771" spans="1:7" ht="15" thickBot="1" x14ac:dyDescent="0.35">
      <c r="A771" s="612" t="s">
        <v>1993</v>
      </c>
      <c r="B771" s="255" t="str">
        <f>IFERROR(
   IF(INDEX(Extraídas!B:B,MATCH(LEFT($A771,6)&amp;"*",Extraídas!A:A,0))="Extraídas",
      "✅ En proceso",
      IF(INDEX(Extraídas!B:B,MATCH(LEFT($A771,6)&amp;"*",Extraídas!A:A,0))="Recibidas",
         "⏳ Pendiente","❌ No ingresada")),
   "❌ No ingresada"
)</f>
        <v>⏳ Pendiente</v>
      </c>
      <c r="C771" s="255" t="str">
        <f t="array" ref="C771">IFERROR(
   IF(INDEX([1]PCRs!B:B,MATCH(LEFT($A771,6)&amp;"*",[1]PCRs!A:A,0))="Positivo",
      "✅ Positivo",
      IF(INDEX([1]PCRs!B:B,MATCH(LEFT($A771,6)&amp;"*",[1]PCRs!A:A,0))="Negativo",
         "❌ Negativo",
         "⏳ No realizado")),
   "⏳ No realizado"
)</f>
        <v>✅ Positivo</v>
      </c>
      <c r="D771" s="255" t="str">
        <f>IFERROR(
   CHOOSE(
      MATCH(VLOOKUP(LEFT(A818,6)&amp;"*",'Identificación genética'!A:C,2,FALSE),
               {"En proceso";"Finalizado"},0),
      "🔬 En proceso",
      "🎯 Finalizado"
   ),
"❌ NA")</f>
        <v>🎯 Finalizado</v>
      </c>
      <c r="E771" t="s">
        <v>85</v>
      </c>
      <c r="G771" t="str">
        <f>_xlfn.XLOOKUP(A771, Extraídas!A:A, Extraídas!G:G, "")</f>
        <v/>
      </c>
    </row>
    <row r="772" spans="1:7" ht="15" thickBot="1" x14ac:dyDescent="0.35">
      <c r="A772" s="615" t="s">
        <v>1995</v>
      </c>
      <c r="B772" s="255" t="str">
        <f>IFERROR(
   IF(INDEX(Extraídas!B:B,MATCH(LEFT($A772,6)&amp;"*",Extraídas!A:A,0))="Extraídas",
      "✅ En proceso",
      IF(INDEX(Extraídas!B:B,MATCH(LEFT($A772,6)&amp;"*",Extraídas!A:A,0))="Recibidas",
         "⏳ Pendiente","❌ No ingresada")),
   "❌ No ingresada"
)</f>
        <v>⏳ Pendiente</v>
      </c>
      <c r="C772" s="255" t="str">
        <f t="array" ref="C772">IFERROR(
   IF(INDEX([1]PCRs!B:B,MATCH(LEFT($A772,6)&amp;"*",[1]PCRs!A:A,0))="Positivo",
      "✅ Positivo",
      IF(INDEX([1]PCRs!B:B,MATCH(LEFT($A772,6)&amp;"*",[1]PCRs!A:A,0))="Negativo",
         "❌ Negativo",
         "⏳ No realizado")),
   "⏳ No realizado"
)</f>
        <v>✅ Positivo</v>
      </c>
      <c r="D772" s="255" t="str">
        <f>IFERROR(
   CHOOSE(
      MATCH(VLOOKUP(LEFT(A819,6)&amp;"*",'Identificación genética'!A:C,2,FALSE),
               {"En proceso";"Finalizado"},0),
      "🔬 En proceso",
      "🎯 Finalizado"
   ),
"❌ NA")</f>
        <v>🎯 Finalizado</v>
      </c>
      <c r="E772" t="s">
        <v>85</v>
      </c>
      <c r="G772" t="str">
        <f>_xlfn.XLOOKUP(A772, Extraídas!A:A, Extraídas!G:G, "")</f>
        <v/>
      </c>
    </row>
    <row r="773" spans="1:7" ht="15" thickBot="1" x14ac:dyDescent="0.35">
      <c r="A773" s="646" t="s">
        <v>846</v>
      </c>
      <c r="B773" s="255" t="str">
        <f>IFERROR(
   IF(INDEX(Extraídas!B:B,MATCH(LEFT($A773,6)&amp;"*",Extraídas!A:A,0))="Extraídas",
      "✅ En proceso",
      IF(INDEX(Extraídas!B:B,MATCH(LEFT($A773,6)&amp;"*",Extraídas!A:A,0))="Recibidas",
         "⏳ Pendiente","❌ No ingresada")),
   "❌ No ingresada"
)</f>
        <v>⏳ Pendiente</v>
      </c>
      <c r="C773" s="255" t="str">
        <f t="array" ref="C773">IFERROR(
   IF(INDEX([1]PCRs!B:B,MATCH(LEFT($A773,6)&amp;"*",[1]PCRs!A:A,0))="Positivo",
      "✅ Positivo",
      IF(INDEX([1]PCRs!B:B,MATCH(LEFT($A773,6)&amp;"*",[1]PCRs!A:A,0))="Negativo",
         "❌ Negativo",
         "⏳ No realizado")),
   "⏳ No realizado"
)</f>
        <v>✅ Positivo</v>
      </c>
      <c r="D773" s="255" t="str">
        <f>IFERROR(
   CHOOSE(
      MATCH(VLOOKUP(LEFT(A820,6)&amp;"*",'Identificación genética'!A:C,2,FALSE),
               {"En proceso";"Finalizado"},0),
      "🔬 En proceso",
      "🎯 Finalizado"
   ),
"❌ NA")</f>
        <v>🎯 Finalizado</v>
      </c>
      <c r="E773" t="s">
        <v>85</v>
      </c>
      <c r="F773" s="98">
        <v>45926</v>
      </c>
      <c r="G773" t="str">
        <f>_xlfn.XLOOKUP(A773, Extraídas!A:A, Extraídas!G:G, "")</f>
        <v>Microalgas</v>
      </c>
    </row>
    <row r="774" spans="1:7" ht="15" thickBot="1" x14ac:dyDescent="0.35">
      <c r="A774" s="647" t="s">
        <v>847</v>
      </c>
      <c r="B774" s="255" t="str">
        <f>IFERROR(
   IF(INDEX(Extraídas!B:B,MATCH(LEFT($A774,6)&amp;"*",Extraídas!A:A,0))="Extraídas",
      "✅ En proceso",
      IF(INDEX(Extraídas!B:B,MATCH(LEFT($A774,6)&amp;"*",Extraídas!A:A,0))="Recibidas",
         "⏳ Pendiente","❌ No ingresada")),
   "❌ No ingresada"
)</f>
        <v>⏳ Pendiente</v>
      </c>
      <c r="C774" s="255" t="str">
        <f t="array" ref="C774">IFERROR(
   IF(INDEX([1]PCRs!B:B,MATCH(LEFT($A774,6)&amp;"*",[1]PCRs!A:A,0))="Positivo",
      "✅ Positivo",
      IF(INDEX([1]PCRs!B:B,MATCH(LEFT($A774,6)&amp;"*",[1]PCRs!A:A,0))="Negativo",
         "❌ Negativo",
         "⏳ No realizado")),
   "⏳ No realizado"
)</f>
        <v>✅ Positivo</v>
      </c>
      <c r="D774" s="255" t="str">
        <f>IFERROR(
   CHOOSE(
      MATCH(VLOOKUP(LEFT(A821,6)&amp;"*",'Identificación genética'!A:C,2,FALSE),
               {"En proceso";"Finalizado"},0),
      "🔬 En proceso",
      "🎯 Finalizado"
   ),
"❌ NA")</f>
        <v>🎯 Finalizado</v>
      </c>
      <c r="E774" t="s">
        <v>85</v>
      </c>
      <c r="F774" s="98">
        <v>45926</v>
      </c>
      <c r="G774" t="str">
        <f>_xlfn.XLOOKUP(A774, Extraídas!A:A, Extraídas!G:G, "")</f>
        <v>Microalgas</v>
      </c>
    </row>
    <row r="775" spans="1:7" ht="15" thickBot="1" x14ac:dyDescent="0.35">
      <c r="A775" s="649" t="s">
        <v>848</v>
      </c>
      <c r="B775" s="255" t="str">
        <f>IFERROR(
   IF(INDEX(Extraídas!B:B,MATCH(LEFT($A775,6)&amp;"*",Extraídas!A:A,0))="Extraídas",
      "✅ En proceso",
      IF(INDEX(Extraídas!B:B,MATCH(LEFT($A775,6)&amp;"*",Extraídas!A:A,0))="Recibidas",
         "⏳ Pendiente","❌ No ingresada")),
   "❌ No ingresada"
)</f>
        <v>⏳ Pendiente</v>
      </c>
      <c r="C775" s="255" t="str">
        <f t="array" ref="C775">IFERROR(
   IF(INDEX([1]PCRs!B:B,MATCH(LEFT($A775,6)&amp;"*",[1]PCRs!A:A,0))="Positivo",
      "✅ Positivo",
      IF(INDEX([1]PCRs!B:B,MATCH(LEFT($A775,6)&amp;"*",[1]PCRs!A:A,0))="Negativo",
         "❌ Negativo",
         "⏳ No realizado")),
   "⏳ No realizado"
)</f>
        <v>✅ Positivo</v>
      </c>
      <c r="D775" s="255" t="str">
        <f>IFERROR(
   CHOOSE(
      MATCH(VLOOKUP(LEFT(A822,6)&amp;"*",'Identificación genética'!A:C,2,FALSE),
               {"En proceso";"Finalizado"},0),
      "🔬 En proceso",
      "🎯 Finalizado"
   ),
"❌ NA")</f>
        <v>🎯 Finalizado</v>
      </c>
      <c r="E775" t="s">
        <v>85</v>
      </c>
      <c r="F775" s="110">
        <v>45926</v>
      </c>
      <c r="G775" t="str">
        <f>_xlfn.XLOOKUP(A775, Extraídas!A:A, Extraídas!G:G, "")</f>
        <v>Chlorophyceae</v>
      </c>
    </row>
    <row r="776" spans="1:7" ht="15" thickBot="1" x14ac:dyDescent="0.35">
      <c r="A776" s="647" t="s">
        <v>849</v>
      </c>
      <c r="B776" s="255" t="str">
        <f>IFERROR(
   IF(INDEX(Extraídas!B:B,MATCH(LEFT($A776,6)&amp;"*",Extraídas!A:A,0))="Extraídas",
      "✅ En proceso",
      IF(INDEX(Extraídas!B:B,MATCH(LEFT($A776,6)&amp;"*",Extraídas!A:A,0))="Recibidas",
         "⏳ Pendiente","❌ No ingresada")),
   "❌ No ingresada"
)</f>
        <v>⏳ Pendiente</v>
      </c>
      <c r="C776" s="255" t="str">
        <f t="array" ref="C776">IFERROR(
   IF(INDEX([1]PCRs!B:B,MATCH(LEFT($A776,6)&amp;"*",[1]PCRs!A:A,0))="Positivo",
      "✅ Positivo",
      IF(INDEX([1]PCRs!B:B,MATCH(LEFT($A776,6)&amp;"*",[1]PCRs!A:A,0))="Negativo",
         "❌ Negativo",
         "⏳ No realizado")),
   "⏳ No realizado"
)</f>
        <v>✅ Positivo</v>
      </c>
      <c r="D776" s="255" t="str">
        <f>IFERROR(
   CHOOSE(
      MATCH(VLOOKUP(LEFT(A823,6)&amp;"*",'Identificación genética'!A:C,2,FALSE),
               {"En proceso";"Finalizado"},0),
      "🔬 En proceso",
      "🎯 Finalizado"
   ),
"❌ NA")</f>
        <v>🎯 Finalizado</v>
      </c>
      <c r="E776" t="s">
        <v>85</v>
      </c>
      <c r="F776" s="98">
        <v>45926</v>
      </c>
      <c r="G776" t="str">
        <f>_xlfn.XLOOKUP(A776, Extraídas!A:A, Extraídas!G:G, "")</f>
        <v>Microalgas</v>
      </c>
    </row>
    <row r="777" spans="1:7" ht="15" thickBot="1" x14ac:dyDescent="0.35">
      <c r="A777" s="646" t="s">
        <v>850</v>
      </c>
      <c r="B777" s="255" t="str">
        <f t="array" ref="B777">IFERROR(
   IF(INDEX([1]Extraídas!B:B,MATCH(LEFT($A777,6)&amp;"*",[1]Extraídas!A:A,0))="Extraídas",
      "✅ En proceso",
      IF(INDEX([1]Extraídas!B:B,MATCH(LEFT($A777,6)&amp;"*",[1]Extraídas!A:A,0))="Recibidas",
         "⏳ Pendiente","❌ No ingresada")),
   "❌ No ingresada"
)</f>
        <v>⏳ Pendiente</v>
      </c>
      <c r="C777" s="255" t="str">
        <f t="array" ref="C777">IFERROR(
   IF(INDEX([1]PCRs!B:B,MATCH(LEFT($A777,6)&amp;"*",[1]PCRs!A:A,0))="Positivo",
      "✅ Positivo",
      IF(INDEX([1]PCRs!B:B,MATCH(LEFT($A777,6)&amp;"*",[1]PCRs!A:A,0))="Negativo",
         "❌ Negativo",
         "⏳ No realizado")),
   "⏳ No realizado"
)</f>
        <v>⏳ No realizado</v>
      </c>
      <c r="D777" s="255" t="str">
        <f>IFERROR(
   CHOOSE(
      MATCH(VLOOKUP(LEFT(A824,6)&amp;"*",'Identificación genética'!A:C,2,FALSE),
               {"En proceso";"Finalizado"},0),
      "🔬 En proceso",
      "🎯 Finalizado"
   ),
"❌ NA")</f>
        <v>🎯 Finalizado</v>
      </c>
      <c r="E777" t="s">
        <v>85</v>
      </c>
      <c r="F777" s="98">
        <v>45926</v>
      </c>
      <c r="G777" t="str">
        <f>_xlfn.XLOOKUP(A777, Extraídas!A:A, Extraídas!G:G, "")</f>
        <v>Microalgas</v>
      </c>
    </row>
    <row r="778" spans="1:7" ht="15" thickBot="1" x14ac:dyDescent="0.35">
      <c r="A778" s="647" t="s">
        <v>851</v>
      </c>
      <c r="B778" s="255" t="str">
        <f t="array" ref="B778">IFERROR(
   IF(INDEX([1]Extraídas!B:B,MATCH(LEFT($A778,6)&amp;"*",[1]Extraídas!A:A,0))="Extraídas",
      "✅ En proceso",
      IF(INDEX([1]Extraídas!B:B,MATCH(LEFT($A778,6)&amp;"*",[1]Extraídas!A:A,0))="Recibidas",
         "⏳ Pendiente","❌ No ingresada")),
   "❌ No ingresada"
)</f>
        <v>⏳ Pendiente</v>
      </c>
      <c r="C778" s="255" t="str">
        <f t="array" ref="C778">IFERROR(
   IF(INDEX([1]PCRs!B:B,MATCH(LEFT($A778,6)&amp;"*",[1]PCRs!A:A,0))="Positivo",
      "✅ Positivo",
      IF(INDEX([1]PCRs!B:B,MATCH(LEFT($A778,6)&amp;"*",[1]PCRs!A:A,0))="Negativo",
         "❌ Negativo",
         "⏳ No realizado")),
   "⏳ No realizado"
)</f>
        <v>⏳ No realizado</v>
      </c>
      <c r="D778" s="255" t="str">
        <f>IFERROR(
   CHOOSE(
      MATCH(VLOOKUP(LEFT(A825,6)&amp;"*",'Identificación genética'!A:C,2,FALSE),
               {"En proceso";"Finalizado"},0),
      "🔬 En proceso",
      "🎯 Finalizado"
   ),
"❌ NA")</f>
        <v>🎯 Finalizado</v>
      </c>
      <c r="E778" t="s">
        <v>85</v>
      </c>
      <c r="F778" s="619">
        <v>45926</v>
      </c>
      <c r="G778" t="str">
        <f>_xlfn.XLOOKUP(A778, Extraídas!A:A, Extraídas!G:G, "")</f>
        <v>Microalgas</v>
      </c>
    </row>
    <row r="779" spans="1:7" ht="15" thickBot="1" x14ac:dyDescent="0.35">
      <c r="A779" s="646" t="s">
        <v>852</v>
      </c>
      <c r="B779" s="255" t="str">
        <f t="array" ref="B779">IFERROR(
   IF(INDEX([1]Extraídas!B:B,MATCH(LEFT($A779,6)&amp;"*",[1]Extraídas!A:A,0))="Extraídas",
      "✅ En proceso",
      IF(INDEX([1]Extraídas!B:B,MATCH(LEFT($A779,6)&amp;"*",[1]Extraídas!A:A,0))="Recibidas",
         "⏳ Pendiente","❌ No ingresada")),
   "❌ No ingresada"
)</f>
        <v>⏳ Pendiente</v>
      </c>
      <c r="C779" s="255" t="str">
        <f t="array" ref="C779">IFERROR(
   IF(INDEX([1]PCRs!B:B,MATCH(LEFT($A779,6)&amp;"*",[1]PCRs!A:A,0))="Positivo",
      "✅ Positivo",
      IF(INDEX([1]PCRs!B:B,MATCH(LEFT($A779,6)&amp;"*",[1]PCRs!A:A,0))="Negativo",
         "❌ Negativo",
         "⏳ No realizado")),
   "⏳ No realizado"
)</f>
        <v>⏳ No realizado</v>
      </c>
      <c r="D779" s="255" t="str">
        <f>IFERROR(
   CHOOSE(
      MATCH(VLOOKUP(LEFT(A826,6)&amp;"*",'Identificación genética'!A:C,2,FALSE),
               {"En proceso";"Finalizado"},0),
      "🔬 En proceso",
      "🎯 Finalizado"
   ),
"❌ NA")</f>
        <v>🎯 Finalizado</v>
      </c>
      <c r="E779" t="s">
        <v>85</v>
      </c>
      <c r="F779" s="619">
        <v>45926</v>
      </c>
      <c r="G779" t="str">
        <f>_xlfn.XLOOKUP(A779, Extraídas!A:A, Extraídas!G:G, "")</f>
        <v>Microalgas</v>
      </c>
    </row>
    <row r="780" spans="1:7" ht="15" thickBot="1" x14ac:dyDescent="0.35">
      <c r="A780" s="647" t="s">
        <v>853</v>
      </c>
      <c r="B780" s="255" t="str">
        <f t="array" ref="B780">IFERROR(
   IF(INDEX([1]Extraídas!B:B,MATCH(LEFT($A780,6)&amp;"*",[1]Extraídas!A:A,0))="Extraídas",
      "✅ En proceso",
      IF(INDEX([1]Extraídas!B:B,MATCH(LEFT($A780,6)&amp;"*",[1]Extraídas!A:A,0))="Recibidas",
         "⏳ Pendiente","❌ No ingresada")),
   "❌ No ingresada"
)</f>
        <v>⏳ Pendiente</v>
      </c>
      <c r="C780" s="255" t="str">
        <f t="array" ref="C780">IFERROR(
   IF(INDEX([1]PCRs!B:B,MATCH(LEFT($A780,6)&amp;"*",[1]PCRs!A:A,0))="Positivo",
      "✅ Positivo",
      IF(INDEX([1]PCRs!B:B,MATCH(LEFT($A780,6)&amp;"*",[1]PCRs!A:A,0))="Negativo",
         "❌ Negativo",
         "⏳ No realizado")),
   "⏳ No realizado"
)</f>
        <v>⏳ No realizado</v>
      </c>
      <c r="D780" s="255" t="str">
        <f>IFERROR(
   CHOOSE(
      MATCH(VLOOKUP(LEFT(A827,6)&amp;"*",'Identificación genética'!A:C,2,FALSE),
               {"En proceso";"Finalizado"},0),
      "🔬 En proceso",
      "🎯 Finalizado"
   ),
"❌ NA")</f>
        <v>🎯 Finalizado</v>
      </c>
      <c r="E780" t="s">
        <v>85</v>
      </c>
      <c r="F780" s="619">
        <v>45926</v>
      </c>
      <c r="G780" t="str">
        <f>_xlfn.XLOOKUP(A780, Extraídas!A:A, Extraídas!G:G, "")</f>
        <v>Microalgas</v>
      </c>
    </row>
    <row r="781" spans="1:7" ht="15" thickBot="1" x14ac:dyDescent="0.35">
      <c r="A781" s="646" t="s">
        <v>854</v>
      </c>
      <c r="B781" s="255" t="str">
        <f t="array" ref="B781">IFERROR(
   IF(INDEX([1]Extraídas!B:B,MATCH(LEFT($A781,6)&amp;"*",[1]Extraídas!A:A,0))="Extraídas",
      "✅ En proceso",
      IF(INDEX([1]Extraídas!B:B,MATCH(LEFT($A781,6)&amp;"*",[1]Extraídas!A:A,0))="Recibidas",
         "⏳ Pendiente","❌ No ingresada")),
   "❌ No ingresada"
)</f>
        <v>⏳ Pendiente</v>
      </c>
      <c r="C781" s="255" t="str">
        <f t="array" ref="C781">IFERROR(
   IF(INDEX([1]PCRs!B:B,MATCH(LEFT($A781,6)&amp;"*",[1]PCRs!A:A,0))="Positivo",
      "✅ Positivo",
      IF(INDEX([1]PCRs!B:B,MATCH(LEFT($A781,6)&amp;"*",[1]PCRs!A:A,0))="Negativo",
         "❌ Negativo",
         "⏳ No realizado")),
   "⏳ No realizado"
)</f>
        <v>⏳ No realizado</v>
      </c>
      <c r="D781" s="255" t="str">
        <f>IFERROR(
   CHOOSE(
      MATCH(VLOOKUP(LEFT(A828,6)&amp;"*",'Identificación genética'!A:C,2,FALSE),
               {"En proceso";"Finalizado"},0),
      "🔬 En proceso",
      "🎯 Finalizado"
   ),
"❌ NA")</f>
        <v>🎯 Finalizado</v>
      </c>
      <c r="E781" t="s">
        <v>85</v>
      </c>
      <c r="F781" s="619">
        <v>45926</v>
      </c>
      <c r="G781" t="str">
        <f>_xlfn.XLOOKUP(A781, Extraídas!A:A, Extraídas!G:G, "")</f>
        <v>Microalgas</v>
      </c>
    </row>
    <row r="782" spans="1:7" ht="15" thickBot="1" x14ac:dyDescent="0.35">
      <c r="A782" s="647" t="s">
        <v>855</v>
      </c>
      <c r="B782" s="255" t="str">
        <f t="array" ref="B782">IFERROR(
   IF(INDEX([1]Extraídas!B:B,MATCH(LEFT($A782,6)&amp;"*",[1]Extraídas!A:A,0))="Extraídas",
      "✅ En proceso",
      IF(INDEX([1]Extraídas!B:B,MATCH(LEFT($A782,6)&amp;"*",[1]Extraídas!A:A,0))="Recibidas",
         "⏳ Pendiente","❌ No ingresada")),
   "❌ No ingresada"
)</f>
        <v>⏳ Pendiente</v>
      </c>
      <c r="C782" s="255" t="str">
        <f t="array" ref="C782">IFERROR(
   IF(INDEX([1]PCRs!B:B,MATCH(LEFT($A782,6)&amp;"*",[1]PCRs!A:A,0))="Positivo",
      "✅ Positivo",
      IF(INDEX([1]PCRs!B:B,MATCH(LEFT($A782,6)&amp;"*",[1]PCRs!A:A,0))="Negativo",
         "❌ Negativo",
         "⏳ No realizado")),
   "⏳ No realizado"
)</f>
        <v>⏳ No realizado</v>
      </c>
      <c r="D782" s="255" t="str">
        <f>IFERROR(
   CHOOSE(
      MATCH(VLOOKUP(LEFT(A829,6)&amp;"*",'Identificación genética'!A:C,2,FALSE),
               {"En proceso";"Finalizado"},0),
      "🔬 En proceso",
      "🎯 Finalizado"
   ),
"❌ NA")</f>
        <v>🎯 Finalizado</v>
      </c>
      <c r="E782" t="s">
        <v>85</v>
      </c>
      <c r="F782" s="619">
        <v>45926</v>
      </c>
      <c r="G782" t="str">
        <f>_xlfn.XLOOKUP(A782, Extraídas!A:A, Extraídas!G:G, "")</f>
        <v>Microalgas</v>
      </c>
    </row>
    <row r="783" spans="1:7" ht="15" thickBot="1" x14ac:dyDescent="0.35">
      <c r="A783" s="646" t="s">
        <v>856</v>
      </c>
      <c r="B783" s="255" t="str">
        <f t="array" ref="B783">IFERROR(
   IF(INDEX([1]Extraídas!B:B,MATCH(LEFT($A783,6)&amp;"*",[1]Extraídas!A:A,0))="Extraídas",
      "✅ En proceso",
      IF(INDEX([1]Extraídas!B:B,MATCH(LEFT($A783,6)&amp;"*",[1]Extraídas!A:A,0))="Recibidas",
         "⏳ Pendiente","❌ No ingresada")),
   "❌ No ingresada"
)</f>
        <v>⏳ Pendiente</v>
      </c>
      <c r="C783" s="255" t="str">
        <f t="array" ref="C783">IFERROR(
   IF(INDEX([1]PCRs!B:B,MATCH(LEFT($A783,6)&amp;"*",[1]PCRs!A:A,0))="Positivo",
      "✅ Positivo",
      IF(INDEX([1]PCRs!B:B,MATCH(LEFT($A783,6)&amp;"*",[1]PCRs!A:A,0))="Negativo",
         "❌ Negativo",
         "⏳ No realizado")),
   "⏳ No realizado"
)</f>
        <v>⏳ No realizado</v>
      </c>
      <c r="D783" s="255" t="str">
        <f>IFERROR(
   CHOOSE(
      MATCH(VLOOKUP(LEFT(A830,6)&amp;"*",'Identificación genética'!A:C,2,FALSE),
               {"En proceso";"Finalizado"},0),
      "🔬 En proceso",
      "🎯 Finalizado"
   ),
"❌ NA")</f>
        <v>🎯 Finalizado</v>
      </c>
      <c r="E783" t="s">
        <v>85</v>
      </c>
      <c r="F783" s="619">
        <v>45926</v>
      </c>
      <c r="G783" t="str">
        <f>_xlfn.XLOOKUP(A783, Extraídas!A:A, Extraídas!G:G, "")</f>
        <v>Microalgas</v>
      </c>
    </row>
    <row r="784" spans="1:7" ht="15" thickBot="1" x14ac:dyDescent="0.35">
      <c r="A784" s="647" t="s">
        <v>857</v>
      </c>
      <c r="B784" s="255" t="str">
        <f t="array" ref="B784">IFERROR(
   IF(INDEX([1]Extraídas!B:B,MATCH(LEFT($A784,6)&amp;"*",[1]Extraídas!A:A,0))="Extraídas",
      "✅ En proceso",
      IF(INDEX([1]Extraídas!B:B,MATCH(LEFT($A784,6)&amp;"*",[1]Extraídas!A:A,0))="Recibidas",
         "⏳ Pendiente","❌ No ingresada")),
   "❌ No ingresada"
)</f>
        <v>⏳ Pendiente</v>
      </c>
      <c r="C784" s="255" t="str">
        <f t="array" ref="C784">IFERROR(
   IF(INDEX([1]PCRs!B:B,MATCH(LEFT($A784,6)&amp;"*",[1]PCRs!A:A,0))="Positivo",
      "✅ Positivo",
      IF(INDEX([1]PCRs!B:B,MATCH(LEFT($A784,6)&amp;"*",[1]PCRs!A:A,0))="Negativo",
         "❌ Negativo",
         "⏳ No realizado")),
   "⏳ No realizado"
)</f>
        <v>⏳ No realizado</v>
      </c>
      <c r="D784" s="255" t="str">
        <f>IFERROR(
   CHOOSE(
      MATCH(VLOOKUP(LEFT(A831,6)&amp;"*",'Identificación genética'!A:C,2,FALSE),
               {"En proceso";"Finalizado"},0),
      "🔬 En proceso",
      "🎯 Finalizado"
   ),
"❌ NA")</f>
        <v>🎯 Finalizado</v>
      </c>
      <c r="E784" t="s">
        <v>85</v>
      </c>
      <c r="F784" s="619">
        <v>45926</v>
      </c>
      <c r="G784" t="str">
        <f>_xlfn.XLOOKUP(A784, Extraídas!A:A, Extraídas!G:G, "")</f>
        <v>Microalgas</v>
      </c>
    </row>
    <row r="785" spans="1:7" ht="15" thickBot="1" x14ac:dyDescent="0.35">
      <c r="A785" s="646" t="s">
        <v>858</v>
      </c>
      <c r="B785" s="255" t="str">
        <f>IFERROR(
   IF(INDEX(Extraídas!B:B,MATCH(LEFT($A785,6)&amp;"*",Extraídas!A:A,0))="Extraídas",
      "✅ En proceso",
      IF(INDEX(Extraídas!B:B,MATCH(LEFT($A785,6)&amp;"*",Extraídas!A:A,0))="Recibidas",
         "⏳ Pendiente","❌ No ingresada")),
   "❌ No ingresada"
)</f>
        <v>⏳ Pendiente</v>
      </c>
      <c r="C785" s="255" t="str">
        <f t="array" ref="C785">IFERROR(
   IF(INDEX([1]PCRs!B:B,MATCH(LEFT($A785,6)&amp;"*",[1]PCRs!A:A,0))="Positivo",
      "✅ Positivo",
      IF(INDEX([1]PCRs!B:B,MATCH(LEFT($A785,6)&amp;"*",[1]PCRs!A:A,0))="Negativo",
         "❌ Negativo",
         "⏳ No realizado")),
   "⏳ No realizado"
)</f>
        <v>✅ Positivo</v>
      </c>
      <c r="D785" s="255" t="str">
        <f>IFERROR(
   CHOOSE(
      MATCH(VLOOKUP(LEFT(A832,6)&amp;"*",'Identificación genética'!A:C,2,FALSE),
               {"En proceso";"Finalizado"},0),
      "🔬 En proceso",
      "🎯 Finalizado"
   ),
"❌ NA")</f>
        <v>🎯 Finalizado</v>
      </c>
      <c r="E785" t="s">
        <v>85</v>
      </c>
      <c r="F785" s="180">
        <v>45926</v>
      </c>
      <c r="G785" t="str">
        <f>_xlfn.XLOOKUP(A785, Extraídas!A:A, Extraídas!G:G, "")</f>
        <v>Microalgas</v>
      </c>
    </row>
    <row r="786" spans="1:7" ht="15" thickBot="1" x14ac:dyDescent="0.35">
      <c r="A786" s="647" t="s">
        <v>859</v>
      </c>
      <c r="B786" s="255" t="str">
        <f>IFERROR(
   IF(INDEX(Extraídas!B:B,MATCH(LEFT($A786,6)&amp;"*",Extraídas!A:A,0))="Extraídas",
      "✅ En proceso",
      IF(INDEX(Extraídas!B:B,MATCH(LEFT($A786,6)&amp;"*",Extraídas!A:A,0))="Recibidas",
         "⏳ Pendiente","❌ No ingresada")),
   "❌ No ingresada"
)</f>
        <v>⏳ Pendiente</v>
      </c>
      <c r="C786" s="255" t="str">
        <f t="array" ref="C786">IFERROR(
   IF(INDEX([1]PCRs!B:B,MATCH(LEFT($A786,6)&amp;"*",[1]PCRs!A:A,0))="Positivo",
      "✅ Positivo",
      IF(INDEX([1]PCRs!B:B,MATCH(LEFT($A786,6)&amp;"*",[1]PCRs!A:A,0))="Negativo",
         "❌ Negativo",
         "⏳ No realizado")),
   "⏳ No realizado"
)</f>
        <v>✅ Positivo</v>
      </c>
      <c r="D786" s="255" t="str">
        <f>IFERROR(
   CHOOSE(
      MATCH(VLOOKUP(LEFT(A833,6)&amp;"*",'Identificación genética'!A:C,2,FALSE),
               {"En proceso";"Finalizado"},0),
      "🔬 En proceso",
      "🎯 Finalizado"
   ),
"❌ NA")</f>
        <v>🎯 Finalizado</v>
      </c>
      <c r="E786" t="s">
        <v>85</v>
      </c>
      <c r="F786" s="176">
        <v>45926</v>
      </c>
      <c r="G786" t="str">
        <f>_xlfn.XLOOKUP(A786, Extraídas!A:A, Extraídas!G:G, "")</f>
        <v>Microalgas</v>
      </c>
    </row>
    <row r="787" spans="1:7" ht="15" thickBot="1" x14ac:dyDescent="0.35">
      <c r="A787" s="646" t="s">
        <v>860</v>
      </c>
      <c r="B787" s="255" t="str">
        <f>IFERROR(
   IF(INDEX(Extraídas!B:B,MATCH(LEFT($A787,6)&amp;"*",Extraídas!A:A,0))="Extraídas",
      "✅ En proceso",
      IF(INDEX(Extraídas!B:B,MATCH(LEFT($A787,6)&amp;"*",Extraídas!A:A,0))="Recibidas",
         "⏳ Pendiente","❌ No ingresada")),
   "❌ No ingresada"
)</f>
        <v>⏳ Pendiente</v>
      </c>
      <c r="C787" s="255" t="str">
        <f t="array" ref="C787">IFERROR(
   IF(INDEX([1]PCRs!B:B,MATCH(LEFT($A787,6)&amp;"*",[1]PCRs!A:A,0))="Positivo",
      "✅ Positivo",
      IF(INDEX([1]PCRs!B:B,MATCH(LEFT($A787,6)&amp;"*",[1]PCRs!A:A,0))="Negativo",
         "❌ Negativo",
         "⏳ No realizado")),
   "⏳ No realizado"
)</f>
        <v>✅ Positivo</v>
      </c>
      <c r="D787" s="255" t="str">
        <f>IFERROR(
   CHOOSE(
      MATCH(VLOOKUP(LEFT(A834,6)&amp;"*",'Identificación genética'!A:C,2,FALSE),
               {"En proceso";"Finalizado"},0),
      "🔬 En proceso",
      "🎯 Finalizado"
   ),
"❌ NA")</f>
        <v>🎯 Finalizado</v>
      </c>
      <c r="E787" t="s">
        <v>85</v>
      </c>
      <c r="F787" s="180">
        <v>45926</v>
      </c>
      <c r="G787" t="str">
        <f>_xlfn.XLOOKUP(A787, Extraídas!A:A, Extraídas!G:G, "")</f>
        <v>Microalgas</v>
      </c>
    </row>
    <row r="788" spans="1:7" ht="15" thickBot="1" x14ac:dyDescent="0.35">
      <c r="A788" s="608" t="s">
        <v>2269</v>
      </c>
      <c r="B788" s="255" t="str">
        <f>IFERROR(
   IF(INDEX(Extraídas!B:B,MATCH(LEFT($A788,6)&amp;"*",Extraídas!A:A,0))="Extraídas",
      "✅ En proceso",
      IF(INDEX(Extraídas!B:B,MATCH(LEFT($A788,6)&amp;"*",Extraídas!A:A,0))="Recibidas",
         "⏳ Pendiente","❌ No ingresada")),
   "❌ No ingresada"
)</f>
        <v>⏳ Pendiente</v>
      </c>
      <c r="C788" s="255" t="str">
        <f t="array" ref="C788">IFERROR(
   IF(INDEX([1]PCRs!B:B,MATCH(LEFT($A788,6)&amp;"*",[1]PCRs!A:A,0))="Positivo",
      "✅ Positivo",
      IF(INDEX([1]PCRs!B:B,MATCH(LEFT($A788,6)&amp;"*",[1]PCRs!A:A,0))="Negativo",
         "❌ Negativo",
         "⏳ No realizado")),
   "⏳ No realizado"
)</f>
        <v>✅ Positivo</v>
      </c>
      <c r="D788" s="255" t="str">
        <f>IFERROR(
   CHOOSE(
      MATCH(VLOOKUP(LEFT(A835,6)&amp;"*",'Identificación genética'!A:C,2,FALSE),
               {"En proceso";"Finalizado"},0),
      "🔬 En proceso",
      "🎯 Finalizado"
   ),
"❌ NA")</f>
        <v>🎯 Finalizado</v>
      </c>
      <c r="E788" t="s">
        <v>85</v>
      </c>
      <c r="G788" t="str">
        <f>_xlfn.XLOOKUP(A788, Extraídas!A:A, Extraídas!G:G, "")</f>
        <v/>
      </c>
    </row>
    <row r="789" spans="1:7" ht="15" thickBot="1" x14ac:dyDescent="0.35">
      <c r="A789" s="646" t="s">
        <v>861</v>
      </c>
      <c r="B789" s="255" t="str">
        <f>IFERROR(
   IF(INDEX(Extraídas!B:B,MATCH(LEFT($A789,6)&amp;"*",Extraídas!A:A,0))="Extraídas",
      "✅ En proceso",
      IF(INDEX(Extraídas!B:B,MATCH(LEFT($A789,6)&amp;"*",Extraídas!A:A,0))="Recibidas",
         "⏳ Pendiente","❌ No ingresada")),
   "❌ No ingresada"
)</f>
        <v>⏳ Pendiente</v>
      </c>
      <c r="C789" s="255" t="str">
        <f t="array" ref="C789">IFERROR(
   IF(INDEX([1]PCRs!B:B,MATCH(LEFT($A789,6)&amp;"*",[1]PCRs!A:A,0))="Positivo",
      "✅ Positivo",
      IF(INDEX([1]PCRs!B:B,MATCH(LEFT($A789,6)&amp;"*",[1]PCRs!A:A,0))="Negativo",
         "❌ Negativo",
         "⏳ No realizado")),
   "⏳ No realizado"
)</f>
        <v>✅ Positivo</v>
      </c>
      <c r="D789" s="255" t="str">
        <f>IFERROR(
   CHOOSE(
      MATCH(VLOOKUP(LEFT(A836,6)&amp;"*",'Identificación genética'!A:C,2,FALSE),
               {"En proceso";"Finalizado"},0),
      "🔬 En proceso",
      "🎯 Finalizado"
   ),
"❌ NA")</f>
        <v>🎯 Finalizado</v>
      </c>
      <c r="E789" t="s">
        <v>85</v>
      </c>
      <c r="F789" s="98">
        <v>45926</v>
      </c>
      <c r="G789" t="str">
        <f>_xlfn.XLOOKUP(A789, Extraídas!A:A, Extraídas!G:G, "")</f>
        <v>Microalgas</v>
      </c>
    </row>
    <row r="790" spans="1:7" ht="15" thickBot="1" x14ac:dyDescent="0.35">
      <c r="A790" s="647" t="s">
        <v>862</v>
      </c>
      <c r="B790" s="255" t="str">
        <f>IFERROR(
   IF(INDEX(Extraídas!B:B,MATCH(LEFT($A790,6)&amp;"*",Extraídas!A:A,0))="Extraídas",
      "✅ En proceso",
      IF(INDEX(Extraídas!B:B,MATCH(LEFT($A790,6)&amp;"*",Extraídas!A:A,0))="Recibidas",
         "⏳ Pendiente","❌ No ingresada")),
   "❌ No ingresada"
)</f>
        <v>⏳ Pendiente</v>
      </c>
      <c r="C790" s="255" t="str">
        <f t="array" ref="C790">IFERROR(
   IF(INDEX([1]PCRs!B:B,MATCH(LEFT($A790,6)&amp;"*",[1]PCRs!A:A,0))="Positivo",
      "✅ Positivo",
      IF(INDEX([1]PCRs!B:B,MATCH(LEFT($A790,6)&amp;"*",[1]PCRs!A:A,0))="Negativo",
         "❌ Negativo",
         "⏳ No realizado")),
   "⏳ No realizado"
)</f>
        <v>✅ Positivo</v>
      </c>
      <c r="D790" s="255" t="str">
        <f>IFERROR(
   CHOOSE(
      MATCH(VLOOKUP(LEFT(A837,6)&amp;"*",'Identificación genética'!A:C,2,FALSE),
               {"En proceso";"Finalizado"},0),
      "🔬 En proceso",
      "🎯 Finalizado"
   ),
"❌ NA")</f>
        <v>🎯 Finalizado</v>
      </c>
      <c r="E790" t="s">
        <v>85</v>
      </c>
      <c r="F790" s="176">
        <v>45926</v>
      </c>
      <c r="G790" t="str">
        <f>_xlfn.XLOOKUP(A790, Extraídas!A:A, Extraídas!G:G, "")</f>
        <v>Microalgas</v>
      </c>
    </row>
    <row r="791" spans="1:7" ht="15" thickBot="1" x14ac:dyDescent="0.35">
      <c r="A791" s="646" t="s">
        <v>863</v>
      </c>
      <c r="B791" s="255" t="str">
        <f>IFERROR(
   IF(INDEX(Extraídas!B:B,MATCH(LEFT($A791,6)&amp;"*",Extraídas!A:A,0))="Extraídas",
      "✅ En proceso",
      IF(INDEX(Extraídas!B:B,MATCH(LEFT($A791,6)&amp;"*",Extraídas!A:A,0))="Recibidas",
         "⏳ Pendiente","❌ No ingresada")),
   "❌ No ingresada"
)</f>
        <v>⏳ Pendiente</v>
      </c>
      <c r="C791" s="255" t="str">
        <f t="array" ref="C791">IFERROR(
   IF(INDEX([1]PCRs!B:B,MATCH(LEFT($A791,6)&amp;"*",[1]PCRs!A:A,0))="Positivo",
      "✅ Positivo",
      IF(INDEX([1]PCRs!B:B,MATCH(LEFT($A791,6)&amp;"*",[1]PCRs!A:A,0))="Negativo",
         "❌ Negativo",
         "⏳ No realizado")),
   "⏳ No realizado"
)</f>
        <v>✅ Positivo</v>
      </c>
      <c r="D791" s="255" t="str">
        <f>IFERROR(
   CHOOSE(
      MATCH(VLOOKUP(LEFT(A838,6)&amp;"*",'Identificación genética'!A:C,2,FALSE),
               {"En proceso";"Finalizado"},0),
      "🔬 En proceso",
      "🎯 Finalizado"
   ),
"❌ NA")</f>
        <v>🎯 Finalizado</v>
      </c>
      <c r="E791" t="s">
        <v>85</v>
      </c>
      <c r="F791" s="180">
        <v>45926</v>
      </c>
      <c r="G791" t="str">
        <f>_xlfn.XLOOKUP(A791, Extraídas!A:A, Extraídas!G:G, "")</f>
        <v>Microalgas</v>
      </c>
    </row>
    <row r="792" spans="1:7" ht="15" thickBot="1" x14ac:dyDescent="0.35">
      <c r="A792" s="647" t="s">
        <v>864</v>
      </c>
      <c r="B792" s="255" t="str">
        <f>IFERROR(
   IF(INDEX(Extraídas!B:B,MATCH(LEFT($A792,6)&amp;"*",Extraídas!A:A,0))="Extraídas",
      "✅ En proceso",
      IF(INDEX(Extraídas!B:B,MATCH(LEFT($A792,6)&amp;"*",Extraídas!A:A,0))="Recibidas",
         "⏳ Pendiente","❌ No ingresada")),
   "❌ No ingresada"
)</f>
        <v>⏳ Pendiente</v>
      </c>
      <c r="C792" s="255" t="str">
        <f t="array" ref="C792">IFERROR(
   IF(INDEX([1]PCRs!B:B,MATCH(LEFT($A792,6)&amp;"*",[1]PCRs!A:A,0))="Positivo",
      "✅ Positivo",
      IF(INDEX([1]PCRs!B:B,MATCH(LEFT($A792,6)&amp;"*",[1]PCRs!A:A,0))="Negativo",
         "❌ Negativo",
         "⏳ No realizado")),
   "⏳ No realizado"
)</f>
        <v>✅ Positivo</v>
      </c>
      <c r="D792" s="255" t="str">
        <f>IFERROR(
   CHOOSE(
      MATCH(VLOOKUP(LEFT(A839,6)&amp;"*",'Identificación genética'!A:C,2,FALSE),
               {"En proceso";"Finalizado"},0),
      "🔬 En proceso",
      "🎯 Finalizado"
   ),
"❌ NA")</f>
        <v>🎯 Finalizado</v>
      </c>
      <c r="E792" t="s">
        <v>85</v>
      </c>
      <c r="F792" s="176">
        <v>45926</v>
      </c>
      <c r="G792" t="str">
        <f>_xlfn.XLOOKUP(A792, Extraídas!A:A, Extraídas!G:G, "")</f>
        <v>Microalgas</v>
      </c>
    </row>
    <row r="793" spans="1:7" ht="15" thickBot="1" x14ac:dyDescent="0.35">
      <c r="A793" s="646" t="s">
        <v>865</v>
      </c>
      <c r="B793" s="255" t="str">
        <f>IFERROR(
   IF(INDEX(Extraídas!B:B,MATCH(LEFT($A793,6)&amp;"*",Extraídas!A:A,0))="Extraídas",
      "✅ En proceso",
      IF(INDEX(Extraídas!B:B,MATCH(LEFT($A793,6)&amp;"*",Extraídas!A:A,0))="Recibidas",
         "⏳ Pendiente","❌ No ingresada")),
   "❌ No ingresada"
)</f>
        <v>⏳ Pendiente</v>
      </c>
      <c r="C793" s="255" t="str">
        <f t="array" ref="C793">IFERROR(
   IF(INDEX([1]PCRs!B:B,MATCH(LEFT($A793,6)&amp;"*",[1]PCRs!A:A,0))="Positivo",
      "✅ Positivo",
      IF(INDEX([1]PCRs!B:B,MATCH(LEFT($A793,6)&amp;"*",[1]PCRs!A:A,0))="Negativo",
         "❌ Negativo",
         "⏳ No realizado")),
   "⏳ No realizado"
)</f>
        <v>✅ Positivo</v>
      </c>
      <c r="D793" s="255" t="str">
        <f>IFERROR(
   CHOOSE(
      MATCH(VLOOKUP(LEFT(A840,6)&amp;"*",'Identificación genética'!A:C,2,FALSE),
               {"En proceso";"Finalizado"},0),
      "🔬 En proceso",
      "🎯 Finalizado"
   ),
"❌ NA")</f>
        <v>🎯 Finalizado</v>
      </c>
      <c r="E793" t="s">
        <v>85</v>
      </c>
      <c r="F793" s="98">
        <v>45926</v>
      </c>
      <c r="G793" t="str">
        <f>_xlfn.XLOOKUP(A793, Extraídas!A:A, Extraídas!G:G, "")</f>
        <v>Microalgas</v>
      </c>
    </row>
    <row r="794" spans="1:7" ht="15" thickBot="1" x14ac:dyDescent="0.35">
      <c r="A794" s="647" t="s">
        <v>866</v>
      </c>
      <c r="B794" s="255" t="str">
        <f>IFERROR(
   IF(INDEX(Extraídas!B:B,MATCH(LEFT($A794,6)&amp;"*",Extraídas!A:A,0))="Extraídas",
      "✅ En proceso",
      IF(INDEX(Extraídas!B:B,MATCH(LEFT($A794,6)&amp;"*",Extraídas!A:A,0))="Recibidas",
         "⏳ Pendiente","❌ No ingresada")),
   "❌ No ingresada"
)</f>
        <v>⏳ Pendiente</v>
      </c>
      <c r="C794" s="255" t="str">
        <f t="array" ref="C794">IFERROR(
   IF(INDEX([1]PCRs!B:B,MATCH(LEFT($A794,6)&amp;"*",[1]PCRs!A:A,0))="Positivo",
      "✅ Positivo",
      IF(INDEX([1]PCRs!B:B,MATCH(LEFT($A794,6)&amp;"*",[1]PCRs!A:A,0))="Negativo",
         "❌ Negativo",
         "⏳ No realizado")),
   "⏳ No realizado"
)</f>
        <v>✅ Positivo</v>
      </c>
      <c r="D794" s="255" t="str">
        <f>IFERROR(
   CHOOSE(
      MATCH(VLOOKUP(LEFT(A841,6)&amp;"*",'Identificación genética'!A:C,2,FALSE),
               {"En proceso";"Finalizado"},0),
      "🔬 En proceso",
      "🎯 Finalizado"
   ),
"❌ NA")</f>
        <v>🎯 Finalizado</v>
      </c>
      <c r="E794" t="s">
        <v>85</v>
      </c>
      <c r="F794" s="176">
        <v>45926</v>
      </c>
      <c r="G794" t="str">
        <f>_xlfn.XLOOKUP(A794, Extraídas!A:A, Extraídas!G:G, "")</f>
        <v>Microalgas</v>
      </c>
    </row>
    <row r="795" spans="1:7" ht="15" thickBot="1" x14ac:dyDescent="0.35">
      <c r="A795" s="646" t="s">
        <v>867</v>
      </c>
      <c r="B795" s="255" t="str">
        <f t="array" ref="B795">IFERROR(
   IF(INDEX([1]Extraídas!B:B,MATCH(LEFT($A795,6)&amp;"*",[1]Extraídas!A:A,0))="Extraídas",
      "✅ En proceso",
      IF(INDEX([1]Extraídas!B:B,MATCH(LEFT($A795,6)&amp;"*",[1]Extraídas!A:A,0))="Recibidas",
         "⏳ Pendiente","❌ No ingresada")),
   "❌ No ingresada"
)</f>
        <v>⏳ Pendiente</v>
      </c>
      <c r="C795" s="255" t="str">
        <f t="array" ref="C795">IFERROR(
   IF(INDEX([1]PCRs!B:B,MATCH(LEFT($A795,6)&amp;"*",[1]PCRs!A:A,0))="Positivo",
      "✅ Positivo",
      IF(INDEX([1]PCRs!B:B,MATCH(LEFT($A795,6)&amp;"*",[1]PCRs!A:A,0))="Negativo",
         "❌ Negativo",
         "⏳ No realizado")),
   "⏳ No realizado"
)</f>
        <v>❌ Negativo</v>
      </c>
      <c r="D795" s="255" t="str">
        <f>IFERROR(
   CHOOSE(
      MATCH(VLOOKUP(LEFT(A842,6)&amp;"*",'Identificación genética'!A:C,2,FALSE),
               {"En proceso";"Finalizado"},0),
      "🔬 En proceso",
      "🎯 Finalizado"
   ),
"❌ NA")</f>
        <v>🎯 Finalizado</v>
      </c>
      <c r="E795" t="s">
        <v>85</v>
      </c>
      <c r="F795" s="180">
        <v>45926</v>
      </c>
      <c r="G795" t="str">
        <f>_xlfn.XLOOKUP(A795, Extraídas!A:A, Extraídas!G:G, "")</f>
        <v>Microalgas</v>
      </c>
    </row>
    <row r="796" spans="1:7" ht="15" thickBot="1" x14ac:dyDescent="0.35">
      <c r="A796" s="647" t="s">
        <v>868</v>
      </c>
      <c r="B796" s="255" t="str">
        <f t="array" ref="B796">IFERROR(
   IF(INDEX([1]Extraídas!B:B,MATCH(LEFT($A796,6)&amp;"*",[1]Extraídas!A:A,0))="Extraídas",
      "✅ En proceso",
      IF(INDEX([1]Extraídas!B:B,MATCH(LEFT($A796,6)&amp;"*",[1]Extraídas!A:A,0))="Recibidas",
         "⏳ Pendiente","❌ No ingresada")),
   "❌ No ingresada"
)</f>
        <v>⏳ Pendiente</v>
      </c>
      <c r="C796" s="255" t="str">
        <f t="array" ref="C796">IFERROR(
   IF(INDEX([1]PCRs!B:B,MATCH(LEFT($A796,6)&amp;"*",[1]PCRs!A:A,0))="Positivo",
      "✅ Positivo",
      IF(INDEX([1]PCRs!B:B,MATCH(LEFT($A796,6)&amp;"*",[1]PCRs!A:A,0))="Negativo",
         "❌ Negativo",
         "⏳ No realizado")),
   "⏳ No realizado"
)</f>
        <v>❌ Negativo</v>
      </c>
      <c r="D796" s="255" t="str">
        <f>IFERROR(
   CHOOSE(
      MATCH(VLOOKUP(LEFT(A843,6)&amp;"*",'Identificación genética'!A:C,2,FALSE),
               {"En proceso";"Finalizado"},0),
      "🔬 En proceso",
      "🎯 Finalizado"
   ),
"❌ NA")</f>
        <v>🎯 Finalizado</v>
      </c>
      <c r="E796" t="s">
        <v>85</v>
      </c>
      <c r="F796" s="176">
        <v>45926</v>
      </c>
      <c r="G796" t="str">
        <f>_xlfn.XLOOKUP(A796, Extraídas!A:A, Extraídas!G:G, "")</f>
        <v>Microalgas</v>
      </c>
    </row>
    <row r="797" spans="1:7" ht="15" thickBot="1" x14ac:dyDescent="0.35">
      <c r="A797" s="610" t="s">
        <v>1223</v>
      </c>
      <c r="B797" t="str">
        <f t="array" ref="B797">IFERROR(
   IF(INDEX([1]Extraídas!B:B,MATCH(LEFT($A797,6)&amp;"*",[1]Extraídas!A:A,0))="Extraídas",
      "✅ En proceso",
      IF(INDEX([1]Extraídas!B:B,MATCH(LEFT($A797,6)&amp;"*",[1]Extraídas!A:A,0))="Recibidas",
         "⏳ Pendiente","❌ No ingresada")),
   "❌ No ingresada"
)</f>
        <v>⏳ Pendiente</v>
      </c>
      <c r="C797" s="255" t="str">
        <f t="array" ref="C797">IFERROR(
   IF(INDEX([1]PCRs!B:B,MATCH(LEFT($A797,6)&amp;"*",[1]PCRs!A:A,0))="Positivo",
      "✅ Positivo",
      IF(INDEX([1]PCRs!B:B,MATCH(LEFT($A797,6)&amp;"*",[1]PCRs!A:A,0))="Negativo",
         "❌ Negativo",
         "⏳ No realizado")),
   "⏳ No realizado"
)</f>
        <v>❌ Negativo</v>
      </c>
      <c r="D797" s="255" t="str">
        <f>IFERROR(
   CHOOSE(
      MATCH(VLOOKUP(LEFT(A844,6)&amp;"*",'Identificación genética'!A:C,2,FALSE),
               {"En proceso";"Finalizado"},0),
      "🔬 En proceso",
      "🎯 Finalizado"
   ),
"❌ NA")</f>
        <v>🎯 Finalizado</v>
      </c>
      <c r="E797" t="s">
        <v>85</v>
      </c>
      <c r="F797" s="585"/>
      <c r="G797" t="str">
        <f>_xlfn.XLOOKUP(A797, Extraídas!A:A, Extraídas!G:G, "")</f>
        <v/>
      </c>
    </row>
    <row r="798" spans="1:7" ht="15" thickBot="1" x14ac:dyDescent="0.35">
      <c r="A798" s="647" t="s">
        <v>869</v>
      </c>
      <c r="B798" s="255" t="str">
        <f t="array" ref="B798">IFERROR(
   IF(INDEX([1]Extraídas!B:B,MATCH(LEFT($A798,6)&amp;"*",[1]Extraídas!A:A,0))="Extraídas",
      "✅ En proceso",
      IF(INDEX([1]Extraídas!B:B,MATCH(LEFT($A798,6)&amp;"*",[1]Extraídas!A:A,0))="Recibidas",
         "⏳ Pendiente","❌ No ingresada")),
   "❌ No ingresada"
)</f>
        <v>⏳ Pendiente</v>
      </c>
      <c r="C798" s="255" t="str">
        <f t="array" ref="C798">IFERROR(
   IF(INDEX([1]PCRs!B:B,MATCH(LEFT($A798,6)&amp;"*",[1]PCRs!A:A,0))="Positivo",
      "✅ Positivo",
      IF(INDEX([1]PCRs!B:B,MATCH(LEFT($A798,6)&amp;"*",[1]PCRs!A:A,0))="Negativo",
         "❌ Negativo",
         "⏳ No realizado")),
   "⏳ No realizado"
)</f>
        <v>❌ Negativo</v>
      </c>
      <c r="D798" s="255" t="str">
        <f>IFERROR(
   CHOOSE(
      MATCH(VLOOKUP(LEFT(A845,6)&amp;"*",'Identificación genética'!A:C,2,FALSE),
               {"En proceso";"Finalizado"},0),
      "🔬 En proceso",
      "🎯 Finalizado"
   ),
"❌ NA")</f>
        <v>🎯 Finalizado</v>
      </c>
      <c r="E798" t="s">
        <v>85</v>
      </c>
      <c r="F798" s="619">
        <v>45924</v>
      </c>
      <c r="G798" t="str">
        <f>_xlfn.XLOOKUP(A798, Extraídas!A:A, Extraídas!G:G, "")</f>
        <v>Cianobacterias</v>
      </c>
    </row>
    <row r="799" spans="1:7" ht="15" thickBot="1" x14ac:dyDescent="0.35">
      <c r="A799" s="646" t="s">
        <v>870</v>
      </c>
      <c r="B799" s="255" t="str">
        <f t="array" ref="B799">IFERROR(
   IF(INDEX([1]Extraídas!B:B,MATCH(LEFT($A799,6)&amp;"*",[1]Extraídas!A:A,0))="Extraídas",
      "✅ En proceso",
      IF(INDEX([1]Extraídas!B:B,MATCH(LEFT($A799,6)&amp;"*",[1]Extraídas!A:A,0))="Recibidas",
         "⏳ Pendiente","❌ No ingresada")),
   "❌ No ingresada"
)</f>
        <v>⏳ Pendiente</v>
      </c>
      <c r="C799" s="255" t="str">
        <f t="array" ref="C799">IFERROR(
   IF(INDEX([1]PCRs!B:B,MATCH(LEFT($A799,6)&amp;"*",[1]PCRs!A:A,0))="Positivo",
      "✅ Positivo",
      IF(INDEX([1]PCRs!B:B,MATCH(LEFT($A799,6)&amp;"*",[1]PCRs!A:A,0))="Negativo",
         "❌ Negativo",
         "⏳ No realizado")),
   "⏳ No realizado"
)</f>
        <v>❌ Negativo</v>
      </c>
      <c r="D799" s="255" t="str">
        <f>IFERROR(
   CHOOSE(
      MATCH(VLOOKUP(LEFT(A846,6)&amp;"*",'Identificación genética'!A:C,2,FALSE),
               {"En proceso";"Finalizado"},0),
      "🔬 En proceso",
      "🎯 Finalizado"
   ),
"❌ NA")</f>
        <v>🎯 Finalizado</v>
      </c>
      <c r="E799" t="s">
        <v>85</v>
      </c>
      <c r="F799" s="619">
        <v>45926</v>
      </c>
      <c r="G799" t="str">
        <f>_xlfn.XLOOKUP(A799, Extraídas!A:A, Extraídas!G:G, "")</f>
        <v>Microalgas</v>
      </c>
    </row>
    <row r="800" spans="1:7" ht="15" thickBot="1" x14ac:dyDescent="0.35">
      <c r="A800" s="647" t="s">
        <v>871</v>
      </c>
      <c r="B800" s="255" t="str">
        <f t="array" ref="B800">IFERROR(
   IF(INDEX([1]Extraídas!B:B,MATCH(LEFT($A800,6)&amp;"*",[1]Extraídas!A:A,0))="Extraídas",
      "✅ En proceso",
      IF(INDEX([1]Extraídas!B:B,MATCH(LEFT($A800,6)&amp;"*",[1]Extraídas!A:A,0))="Recibidas",
         "⏳ Pendiente","❌ No ingresada")),
   "❌ No ingresada"
)</f>
        <v>⏳ Pendiente</v>
      </c>
      <c r="C800" s="255" t="str">
        <f t="array" ref="C800">IFERROR(
   IF(INDEX([1]PCRs!B:B,MATCH(LEFT($A800,6)&amp;"*",[1]PCRs!A:A,0))="Positivo",
      "✅ Positivo",
      IF(INDEX([1]PCRs!B:B,MATCH(LEFT($A800,6)&amp;"*",[1]PCRs!A:A,0))="Negativo",
         "❌ Negativo",
         "⏳ No realizado")),
   "⏳ No realizado"
)</f>
        <v>❌ Negativo</v>
      </c>
      <c r="D800" s="255" t="str">
        <f>IFERROR(
   CHOOSE(
      MATCH(VLOOKUP(LEFT(A847,6)&amp;"*",'Identificación genética'!A:C,2,FALSE),
               {"En proceso";"Finalizado"},0),
      "🔬 En proceso",
      "🎯 Finalizado"
   ),
"❌ NA")</f>
        <v>🎯 Finalizado</v>
      </c>
      <c r="E800" t="s">
        <v>85</v>
      </c>
      <c r="F800" s="619">
        <v>45926</v>
      </c>
      <c r="G800" t="str">
        <f>_xlfn.XLOOKUP(A800, Extraídas!A:A, Extraídas!G:G, "")</f>
        <v>Microalgas</v>
      </c>
    </row>
    <row r="801" spans="1:7" ht="15" thickBot="1" x14ac:dyDescent="0.35">
      <c r="A801" s="646" t="s">
        <v>872</v>
      </c>
      <c r="B801" s="255" t="str">
        <f t="array" ref="B801">IFERROR(
   IF(INDEX([1]Extraídas!B:B,MATCH(LEFT($A801,6)&amp;"*",[1]Extraídas!A:A,0))="Extraídas",
      "✅ En proceso",
      IF(INDEX([1]Extraídas!B:B,MATCH(LEFT($A801,6)&amp;"*",[1]Extraídas!A:A,0))="Recibidas",
         "⏳ Pendiente","❌ No ingresada")),
   "❌ No ingresada"
)</f>
        <v>⏳ Pendiente</v>
      </c>
      <c r="C801" s="255" t="str">
        <f t="array" ref="C801">IFERROR(
   IF(INDEX([1]PCRs!B:B,MATCH(LEFT($A801,6)&amp;"*",[1]PCRs!A:A,0))="Positivo",
      "✅ Positivo",
      IF(INDEX([1]PCRs!B:B,MATCH(LEFT($A801,6)&amp;"*",[1]PCRs!A:A,0))="Negativo",
         "❌ Negativo",
         "⏳ No realizado")),
   "⏳ No realizado"
)</f>
        <v>❌ Negativo</v>
      </c>
      <c r="D801" s="255" t="str">
        <f>IFERROR(
   CHOOSE(
      MATCH(VLOOKUP(LEFT(A848,6)&amp;"*",'Identificación genética'!A:C,2,FALSE),
               {"En proceso";"Finalizado"},0),
      "🔬 En proceso",
      "🎯 Finalizado"
   ),
"❌ NA")</f>
        <v>🎯 Finalizado</v>
      </c>
      <c r="E801" t="s">
        <v>85</v>
      </c>
      <c r="F801" s="180">
        <v>45926</v>
      </c>
      <c r="G801" t="str">
        <f>_xlfn.XLOOKUP(A801, Extraídas!A:A, Extraídas!G:G, "")</f>
        <v>Microalgas</v>
      </c>
    </row>
    <row r="802" spans="1:7" ht="15" thickBot="1" x14ac:dyDescent="0.35">
      <c r="A802" s="564" t="s">
        <v>1222</v>
      </c>
      <c r="B802" t="str">
        <f t="array" ref="B802">IFERROR(
   IF(INDEX([1]Extraídas!B:B,MATCH(LEFT($A802,6)&amp;"*",[1]Extraídas!A:A,0))="Extraídas",
      "✅ En proceso",
      IF(INDEX([1]Extraídas!B:B,MATCH(LEFT($A802,6)&amp;"*",[1]Extraídas!A:A,0))="Recibidas",
         "⏳ Pendiente","❌ No ingresada")),
   "❌ No ingresada"
)</f>
        <v>⏳ Pendiente</v>
      </c>
      <c r="C802" s="255" t="str">
        <f t="array" ref="C802">IFERROR(
   IF(INDEX([1]PCRs!B:B,MATCH(LEFT($A802,6)&amp;"*",[1]PCRs!A:A,0))="Positivo",
      "✅ Positivo",
      IF(INDEX([1]PCRs!B:B,MATCH(LEFT($A802,6)&amp;"*",[1]PCRs!A:A,0))="Negativo",
         "❌ Negativo",
         "⏳ No realizado")),
   "⏳ No realizado"
)</f>
        <v>❌ Negativo</v>
      </c>
      <c r="D802" s="255" t="str">
        <f>IFERROR(
   CHOOSE(
      MATCH(VLOOKUP(LEFT(A849,6)&amp;"*",'Identificación genética'!A:C,2,FALSE),
               {"En proceso";"Finalizado"},0),
      "🔬 En proceso",
      "🎯 Finalizado"
   ),
"❌ NA")</f>
        <v>🎯 Finalizado</v>
      </c>
      <c r="E802" t="s">
        <v>85</v>
      </c>
      <c r="F802" s="577"/>
      <c r="G802" t="str">
        <f>_xlfn.XLOOKUP(A802, Extraídas!A:A, Extraídas!G:G, "")</f>
        <v/>
      </c>
    </row>
    <row r="803" spans="1:7" ht="15" thickBot="1" x14ac:dyDescent="0.35">
      <c r="A803" s="646" t="s">
        <v>873</v>
      </c>
      <c r="B803" s="255" t="str">
        <f t="array" ref="B803">IFERROR(
   IF(INDEX([1]Extraídas!B:B,MATCH(LEFT($A803,6)&amp;"*",[1]Extraídas!A:A,0))="Extraídas",
      "✅ En proceso",
      IF(INDEX([1]Extraídas!B:B,MATCH(LEFT($A803,6)&amp;"*",[1]Extraídas!A:A,0))="Recibidas",
         "⏳ Pendiente","❌ No ingresada")),
   "❌ No ingresada"
)</f>
        <v>⏳ Pendiente</v>
      </c>
      <c r="C803" s="255" t="str">
        <f t="array" ref="C803">IFERROR(
   IF(INDEX([1]PCRs!B:B,MATCH(LEFT($A803,6)&amp;"*",[1]PCRs!A:A,0))="Positivo",
      "✅ Positivo",
      IF(INDEX([1]PCRs!B:B,MATCH(LEFT($A803,6)&amp;"*",[1]PCRs!A:A,0))="Negativo",
         "❌ Negativo",
         "⏳ No realizado")),
   "⏳ No realizado"
)</f>
        <v>❌ Negativo</v>
      </c>
      <c r="D803" s="255" t="str">
        <f>IFERROR(
   CHOOSE(
      MATCH(VLOOKUP(LEFT(A850,6)&amp;"*",'Identificación genética'!A:C,2,FALSE),
               {"En proceso";"Finalizado"},0),
      "🔬 En proceso",
      "🎯 Finalizado"
   ),
"❌ NA")</f>
        <v>🎯 Finalizado</v>
      </c>
      <c r="E803" t="s">
        <v>85</v>
      </c>
      <c r="F803" s="180">
        <v>45926</v>
      </c>
      <c r="G803" t="str">
        <f>_xlfn.XLOOKUP(A803, Extraídas!A:A, Extraídas!G:G, "")</f>
        <v>Microalgas</v>
      </c>
    </row>
    <row r="804" spans="1:7" ht="15" thickBot="1" x14ac:dyDescent="0.35">
      <c r="A804" s="647" t="s">
        <v>874</v>
      </c>
      <c r="B804" s="255" t="str">
        <f t="array" ref="B804">IFERROR(
   IF(INDEX([1]Extraídas!B:B,MATCH(LEFT($A804,6)&amp;"*",[1]Extraídas!A:A,0))="Extraídas",
      "✅ En proceso",
      IF(INDEX([1]Extraídas!B:B,MATCH(LEFT($A804,6)&amp;"*",[1]Extraídas!A:A,0))="Recibidas",
         "⏳ Pendiente","❌ No ingresada")),
   "❌ No ingresada"
)</f>
        <v>⏳ Pendiente</v>
      </c>
      <c r="C804" s="255" t="str">
        <f t="array" ref="C804">IFERROR(
   IF(INDEX([1]PCRs!B:B,MATCH(LEFT($A804,6)&amp;"*",[1]PCRs!A:A,0))="Positivo",
      "✅ Positivo",
      IF(INDEX([1]PCRs!B:B,MATCH(LEFT($A804,6)&amp;"*",[1]PCRs!A:A,0))="Negativo",
         "❌ Negativo",
         "⏳ No realizado")),
   "⏳ No realizado"
)</f>
        <v>❌ Negativo</v>
      </c>
      <c r="D804" s="255" t="str">
        <f>IFERROR(
   CHOOSE(
      MATCH(VLOOKUP(LEFT(A851,6)&amp;"*",'Identificación genética'!A:C,2,FALSE),
               {"En proceso";"Finalizado"},0),
      "🔬 En proceso",
      "🎯 Finalizado"
   ),
"❌ NA")</f>
        <v>🎯 Finalizado</v>
      </c>
      <c r="E804" t="s">
        <v>85</v>
      </c>
      <c r="F804" s="619">
        <v>45926</v>
      </c>
      <c r="G804" t="str">
        <f>_xlfn.XLOOKUP(A804, Extraídas!A:A, Extraídas!G:G, "")</f>
        <v>Microalgas</v>
      </c>
    </row>
    <row r="805" spans="1:7" ht="15" thickBot="1" x14ac:dyDescent="0.35">
      <c r="A805" s="646" t="s">
        <v>875</v>
      </c>
      <c r="B805" s="255" t="str">
        <f>IFERROR(
   IF(INDEX(Extraídas!B:B,MATCH(LEFT($A805,6)&amp;"*",Extraídas!A:A,0))="Extraídas",
      "✅ En proceso",
      IF(INDEX(Extraídas!B:B,MATCH(LEFT($A805,6)&amp;"*",Extraídas!A:A,0))="Recibidas",
         "⏳ Pendiente","❌ No ingresada")),
   "❌ No ingresada"
)</f>
        <v>⏳ Pendiente</v>
      </c>
      <c r="C805" s="255" t="str">
        <f t="array" ref="C805">IFERROR(
   IF(INDEX([1]PCRs!B:B,MATCH(LEFT($A805,6)&amp;"*",[1]PCRs!A:A,0))="Positivo",
      "✅ Positivo",
      IF(INDEX([1]PCRs!B:B,MATCH(LEFT($A805,6)&amp;"*",[1]PCRs!A:A,0))="Negativo",
         "❌ Negativo",
         "⏳ No realizado")),
   "⏳ No realizado"
)</f>
        <v>✅ Positivo</v>
      </c>
      <c r="D805" s="255" t="str">
        <f>IFERROR(
   CHOOSE(
      MATCH(VLOOKUP(LEFT(A852,6)&amp;"*",'Identificación genética'!A:C,2,FALSE),
               {"En proceso";"Finalizado"},0),
      "🔬 En proceso",
      "🎯 Finalizado"
   ),
"❌ NA")</f>
        <v>🎯 Finalizado</v>
      </c>
      <c r="E805" t="s">
        <v>85</v>
      </c>
      <c r="F805" s="619">
        <v>45926</v>
      </c>
      <c r="G805" t="str">
        <f>_xlfn.XLOOKUP(A805, Extraídas!A:A, Extraídas!G:G, "")</f>
        <v>Microalgas</v>
      </c>
    </row>
    <row r="806" spans="1:7" ht="15" thickBot="1" x14ac:dyDescent="0.35">
      <c r="A806" s="647" t="s">
        <v>876</v>
      </c>
      <c r="B806" s="255" t="str">
        <f>IFERROR(
   IF(INDEX(Extraídas!B:B,MATCH(LEFT($A806,6)&amp;"*",Extraídas!A:A,0))="Extraídas",
      "✅ En proceso",
      IF(INDEX(Extraídas!B:B,MATCH(LEFT($A806,6)&amp;"*",Extraídas!A:A,0))="Recibidas",
         "⏳ Pendiente","❌ No ingresada")),
   "❌ No ingresada"
)</f>
        <v>⏳ Pendiente</v>
      </c>
      <c r="C806" s="255" t="str">
        <f t="array" ref="C806">IFERROR(
   IF(INDEX([1]PCRs!B:B,MATCH(LEFT($A806,6)&amp;"*",[1]PCRs!A:A,0))="Positivo",
      "✅ Positivo",
      IF(INDEX([1]PCRs!B:B,MATCH(LEFT($A806,6)&amp;"*",[1]PCRs!A:A,0))="Negativo",
         "❌ Negativo",
         "⏳ No realizado")),
   "⏳ No realizado"
)</f>
        <v>✅ Positivo</v>
      </c>
      <c r="D806" s="255" t="str">
        <f>IFERROR(
   CHOOSE(
      MATCH(VLOOKUP(LEFT(A853,6)&amp;"*",'Identificación genética'!A:C,2,FALSE),
               {"En proceso";"Finalizado"},0),
      "🔬 En proceso",
      "🎯 Finalizado"
   ),
"❌ NA")</f>
        <v>🎯 Finalizado</v>
      </c>
      <c r="E806" t="s">
        <v>85</v>
      </c>
      <c r="F806" s="176">
        <v>45926</v>
      </c>
      <c r="G806" t="str">
        <f>_xlfn.XLOOKUP(A806, Extraídas!A:A, Extraídas!G:G, "")</f>
        <v>Microalgas</v>
      </c>
    </row>
    <row r="807" spans="1:7" ht="15" thickBot="1" x14ac:dyDescent="0.35">
      <c r="A807" s="571" t="s">
        <v>1664</v>
      </c>
      <c r="B807" s="255" t="str">
        <f>IFERROR(
   IF(INDEX(Extraídas!B:B,MATCH(LEFT($A807,6)&amp;"*",Extraídas!A:A,0))="Extraídas",
      "✅ En proceso",
      IF(INDEX(Extraídas!B:B,MATCH(LEFT($A807,6)&amp;"*",Extraídas!A:A,0))="Recibidas",
         "⏳ Pendiente","❌ No ingresada")),
   "❌ No ingresada"
)</f>
        <v>⏳ Pendiente</v>
      </c>
      <c r="C807" s="255" t="str">
        <f t="array" ref="C807">IFERROR(
   IF(INDEX([1]PCRs!B:B,MATCH(LEFT($A807,6)&amp;"*",[1]PCRs!A:A,0))="Positivo",
      "✅ Positivo",
      IF(INDEX([1]PCRs!B:B,MATCH(LEFT($A807,6)&amp;"*",[1]PCRs!A:A,0))="Negativo",
         "❌ Negativo",
         "⏳ No realizado")),
   "⏳ No realizado"
)</f>
        <v>✅ Positivo</v>
      </c>
      <c r="D807" s="255" t="str">
        <f>IFERROR(
   CHOOSE(
      MATCH(VLOOKUP(LEFT(A854,6)&amp;"*",'Identificación genética'!A:C,2,FALSE),
               {"En proceso";"Finalizado"},0),
      "🔬 En proceso",
      "🎯 Finalizado"
   ),
"❌ NA")</f>
        <v>🎯 Finalizado</v>
      </c>
      <c r="E807" t="s">
        <v>85</v>
      </c>
      <c r="F807" s="576"/>
      <c r="G807" t="str">
        <f>_xlfn.XLOOKUP(A807, Extraídas!A:A, Extraídas!G:G, "")</f>
        <v/>
      </c>
    </row>
    <row r="808" spans="1:7" ht="15" thickBot="1" x14ac:dyDescent="0.35">
      <c r="A808" s="647" t="s">
        <v>877</v>
      </c>
      <c r="B808" s="255" t="str">
        <f>IFERROR(
   IF(INDEX(Extraídas!B:B,MATCH(LEFT($A808,6)&amp;"*",Extraídas!A:A,0))="Extraídas",
      "✅ En proceso",
      IF(INDEX(Extraídas!B:B,MATCH(LEFT($A808,6)&amp;"*",Extraídas!A:A,0))="Recibidas",
         "⏳ Pendiente","❌ No ingresada")),
   "❌ No ingresada"
)</f>
        <v>⏳ Pendiente</v>
      </c>
      <c r="C808" s="255" t="str">
        <f t="array" ref="C808">IFERROR(
   IF(INDEX([1]PCRs!B:B,MATCH(LEFT($A808,6)&amp;"*",[1]PCRs!A:A,0))="Positivo",
      "✅ Positivo",
      IF(INDEX([1]PCRs!B:B,MATCH(LEFT($A808,6)&amp;"*",[1]PCRs!A:A,0))="Negativo",
         "❌ Negativo",
         "⏳ No realizado")),
   "⏳ No realizado"
)</f>
        <v>✅ Positivo</v>
      </c>
      <c r="D808" s="255" t="str">
        <f>IFERROR(
   CHOOSE(
      MATCH(VLOOKUP(LEFT(A855,6)&amp;"*",'Identificación genética'!A:C,2,FALSE),
               {"En proceso";"Finalizado"},0),
      "🔬 En proceso",
      "🎯 Finalizado"
   ),
"❌ NA")</f>
        <v>🎯 Finalizado</v>
      </c>
      <c r="E808" t="s">
        <v>85</v>
      </c>
      <c r="F808" s="619">
        <v>45926</v>
      </c>
      <c r="G808" t="str">
        <f>_xlfn.XLOOKUP(A808, Extraídas!A:A, Extraídas!G:G, "")</f>
        <v>Microalgas</v>
      </c>
    </row>
    <row r="809" spans="1:7" ht="15" thickBot="1" x14ac:dyDescent="0.35">
      <c r="A809" s="646" t="s">
        <v>878</v>
      </c>
      <c r="B809" s="255" t="str">
        <f>IFERROR(
   IF(INDEX(Extraídas!B:B,MATCH(LEFT($A809,6)&amp;"*",Extraídas!A:A,0))="Extraídas",
      "✅ En proceso",
      IF(INDEX(Extraídas!B:B,MATCH(LEFT($A809,6)&amp;"*",Extraídas!A:A,0))="Recibidas",
         "⏳ Pendiente","❌ No ingresada")),
   "❌ No ingresada"
)</f>
        <v>⏳ Pendiente</v>
      </c>
      <c r="C809" s="255" t="str">
        <f t="array" ref="C809">IFERROR(
   IF(INDEX([1]PCRs!B:B,MATCH(LEFT($A809,6)&amp;"*",[1]PCRs!A:A,0))="Positivo",
      "✅ Positivo",
      IF(INDEX([1]PCRs!B:B,MATCH(LEFT($A809,6)&amp;"*",[1]PCRs!A:A,0))="Negativo",
         "❌ Negativo",
         "⏳ No realizado")),
   "⏳ No realizado"
)</f>
        <v>✅ Positivo</v>
      </c>
      <c r="D809" s="255" t="str">
        <f>IFERROR(
   CHOOSE(
      MATCH(VLOOKUP(LEFT(A856,6)&amp;"*",'Identificación genética'!A:C,2,FALSE),
               {"En proceso";"Finalizado"},0),
      "🔬 En proceso",
      "🎯 Finalizado"
   ),
"❌ NA")</f>
        <v>🎯 Finalizado</v>
      </c>
      <c r="E809" t="s">
        <v>85</v>
      </c>
      <c r="F809" s="619">
        <v>45926</v>
      </c>
      <c r="G809" t="str">
        <f>_xlfn.XLOOKUP(A809, Extraídas!A:A, Extraídas!G:G, "")</f>
        <v>Microalgas</v>
      </c>
    </row>
    <row r="810" spans="1:7" ht="15" thickBot="1" x14ac:dyDescent="0.35">
      <c r="A810" s="647" t="s">
        <v>879</v>
      </c>
      <c r="B810" s="255" t="str">
        <f>IFERROR(
   IF(INDEX(Extraídas!B:B,MATCH(LEFT($A810,6)&amp;"*",Extraídas!A:A,0))="Extraídas",
      "✅ En proceso",
      IF(INDEX(Extraídas!B:B,MATCH(LEFT($A810,6)&amp;"*",Extraídas!A:A,0))="Recibidas",
         "⏳ Pendiente","❌ No ingresada")),
   "❌ No ingresada"
)</f>
        <v>⏳ Pendiente</v>
      </c>
      <c r="C810" s="255" t="str">
        <f t="array" ref="C810">IFERROR(
   IF(INDEX([1]PCRs!B:B,MATCH(LEFT($A810,6)&amp;"*",[1]PCRs!A:A,0))="Positivo",
      "✅ Positivo",
      IF(INDEX([1]PCRs!B:B,MATCH(LEFT($A810,6)&amp;"*",[1]PCRs!A:A,0))="Negativo",
         "❌ Negativo",
         "⏳ No realizado")),
   "⏳ No realizado"
)</f>
        <v>✅ Positivo</v>
      </c>
      <c r="D810" s="255" t="str">
        <f>IFERROR(
   CHOOSE(
      MATCH(VLOOKUP(LEFT(A857,6)&amp;"*",'Identificación genética'!A:C,2,FALSE),
               {"En proceso";"Finalizado"},0),
      "🔬 En proceso",
      "🎯 Finalizado"
   ),
"❌ NA")</f>
        <v>🎯 Finalizado</v>
      </c>
      <c r="E810" t="s">
        <v>85</v>
      </c>
      <c r="F810" s="619">
        <v>45926</v>
      </c>
      <c r="G810" t="str">
        <f>_xlfn.XLOOKUP(A810, Extraídas!A:A, Extraídas!G:G, "")</f>
        <v>Microalgas</v>
      </c>
    </row>
    <row r="811" spans="1:7" ht="15" thickBot="1" x14ac:dyDescent="0.35">
      <c r="A811" s="646" t="s">
        <v>880</v>
      </c>
      <c r="B811" s="255" t="str">
        <f>IFERROR(
   IF(INDEX(Extraídas!B:B,MATCH(LEFT($A811,6)&amp;"*",Extraídas!A:A,0))="Extraídas",
      "✅ En proceso",
      IF(INDEX(Extraídas!B:B,MATCH(LEFT($A811,6)&amp;"*",Extraídas!A:A,0))="Recibidas",
         "⏳ Pendiente","❌ No ingresada")),
   "❌ No ingresada"
)</f>
        <v>⏳ Pendiente</v>
      </c>
      <c r="C811" s="255" t="str">
        <f t="array" ref="C811">IFERROR(
   IF(INDEX([1]PCRs!B:B,MATCH(LEFT($A811,6)&amp;"*",[1]PCRs!A:A,0))="Positivo",
      "✅ Positivo",
      IF(INDEX([1]PCRs!B:B,MATCH(LEFT($A811,6)&amp;"*",[1]PCRs!A:A,0))="Negativo",
         "❌ Negativo",
         "⏳ No realizado")),
   "⏳ No realizado"
)</f>
        <v>✅ Positivo</v>
      </c>
      <c r="D811" s="255" t="str">
        <f>IFERROR(
   CHOOSE(
      MATCH(VLOOKUP(LEFT(A858,6)&amp;"*",'Identificación genética'!A:C,2,FALSE),
               {"En proceso";"Finalizado"},0),
      "🔬 En proceso",
      "🎯 Finalizado"
   ),
"❌ NA")</f>
        <v>🎯 Finalizado</v>
      </c>
      <c r="E811" t="s">
        <v>85</v>
      </c>
      <c r="F811" s="619">
        <v>45926</v>
      </c>
      <c r="G811" t="str">
        <f>_xlfn.XLOOKUP(A811, Extraídas!A:A, Extraídas!G:G, "")</f>
        <v>Microalgas</v>
      </c>
    </row>
    <row r="812" spans="1:7" ht="15" thickBot="1" x14ac:dyDescent="0.35">
      <c r="A812" s="555" t="s">
        <v>1153</v>
      </c>
      <c r="B812" s="255" t="str">
        <f>IFERROR(
   IF(INDEX(Extraídas!B:B,MATCH(LEFT($A812,6)&amp;"*",Extraídas!A:A,0))="Extraídas",
      "✅ En proceso",
      IF(INDEX(Extraídas!B:B,MATCH(LEFT($A812,6)&amp;"*",Extraídas!A:A,0))="Recibidas",
         "⏳ Pendiente","❌ No ingresada")),
   "❌ No ingresada"
)</f>
        <v>⏳ Pendiente</v>
      </c>
      <c r="C812" s="255" t="str">
        <f t="array" ref="C812">IFERROR(
   IF(INDEX([1]PCRs!B:B,MATCH(LEFT($A812,6)&amp;"*",[1]PCRs!A:A,0))="Positivo",
      "✅ Positivo",
      IF(INDEX([1]PCRs!B:B,MATCH(LEFT($A812,6)&amp;"*",[1]PCRs!A:A,0))="Negativo",
         "❌ Negativo",
         "⏳ No realizado")),
   "⏳ No realizado"
)</f>
        <v>✅ Positivo</v>
      </c>
      <c r="D812" s="255" t="str">
        <f>IFERROR(
   CHOOSE(
      MATCH(VLOOKUP(LEFT(A859,6)&amp;"*",'Identificación genética'!A:C,2,FALSE),
               {"En proceso";"Finalizado"},0),
      "🔬 En proceso",
      "🎯 Finalizado"
   ),
"❌ NA")</f>
        <v>🎯 Finalizado</v>
      </c>
      <c r="E812" t="s">
        <v>85</v>
      </c>
      <c r="F812" s="585"/>
      <c r="G812" t="str">
        <f>_xlfn.XLOOKUP(A812, Extraídas!A:A, Extraídas!G:G, "")</f>
        <v/>
      </c>
    </row>
    <row r="813" spans="1:7" ht="15" thickBot="1" x14ac:dyDescent="0.35">
      <c r="A813" s="647" t="s">
        <v>881</v>
      </c>
      <c r="B813" s="255" t="str">
        <f>IFERROR(
   IF(INDEX(Extraídas!B:B,MATCH(LEFT($A813,6)&amp;"*",Extraídas!A:A,0))="Extraídas",
      "✅ En proceso",
      IF(INDEX(Extraídas!B:B,MATCH(LEFT($A813,6)&amp;"*",Extraídas!A:A,0))="Recibidas",
         "⏳ Pendiente","❌ No ingresada")),
   "❌ No ingresada"
)</f>
        <v>⏳ Pendiente</v>
      </c>
      <c r="C813" s="255" t="str">
        <f t="array" ref="C813">IFERROR(
   IF(INDEX([1]PCRs!B:B,MATCH(LEFT($A813,6)&amp;"*",[1]PCRs!A:A,0))="Positivo",
      "✅ Positivo",
      IF(INDEX([1]PCRs!B:B,MATCH(LEFT($A813,6)&amp;"*",[1]PCRs!A:A,0))="Negativo",
         "❌ Negativo",
         "⏳ No realizado")),
   "⏳ No realizado"
)</f>
        <v>✅ Positivo</v>
      </c>
      <c r="D813" s="255" t="str">
        <f>IFERROR(
   CHOOSE(
      MATCH(VLOOKUP(LEFT(A860,6)&amp;"*",'Identificación genética'!A:C,2,FALSE),
               {"En proceso";"Finalizado"},0),
      "🔬 En proceso",
      "🎯 Finalizado"
   ),
"❌ NA")</f>
        <v>🎯 Finalizado</v>
      </c>
      <c r="E813" t="s">
        <v>85</v>
      </c>
      <c r="F813" s="176">
        <v>45926</v>
      </c>
      <c r="G813" t="str">
        <f>_xlfn.XLOOKUP(A813, Extraídas!A:A, Extraídas!G:G, "")</f>
        <v>Microalgas</v>
      </c>
    </row>
    <row r="814" spans="1:7" ht="15" thickBot="1" x14ac:dyDescent="0.35">
      <c r="A814" s="649" t="s">
        <v>882</v>
      </c>
      <c r="B814" s="255" t="str">
        <f>IFERROR(
   IF(INDEX(Extraídas!B:B,MATCH(LEFT($A814,6)&amp;"*",Extraídas!A:A,0))="Extraídas",
      "✅ En proceso",
      IF(INDEX(Extraídas!B:B,MATCH(LEFT($A814,6)&amp;"*",Extraídas!A:A,0))="Recibidas",
         "⏳ Pendiente","❌ No ingresada")),
   "❌ No ingresada"
)</f>
        <v>⏳ Pendiente</v>
      </c>
      <c r="C814" s="255" t="str">
        <f t="array" ref="C814">IFERROR(
   IF(INDEX([1]PCRs!B:B,MATCH(LEFT($A814,6)&amp;"*",[1]PCRs!A:A,0))="Positivo",
      "✅ Positivo",
      IF(INDEX([1]PCRs!B:B,MATCH(LEFT($A814,6)&amp;"*",[1]PCRs!A:A,0))="Negativo",
         "❌ Negativo",
         "⏳ No realizado")),
   "⏳ No realizado"
)</f>
        <v>✅ Positivo</v>
      </c>
      <c r="D814" s="255" t="str">
        <f>IFERROR(
   CHOOSE(
      MATCH(VLOOKUP(LEFT(A861,6)&amp;"*",'Identificación genética'!A:C,2,FALSE),
               {"En proceso";"Finalizado"},0),
      "🔬 En proceso",
      "🎯 Finalizado"
   ),
"❌ NA")</f>
        <v>🎯 Finalizado</v>
      </c>
      <c r="E814" t="s">
        <v>85</v>
      </c>
      <c r="F814" s="581">
        <v>45768</v>
      </c>
      <c r="G814" t="str">
        <f>_xlfn.XLOOKUP(A814, Extraídas!A:A, Extraídas!G:G, "")</f>
        <v>Cianobacterias</v>
      </c>
    </row>
    <row r="815" spans="1:7" ht="15" thickBot="1" x14ac:dyDescent="0.35">
      <c r="A815" s="647" t="s">
        <v>883</v>
      </c>
      <c r="B815" s="255" t="str">
        <f>IFERROR(
   IF(INDEX(Extraídas!B:B,MATCH(LEFT($A815,6)&amp;"*",Extraídas!A:A,0))="Extraídas",
      "✅ En proceso",
      IF(INDEX(Extraídas!B:B,MATCH(LEFT($A815,6)&amp;"*",Extraídas!A:A,0))="Recibidas",
         "⏳ Pendiente","❌ No ingresada")),
   "❌ No ingresada"
)</f>
        <v>⏳ Pendiente</v>
      </c>
      <c r="C815" s="255" t="str">
        <f t="array" ref="C815">IFERROR(
   IF(INDEX([1]PCRs!B:B,MATCH(LEFT($A815,6)&amp;"*",[1]PCRs!A:A,0))="Positivo",
      "✅ Positivo",
      IF(INDEX([1]PCRs!B:B,MATCH(LEFT($A815,6)&amp;"*",[1]PCRs!A:A,0))="Negativo",
         "❌ Negativo",
         "⏳ No realizado")),
   "⏳ No realizado"
)</f>
        <v>✅ Positivo</v>
      </c>
      <c r="D815" s="255" t="str">
        <f>IFERROR(
   CHOOSE(
      MATCH(VLOOKUP(LEFT(A862,6)&amp;"*",'Identificación genética'!A:C,2,FALSE),
               {"En proceso";"Finalizado"},0),
      "🔬 En proceso",
      "🎯 Finalizado"
   ),
"❌ NA")</f>
        <v>🎯 Finalizado</v>
      </c>
      <c r="E815" t="s">
        <v>85</v>
      </c>
      <c r="F815" s="176">
        <v>45926</v>
      </c>
      <c r="G815" t="str">
        <f>_xlfn.XLOOKUP(A815, Extraídas!A:A, Extraídas!G:G, "")</f>
        <v>Microalgas</v>
      </c>
    </row>
    <row r="816" spans="1:7" ht="15" thickBot="1" x14ac:dyDescent="0.35">
      <c r="A816" s="649" t="s">
        <v>884</v>
      </c>
      <c r="B816" s="255" t="str">
        <f>IFERROR(
   IF(INDEX(Extraídas!B:B,MATCH(LEFT($A816,6)&amp;"*",Extraídas!A:A,0))="Extraídas",
      "✅ En proceso",
      IF(INDEX(Extraídas!B:B,MATCH(LEFT($A816,6)&amp;"*",Extraídas!A:A,0))="Recibidas",
         "⏳ Pendiente","❌ No ingresada")),
   "❌ No ingresada"
)</f>
        <v>✅ En proceso</v>
      </c>
      <c r="C816" s="255" t="str">
        <f t="array" ref="C816">IFERROR(
   IF(INDEX([1]PCRs!B:B,MATCH(LEFT($A816,6)&amp;"*",[1]PCRs!A:A,0))="Positivo",
      "✅ Positivo",
      IF(INDEX([1]PCRs!B:B,MATCH(LEFT($A816,6)&amp;"*",[1]PCRs!A:A,0))="Negativo",
         "❌ Negativo",
         "⏳ No realizado")),
   "⏳ No realizado"
)</f>
        <v>✅ Positivo</v>
      </c>
      <c r="D816" s="255" t="str">
        <f>IFERROR(
   CHOOSE(
      MATCH(VLOOKUP(LEFT(A863,6)&amp;"*",'Identificación genética'!A:C,2,FALSE),
               {"En proceso";"Finalizado"},0),
      "🔬 En proceso",
      "🎯 Finalizado"
   ),
"❌ NA")</f>
        <v>🎯 Finalizado</v>
      </c>
      <c r="E816" t="s">
        <v>85</v>
      </c>
      <c r="F816" s="581">
        <v>45768</v>
      </c>
      <c r="G816" t="str">
        <f>_xlfn.XLOOKUP(A816, Extraídas!A:A, Extraídas!G:G, "")</f>
        <v>Cianobacterias</v>
      </c>
    </row>
    <row r="817" spans="1:7" ht="15" thickBot="1" x14ac:dyDescent="0.35">
      <c r="A817" s="647" t="s">
        <v>885</v>
      </c>
      <c r="B817" s="255" t="str">
        <f>IFERROR(
   IF(INDEX(Extraídas!B:B,MATCH(LEFT($A817,6)&amp;"*",Extraídas!A:A,0))="Extraídas",
      "✅ En proceso",
      IF(INDEX(Extraídas!B:B,MATCH(LEFT($A817,6)&amp;"*",Extraídas!A:A,0))="Recibidas",
         "⏳ Pendiente","❌ No ingresada")),
   "❌ No ingresada"
)</f>
        <v>✅ En proceso</v>
      </c>
      <c r="C817" s="255" t="str">
        <f t="array" ref="C817">IFERROR(
   IF(INDEX([1]PCRs!B:B,MATCH(LEFT($A817,6)&amp;"*",[1]PCRs!A:A,0))="Positivo",
      "✅ Positivo",
      IF(INDEX([1]PCRs!B:B,MATCH(LEFT($A817,6)&amp;"*",[1]PCRs!A:A,0))="Negativo",
         "❌ Negativo",
         "⏳ No realizado")),
   "⏳ No realizado"
)</f>
        <v>✅ Positivo</v>
      </c>
      <c r="D817" s="255" t="str">
        <f>IFERROR(
   CHOOSE(
      MATCH(VLOOKUP(LEFT(A864,6)&amp;"*",'Identificación genética'!A:C,2,FALSE),
               {"En proceso";"Finalizado"},0),
      "🔬 En proceso",
      "🎯 Finalizado"
   ),
"❌ NA")</f>
        <v>🎯 Finalizado</v>
      </c>
      <c r="E817" t="s">
        <v>85</v>
      </c>
      <c r="F817" s="176">
        <v>45926</v>
      </c>
      <c r="G817" t="str">
        <f>_xlfn.XLOOKUP(A817, Extraídas!A:A, Extraídas!G:G, "")</f>
        <v>Microalgas</v>
      </c>
    </row>
    <row r="818" spans="1:7" ht="15" thickBot="1" x14ac:dyDescent="0.35">
      <c r="A818" s="646" t="s">
        <v>886</v>
      </c>
      <c r="B818" s="255" t="str">
        <f>IFERROR(
   IF(INDEX(Extraídas!B:B,MATCH(LEFT($A818,6)&amp;"*",Extraídas!A:A,0))="Extraídas",
      "✅ En proceso",
      IF(INDEX(Extraídas!B:B,MATCH(LEFT($A818,6)&amp;"*",Extraídas!A:A,0))="Recibidas",
         "⏳ Pendiente","❌ No ingresada")),
   "❌ No ingresada"
)</f>
        <v>✅ En proceso</v>
      </c>
      <c r="C818" s="255" t="str">
        <f t="array" ref="C818">IFERROR(
   IF(INDEX([1]PCRs!B:B,MATCH(LEFT($A818,6)&amp;"*",[1]PCRs!A:A,0))="Positivo",
      "✅ Positivo",
      IF(INDEX([1]PCRs!B:B,MATCH(LEFT($A818,6)&amp;"*",[1]PCRs!A:A,0))="Negativo",
         "❌ Negativo",
         "⏳ No realizado")),
   "⏳ No realizado"
)</f>
        <v>✅ Positivo</v>
      </c>
      <c r="D818" s="255" t="str">
        <f>IFERROR(
   CHOOSE(
      MATCH(VLOOKUP(LEFT(A865,6)&amp;"*",'Identificación genética'!A:C,2,FALSE),
               {"En proceso";"Finalizado"},0),
      "🔬 En proceso",
      "🎯 Finalizado"
   ),
"❌ NA")</f>
        <v>🎯 Finalizado</v>
      </c>
      <c r="E818" t="s">
        <v>85</v>
      </c>
      <c r="F818" s="180">
        <v>45926</v>
      </c>
      <c r="G818" t="str">
        <f>_xlfn.XLOOKUP(A818, Extraídas!A:A, Extraídas!G:G, "")</f>
        <v>Microalgas</v>
      </c>
    </row>
    <row r="819" spans="1:7" ht="15" thickBot="1" x14ac:dyDescent="0.35">
      <c r="A819" s="648" t="s">
        <v>887</v>
      </c>
      <c r="B819" s="255" t="str">
        <f>IFERROR(
   IF(INDEX(Extraídas!B:B,MATCH(LEFT($A819,6)&amp;"*",Extraídas!A:A,0))="Extraídas",
      "✅ En proceso",
      IF(INDEX(Extraídas!B:B,MATCH(LEFT($A819,6)&amp;"*",Extraídas!A:A,0))="Recibidas",
         "⏳ Pendiente","❌ No ingresada")),
   "❌ No ingresada"
)</f>
        <v>✅ En proceso</v>
      </c>
      <c r="C819" s="255" t="str">
        <f t="array" ref="C819">IFERROR(
   IF(INDEX([1]PCRs!B:B,MATCH(LEFT($A819,6)&amp;"*",[1]PCRs!A:A,0))="Positivo",
      "✅ Positivo",
      IF(INDEX([1]PCRs!B:B,MATCH(LEFT($A819,6)&amp;"*",[1]PCRs!A:A,0))="Negativo",
         "❌ Negativo",
         "⏳ No realizado")),
   "⏳ No realizado"
)</f>
        <v>✅ Positivo</v>
      </c>
      <c r="D819" s="255" t="str">
        <f>IFERROR(
   CHOOSE(
      MATCH(VLOOKUP(LEFT(A866,6)&amp;"*",'Identificación genética'!A:C,2,FALSE),
               {"En proceso";"Finalizado"},0),
      "🔬 En proceso",
      "🎯 Finalizado"
   ),
"❌ NA")</f>
        <v>🎯 Finalizado</v>
      </c>
      <c r="E819" t="s">
        <v>85</v>
      </c>
      <c r="F819" s="191">
        <v>45768</v>
      </c>
      <c r="G819" t="str">
        <f>_xlfn.XLOOKUP(A819, Extraídas!A:A, Extraídas!G:G, "")</f>
        <v>Cianobacterias</v>
      </c>
    </row>
    <row r="820" spans="1:7" ht="15" thickBot="1" x14ac:dyDescent="0.35">
      <c r="A820" s="646" t="s">
        <v>888</v>
      </c>
      <c r="B820" s="255" t="str">
        <f>IFERROR(
   IF(INDEX(Extraídas!B:B,MATCH(LEFT($A820,6)&amp;"*",Extraídas!A:A,0))="Extraídas",
      "✅ En proceso",
      IF(INDEX(Extraídas!B:B,MATCH(LEFT($A820,6)&amp;"*",Extraídas!A:A,0))="Recibidas",
         "⏳ Pendiente","❌ No ingresada")),
   "❌ No ingresada"
)</f>
        <v>✅ En proceso</v>
      </c>
      <c r="C820" s="255" t="str">
        <f t="array" ref="C820">IFERROR(
   IF(INDEX([1]PCRs!B:B,MATCH(LEFT($A820,6)&amp;"*",[1]PCRs!A:A,0))="Positivo",
      "✅ Positivo",
      IF(INDEX([1]PCRs!B:B,MATCH(LEFT($A820,6)&amp;"*",[1]PCRs!A:A,0))="Negativo",
         "❌ Negativo",
         "⏳ No realizado")),
   "⏳ No realizado"
)</f>
        <v>✅ Positivo</v>
      </c>
      <c r="D820" s="255" t="str">
        <f>IFERROR(
   CHOOSE(
      MATCH(VLOOKUP(LEFT(A867,6)&amp;"*",'Identificación genética'!A:C,2,FALSE),
               {"En proceso";"Finalizado"},0),
      "🔬 En proceso",
      "🎯 Finalizado"
   ),
"❌ NA")</f>
        <v>🎯 Finalizado</v>
      </c>
      <c r="E820" t="s">
        <v>85</v>
      </c>
      <c r="F820" s="180">
        <v>45926</v>
      </c>
      <c r="G820" t="str">
        <f>_xlfn.XLOOKUP(A820, Extraídas!A:A, Extraídas!G:G, "")</f>
        <v>Microalgas</v>
      </c>
    </row>
    <row r="821" spans="1:7" ht="15" thickBot="1" x14ac:dyDescent="0.35">
      <c r="A821" s="556" t="s">
        <v>1154</v>
      </c>
      <c r="B821" s="255" t="str">
        <f>IFERROR(
   IF(INDEX(Extraídas!B:B,MATCH(LEFT($A821,6)&amp;"*",Extraídas!A:A,0))="Extraídas",
      "✅ En proceso",
      IF(INDEX(Extraídas!B:B,MATCH(LEFT($A821,6)&amp;"*",Extraídas!A:A,0))="Recibidas",
         "⏳ Pendiente","❌ No ingresada")),
   "❌ No ingresada"
)</f>
        <v>✅ En proceso</v>
      </c>
      <c r="C821" s="255" t="str">
        <f t="array" ref="C821">IFERROR(
   IF(INDEX([1]PCRs!B:B,MATCH(LEFT($A821,6)&amp;"*",[1]PCRs!A:A,0))="Positivo",
      "✅ Positivo",
      IF(INDEX([1]PCRs!B:B,MATCH(LEFT($A821,6)&amp;"*",[1]PCRs!A:A,0))="Negativo",
         "❌ Negativo",
         "⏳ No realizado")),
   "⏳ No realizado"
)</f>
        <v>✅ Positivo</v>
      </c>
      <c r="D821" s="255" t="str">
        <f>IFERROR(
   CHOOSE(
      MATCH(VLOOKUP(LEFT(A868,6)&amp;"*",'Identificación genética'!A:C,2,FALSE),
               {"En proceso";"Finalizado"},0),
      "🔬 En proceso",
      "🎯 Finalizado"
   ),
"❌ NA")</f>
        <v>🎯 Finalizado</v>
      </c>
      <c r="E821" t="s">
        <v>85</v>
      </c>
      <c r="F821" s="577"/>
      <c r="G821" t="str">
        <f>_xlfn.XLOOKUP(A821, Extraídas!A:A, Extraídas!G:G, "")</f>
        <v/>
      </c>
    </row>
    <row r="822" spans="1:7" ht="15" thickBot="1" x14ac:dyDescent="0.35">
      <c r="A822" s="649" t="s">
        <v>889</v>
      </c>
      <c r="B822" s="255" t="str">
        <f>IFERROR(
   IF(INDEX(Extraídas!B:B,MATCH(LEFT($A822,6)&amp;"*",Extraídas!A:A,0))="Extraídas",
      "✅ En proceso",
      IF(INDEX(Extraídas!B:B,MATCH(LEFT($A822,6)&amp;"*",Extraídas!A:A,0))="Recibidas",
         "⏳ Pendiente","❌ No ingresada")),
   "❌ No ingresada"
)</f>
        <v>✅ En proceso</v>
      </c>
      <c r="C822" s="255" t="str">
        <f t="array" ref="C822">IFERROR(
   IF(INDEX([1]PCRs!B:B,MATCH(LEFT($A822,6)&amp;"*",[1]PCRs!A:A,0))="Positivo",
      "✅ Positivo",
      IF(INDEX([1]PCRs!B:B,MATCH(LEFT($A822,6)&amp;"*",[1]PCRs!A:A,0))="Negativo",
         "❌ Negativo",
         "⏳ No realizado")),
   "⏳ No realizado"
)</f>
        <v>✅ Positivo</v>
      </c>
      <c r="D822" s="255" t="str">
        <f>IFERROR(
   CHOOSE(
      MATCH(VLOOKUP(LEFT(A869,6)&amp;"*",'Identificación genética'!A:C,2,FALSE),
               {"En proceso";"Finalizado"},0),
      "🔬 En proceso",
      "🎯 Finalizado"
   ),
"❌ NA")</f>
        <v>🎯 Finalizado</v>
      </c>
      <c r="E822" t="s">
        <v>85</v>
      </c>
      <c r="F822" s="180">
        <v>45926</v>
      </c>
      <c r="G822" t="str">
        <f>_xlfn.XLOOKUP(A822, Extraídas!A:A, Extraídas!G:G, "")</f>
        <v>Microalgas</v>
      </c>
    </row>
    <row r="823" spans="1:7" ht="15" thickBot="1" x14ac:dyDescent="0.35">
      <c r="A823" s="648" t="s">
        <v>890</v>
      </c>
      <c r="B823" s="255" t="str">
        <f>IFERROR(
   IF(INDEX(Extraídas!B:B,MATCH(LEFT($A823,6)&amp;"*",Extraídas!A:A,0))="Extraídas",
      "✅ En proceso",
      IF(INDEX(Extraídas!B:B,MATCH(LEFT($A823,6)&amp;"*",Extraídas!A:A,0))="Recibidas",
         "⏳ Pendiente","❌ No ingresada")),
   "❌ No ingresada"
)</f>
        <v>✅ En proceso</v>
      </c>
      <c r="C823" s="255" t="str">
        <f t="array" ref="C823">IFERROR(
   IF(INDEX([1]PCRs!B:B,MATCH(LEFT($A823,6)&amp;"*",[1]PCRs!A:A,0))="Positivo",
      "✅ Positivo",
      IF(INDEX([1]PCRs!B:B,MATCH(LEFT($A823,6)&amp;"*",[1]PCRs!A:A,0))="Negativo",
         "❌ Negativo",
         "⏳ No realizado")),
   "⏳ No realizado"
)</f>
        <v>✅ Positivo</v>
      </c>
      <c r="D823" s="255" t="str">
        <f>IFERROR(
   CHOOSE(
      MATCH(VLOOKUP(LEFT(A870,6)&amp;"*",'Identificación genética'!A:C,2,FALSE),
               {"En proceso";"Finalizado"},0),
      "🔬 En proceso",
      "🎯 Finalizado"
   ),
"❌ NA")</f>
        <v>🎯 Finalizado</v>
      </c>
      <c r="E823" t="s">
        <v>85</v>
      </c>
      <c r="F823" s="176">
        <v>45926</v>
      </c>
      <c r="G823" t="str">
        <f>_xlfn.XLOOKUP(A823, Extraídas!A:A, Extraídas!G:G, "")</f>
        <v>Microalgas</v>
      </c>
    </row>
    <row r="824" spans="1:7" ht="15" thickBot="1" x14ac:dyDescent="0.35">
      <c r="A824" s="646" t="s">
        <v>891</v>
      </c>
      <c r="B824" s="255" t="str">
        <f>IFERROR(
   IF(INDEX(Extraídas!B:B,MATCH(LEFT($A824,6)&amp;"*",Extraídas!A:A,0))="Extraídas",
      "✅ En proceso",
      IF(INDEX(Extraídas!B:B,MATCH(LEFT($A824,6)&amp;"*",Extraídas!A:A,0))="Recibidas",
         "⏳ Pendiente","❌ No ingresada")),
   "❌ No ingresada"
)</f>
        <v>✅ En proceso</v>
      </c>
      <c r="C824" s="255" t="str">
        <f t="array" ref="C824">IFERROR(
   IF(INDEX([1]PCRs!B:B,MATCH(LEFT($A824,6)&amp;"*",[1]PCRs!A:A,0))="Positivo",
      "✅ Positivo",
      IF(INDEX([1]PCRs!B:B,MATCH(LEFT($A824,6)&amp;"*",[1]PCRs!A:A,0))="Negativo",
         "❌ Negativo",
         "⏳ No realizado")),
   "⏳ No realizado"
)</f>
        <v>✅ Positivo</v>
      </c>
      <c r="D824" s="255" t="str">
        <f>IFERROR(
   CHOOSE(
      MATCH(VLOOKUP(LEFT(A871,6)&amp;"*",'Identificación genética'!A:C,2,FALSE),
               {"En proceso";"Finalizado"},0),
      "🔬 En proceso",
      "🎯 Finalizado"
   ),
"❌ NA")</f>
        <v>🎯 Finalizado</v>
      </c>
      <c r="E824" t="s">
        <v>85</v>
      </c>
      <c r="F824" s="180">
        <v>45926</v>
      </c>
      <c r="G824" t="str">
        <f>_xlfn.XLOOKUP(A824, Extraídas!A:A, Extraídas!G:G, "")</f>
        <v>Microalgas</v>
      </c>
    </row>
    <row r="825" spans="1:7" ht="15" thickBot="1" x14ac:dyDescent="0.35">
      <c r="A825" s="569" t="s">
        <v>1051</v>
      </c>
      <c r="B825" s="255" t="str">
        <f>IFERROR(
   IF(INDEX(Extraídas!B:B,MATCH(LEFT($A825,6)&amp;"*",Extraídas!A:A,0))="Extraídas",
      "✅ En proceso",
      IF(INDEX(Extraídas!B:B,MATCH(LEFT($A825,6)&amp;"*",Extraídas!A:A,0))="Recibidas",
         "⏳ Pendiente","❌ No ingresada")),
   "❌ No ingresada"
)</f>
        <v>✅ En proceso</v>
      </c>
      <c r="C825" s="255" t="str">
        <f t="array" ref="C825">IFERROR(
   IF(INDEX([1]PCRs!B:B,MATCH(LEFT($A825,6)&amp;"*",[1]PCRs!A:A,0))="Positivo",
      "✅ Positivo",
      IF(INDEX([1]PCRs!B:B,MATCH(LEFT($A825,6)&amp;"*",[1]PCRs!A:A,0))="Negativo",
         "❌ Negativo",
         "⏳ No realizado")),
   "⏳ No realizado"
)</f>
        <v>✅ Positivo</v>
      </c>
      <c r="D825" s="255" t="str">
        <f>IFERROR(
   CHOOSE(
      MATCH(VLOOKUP(LEFT(A872,6)&amp;"*",'Identificación genética'!A:C,2,FALSE),
               {"En proceso";"Finalizado"},0),
      "🔬 En proceso",
      "🎯 Finalizado"
   ),
"❌ NA")</f>
        <v>🎯 Finalizado</v>
      </c>
      <c r="E825" t="s">
        <v>85</v>
      </c>
      <c r="G825" t="str">
        <f>_xlfn.XLOOKUP(A825, Extraídas!A:A, Extraídas!G:G, "")</f>
        <v/>
      </c>
    </row>
    <row r="826" spans="1:7" ht="15" thickBot="1" x14ac:dyDescent="0.35">
      <c r="A826" s="649" t="s">
        <v>892</v>
      </c>
      <c r="B826" s="255" t="str">
        <f>IFERROR(
   IF(INDEX(Extraídas!B:B,MATCH(LEFT($A826,6)&amp;"*",Extraídas!A:A,0))="Extraídas",
      "✅ En proceso",
      IF(INDEX(Extraídas!B:B,MATCH(LEFT($A826,6)&amp;"*",Extraídas!A:A,0))="Recibidas",
         "⏳ Pendiente","❌ No ingresada")),
   "❌ No ingresada"
)</f>
        <v>✅ En proceso</v>
      </c>
      <c r="C826" s="255" t="str">
        <f t="array" ref="C826">IFERROR(
   IF(INDEX([1]PCRs!B:B,MATCH(LEFT($A826,6)&amp;"*",[1]PCRs!A:A,0))="Positivo",
      "✅ Positivo",
      IF(INDEX([1]PCRs!B:B,MATCH(LEFT($A826,6)&amp;"*",[1]PCRs!A:A,0))="Negativo",
         "❌ Negativo",
         "⏳ No realizado")),
   "⏳ No realizado"
)</f>
        <v>✅ Positivo</v>
      </c>
      <c r="D826" s="255" t="str">
        <f>IFERROR(
   CHOOSE(
      MATCH(VLOOKUP(LEFT(A873,6)&amp;"*",'Identificación genética'!A:C,2,FALSE),
               {"En proceso";"Finalizado"},0),
      "🔬 En proceso",
      "🎯 Finalizado"
   ),
"❌ NA")</f>
        <v>🎯 Finalizado</v>
      </c>
      <c r="E826" t="s">
        <v>85</v>
      </c>
      <c r="F826" s="581">
        <v>45768</v>
      </c>
      <c r="G826" t="str">
        <f>_xlfn.XLOOKUP(A826, Extraídas!A:A, Extraídas!G:G, "")</f>
        <v>Cianobacterias</v>
      </c>
    </row>
    <row r="827" spans="1:7" ht="15" thickBot="1" x14ac:dyDescent="0.35">
      <c r="A827" s="648" t="s">
        <v>893</v>
      </c>
      <c r="B827" s="255" t="str">
        <f>IFERROR(
   IF(INDEX(Extraídas!B:B,MATCH(LEFT($A827,6)&amp;"*",Extraídas!A:A,0))="Extraídas",
      "✅ En proceso",
      IF(INDEX(Extraídas!B:B,MATCH(LEFT($A827,6)&amp;"*",Extraídas!A:A,0))="Recibidas",
         "⏳ Pendiente","❌ No ingresada")),
   "❌ No ingresada"
)</f>
        <v>✅ En proceso</v>
      </c>
      <c r="C827" s="255" t="str">
        <f t="array" ref="C827">IFERROR(
   IF(INDEX([1]PCRs!B:B,MATCH(LEFT($A827,6)&amp;"*",[1]PCRs!A:A,0))="Positivo",
      "✅ Positivo",
      IF(INDEX([1]PCRs!B:B,MATCH(LEFT($A827,6)&amp;"*",[1]PCRs!A:A,0))="Negativo",
         "❌ Negativo",
         "⏳ No realizado")),
   "⏳ No realizado"
)</f>
        <v>✅ Positivo</v>
      </c>
      <c r="D827" s="255" t="str">
        <f>IFERROR(
   CHOOSE(
      MATCH(VLOOKUP(LEFT(A874,6)&amp;"*",'Identificación genética'!A:C,2,FALSE),
               {"En proceso";"Finalizado"},0),
      "🔬 En proceso",
      "🎯 Finalizado"
   ),
"❌ NA")</f>
        <v>🎯 Finalizado</v>
      </c>
      <c r="E827" t="s">
        <v>85</v>
      </c>
      <c r="F827" s="176">
        <v>45926</v>
      </c>
      <c r="G827" t="str">
        <f>_xlfn.XLOOKUP(A827, Extraídas!A:A, Extraídas!G:G, "")</f>
        <v>Microalgas</v>
      </c>
    </row>
    <row r="828" spans="1:7" ht="15" thickBot="1" x14ac:dyDescent="0.35">
      <c r="A828" s="646" t="s">
        <v>894</v>
      </c>
      <c r="B828" s="255" t="str">
        <f>IFERROR(
   IF(INDEX(Extraídas!B:B,MATCH(LEFT($A828,6)&amp;"*",Extraídas!A:A,0))="Extraídas",
      "✅ En proceso",
      IF(INDEX(Extraídas!B:B,MATCH(LEFT($A828,6)&amp;"*",Extraídas!A:A,0))="Recibidas",
         "⏳ Pendiente","❌ No ingresada")),
   "❌ No ingresada"
)</f>
        <v>✅ En proceso</v>
      </c>
      <c r="C828" s="255" t="str">
        <f t="array" ref="C828">IFERROR(
   IF(INDEX([1]PCRs!B:B,MATCH(LEFT($A828,6)&amp;"*",[1]PCRs!A:A,0))="Positivo",
      "✅ Positivo",
      IF(INDEX([1]PCRs!B:B,MATCH(LEFT($A828,6)&amp;"*",[1]PCRs!A:A,0))="Negativo",
         "❌ Negativo",
         "⏳ No realizado")),
   "⏳ No realizado"
)</f>
        <v>✅ Positivo</v>
      </c>
      <c r="D828" s="255" t="str">
        <f>IFERROR(
   CHOOSE(
      MATCH(VLOOKUP(LEFT(A875,6)&amp;"*",'Identificación genética'!A:C,2,FALSE),
               {"En proceso";"Finalizado"},0),
      "🔬 En proceso",
      "🎯 Finalizado"
   ),
"❌ NA")</f>
        <v>🎯 Finalizado</v>
      </c>
      <c r="E828" t="s">
        <v>85</v>
      </c>
      <c r="F828" s="177">
        <v>45848</v>
      </c>
      <c r="G828" t="str">
        <f>_xlfn.XLOOKUP(A828, Extraídas!A:A, Extraídas!G:G, "")</f>
        <v>Microalgas</v>
      </c>
    </row>
    <row r="829" spans="1:7" ht="15" thickBot="1" x14ac:dyDescent="0.35">
      <c r="A829" s="648" t="s">
        <v>895</v>
      </c>
      <c r="B829" s="255" t="str">
        <f>IFERROR(
   IF(INDEX(Extraídas!B:B,MATCH(LEFT($A829,6)&amp;"*",Extraídas!A:A,0))="Extraídas",
      "✅ En proceso",
      IF(INDEX(Extraídas!B:B,MATCH(LEFT($A829,6)&amp;"*",Extraídas!A:A,0))="Recibidas",
         "⏳ Pendiente","❌ No ingresada")),
   "❌ No ingresada"
)</f>
        <v>✅ En proceso</v>
      </c>
      <c r="C829" s="255" t="str">
        <f t="array" ref="C829">IFERROR(
   IF(INDEX([1]PCRs!B:B,MATCH(LEFT($A829,6)&amp;"*",[1]PCRs!A:A,0))="Positivo",
      "✅ Positivo",
      IF(INDEX([1]PCRs!B:B,MATCH(LEFT($A829,6)&amp;"*",[1]PCRs!A:A,0))="Negativo",
         "❌ Negativo",
         "⏳ No realizado")),
   "⏳ No realizado"
)</f>
        <v>✅ Positivo</v>
      </c>
      <c r="D829" s="255" t="str">
        <f>IFERROR(
   CHOOSE(
      MATCH(VLOOKUP(LEFT(A876,6)&amp;"*",'Identificación genética'!A:C,2,FALSE),
               {"En proceso";"Finalizado"},0),
      "🔬 En proceso",
      "🎯 Finalizado"
   ),
"❌ NA")</f>
        <v>🎯 Finalizado</v>
      </c>
      <c r="E829" t="s">
        <v>85</v>
      </c>
      <c r="F829" s="206">
        <v>45848</v>
      </c>
      <c r="G829" t="str">
        <f>_xlfn.XLOOKUP(A829, Extraídas!A:A, Extraídas!G:G, "")</f>
        <v>Microalgas</v>
      </c>
    </row>
    <row r="830" spans="1:7" ht="15" thickBot="1" x14ac:dyDescent="0.35">
      <c r="A830" s="646" t="s">
        <v>896</v>
      </c>
      <c r="B830" s="255" t="str">
        <f>IFERROR(
   IF(INDEX(Extraídas!B:B,MATCH(LEFT($A830,6)&amp;"*",Extraídas!A:A,0))="Extraídas",
      "✅ En proceso",
      IF(INDEX(Extraídas!B:B,MATCH(LEFT($A830,6)&amp;"*",Extraídas!A:A,0))="Recibidas",
         "⏳ Pendiente","❌ No ingresada")),
   "❌ No ingresada"
)</f>
        <v>✅ En proceso</v>
      </c>
      <c r="C830" s="255" t="str">
        <f t="array" ref="C830">IFERROR(
   IF(INDEX([1]PCRs!B:B,MATCH(LEFT($A830,6)&amp;"*",[1]PCRs!A:A,0))="Positivo",
      "✅ Positivo",
      IF(INDEX([1]PCRs!B:B,MATCH(LEFT($A830,6)&amp;"*",[1]PCRs!A:A,0))="Negativo",
         "❌ Negativo",
         "⏳ No realizado")),
   "⏳ No realizado"
)</f>
        <v>✅ Positivo</v>
      </c>
      <c r="D830" s="255" t="str">
        <f>IFERROR(
   CHOOSE(
      MATCH(VLOOKUP(LEFT(A877,6)&amp;"*",'Identificación genética'!A:C,2,FALSE),
               {"En proceso";"Finalizado"},0),
      "🔬 En proceso",
      "🎯 Finalizado"
   ),
"❌ NA")</f>
        <v>🎯 Finalizado</v>
      </c>
      <c r="E830" t="s">
        <v>85</v>
      </c>
      <c r="F830" s="98">
        <v>45926</v>
      </c>
      <c r="G830" t="str">
        <f>_xlfn.XLOOKUP(A830, Extraídas!A:A, Extraídas!G:G, "")</f>
        <v>Microalgas</v>
      </c>
    </row>
    <row r="831" spans="1:7" ht="15" thickBot="1" x14ac:dyDescent="0.35">
      <c r="A831" s="556" t="s">
        <v>1156</v>
      </c>
      <c r="B831" s="255" t="str">
        <f>IFERROR(
   IF(INDEX(Extraídas!B:B,MATCH(LEFT($A831,6)&amp;"*",Extraídas!A:A,0))="Extraídas",
      "✅ En proceso",
      IF(INDEX(Extraídas!B:B,MATCH(LEFT($A831,6)&amp;"*",Extraídas!A:A,0))="Recibidas",
         "⏳ Pendiente","❌ No ingresada")),
   "❌ No ingresada"
)</f>
        <v>✅ En proceso</v>
      </c>
      <c r="C831" s="255" t="str">
        <f t="array" ref="C831">IFERROR(
   IF(INDEX([1]PCRs!B:B,MATCH(LEFT($A831,6)&amp;"*",[1]PCRs!A:A,0))="Positivo",
      "✅ Positivo",
      IF(INDEX([1]PCRs!B:B,MATCH(LEFT($A831,6)&amp;"*",[1]PCRs!A:A,0))="Negativo",
         "❌ Negativo",
         "⏳ No realizado")),
   "⏳ No realizado"
)</f>
        <v>✅ Positivo</v>
      </c>
      <c r="D831" s="255" t="str">
        <f>IFERROR(
   CHOOSE(
      MATCH(VLOOKUP(LEFT(A878,6)&amp;"*",'Identificación genética'!A:C,2,FALSE),
               {"En proceso";"Finalizado"},0),
      "🔬 En proceso",
      "🎯 Finalizado"
   ),
"❌ NA")</f>
        <v>❌ NA</v>
      </c>
      <c r="E831" t="s">
        <v>85</v>
      </c>
      <c r="F831" s="577"/>
      <c r="G831" t="str">
        <f>_xlfn.XLOOKUP(A831, Extraídas!A:A, Extraídas!G:G, "")</f>
        <v/>
      </c>
    </row>
    <row r="832" spans="1:7" ht="15" thickBot="1" x14ac:dyDescent="0.35">
      <c r="A832" s="646" t="s">
        <v>897</v>
      </c>
      <c r="B832" s="255" t="str">
        <f>IFERROR(
   IF(INDEX(Extraídas!B:B,MATCH(LEFT($A832,6)&amp;"*",Extraídas!A:A,0))="Extraídas",
      "✅ En proceso",
      IF(INDEX(Extraídas!B:B,MATCH(LEFT($A832,6)&amp;"*",Extraídas!A:A,0))="Recibidas",
         "⏳ Pendiente","❌ No ingresada")),
   "❌ No ingresada"
)</f>
        <v>✅ En proceso</v>
      </c>
      <c r="C832" s="255" t="str">
        <f t="array" ref="C832">IFERROR(
   IF(INDEX([1]PCRs!B:B,MATCH(LEFT($A832,6)&amp;"*",[1]PCRs!A:A,0))="Positivo",
      "✅ Positivo",
      IF(INDEX([1]PCRs!B:B,MATCH(LEFT($A832,6)&amp;"*",[1]PCRs!A:A,0))="Negativo",
         "❌ Negativo",
         "⏳ No realizado")),
   "⏳ No realizado"
)</f>
        <v>✅ Positivo</v>
      </c>
      <c r="D832" s="255" t="str">
        <f>IFERROR(
   CHOOSE(
      MATCH(VLOOKUP(LEFT(A879,6)&amp;"*",'Identificación genética'!A:C,2,FALSE),
               {"En proceso";"Finalizado"},0),
      "🔬 En proceso",
      "🎯 Finalizado"
   ),
"❌ NA")</f>
        <v>❌ NA</v>
      </c>
      <c r="E832" t="s">
        <v>85</v>
      </c>
      <c r="F832" s="98">
        <v>45926</v>
      </c>
      <c r="G832" t="str">
        <f>_xlfn.XLOOKUP(A832, Extraídas!A:A, Extraídas!G:G, "")</f>
        <v>Microalgas</v>
      </c>
    </row>
    <row r="833" spans="1:7" ht="15" thickBot="1" x14ac:dyDescent="0.35">
      <c r="A833" s="648" t="s">
        <v>898</v>
      </c>
      <c r="B833" s="255" t="str">
        <f>IFERROR(
   IF(INDEX(Extraídas!B:B,MATCH(LEFT($A833,6)&amp;"*",Extraídas!A:A,0))="Extraídas",
      "✅ En proceso",
      IF(INDEX(Extraídas!B:B,MATCH(LEFT($A833,6)&amp;"*",Extraídas!A:A,0))="Recibidas",
         "⏳ Pendiente","❌ No ingresada")),
   "❌ No ingresada"
)</f>
        <v>✅ En proceso</v>
      </c>
      <c r="C833" s="255" t="str">
        <f t="array" ref="C833">IFERROR(
   IF(INDEX([1]PCRs!B:B,MATCH(LEFT($A833,6)&amp;"*",[1]PCRs!A:A,0))="Positivo",
      "✅ Positivo",
      IF(INDEX([1]PCRs!B:B,MATCH(LEFT($A833,6)&amp;"*",[1]PCRs!A:A,0))="Negativo",
         "❌ Negativo",
         "⏳ No realizado")),
   "⏳ No realizado"
)</f>
        <v>✅ Positivo</v>
      </c>
      <c r="D833" s="255" t="str">
        <f>IFERROR(
   CHOOSE(
      MATCH(VLOOKUP(LEFT(A880,6)&amp;"*",'Identificación genética'!A:C,2,FALSE),
               {"En proceso";"Finalizado"},0),
      "🔬 En proceso",
      "🎯 Finalizado"
   ),
"❌ NA")</f>
        <v>❌ NA</v>
      </c>
      <c r="E833" t="s">
        <v>85</v>
      </c>
      <c r="F833" s="191">
        <v>45768</v>
      </c>
      <c r="G833" t="str">
        <f>_xlfn.XLOOKUP(A833, Extraídas!A:A, Extraídas!G:G, "")</f>
        <v>Cianobacterias</v>
      </c>
    </row>
    <row r="834" spans="1:7" ht="15" thickBot="1" x14ac:dyDescent="0.35">
      <c r="A834" s="646" t="s">
        <v>899</v>
      </c>
      <c r="B834" s="255" t="str">
        <f>IFERROR(
   IF(INDEX(Extraídas!B:B,MATCH(LEFT($A834,6)&amp;"*",Extraídas!A:A,0))="Extraídas",
      "✅ En proceso",
      IF(INDEX(Extraídas!B:B,MATCH(LEFT($A834,6)&amp;"*",Extraídas!A:A,0))="Recibidas",
         "⏳ Pendiente","❌ No ingresada")),
   "❌ No ingresada"
)</f>
        <v>✅ En proceso</v>
      </c>
      <c r="C834" s="255" t="str">
        <f t="array" ref="C834">IFERROR(
   IF(INDEX([1]PCRs!B:B,MATCH(LEFT($A834,6)&amp;"*",[1]PCRs!A:A,0))="Positivo",
      "✅ Positivo",
      IF(INDEX([1]PCRs!B:B,MATCH(LEFT($A834,6)&amp;"*",[1]PCRs!A:A,0))="Negativo",
         "❌ Negativo",
         "⏳ No realizado")),
   "⏳ No realizado"
)</f>
        <v>✅ Positivo</v>
      </c>
      <c r="D834" s="255" t="str">
        <f>IFERROR(
   CHOOSE(
      MATCH(VLOOKUP(LEFT(A881,6)&amp;"*",'Identificación genética'!A:C,2,FALSE),
               {"En proceso";"Finalizado"},0),
      "🔬 En proceso",
      "🎯 Finalizado"
   ),
"❌ NA")</f>
        <v>🎯 Finalizado</v>
      </c>
      <c r="E834" t="s">
        <v>85</v>
      </c>
      <c r="F834" s="586">
        <v>45848</v>
      </c>
      <c r="G834" t="str">
        <f>_xlfn.XLOOKUP(A834, Extraídas!A:A, Extraídas!G:G, "")</f>
        <v>Microalgas</v>
      </c>
    </row>
    <row r="835" spans="1:7" ht="15" thickBot="1" x14ac:dyDescent="0.35">
      <c r="A835" s="569" t="s">
        <v>1063</v>
      </c>
      <c r="B835" s="255" t="str">
        <f>IFERROR(
   IF(INDEX(Extraídas!B:B,MATCH(LEFT($A835,6)&amp;"*",Extraídas!A:A,0))="Extraídas",
      "✅ En proceso",
      IF(INDEX(Extraídas!B:B,MATCH(LEFT($A835,6)&amp;"*",Extraídas!A:A,0))="Recibidas",
         "⏳ Pendiente","❌ No ingresada")),
   "❌ No ingresada"
)</f>
        <v>✅ En proceso</v>
      </c>
      <c r="C835" s="255" t="str">
        <f t="array" ref="C835">IFERROR(
   IF(INDEX([1]PCRs!B:B,MATCH(LEFT($A835,6)&amp;"*",[1]PCRs!A:A,0))="Positivo",
      "✅ Positivo",
      IF(INDEX([1]PCRs!B:B,MATCH(LEFT($A835,6)&amp;"*",[1]PCRs!A:A,0))="Negativo",
         "❌ Negativo",
         "⏳ No realizado")),
   "⏳ No realizado"
)</f>
        <v>❌ Negativo</v>
      </c>
      <c r="D835" s="255" t="str">
        <f>IFERROR(
   CHOOSE(
      MATCH(VLOOKUP(LEFT(A882,6)&amp;"*",'Identificación genética'!A:C,2,FALSE),
               {"En proceso";"Finalizado"},0),
      "🔬 En proceso",
      "🎯 Finalizado"
   ),
"❌ NA")</f>
        <v>🎯 Finalizado</v>
      </c>
      <c r="E835" t="s">
        <v>85</v>
      </c>
      <c r="G835" t="str">
        <f>_xlfn.XLOOKUP(A835, Extraídas!A:A, Extraídas!G:G, "")</f>
        <v/>
      </c>
    </row>
    <row r="836" spans="1:7" ht="15" thickBot="1" x14ac:dyDescent="0.35">
      <c r="A836" s="648" t="s">
        <v>900</v>
      </c>
      <c r="B836" s="255" t="str">
        <f>IFERROR(
   IF(INDEX(Extraídas!B:B,MATCH(LEFT($A836,6)&amp;"*",Extraídas!A:A,0))="Extraídas",
      "✅ En proceso",
      IF(INDEX(Extraídas!B:B,MATCH(LEFT($A836,6)&amp;"*",Extraídas!A:A,0))="Recibidas",
         "⏳ Pendiente","❌ No ingresada")),
   "❌ No ingresada"
)</f>
        <v>✅ En proceso</v>
      </c>
      <c r="C836" s="255" t="str">
        <f t="array" ref="C836">IFERROR(
   IF(INDEX([1]PCRs!B:B,MATCH(LEFT($A836,6)&amp;"*",[1]PCRs!A:A,0))="Positivo",
      "✅ Positivo",
      IF(INDEX([1]PCRs!B:B,MATCH(LEFT($A836,6)&amp;"*",[1]PCRs!A:A,0))="Negativo",
         "❌ Negativo",
         "⏳ No realizado")),
   "⏳ No realizado"
)</f>
        <v>❌ Negativo</v>
      </c>
      <c r="D836" s="255" t="str">
        <f>IFERROR(
   CHOOSE(
      MATCH(VLOOKUP(LEFT(A883,6)&amp;"*",'Identificación genética'!A:C,2,FALSE),
               {"En proceso";"Finalizado"},0),
      "🔬 En proceso",
      "🎯 Finalizado"
   ),
"❌ NA")</f>
        <v>🎯 Finalizado</v>
      </c>
      <c r="E836" t="s">
        <v>85</v>
      </c>
      <c r="F836" s="206">
        <v>45848</v>
      </c>
      <c r="G836" t="str">
        <f>_xlfn.XLOOKUP(A836, Extraídas!A:A, Extraídas!G:G, "")</f>
        <v>Microalgas</v>
      </c>
    </row>
    <row r="837" spans="1:7" ht="15" thickBot="1" x14ac:dyDescent="0.35">
      <c r="A837" s="646" t="s">
        <v>901</v>
      </c>
      <c r="B837" s="255" t="str">
        <f>IFERROR(
   IF(INDEX(Extraídas!B:B,MATCH(LEFT($A837,6)&amp;"*",Extraídas!A:A,0))="Extraídas",
      "✅ En proceso",
      IF(INDEX(Extraídas!B:B,MATCH(LEFT($A837,6)&amp;"*",Extraídas!A:A,0))="Recibidas",
         "⏳ Pendiente","❌ No ingresada")),
   "❌ No ingresada"
)</f>
        <v>✅ En proceso</v>
      </c>
      <c r="C837" s="255" t="str">
        <f t="array" ref="C837">IFERROR(
   IF(INDEX([1]PCRs!B:B,MATCH(LEFT($A837,6)&amp;"*",[1]PCRs!A:A,0))="Positivo",
      "✅ Positivo",
      IF(INDEX([1]PCRs!B:B,MATCH(LEFT($A837,6)&amp;"*",[1]PCRs!A:A,0))="Negativo",
         "❌ Negativo",
         "⏳ No realizado")),
   "⏳ No realizado"
)</f>
        <v>❌ Negativo</v>
      </c>
      <c r="D837" s="255" t="str">
        <f>IFERROR(
   CHOOSE(
      MATCH(VLOOKUP(LEFT(A884,6)&amp;"*",'Identificación genética'!A:C,2,FALSE),
               {"En proceso";"Finalizado"},0),
      "🔬 En proceso",
      "🎯 Finalizado"
   ),
"❌ NA")</f>
        <v>🎯 Finalizado</v>
      </c>
      <c r="E837" t="s">
        <v>85</v>
      </c>
      <c r="F837" s="98">
        <v>45926</v>
      </c>
      <c r="G837" t="str">
        <f>_xlfn.XLOOKUP(A837, Extraídas!A:A, Extraídas!G:G, "")</f>
        <v>Microalgas</v>
      </c>
    </row>
    <row r="838" spans="1:7" ht="15" thickBot="1" x14ac:dyDescent="0.35">
      <c r="A838" s="611" t="s">
        <v>1670</v>
      </c>
      <c r="B838" s="255" t="str">
        <f>IFERROR(
   IF(INDEX(Extraídas!B:B,MATCH(LEFT($A838,6)&amp;"*",Extraídas!A:A,0))="Extraídas",
      "✅ En proceso",
      IF(INDEX(Extraídas!B:B,MATCH(LEFT($A838,6)&amp;"*",Extraídas!A:A,0))="Recibidas",
         "⏳ Pendiente","❌ No ingresada")),
   "❌ No ingresada"
)</f>
        <v>✅ En proceso</v>
      </c>
      <c r="C838" s="255" t="str">
        <f t="array" ref="C838">IFERROR(
   IF(INDEX([1]PCRs!B:B,MATCH(LEFT($A838,6)&amp;"*",[1]PCRs!A:A,0))="Positivo",
      "✅ Positivo",
      IF(INDEX([1]PCRs!B:B,MATCH(LEFT($A838,6)&amp;"*",[1]PCRs!A:A,0))="Negativo",
         "❌ Negativo",
         "⏳ No realizado")),
   "⏳ No realizado"
)</f>
        <v>❌ Negativo</v>
      </c>
      <c r="D838" s="255" t="str">
        <f>IFERROR(
   CHOOSE(
      MATCH(VLOOKUP(LEFT(A885,6)&amp;"*",'Identificación genética'!A:C,2,FALSE),
               {"En proceso";"Finalizado"},0),
      "🔬 En proceso",
      "🎯 Finalizado"
   ),
"❌ NA")</f>
        <v>🎯 Finalizado</v>
      </c>
      <c r="E838" t="s">
        <v>85</v>
      </c>
      <c r="F838" s="577"/>
      <c r="G838" t="str">
        <f>_xlfn.XLOOKUP(A838, Extraídas!A:A, Extraídas!G:G, "")</f>
        <v/>
      </c>
    </row>
    <row r="839" spans="1:7" ht="15" thickBot="1" x14ac:dyDescent="0.35">
      <c r="A839" s="646" t="s">
        <v>902</v>
      </c>
      <c r="B839" s="255" t="str">
        <f>IFERROR(
   IF(INDEX(Extraídas!B:B,MATCH(LEFT($A839,6)&amp;"*",Extraídas!A:A,0))="Extraídas",
      "✅ En proceso",
      IF(INDEX(Extraídas!B:B,MATCH(LEFT($A839,6)&amp;"*",Extraídas!A:A,0))="Recibidas",
         "⏳ Pendiente","❌ No ingresada")),
   "❌ No ingresada"
)</f>
        <v>✅ En proceso</v>
      </c>
      <c r="C839" s="255" t="str">
        <f t="array" ref="C839">IFERROR(
   IF(INDEX([1]PCRs!B:B,MATCH(LEFT($A839,6)&amp;"*",[1]PCRs!A:A,0))="Positivo",
      "✅ Positivo",
      IF(INDEX([1]PCRs!B:B,MATCH(LEFT($A839,6)&amp;"*",[1]PCRs!A:A,0))="Negativo",
         "❌ Negativo",
         "⏳ No realizado")),
   "⏳ No realizado"
)</f>
        <v>❌ Negativo</v>
      </c>
      <c r="D839" s="255" t="str">
        <f>IFERROR(
   CHOOSE(
      MATCH(VLOOKUP(LEFT(A886,6)&amp;"*",'Identificación genética'!A:C,2,FALSE),
               {"En proceso";"Finalizado"},0),
      "🔬 En proceso",
      "🎯 Finalizado"
   ),
"❌ NA")</f>
        <v>🎯 Finalizado</v>
      </c>
      <c r="E839" t="s">
        <v>85</v>
      </c>
      <c r="F839" s="224">
        <v>45933</v>
      </c>
      <c r="G839" t="str">
        <f>_xlfn.XLOOKUP(A839, Extraídas!A:A, Extraídas!G:G, "")</f>
        <v>Microalgas</v>
      </c>
    </row>
    <row r="840" spans="1:7" ht="15" thickBot="1" x14ac:dyDescent="0.35">
      <c r="A840" s="647" t="s">
        <v>903</v>
      </c>
      <c r="B840" s="255" t="str">
        <f>IFERROR(
   IF(INDEX(Extraídas!B:B,MATCH(LEFT($A840,6)&amp;"*",Extraídas!A:A,0))="Extraídas",
      "✅ En proceso",
      IF(INDEX(Extraídas!B:B,MATCH(LEFT($A840,6)&amp;"*",Extraídas!A:A,0))="Recibidas",
         "⏳ Pendiente","❌ No ingresada")),
   "❌ No ingresada"
)</f>
        <v>✅ En proceso</v>
      </c>
      <c r="C840" s="255" t="str">
        <f t="array" ref="C840">IFERROR(
   IF(INDEX([1]PCRs!B:B,MATCH(LEFT($A840,6)&amp;"*",[1]PCRs!A:A,0))="Positivo",
      "✅ Positivo",
      IF(INDEX([1]PCRs!B:B,MATCH(LEFT($A840,6)&amp;"*",[1]PCRs!A:A,0))="Negativo",
         "❌ Negativo",
         "⏳ No realizado")),
   "⏳ No realizado"
)</f>
        <v>❌ Negativo</v>
      </c>
      <c r="D840" s="255" t="str">
        <f>IFERROR(
   CHOOSE(
      MATCH(VLOOKUP(LEFT(A887,6)&amp;"*",'Identificación genética'!A:C,2,FALSE),
               {"En proceso";"Finalizado"},0),
      "🔬 En proceso",
      "🎯 Finalizado"
   ),
"❌ NA")</f>
        <v>🎯 Finalizado</v>
      </c>
      <c r="E840" t="s">
        <v>85</v>
      </c>
      <c r="F840" s="176">
        <v>45926</v>
      </c>
      <c r="G840" t="str">
        <f>_xlfn.XLOOKUP(A840, Extraídas!A:A, Extraídas!G:G, "")</f>
        <v>Microalgas</v>
      </c>
    </row>
    <row r="841" spans="1:7" ht="15" thickBot="1" x14ac:dyDescent="0.35">
      <c r="A841" s="649" t="s">
        <v>904</v>
      </c>
      <c r="B841" s="255" t="str">
        <f>IFERROR(
   IF(INDEX(Extraídas!B:B,MATCH(LEFT($A841,6)&amp;"*",Extraídas!A:A,0))="Extraídas",
      "✅ En proceso",
      IF(INDEX(Extraídas!B:B,MATCH(LEFT($A841,6)&amp;"*",Extraídas!A:A,0))="Recibidas",
         "⏳ Pendiente","❌ No ingresada")),
   "❌ No ingresada"
)</f>
        <v>✅ En proceso</v>
      </c>
      <c r="C841" s="255" t="str">
        <f t="array" ref="C841">IFERROR(
   IF(INDEX([1]PCRs!B:B,MATCH(LEFT($A841,6)&amp;"*",[1]PCRs!A:A,0))="Positivo",
      "✅ Positivo",
      IF(INDEX([1]PCRs!B:B,MATCH(LEFT($A841,6)&amp;"*",[1]PCRs!A:A,0))="Negativo",
         "❌ Negativo",
         "⏳ No realizado")),
   "⏳ No realizado"
)</f>
        <v>❌ Negativo</v>
      </c>
      <c r="D841" s="255" t="str">
        <f>IFERROR(
   CHOOSE(
      MATCH(VLOOKUP(LEFT(A888,6)&amp;"*",'Identificación genética'!A:C,2,FALSE),
               {"En proceso";"Finalizado"},0),
      "🔬 En proceso",
      "🎯 Finalizado"
   ),
"❌ NA")</f>
        <v>🎯 Finalizado</v>
      </c>
      <c r="E841" t="s">
        <v>85</v>
      </c>
      <c r="F841" s="581">
        <v>45768</v>
      </c>
      <c r="G841" t="str">
        <f>_xlfn.XLOOKUP(A841, Extraídas!A:A, Extraídas!G:G, "")</f>
        <v>Cianobacterias</v>
      </c>
    </row>
    <row r="842" spans="1:7" ht="15" thickBot="1" x14ac:dyDescent="0.35">
      <c r="A842" s="647" t="s">
        <v>905</v>
      </c>
      <c r="B842" s="255" t="str">
        <f>IFERROR(
   IF(INDEX(Extraídas!B:B,MATCH(LEFT($A842,6)&amp;"*",Extraídas!A:A,0))="Extraídas",
      "✅ En proceso",
      IF(INDEX(Extraídas!B:B,MATCH(LEFT($A842,6)&amp;"*",Extraídas!A:A,0))="Recibidas",
         "⏳ Pendiente","❌ No ingresada")),
   "❌ No ingresada"
)</f>
        <v>✅ En proceso</v>
      </c>
      <c r="C842" s="255" t="str">
        <f t="array" ref="C842">IFERROR(
   IF(INDEX([1]PCRs!B:B,MATCH(LEFT($A842,6)&amp;"*",[1]PCRs!A:A,0))="Positivo",
      "✅ Positivo",
      IF(INDEX([1]PCRs!B:B,MATCH(LEFT($A842,6)&amp;"*",[1]PCRs!A:A,0))="Negativo",
         "❌ Negativo",
         "⏳ No realizado")),
   "⏳ No realizado"
)</f>
        <v>❌ Negativo</v>
      </c>
      <c r="D842" s="255" t="str">
        <f>IFERROR(
   CHOOSE(
      MATCH(VLOOKUP(LEFT(A889,6)&amp;"*",'Identificación genética'!A:C,2,FALSE),
               {"En proceso";"Finalizado"},0),
      "🔬 En proceso",
      "🎯 Finalizado"
   ),
"❌ NA")</f>
        <v>🎯 Finalizado</v>
      </c>
      <c r="E842" t="s">
        <v>85</v>
      </c>
      <c r="F842" s="110">
        <v>45933</v>
      </c>
      <c r="G842" t="str">
        <f>_xlfn.XLOOKUP(A842, Extraídas!A:A, Extraídas!G:G, "")</f>
        <v>Microalgas</v>
      </c>
    </row>
    <row r="843" spans="1:7" ht="15" thickBot="1" x14ac:dyDescent="0.35">
      <c r="A843" s="606" t="s">
        <v>1158</v>
      </c>
      <c r="B843" s="255" t="str">
        <f>IFERROR(
   IF(INDEX(Extraídas!B:B,MATCH(LEFT($A843,6)&amp;"*",Extraídas!A:A,0))="Extraídas",
      "✅ En proceso",
      IF(INDEX(Extraídas!B:B,MATCH(LEFT($A843,6)&amp;"*",Extraídas!A:A,0))="Recibidas",
         "⏳ Pendiente","❌ No ingresada")),
   "❌ No ingresada"
)</f>
        <v>✅ En proceso</v>
      </c>
      <c r="C843" s="255" t="str">
        <f t="array" ref="C843">IFERROR(
   IF(INDEX([1]PCRs!B:B,MATCH(LEFT($A843,6)&amp;"*",[1]PCRs!A:A,0))="Positivo",
      "✅ Positivo",
      IF(INDEX([1]PCRs!B:B,MATCH(LEFT($A843,6)&amp;"*",[1]PCRs!A:A,0))="Negativo",
         "❌ Negativo",
         "⏳ No realizado")),
   "⏳ No realizado"
)</f>
        <v>❌ Negativo</v>
      </c>
      <c r="D843" s="255" t="str">
        <f>IFERROR(
   CHOOSE(
      MATCH(VLOOKUP(LEFT(A890,6)&amp;"*",'Identificación genética'!A:C,2,FALSE),
               {"En proceso";"Finalizado"},0),
      "🔬 En proceso",
      "🎯 Finalizado"
   ),
"❌ NA")</f>
        <v>🎯 Finalizado</v>
      </c>
      <c r="E843" t="s">
        <v>85</v>
      </c>
      <c r="G843" t="str">
        <f>_xlfn.XLOOKUP(A843, Extraídas!A:A, Extraídas!G:G, "")</f>
        <v/>
      </c>
    </row>
    <row r="844" spans="1:7" ht="15" thickBot="1" x14ac:dyDescent="0.35">
      <c r="A844" s="647" t="s">
        <v>907</v>
      </c>
      <c r="B844" s="255" t="str">
        <f>IFERROR(
   IF(INDEX(Extraídas!B:B,MATCH(LEFT($A844,6)&amp;"*",Extraídas!A:A,0))="Extraídas",
      "✅ En proceso",
      IF(INDEX(Extraídas!B:B,MATCH(LEFT($A844,6)&amp;"*",Extraídas!A:A,0))="Recibidas",
         "⏳ Pendiente","❌ No ingresada")),
   "❌ No ingresada"
)</f>
        <v>✅ En proceso</v>
      </c>
      <c r="C844" s="255" t="str">
        <f t="array" ref="C844">IFERROR(
   IF(INDEX([1]PCRs!B:B,MATCH(LEFT($A844,6)&amp;"*",[1]PCRs!A:A,0))="Positivo",
      "✅ Positivo",
      IF(INDEX([1]PCRs!B:B,MATCH(LEFT($A844,6)&amp;"*",[1]PCRs!A:A,0))="Negativo",
         "❌ Negativo",
         "⏳ No realizado")),
   "⏳ No realizado"
)</f>
        <v>❌ Negativo</v>
      </c>
      <c r="D844" s="255" t="str">
        <f>IFERROR(
   CHOOSE(
      MATCH(VLOOKUP(LEFT(A891,6)&amp;"*",'Identificación genética'!A:C,2,FALSE),
               {"En proceso";"Finalizado"},0),
      "🔬 En proceso",
      "🎯 Finalizado"
   ),
"❌ NA")</f>
        <v>🎯 Finalizado</v>
      </c>
      <c r="E844" t="s">
        <v>85</v>
      </c>
      <c r="F844" s="176">
        <v>45926</v>
      </c>
      <c r="G844" t="str">
        <f>_xlfn.XLOOKUP(A844, Extraídas!A:A, Extraídas!G:G, "")</f>
        <v>Microalgas</v>
      </c>
    </row>
    <row r="845" spans="1:7" ht="15" thickBot="1" x14ac:dyDescent="0.35">
      <c r="A845" s="649" t="s">
        <v>908</v>
      </c>
      <c r="B845" s="255" t="str">
        <f>IFERROR(
   IF(INDEX(Extraídas!B:B,MATCH(LEFT($A845,6)&amp;"*",Extraídas!A:A,0))="Extraídas",
      "✅ En proceso",
      IF(INDEX(Extraídas!B:B,MATCH(LEFT($A845,6)&amp;"*",Extraídas!A:A,0))="Recibidas",
         "⏳ Pendiente","❌ No ingresada")),
   "❌ No ingresada"
)</f>
        <v>✅ En proceso</v>
      </c>
      <c r="C845" s="255" t="str">
        <f t="array" ref="C845">IFERROR(
   IF(INDEX([1]PCRs!B:B,MATCH(LEFT($A845,6)&amp;"*",[1]PCRs!A:A,0))="Positivo",
      "✅ Positivo",
      IF(INDEX([1]PCRs!B:B,MATCH(LEFT($A845,6)&amp;"*",[1]PCRs!A:A,0))="Negativo",
         "❌ Negativo",
         "⏳ No realizado")),
   "⏳ No realizado"
)</f>
        <v>❌ Negativo</v>
      </c>
      <c r="D845" s="255" t="str">
        <f>IFERROR(
   CHOOSE(
      MATCH(VLOOKUP(LEFT(A892,6)&amp;"*",'Identificación genética'!A:C,2,FALSE),
               {"En proceso";"Finalizado"},0),
      "🔬 En proceso",
      "🎯 Finalizado"
   ),
"❌ NA")</f>
        <v>🎯 Finalizado</v>
      </c>
      <c r="E845" t="s">
        <v>85</v>
      </c>
      <c r="F845" s="29">
        <v>45768</v>
      </c>
      <c r="G845" t="str">
        <f>_xlfn.XLOOKUP(A845, Extraídas!A:A, Extraídas!G:G, "")</f>
        <v>Cianobacterias</v>
      </c>
    </row>
    <row r="846" spans="1:7" ht="15" thickBot="1" x14ac:dyDescent="0.35">
      <c r="A846" s="647" t="s">
        <v>909</v>
      </c>
      <c r="B846" s="255" t="str">
        <f>IFERROR(
   IF(INDEX(Extraídas!B:B,MATCH(LEFT($A846,6)&amp;"*",Extraídas!A:A,0))="Extraídas",
      "✅ En proceso",
      IF(INDEX(Extraídas!B:B,MATCH(LEFT($A846,6)&amp;"*",Extraídas!A:A,0))="Recibidas",
         "⏳ Pendiente","❌ No ingresada")),
   "❌ No ingresada"
)</f>
        <v>✅ En proceso</v>
      </c>
      <c r="C846" s="255" t="str">
        <f t="array" ref="C846">IFERROR(
   IF(INDEX([1]PCRs!B:B,MATCH(LEFT($A846,6)&amp;"*",[1]PCRs!A:A,0))="Positivo",
      "✅ Positivo",
      IF(INDEX([1]PCRs!B:B,MATCH(LEFT($A846,6)&amp;"*",[1]PCRs!A:A,0))="Negativo",
         "❌ Negativo",
         "⏳ No realizado")),
   "⏳ No realizado"
)</f>
        <v>❌ Negativo</v>
      </c>
      <c r="D846" s="255" t="str">
        <f>IFERROR(
   CHOOSE(
      MATCH(VLOOKUP(LEFT(A893,6)&amp;"*",'Identificación genética'!A:C,2,FALSE),
               {"En proceso";"Finalizado"},0),
      "🔬 En proceso",
      "🎯 Finalizado"
   ),
"❌ NA")</f>
        <v>🎯 Finalizado</v>
      </c>
      <c r="E846" t="s">
        <v>85</v>
      </c>
      <c r="F846" s="176">
        <v>45926</v>
      </c>
      <c r="G846" t="str">
        <f>_xlfn.XLOOKUP(A846, Extraídas!A:A, Extraídas!G:G, "")</f>
        <v>Microalgas</v>
      </c>
    </row>
    <row r="847" spans="1:7" ht="15" thickBot="1" x14ac:dyDescent="0.35">
      <c r="A847" s="605" t="s">
        <v>1159</v>
      </c>
      <c r="B847" s="255" t="str">
        <f>IFERROR(
   IF(INDEX(Extraídas!B:B,MATCH(LEFT($A847,6)&amp;"*",Extraídas!A:A,0))="Extraídas",
      "✅ En proceso",
      IF(INDEX(Extraídas!B:B,MATCH(LEFT($A847,6)&amp;"*",Extraídas!A:A,0))="Recibidas",
         "⏳ Pendiente","❌ No ingresada")),
   "❌ No ingresada"
)</f>
        <v>✅ En proceso</v>
      </c>
      <c r="C847" s="255" t="str">
        <f t="array" ref="C847">IFERROR(
   IF(INDEX([1]PCRs!B:B,MATCH(LEFT($A847,6)&amp;"*",[1]PCRs!A:A,0))="Positivo",
      "✅ Positivo",
      IF(INDEX([1]PCRs!B:B,MATCH(LEFT($A847,6)&amp;"*",[1]PCRs!A:A,0))="Negativo",
         "❌ Negativo",
         "⏳ No realizado")),
   "⏳ No realizado"
)</f>
        <v>❌ Negativo</v>
      </c>
      <c r="D847" s="255" t="str">
        <f>IFERROR(
   CHOOSE(
      MATCH(VLOOKUP(LEFT(A894,6)&amp;"*",'Identificación genética'!A:C,2,FALSE),
               {"En proceso";"Finalizado"},0),
      "🔬 En proceso",
      "🎯 Finalizado"
   ),
"❌ NA")</f>
        <v>🎯 Finalizado</v>
      </c>
      <c r="E847" t="s">
        <v>85</v>
      </c>
      <c r="F847" s="585"/>
      <c r="G847" t="str">
        <f>_xlfn.XLOOKUP(A847, Extraídas!A:A, Extraídas!G:G, "")</f>
        <v/>
      </c>
    </row>
    <row r="848" spans="1:7" ht="15" thickBot="1" x14ac:dyDescent="0.35">
      <c r="A848" s="617" t="s">
        <v>1994</v>
      </c>
      <c r="B848" s="255" t="str">
        <f>IFERROR(
   IF(INDEX(Extraídas!B:B,MATCH(LEFT($A848,6)&amp;"*",Extraídas!A:A,0))="Extraídas",
      "✅ En proceso",
      IF(INDEX(Extraídas!B:B,MATCH(LEFT($A848,6)&amp;"*",Extraídas!A:A,0))="Recibidas",
         "⏳ Pendiente","❌ No ingresada")),
   "❌ No ingresada"
)</f>
        <v>✅ En proceso</v>
      </c>
      <c r="C848" s="255" t="str">
        <f t="array" ref="C848">IFERROR(
   IF(INDEX([1]PCRs!B:B,MATCH(LEFT($A848,6)&amp;"*",[1]PCRs!A:A,0))="Positivo",
      "✅ Positivo",
      IF(INDEX([1]PCRs!B:B,MATCH(LEFT($A848,6)&amp;"*",[1]PCRs!A:A,0))="Negativo",
         "❌ Negativo",
         "⏳ No realizado")),
   "⏳ No realizado"
)</f>
        <v>❌ Negativo</v>
      </c>
      <c r="D848" s="255" t="str">
        <f>IFERROR(
   CHOOSE(
      MATCH(VLOOKUP(LEFT(A895,6)&amp;"*",'Identificación genética'!A:C,2,FALSE),
               {"En proceso";"Finalizado"},0),
      "🔬 En proceso",
      "🎯 Finalizado"
   ),
"❌ NA")</f>
        <v>🎯 Finalizado</v>
      </c>
      <c r="E848" t="s">
        <v>85</v>
      </c>
      <c r="F848" s="577"/>
      <c r="G848" t="str">
        <f>_xlfn.XLOOKUP(A848, Extraídas!A:A, Extraídas!G:G, "")</f>
        <v/>
      </c>
    </row>
    <row r="849" spans="1:7" ht="15" thickBot="1" x14ac:dyDescent="0.35">
      <c r="A849" s="649" t="s">
        <v>910</v>
      </c>
      <c r="B849" s="255" t="str">
        <f>IFERROR(
   IF(INDEX(Extraídas!B:B,MATCH(LEFT($A849,6)&amp;"*",Extraídas!A:A,0))="Extraídas",
      "✅ En proceso",
      IF(INDEX(Extraídas!B:B,MATCH(LEFT($A849,6)&amp;"*",Extraídas!A:A,0))="Recibidas",
         "⏳ Pendiente","❌ No ingresada")),
   "❌ No ingresada"
)</f>
        <v>✅ En proceso</v>
      </c>
      <c r="C849" s="255" t="str">
        <f t="array" ref="C849">IFERROR(
   IF(INDEX([1]PCRs!B:B,MATCH(LEFT($A849,6)&amp;"*",[1]PCRs!A:A,0))="Positivo",
      "✅ Positivo",
      IF(INDEX([1]PCRs!B:B,MATCH(LEFT($A849,6)&amp;"*",[1]PCRs!A:A,0))="Negativo",
         "❌ Negativo",
         "⏳ No realizado")),
   "⏳ No realizado"
)</f>
        <v>❌ Negativo</v>
      </c>
      <c r="D849" s="255" t="str">
        <f>IFERROR(
   CHOOSE(
      MATCH(VLOOKUP(LEFT(A896,6)&amp;"*",'Identificación genética'!A:C,2,FALSE),
               {"En proceso";"Finalizado"},0),
      "🔬 En proceso",
      "🎯 Finalizado"
   ),
"❌ NA")</f>
        <v>🎯 Finalizado</v>
      </c>
      <c r="E849" t="s">
        <v>85</v>
      </c>
      <c r="F849" s="177">
        <v>45817</v>
      </c>
      <c r="G849" t="str">
        <f>_xlfn.XLOOKUP(A849, Extraídas!A:A, Extraídas!G:G, "")</f>
        <v>Cianobacterias</v>
      </c>
    </row>
    <row r="850" spans="1:7" ht="15" thickBot="1" x14ac:dyDescent="0.35">
      <c r="A850" s="556" t="s">
        <v>1052</v>
      </c>
      <c r="B850" s="255" t="str">
        <f>IFERROR(
   IF(INDEX(Extraídas!B:B,MATCH(LEFT($A850,6)&amp;"*",Extraídas!A:A,0))="Extraídas",
      "✅ En proceso",
      IF(INDEX(Extraídas!B:B,MATCH(LEFT($A850,6)&amp;"*",Extraídas!A:A,0))="Recibidas",
         "⏳ Pendiente","❌ No ingresada")),
   "❌ No ingresada"
)</f>
        <v>✅ En proceso</v>
      </c>
      <c r="C850" s="255" t="str">
        <f t="array" ref="C850">IFERROR(
   IF(INDEX([1]PCRs!B:B,MATCH(LEFT($A850,6)&amp;"*",[1]PCRs!A:A,0))="Positivo",
      "✅ Positivo",
      IF(INDEX([1]PCRs!B:B,MATCH(LEFT($A850,6)&amp;"*",[1]PCRs!A:A,0))="Negativo",
         "❌ Negativo",
         "⏳ No realizado")),
   "⏳ No realizado"
)</f>
        <v>❌ Negativo</v>
      </c>
      <c r="D850" s="255" t="str">
        <f>IFERROR(
   CHOOSE(
      MATCH(VLOOKUP(LEFT(A897,6)&amp;"*",'Identificación genética'!A:C,2,FALSE),
               {"En proceso";"Finalizado"},0),
      "🔬 En proceso",
      "🎯 Finalizado"
   ),
"❌ NA")</f>
        <v>🎯 Finalizado</v>
      </c>
      <c r="E850" t="s">
        <v>85</v>
      </c>
      <c r="F850" s="577"/>
      <c r="G850" t="str">
        <f>_xlfn.XLOOKUP(A850, Extraídas!A:A, Extraídas!G:G, "")</f>
        <v/>
      </c>
    </row>
    <row r="851" spans="1:7" ht="15" thickBot="1" x14ac:dyDescent="0.35">
      <c r="A851" s="649" t="s">
        <v>911</v>
      </c>
      <c r="B851" s="255" t="str">
        <f>IFERROR(
   IF(INDEX(Extraídas!B:B,MATCH(LEFT($A851,6)&amp;"*",Extraídas!A:A,0))="Extraídas",
      "✅ En proceso",
      IF(INDEX(Extraídas!B:B,MATCH(LEFT($A851,6)&amp;"*",Extraídas!A:A,0))="Recibidas",
         "⏳ Pendiente","❌ No ingresada")),
   "❌ No ingresada"
)</f>
        <v>✅ En proceso</v>
      </c>
      <c r="C851" s="255" t="str">
        <f t="array" ref="C851">IFERROR(
   IF(INDEX([1]PCRs!B:B,MATCH(LEFT($A851,6)&amp;"*",[1]PCRs!A:A,0))="Positivo",
      "✅ Positivo",
      IF(INDEX([1]PCRs!B:B,MATCH(LEFT($A851,6)&amp;"*",[1]PCRs!A:A,0))="Negativo",
         "❌ Negativo",
         "⏳ No realizado")),
   "⏳ No realizado"
)</f>
        <v>❌ Negativo</v>
      </c>
      <c r="D851" s="255" t="str">
        <f>IFERROR(
   CHOOSE(
      MATCH(VLOOKUP(LEFT(A898,6)&amp;"*",'Identificación genética'!A:C,2,FALSE),
               {"En proceso";"Finalizado"},0),
      "🔬 En proceso",
      "🎯 Finalizado"
   ),
"❌ NA")</f>
        <v>🎯 Finalizado</v>
      </c>
      <c r="E851" t="s">
        <v>85</v>
      </c>
      <c r="F851" s="572">
        <v>45933</v>
      </c>
      <c r="G851" t="str">
        <f>_xlfn.XLOOKUP(A851, Extraídas!A:A, Extraídas!G:G, "")</f>
        <v>Cianobacterias</v>
      </c>
    </row>
    <row r="852" spans="1:7" ht="15" thickBot="1" x14ac:dyDescent="0.35">
      <c r="A852" s="647" t="s">
        <v>912</v>
      </c>
      <c r="B852" s="255" t="str">
        <f>IFERROR(
   IF(INDEX(Extraídas!B:B,MATCH(LEFT($A852,6)&amp;"*",Extraídas!A:A,0))="Extraídas",
      "✅ En proceso",
      IF(INDEX(Extraídas!B:B,MATCH(LEFT($A852,6)&amp;"*",Extraídas!A:A,0))="Recibidas",
         "⏳ Pendiente","❌ No ingresada")),
   "❌ No ingresada"
)</f>
        <v>✅ En proceso</v>
      </c>
      <c r="C852" s="255" t="str">
        <f t="array" ref="C852">IFERROR(
   IF(INDEX([1]PCRs!B:B,MATCH(LEFT($A852,6)&amp;"*",[1]PCRs!A:A,0))="Positivo",
      "✅ Positivo",
      IF(INDEX([1]PCRs!B:B,MATCH(LEFT($A852,6)&amp;"*",[1]PCRs!A:A,0))="Negativo",
         "❌ Negativo",
         "⏳ No realizado")),
   "⏳ No realizado"
)</f>
        <v>❌ Negativo</v>
      </c>
      <c r="D852" s="255" t="str">
        <f>IFERROR(
   CHOOSE(
      MATCH(VLOOKUP(LEFT(A899,6)&amp;"*",'Identificación genética'!A:C,2,FALSE),
               {"En proceso";"Finalizado"},0),
      "🔬 En proceso",
      "🎯 Finalizado"
   ),
"❌ NA")</f>
        <v>🎯 Finalizado</v>
      </c>
      <c r="E852" t="s">
        <v>85</v>
      </c>
      <c r="F852" s="598">
        <v>45938</v>
      </c>
      <c r="G852" t="str">
        <f>_xlfn.XLOOKUP(A852, Extraídas!A:A, Extraídas!G:G, "")</f>
        <v>Microalgas</v>
      </c>
    </row>
    <row r="853" spans="1:7" ht="15" thickBot="1" x14ac:dyDescent="0.35">
      <c r="A853" s="646" t="s">
        <v>913</v>
      </c>
      <c r="B853" s="255" t="str">
        <f>IFERROR(
   IF(INDEX(Extraídas!B:B,MATCH(LEFT($A853,6)&amp;"*",Extraídas!A:A,0))="Extraídas",
      "✅ En proceso",
      IF(INDEX(Extraídas!B:B,MATCH(LEFT($A853,6)&amp;"*",Extraídas!A:A,0))="Recibidas",
         "⏳ Pendiente","❌ No ingresada")),
   "❌ No ingresada"
)</f>
        <v>✅ En proceso</v>
      </c>
      <c r="C853" s="255" t="str">
        <f t="array" ref="C853">IFERROR(
   IF(INDEX([1]PCRs!B:B,MATCH(LEFT($A853,6)&amp;"*",[1]PCRs!A:A,0))="Positivo",
      "✅ Positivo",
      IF(INDEX([1]PCRs!B:B,MATCH(LEFT($A853,6)&amp;"*",[1]PCRs!A:A,0))="Negativo",
         "❌ Negativo",
         "⏳ No realizado")),
   "⏳ No realizado"
)</f>
        <v>❌ Negativo</v>
      </c>
      <c r="D853" s="255" t="str">
        <f>IFERROR(
   CHOOSE(
      MATCH(VLOOKUP(LEFT(A900,6)&amp;"*",'Identificación genética'!A:C,2,FALSE),
               {"En proceso";"Finalizado"},0),
      "🔬 En proceso",
      "🎯 Finalizado"
   ),
"❌ NA")</f>
        <v>🎯 Finalizado</v>
      </c>
      <c r="E853" t="s">
        <v>85</v>
      </c>
      <c r="F853" s="591">
        <v>45933</v>
      </c>
      <c r="G853" t="str">
        <f>_xlfn.XLOOKUP(A853, Extraídas!A:A, Extraídas!G:G, "")</f>
        <v>Microalgas</v>
      </c>
    </row>
    <row r="854" spans="1:7" ht="15" thickBot="1" x14ac:dyDescent="0.35">
      <c r="A854" s="648" t="s">
        <v>914</v>
      </c>
      <c r="B854" s="255" t="str">
        <f>IFERROR(
   IF(INDEX(Extraídas!B:B,MATCH(LEFT($A854,6)&amp;"*",Extraídas!A:A,0))="Extraídas",
      "✅ En proceso",
      IF(INDEX(Extraídas!B:B,MATCH(LEFT($A854,6)&amp;"*",Extraídas!A:A,0))="Recibidas",
         "⏳ Pendiente","❌ No ingresada")),
   "❌ No ingresada"
)</f>
        <v>✅ En proceso</v>
      </c>
      <c r="C854" s="255" t="str">
        <f t="array" ref="C854">IFERROR(
   IF(INDEX([1]PCRs!B:B,MATCH(LEFT($A854,6)&amp;"*",[1]PCRs!A:A,0))="Positivo",
      "✅ Positivo",
      IF(INDEX([1]PCRs!B:B,MATCH(LEFT($A854,6)&amp;"*",[1]PCRs!A:A,0))="Negativo",
         "❌ Negativo",
         "⏳ No realizado")),
   "⏳ No realizado"
)</f>
        <v>❌ Negativo</v>
      </c>
      <c r="D854" s="255" t="str">
        <f>IFERROR(
   CHOOSE(
      MATCH(VLOOKUP(LEFT(A901,6)&amp;"*",'Identificación genética'!A:C,2,FALSE),
               {"En proceso";"Finalizado"},0),
      "🔬 En proceso",
      "🎯 Finalizado"
   ),
"❌ NA")</f>
        <v>🎯 Finalizado</v>
      </c>
      <c r="E854" t="s">
        <v>85</v>
      </c>
      <c r="F854" s="588">
        <v>45938</v>
      </c>
      <c r="G854" t="str">
        <f>_xlfn.XLOOKUP(A854, Extraídas!A:A, Extraídas!G:G, "")</f>
        <v>Microalgas</v>
      </c>
    </row>
    <row r="855" spans="1:7" ht="15" thickBot="1" x14ac:dyDescent="0.35">
      <c r="A855" s="555" t="s">
        <v>1053</v>
      </c>
      <c r="B855" s="255" t="str">
        <f>IFERROR(
   IF(INDEX(Extraídas!B:B,MATCH(LEFT($A855,6)&amp;"*",Extraídas!A:A,0))="Extraídas",
      "✅ En proceso",
      IF(INDEX(Extraídas!B:B,MATCH(LEFT($A855,6)&amp;"*",Extraídas!A:A,0))="Recibidas",
         "⏳ Pendiente","❌ No ingresada")),
   "❌ No ingresada"
)</f>
        <v>✅ En proceso</v>
      </c>
      <c r="C855" s="255" t="str">
        <f t="array" ref="C855">IFERROR(
   IF(INDEX([1]PCRs!B:B,MATCH(LEFT($A855,6)&amp;"*",[1]PCRs!A:A,0))="Positivo",
      "✅ Positivo",
      IF(INDEX([1]PCRs!B:B,MATCH(LEFT($A855,6)&amp;"*",[1]PCRs!A:A,0))="Negativo",
         "❌ Negativo",
         "⏳ No realizado")),
   "⏳ No realizado"
)</f>
        <v>❌ Negativo</v>
      </c>
      <c r="D855" s="255" t="str">
        <f>IFERROR(
   CHOOSE(
      MATCH(VLOOKUP(LEFT(A902,6)&amp;"*",'Identificación genética'!A:C,2,FALSE),
               {"En proceso";"Finalizado"},0),
      "🔬 En proceso",
      "🎯 Finalizado"
   ),
"❌ NA")</f>
        <v>🎯 Finalizado</v>
      </c>
      <c r="E855" t="s">
        <v>85</v>
      </c>
      <c r="F855" s="585"/>
      <c r="G855" t="str">
        <f>_xlfn.XLOOKUP(A855, Extraídas!A:A, Extraídas!G:G, "")</f>
        <v/>
      </c>
    </row>
    <row r="856" spans="1:7" ht="15" thickBot="1" x14ac:dyDescent="0.35">
      <c r="A856" s="648" t="s">
        <v>915</v>
      </c>
      <c r="B856" s="255" t="str">
        <f>IFERROR(
   IF(INDEX(Extraídas!B:B,MATCH(LEFT($A856,6)&amp;"*",Extraídas!A:A,0))="Extraídas",
      "✅ En proceso",
      IF(INDEX(Extraídas!B:B,MATCH(LEFT($A856,6)&amp;"*",Extraídas!A:A,0))="Recibidas",
         "⏳ Pendiente","❌ No ingresada")),
   "❌ No ingresada"
)</f>
        <v>✅ En proceso</v>
      </c>
      <c r="C856" s="255" t="str">
        <f t="array" ref="C856">IFERROR(
   IF(INDEX([1]PCRs!B:B,MATCH(LEFT($A856,6)&amp;"*",[1]PCRs!A:A,0))="Positivo",
      "✅ Positivo",
      IF(INDEX([1]PCRs!B:B,MATCH(LEFT($A856,6)&amp;"*",[1]PCRs!A:A,0))="Negativo",
         "❌ Negativo",
         "⏳ No realizado")),
   "⏳ No realizado"
)</f>
        <v>❌ Negativo</v>
      </c>
      <c r="D856" s="255" t="str">
        <f>IFERROR(
   CHOOSE(
      MATCH(VLOOKUP(LEFT(A903,6)&amp;"*",'Identificación genética'!A:C,2,FALSE),
               {"En proceso";"Finalizado"},0),
      "🔬 En proceso",
      "🎯 Finalizado"
   ),
"❌ NA")</f>
        <v>🎯 Finalizado</v>
      </c>
      <c r="E856" t="s">
        <v>85</v>
      </c>
      <c r="F856" s="597">
        <v>45733</v>
      </c>
      <c r="G856" t="str">
        <f>_xlfn.XLOOKUP(A856, Extraídas!A:A, Extraídas!G:G, "")</f>
        <v>Cianobacterias</v>
      </c>
    </row>
    <row r="857" spans="1:7" ht="15" thickBot="1" x14ac:dyDescent="0.35">
      <c r="A857" s="646" t="s">
        <v>916</v>
      </c>
      <c r="B857" s="255" t="str">
        <f>IFERROR(
   IF(INDEX(Extraídas!B:B,MATCH(LEFT($A857,6)&amp;"*",Extraídas!A:A,0))="Extraídas",
      "✅ En proceso",
      IF(INDEX(Extraídas!B:B,MATCH(LEFT($A857,6)&amp;"*",Extraídas!A:A,0))="Recibidas",
         "⏳ Pendiente","❌ No ingresada")),
   "❌ No ingresada"
)</f>
        <v>✅ En proceso</v>
      </c>
      <c r="C857" s="255" t="str">
        <f t="array" ref="C857">IFERROR(
   IF(INDEX([1]PCRs!B:B,MATCH(LEFT($A857,6)&amp;"*",[1]PCRs!A:A,0))="Positivo",
      "✅ Positivo",
      IF(INDEX([1]PCRs!B:B,MATCH(LEFT($A857,6)&amp;"*",[1]PCRs!A:A,0))="Negativo",
         "❌ Negativo",
         "⏳ No realizado")),
   "⏳ No realizado"
)</f>
        <v>❌ Negativo</v>
      </c>
      <c r="D857" s="255" t="str">
        <f>IFERROR(
   CHOOSE(
      MATCH(VLOOKUP(LEFT(A904,6)&amp;"*",'Identificación genética'!A:C,2,FALSE),
               {"En proceso";"Finalizado"},0),
      "🔬 En proceso",
      "🎯 Finalizado"
   ),
"❌ NA")</f>
        <v>🎯 Finalizado</v>
      </c>
      <c r="E857" t="s">
        <v>85</v>
      </c>
      <c r="F857" s="575">
        <v>45933</v>
      </c>
      <c r="G857" t="str">
        <f>_xlfn.XLOOKUP(A857, Extraídas!A:A, Extraídas!G:G, "")</f>
        <v>Microalgas</v>
      </c>
    </row>
    <row r="858" spans="1:7" ht="15" thickBot="1" x14ac:dyDescent="0.35">
      <c r="A858" s="556" t="s">
        <v>2187</v>
      </c>
      <c r="B858" s="255" t="str">
        <f>IFERROR(
   IF(INDEX(Extraídas!B:B,MATCH(LEFT($A858,6)&amp;"*",Extraídas!A:A,0))="Extraídas",
      "✅ En proceso",
      IF(INDEX(Extraídas!B:B,MATCH(LEFT($A858,6)&amp;"*",Extraídas!A:A,0))="Recibidas",
         "⏳ Pendiente","❌ No ingresada")),
   "❌ No ingresada"
)</f>
        <v>✅ En proceso</v>
      </c>
      <c r="C858" s="255" t="str">
        <f t="array" ref="C858">IFERROR(
   IF(INDEX([1]PCRs!B:B,MATCH(LEFT($A858,6)&amp;"*",[1]PCRs!A:A,0))="Positivo",
      "✅ Positivo",
      IF(INDEX([1]PCRs!B:B,MATCH(LEFT($A858,6)&amp;"*",[1]PCRs!A:A,0))="Negativo",
         "❌ Negativo",
         "⏳ No realizado")),
   "⏳ No realizado"
)</f>
        <v>❌ Negativo</v>
      </c>
      <c r="D858" s="255" t="str">
        <f>IFERROR(
   CHOOSE(
      MATCH(VLOOKUP(LEFT(A905,6)&amp;"*",'Identificación genética'!A:C,2,FALSE),
               {"En proceso";"Finalizado"},0),
      "🔬 En proceso",
      "🎯 Finalizado"
   ),
"❌ NA")</f>
        <v>🎯 Finalizado</v>
      </c>
      <c r="E858" t="s">
        <v>85</v>
      </c>
      <c r="F858" s="577"/>
      <c r="G858" t="str">
        <f>_xlfn.XLOOKUP(A858, Extraídas!A:A, Extraídas!G:G, "")</f>
        <v/>
      </c>
    </row>
    <row r="859" spans="1:7" ht="15" thickBot="1" x14ac:dyDescent="0.35">
      <c r="A859" s="651" t="s">
        <v>917</v>
      </c>
      <c r="B859" s="255" t="str">
        <f>IFERROR(
   IF(INDEX(Extraídas!B:B,MATCH(LEFT($A859,6)&amp;"*",Extraídas!A:A,0))="Extraídas",
      "✅ En proceso",
      IF(INDEX(Extraídas!B:B,MATCH(LEFT($A859,6)&amp;"*",Extraídas!A:A,0))="Recibidas",
         "⏳ Pendiente","❌ No ingresada")),
   "❌ No ingresada"
)</f>
        <v>✅ En proceso</v>
      </c>
      <c r="C859" s="255" t="str">
        <f t="array" ref="C859">IFERROR(
   IF(INDEX([1]PCRs!B:B,MATCH(LEFT($A859,6)&amp;"*",[1]PCRs!A:A,0))="Positivo",
      "✅ Positivo",
      IF(INDEX([1]PCRs!B:B,MATCH(LEFT($A859,6)&amp;"*",[1]PCRs!A:A,0))="Negativo",
         "❌ Negativo",
         "⏳ No realizado")),
   "⏳ No realizado"
)</f>
        <v>❌ Negativo</v>
      </c>
      <c r="D859" s="255" t="str">
        <f>IFERROR(
   CHOOSE(
      MATCH(VLOOKUP(LEFT(A906,6)&amp;"*",'Identificación genética'!A:C,2,FALSE),
               {"En proceso";"Finalizado"},0),
      "🔬 En proceso",
      "🎯 Finalizado"
   ),
"❌ NA")</f>
        <v>🎯 Finalizado</v>
      </c>
      <c r="E859" t="s">
        <v>85</v>
      </c>
      <c r="F859" s="600">
        <v>45763</v>
      </c>
      <c r="G859" t="str">
        <f>_xlfn.XLOOKUP(A859, Extraídas!A:A, Extraídas!G:G, "")</f>
        <v>Cianobacterias</v>
      </c>
    </row>
    <row r="860" spans="1:7" ht="15" thickBot="1" x14ac:dyDescent="0.35">
      <c r="A860" s="650" t="s">
        <v>918</v>
      </c>
      <c r="B860" s="255" t="str">
        <f>IFERROR(
   IF(INDEX(Extraídas!B:B,MATCH(LEFT($A860,6)&amp;"*",Extraídas!A:A,0))="Extraídas",
      "✅ En proceso",
      IF(INDEX(Extraídas!B:B,MATCH(LEFT($A860,6)&amp;"*",Extraídas!A:A,0))="Recibidas",
         "⏳ Pendiente","❌ No ingresada")),
   "❌ No ingresada"
)</f>
        <v>✅ En proceso</v>
      </c>
      <c r="C860" s="255" t="str">
        <f t="array" ref="C860">IFERROR(
   IF(INDEX([1]PCRs!B:B,MATCH(LEFT($A860,6)&amp;"*",[1]PCRs!A:A,0))="Positivo",
      "✅ Positivo",
      IF(INDEX([1]PCRs!B:B,MATCH(LEFT($A860,6)&amp;"*",[1]PCRs!A:A,0))="Negativo",
         "❌ Negativo",
         "⏳ No realizado")),
   "⏳ No realizado"
)</f>
        <v>❌ Negativo</v>
      </c>
      <c r="D860" s="255" t="str">
        <f>IFERROR(
   CHOOSE(
      MATCH(VLOOKUP(LEFT(A907,6)&amp;"*",'Identificación genética'!A:C,2,FALSE),
               {"En proceso";"Finalizado"},0),
      "🔬 En proceso",
      "🎯 Finalizado"
   ),
"❌ NA")</f>
        <v>🎯 Finalizado</v>
      </c>
      <c r="E860" t="s">
        <v>85</v>
      </c>
      <c r="F860" s="597">
        <v>45817</v>
      </c>
      <c r="G860" t="str">
        <f>_xlfn.XLOOKUP(A860, Extraídas!A:A, Extraídas!G:G, "")</f>
        <v>Cianobacterias</v>
      </c>
    </row>
    <row r="861" spans="1:7" ht="15" thickBot="1" x14ac:dyDescent="0.35">
      <c r="A861" s="651" t="s">
        <v>919</v>
      </c>
      <c r="B861" s="255" t="str">
        <f>IFERROR(
   IF(INDEX(Extraídas!B:B,MATCH(LEFT($A861,6)&amp;"*",Extraídas!A:A,0))="Extraídas",
      "✅ En proceso",
      IF(INDEX(Extraídas!B:B,MATCH(LEFT($A861,6)&amp;"*",Extraídas!A:A,0))="Recibidas",
         "⏳ Pendiente","❌ No ingresada")),
   "❌ No ingresada"
)</f>
        <v>✅ En proceso</v>
      </c>
      <c r="C861" s="255" t="str">
        <f t="array" ref="C861">IFERROR(
   IF(INDEX([1]PCRs!B:B,MATCH(LEFT($A861,6)&amp;"*",[1]PCRs!A:A,0))="Positivo",
      "✅ Positivo",
      IF(INDEX([1]PCRs!B:B,MATCH(LEFT($A861,6)&amp;"*",[1]PCRs!A:A,0))="Negativo",
         "❌ Negativo",
         "⏳ No realizado")),
   "⏳ No realizado"
)</f>
        <v>❌ Negativo</v>
      </c>
      <c r="D861" s="255" t="str">
        <f>IFERROR(
   CHOOSE(
      MATCH(VLOOKUP(LEFT(A908,6)&amp;"*",'Identificación genética'!A:C,2,FALSE),
               {"En proceso";"Finalizado"},0),
      "🔬 En proceso",
      "🎯 Finalizado"
   ),
"❌ NA")</f>
        <v>🎯 Finalizado</v>
      </c>
      <c r="E861" t="s">
        <v>85</v>
      </c>
      <c r="F861" s="600">
        <v>45817</v>
      </c>
      <c r="G861" t="str">
        <f>_xlfn.XLOOKUP(A861, Extraídas!A:A, Extraídas!G:G, "")</f>
        <v>Cianobacterias</v>
      </c>
    </row>
    <row r="862" spans="1:7" ht="15" thickBot="1" x14ac:dyDescent="0.35">
      <c r="A862" s="648" t="s">
        <v>920</v>
      </c>
      <c r="B862" s="255" t="str">
        <f>IFERROR(
   IF(INDEX(Extraídas!B:B,MATCH(LEFT($A862,6)&amp;"*",Extraídas!A:A,0))="Extraídas",
      "✅ En proceso",
      IF(INDEX(Extraídas!B:B,MATCH(LEFT($A862,6)&amp;"*",Extraídas!A:A,0))="Recibidas",
         "⏳ Pendiente","❌ No ingresada")),
   "❌ No ingresada"
)</f>
        <v>✅ En proceso</v>
      </c>
      <c r="C862" s="255" t="str">
        <f t="array" ref="C862">IFERROR(
   IF(INDEX([1]PCRs!B:B,MATCH(LEFT($A862,6)&amp;"*",[1]PCRs!A:A,0))="Positivo",
      "✅ Positivo",
      IF(INDEX([1]PCRs!B:B,MATCH(LEFT($A862,6)&amp;"*",[1]PCRs!A:A,0))="Negativo",
         "❌ Negativo",
         "⏳ No realizado")),
   "⏳ No realizado"
)</f>
        <v>❌ Negativo</v>
      </c>
      <c r="D862" s="255" t="str">
        <f>IFERROR(
   CHOOSE(
      MATCH(VLOOKUP(LEFT(A909,6)&amp;"*",'Identificación genética'!A:C,2,FALSE),
               {"En proceso";"Finalizado"},0),
      "🔬 En proceso",
      "🎯 Finalizado"
   ),
"❌ NA")</f>
        <v>🎯 Finalizado</v>
      </c>
      <c r="E862" t="s">
        <v>85</v>
      </c>
      <c r="F862" s="597">
        <v>45733</v>
      </c>
      <c r="G862" t="str">
        <f>_xlfn.XLOOKUP(A862, Extraídas!A:A, Extraídas!G:G, "")</f>
        <v>Cianobacterias</v>
      </c>
    </row>
    <row r="863" spans="1:7" ht="15" thickBot="1" x14ac:dyDescent="0.35">
      <c r="A863" s="647" t="s">
        <v>921</v>
      </c>
      <c r="B863" s="255" t="str">
        <f>IFERROR(
   IF(INDEX(Extraídas!B:B,MATCH(LEFT($A863,6)&amp;"*",Extraídas!A:A,0))="Extraídas",
      "✅ En proceso",
      IF(INDEX(Extraídas!B:B,MATCH(LEFT($A863,6)&amp;"*",Extraídas!A:A,0))="Recibidas",
         "⏳ Pendiente","❌ No ingresada")),
   "❌ No ingresada"
)</f>
        <v>⏳ Pendiente</v>
      </c>
      <c r="C863" s="255" t="str">
        <f t="array" ref="C863">IFERROR(
   IF(INDEX([1]PCRs!B:B,MATCH(LEFT($A863,6)&amp;"*",[1]PCRs!A:A,0))="Positivo",
      "✅ Positivo",
      IF(INDEX([1]PCRs!B:B,MATCH(LEFT($A863,6)&amp;"*",[1]PCRs!A:A,0))="Negativo",
         "❌ Negativo",
         "⏳ No realizado")),
   "⏳ No realizado"
)</f>
        <v>❌ Negativo</v>
      </c>
      <c r="D863" s="255" t="str">
        <f>IFERROR(
   CHOOSE(
      MATCH(VLOOKUP(LEFT(A910,6)&amp;"*",'Identificación genética'!A:C,2,FALSE),
               {"En proceso";"Finalizado"},0),
      "🔬 En proceso",
      "🎯 Finalizado"
   ),
"❌ NA")</f>
        <v>🎯 Finalizado</v>
      </c>
      <c r="E863" t="s">
        <v>85</v>
      </c>
      <c r="F863" s="176">
        <v>45924</v>
      </c>
      <c r="G863" t="str">
        <f>_xlfn.XLOOKUP(A863, Extraídas!A:A, Extraídas!G:G, "")</f>
        <v>Cianobacterias</v>
      </c>
    </row>
    <row r="864" spans="1:7" ht="15" thickBot="1" x14ac:dyDescent="0.35">
      <c r="A864" s="649" t="s">
        <v>922</v>
      </c>
      <c r="B864" s="255" t="str">
        <f>IFERROR(
   IF(INDEX(Extraídas!B:B,MATCH(LEFT($A864,6)&amp;"*",Extraídas!A:A,0))="Extraídas",
      "✅ En proceso",
      IF(INDEX(Extraídas!B:B,MATCH(LEFT($A864,6)&amp;"*",Extraídas!A:A,0))="Recibidas",
         "⏳ Pendiente","❌ No ingresada")),
   "❌ No ingresada"
)</f>
        <v>⏳ Pendiente</v>
      </c>
      <c r="C864" s="255" t="str">
        <f t="array" ref="C864">IFERROR(
   IF(INDEX([1]PCRs!B:B,MATCH(LEFT($A864,6)&amp;"*",[1]PCRs!A:A,0))="Positivo",
      "✅ Positivo",
      IF(INDEX([1]PCRs!B:B,MATCH(LEFT($A864,6)&amp;"*",[1]PCRs!A:A,0))="Negativo",
         "❌ Negativo",
         "⏳ No realizado")),
   "⏳ No realizado"
)</f>
        <v>❌ Negativo</v>
      </c>
      <c r="D864" s="255" t="str">
        <f>IFERROR(
   CHOOSE(
      MATCH(VLOOKUP(LEFT(A911,6)&amp;"*",'Identificación genética'!A:C,2,FALSE),
               {"En proceso";"Finalizado"},0),
      "🔬 En proceso",
      "🎯 Finalizado"
   ),
"❌ NA")</f>
        <v>🎯 Finalizado</v>
      </c>
      <c r="E864" t="s">
        <v>85</v>
      </c>
      <c r="F864" s="177">
        <v>45789</v>
      </c>
      <c r="G864" t="str">
        <f>_xlfn.XLOOKUP(A864, Extraídas!A:A, Extraídas!G:G, "")</f>
        <v>Cianobacterias</v>
      </c>
    </row>
    <row r="865" spans="1:7" ht="15" thickBot="1" x14ac:dyDescent="0.35">
      <c r="A865" s="647" t="s">
        <v>923</v>
      </c>
      <c r="B865" s="255" t="str">
        <f>IFERROR(
   IF(INDEX(Extraídas!B:B,MATCH(LEFT($A865,6)&amp;"*",Extraídas!A:A,0))="Extraídas",
      "✅ En proceso",
      IF(INDEX(Extraídas!B:B,MATCH(LEFT($A865,6)&amp;"*",Extraídas!A:A,0))="Recibidas",
         "⏳ Pendiente","❌ No ingresada")),
   "❌ No ingresada"
)</f>
        <v>⏳ Pendiente</v>
      </c>
      <c r="C865" s="255" t="str">
        <f t="array" ref="C865">IFERROR(
   IF(INDEX([1]PCRs!B:B,MATCH(LEFT($A865,6)&amp;"*",[1]PCRs!A:A,0))="Positivo",
      "✅ Positivo",
      IF(INDEX([1]PCRs!B:B,MATCH(LEFT($A865,6)&amp;"*",[1]PCRs!A:A,0))="Negativo",
         "❌ Negativo",
         "⏳ No realizado")),
   "⏳ No realizado"
)</f>
        <v>❌ Negativo</v>
      </c>
      <c r="D865" s="255" t="str">
        <f>IFERROR(
   CHOOSE(
      MATCH(VLOOKUP(LEFT(A912,6)&amp;"*",'Identificación genética'!A:C,2,FALSE),
               {"En proceso";"Finalizado"},0),
      "🔬 En proceso",
      "🎯 Finalizado"
   ),
"❌ NA")</f>
        <v>🎯 Finalizado</v>
      </c>
      <c r="E865" t="s">
        <v>85</v>
      </c>
      <c r="F865" s="619">
        <v>45940</v>
      </c>
      <c r="G865" t="str">
        <f>_xlfn.XLOOKUP(A865, Extraídas!A:A, Extraídas!G:G, "")</f>
        <v>Cianobacterias</v>
      </c>
    </row>
    <row r="866" spans="1:7" ht="15" thickBot="1" x14ac:dyDescent="0.35">
      <c r="A866" s="649" t="s">
        <v>924</v>
      </c>
      <c r="B866" s="255" t="str">
        <f>IFERROR(
   IF(INDEX(Extraídas!B:B,MATCH(LEFT($A866,6)&amp;"*",Extraídas!A:A,0))="Extraídas",
      "✅ En proceso",
      IF(INDEX(Extraídas!B:B,MATCH(LEFT($A866,6)&amp;"*",Extraídas!A:A,0))="Recibidas",
         "⏳ Pendiente","❌ No ingresada")),
   "❌ No ingresada"
)</f>
        <v>⏳ Pendiente</v>
      </c>
      <c r="C866" s="255" t="str">
        <f t="array" ref="C866">IFERROR(
   IF(INDEX([1]PCRs!B:B,MATCH(LEFT($A866,6)&amp;"*",[1]PCRs!A:A,0))="Positivo",
      "✅ Positivo",
      IF(INDEX([1]PCRs!B:B,MATCH(LEFT($A866,6)&amp;"*",[1]PCRs!A:A,0))="Negativo",
         "❌ Negativo",
         "⏳ No realizado")),
   "⏳ No realizado"
)</f>
        <v>❌ Negativo</v>
      </c>
      <c r="D866" s="255" t="str">
        <f>IFERROR(
   CHOOSE(
      MATCH(VLOOKUP(LEFT(A913,6)&amp;"*",'Identificación genética'!A:C,2,FALSE),
               {"En proceso";"Finalizado"},0),
      "🔬 En proceso",
      "🎯 Finalizado"
   ),
"❌ NA")</f>
        <v>🎯 Finalizado</v>
      </c>
      <c r="E866" t="s">
        <v>85</v>
      </c>
      <c r="F866" s="593">
        <v>45733</v>
      </c>
      <c r="G866" t="str">
        <f>_xlfn.XLOOKUP(A866, Extraídas!A:A, Extraídas!G:G, "")</f>
        <v>Cianobacterias</v>
      </c>
    </row>
    <row r="867" spans="1:7" ht="15" thickBot="1" x14ac:dyDescent="0.35">
      <c r="A867" s="556" t="s">
        <v>1977</v>
      </c>
      <c r="B867" s="255" t="str">
        <f>IFERROR(
   IF(INDEX(Extraídas!B:B,MATCH(LEFT($A867,6)&amp;"*",Extraídas!A:A,0))="Extraídas",
      "✅ En proceso",
      IF(INDEX(Extraídas!B:B,MATCH(LEFT($A867,6)&amp;"*",Extraídas!A:A,0))="Recibidas",
         "⏳ Pendiente","❌ No ingresada")),
   "❌ No ingresada"
)</f>
        <v>⏳ Pendiente</v>
      </c>
      <c r="C867" s="255" t="str">
        <f t="array" ref="C867">IFERROR(
   IF(INDEX([1]PCRs!B:B,MATCH(LEFT($A867,6)&amp;"*",[1]PCRs!A:A,0))="Positivo",
      "✅ Positivo",
      IF(INDEX([1]PCRs!B:B,MATCH(LEFT($A867,6)&amp;"*",[1]PCRs!A:A,0))="Negativo",
         "❌ Negativo",
         "⏳ No realizado")),
   "⏳ No realizado"
)</f>
        <v>❌ Negativo</v>
      </c>
      <c r="D867" s="255" t="str">
        <f>IFERROR(
   CHOOSE(
      MATCH(VLOOKUP(LEFT(A914,6)&amp;"*",'Identificación genética'!A:C,2,FALSE),
               {"En proceso";"Finalizado"},0),
      "🔬 En proceso",
      "🎯 Finalizado"
   ),
"❌ NA")</f>
        <v>🎯 Finalizado</v>
      </c>
      <c r="E867" t="s">
        <v>85</v>
      </c>
      <c r="F867" s="577"/>
      <c r="G867" t="str">
        <f>_xlfn.XLOOKUP(A867, Extraídas!A:A, Extraídas!G:G, "")</f>
        <v/>
      </c>
    </row>
    <row r="868" spans="1:7" ht="15" thickBot="1" x14ac:dyDescent="0.35">
      <c r="A868" s="649" t="s">
        <v>925</v>
      </c>
      <c r="B868" s="255" t="str">
        <f>IFERROR(
   IF(INDEX(Extraídas!B:B,MATCH(LEFT($A868,6)&amp;"*",Extraídas!A:A,0))="Extraídas",
      "✅ En proceso",
      IF(INDEX(Extraídas!B:B,MATCH(LEFT($A868,6)&amp;"*",Extraídas!A:A,0))="Recibidas",
         "⏳ Pendiente","❌ No ingresada")),
   "❌ No ingresada"
)</f>
        <v>⏳ Pendiente</v>
      </c>
      <c r="C868" s="255" t="str">
        <f t="array" ref="C868">IFERROR(
   IF(INDEX([1]PCRs!B:B,MATCH(LEFT($A868,6)&amp;"*",[1]PCRs!A:A,0))="Positivo",
      "✅ Positivo",
      IF(INDEX([1]PCRs!B:B,MATCH(LEFT($A868,6)&amp;"*",[1]PCRs!A:A,0))="Negativo",
         "❌ Negativo",
         "⏳ No realizado")),
   "⏳ No realizado"
)</f>
        <v>❌ Negativo</v>
      </c>
      <c r="D868" s="255" t="str">
        <f>IFERROR(
   CHOOSE(
      MATCH(VLOOKUP(LEFT(A915,6)&amp;"*",'Identificación genética'!A:C,2,FALSE),
               {"En proceso";"Finalizado"},0),
      "🔬 En proceso",
      "🎯 Finalizado"
   ),
"❌ NA")</f>
        <v>🎯 Finalizado</v>
      </c>
      <c r="E868" t="s">
        <v>85</v>
      </c>
      <c r="F868" s="177">
        <v>45733</v>
      </c>
      <c r="G868" t="str">
        <f>_xlfn.XLOOKUP(A868, Extraídas!A:A, Extraídas!G:G, "")</f>
        <v>Cianobacterias</v>
      </c>
    </row>
    <row r="869" spans="1:7" ht="15" thickBot="1" x14ac:dyDescent="0.35">
      <c r="A869" s="648" t="s">
        <v>926</v>
      </c>
      <c r="B869" s="255" t="str">
        <f>IFERROR(
   IF(INDEX(Extraídas!B:B,MATCH(LEFT($A869,6)&amp;"*",Extraídas!A:A,0))="Extraídas",
      "✅ En proceso",
      IF(INDEX(Extraídas!B:B,MATCH(LEFT($A869,6)&amp;"*",Extraídas!A:A,0))="Recibidas",
         "⏳ Pendiente","❌ No ingresada")),
   "❌ No ingresada"
)</f>
        <v>⏳ Pendiente</v>
      </c>
      <c r="C869" s="255" t="str">
        <f t="array" ref="C869">IFERROR(
   IF(INDEX([1]PCRs!B:B,MATCH(LEFT($A869,6)&amp;"*",[1]PCRs!A:A,0))="Positivo",
      "✅ Positivo",
      IF(INDEX([1]PCRs!B:B,MATCH(LEFT($A869,6)&amp;"*",[1]PCRs!A:A,0))="Negativo",
         "❌ Negativo",
         "⏳ No realizado")),
   "⏳ No realizado"
)</f>
        <v>❌ Negativo</v>
      </c>
      <c r="D869" s="255" t="str">
        <f>IFERROR(
   CHOOSE(
      MATCH(VLOOKUP(LEFT(A916,6)&amp;"*",'Identificación genética'!A:C,2,FALSE),
               {"En proceso";"Finalizado"},0),
      "🔬 En proceso",
      "🎯 Finalizado"
   ),
"❌ NA")</f>
        <v>🎯 Finalizado</v>
      </c>
      <c r="E869" t="s">
        <v>85</v>
      </c>
      <c r="F869" s="206">
        <v>45733</v>
      </c>
      <c r="G869" t="str">
        <f>_xlfn.XLOOKUP(A869, Extraídas!A:A, Extraídas!G:G, "")</f>
        <v>Microalgas</v>
      </c>
    </row>
    <row r="870" spans="1:7" ht="15" thickBot="1" x14ac:dyDescent="0.35">
      <c r="A870" s="606" t="s">
        <v>1163</v>
      </c>
      <c r="B870" s="255" t="str">
        <f>IFERROR(
   IF(INDEX(Extraídas!B:B,MATCH(LEFT($A870,6)&amp;"*",Extraídas!A:A,0))="Extraídas",
      "✅ En proceso",
      IF(INDEX(Extraídas!B:B,MATCH(LEFT($A870,6)&amp;"*",Extraídas!A:A,0))="Recibidas",
         "⏳ Pendiente","❌ No ingresada")),
   "❌ No ingresada"
)</f>
        <v>⏳ Pendiente</v>
      </c>
      <c r="C870" s="255" t="str">
        <f t="array" ref="C870">IFERROR(
   IF(INDEX([1]PCRs!B:B,MATCH(LEFT($A870,6)&amp;"*",[1]PCRs!A:A,0))="Positivo",
      "✅ Positivo",
      IF(INDEX([1]PCRs!B:B,MATCH(LEFT($A870,6)&amp;"*",[1]PCRs!A:A,0))="Negativo",
         "❌ Negativo",
         "⏳ No realizado")),
   "⏳ No realizado"
)</f>
        <v>❌ Negativo</v>
      </c>
      <c r="D870" s="255" t="str">
        <f>IFERROR(
   CHOOSE(
      MATCH(VLOOKUP(LEFT(A917,6)&amp;"*",'Identificación genética'!A:C,2,FALSE),
               {"En proceso";"Finalizado"},0),
      "🔬 En proceso",
      "🎯 Finalizado"
   ),
"❌ NA")</f>
        <v>🎯 Finalizado</v>
      </c>
      <c r="E870" t="s">
        <v>85</v>
      </c>
      <c r="F870" s="585"/>
      <c r="G870" t="str">
        <f>_xlfn.XLOOKUP(A870, Extraídas!A:A, Extraídas!G:G, "")</f>
        <v/>
      </c>
    </row>
    <row r="871" spans="1:7" ht="15" thickBot="1" x14ac:dyDescent="0.35">
      <c r="A871" s="650" t="s">
        <v>927</v>
      </c>
      <c r="B871" s="255" t="str">
        <f>IFERROR(
   IF(INDEX(Extraídas!B:B,MATCH(LEFT($A871,6)&amp;"*",Extraídas!A:A,0))="Extraídas",
      "✅ En proceso",
      IF(INDEX(Extraídas!B:B,MATCH(LEFT($A871,6)&amp;"*",Extraídas!A:A,0))="Recibidas",
         "⏳ Pendiente","❌ No ingresada")),
   "❌ No ingresada"
)</f>
        <v>⏳ Pendiente</v>
      </c>
      <c r="C871" s="255" t="str">
        <f t="array" ref="C871">IFERROR(
   IF(INDEX([1]PCRs!B:B,MATCH(LEFT($A871,6)&amp;"*",[1]PCRs!A:A,0))="Positivo",
      "✅ Positivo",
      IF(INDEX([1]PCRs!B:B,MATCH(LEFT($A871,6)&amp;"*",[1]PCRs!A:A,0))="Negativo",
         "❌ Negativo",
         "⏳ No realizado")),
   "⏳ No realizado"
)</f>
        <v>❌ Negativo</v>
      </c>
      <c r="D871" s="255" t="str">
        <f>IFERROR(
   CHOOSE(
      MATCH(VLOOKUP(LEFT(A918,6)&amp;"*",'Identificación genética'!A:C,2,FALSE),
               {"En proceso";"Finalizado"},0),
      "🔬 En proceso",
      "🎯 Finalizado"
   ),
"❌ NA")</f>
        <v>🎯 Finalizado</v>
      </c>
      <c r="E871" t="s">
        <v>85</v>
      </c>
      <c r="F871" s="597">
        <v>45763</v>
      </c>
      <c r="G871" t="str">
        <f>_xlfn.XLOOKUP(A871, Extraídas!A:A, Extraídas!G:G, "")</f>
        <v>Cianobacterias</v>
      </c>
    </row>
    <row r="872" spans="1:7" ht="15" thickBot="1" x14ac:dyDescent="0.35">
      <c r="A872" s="651" t="s">
        <v>928</v>
      </c>
      <c r="B872" s="255" t="str">
        <f>IFERROR(
   IF(INDEX(Extraídas!B:B,MATCH(LEFT($A872,6)&amp;"*",Extraídas!A:A,0))="Extraídas",
      "✅ En proceso",
      IF(INDEX(Extraídas!B:B,MATCH(LEFT($A872,6)&amp;"*",Extraídas!A:A,0))="Recibidas",
         "⏳ Pendiente","❌ No ingresada")),
   "❌ No ingresada"
)</f>
        <v>⏳ Pendiente</v>
      </c>
      <c r="C872" s="255" t="str">
        <f t="array" ref="C872">IFERROR(
   IF(INDEX([1]PCRs!B:B,MATCH(LEFT($A872,6)&amp;"*",[1]PCRs!A:A,0))="Positivo",
      "✅ Positivo",
      IF(INDEX([1]PCRs!B:B,MATCH(LEFT($A872,6)&amp;"*",[1]PCRs!A:A,0))="Negativo",
         "❌ Negativo",
         "⏳ No realizado")),
   "⏳ No realizado"
)</f>
        <v>❌ Negativo</v>
      </c>
      <c r="D872" s="255" t="str">
        <f>IFERROR(
   CHOOSE(
      MATCH(VLOOKUP(LEFT(A919,6)&amp;"*",'Identificación genética'!A:C,2,FALSE),
               {"En proceso";"Finalizado"},0),
      "🔬 En proceso",
      "🎯 Finalizado"
   ),
"❌ NA")</f>
        <v>🎯 Finalizado</v>
      </c>
      <c r="E872" t="s">
        <v>85</v>
      </c>
      <c r="F872" s="600">
        <v>45763</v>
      </c>
      <c r="G872" t="str">
        <f>_xlfn.XLOOKUP(A872, Extraídas!A:A, Extraídas!G:G, "")</f>
        <v>Cianobacterias</v>
      </c>
    </row>
    <row r="873" spans="1:7" ht="15" thickBot="1" x14ac:dyDescent="0.35">
      <c r="A873" s="650" t="s">
        <v>929</v>
      </c>
      <c r="B873" s="255" t="str">
        <f>IFERROR(
   IF(INDEX(Extraídas!B:B,MATCH(LEFT($A873,6)&amp;"*",Extraídas!A:A,0))="Extraídas",
      "✅ En proceso",
      IF(INDEX(Extraídas!B:B,MATCH(LEFT($A873,6)&amp;"*",Extraídas!A:A,0))="Recibidas",
         "⏳ Pendiente","❌ No ingresada")),
   "❌ No ingresada"
)</f>
        <v>⏳ Pendiente</v>
      </c>
      <c r="C873" s="255" t="str">
        <f t="array" ref="C873">IFERROR(
   IF(INDEX([1]PCRs!B:B,MATCH(LEFT($A873,6)&amp;"*",[1]PCRs!A:A,0))="Positivo",
      "✅ Positivo",
      IF(INDEX([1]PCRs!B:B,MATCH(LEFT($A873,6)&amp;"*",[1]PCRs!A:A,0))="Negativo",
         "❌ Negativo",
         "⏳ No realizado")),
   "⏳ No realizado"
)</f>
        <v>❌ Negativo</v>
      </c>
      <c r="D873" s="255" t="str">
        <f>IFERROR(
   CHOOSE(
      MATCH(VLOOKUP(LEFT(A920,6)&amp;"*",'Identificación genética'!A:C,2,FALSE),
               {"En proceso";"Finalizado"},0),
      "🔬 En proceso",
      "🎯 Finalizado"
   ),
"❌ NA")</f>
        <v>🎯 Finalizado</v>
      </c>
      <c r="E873" t="s">
        <v>85</v>
      </c>
      <c r="F873" s="597">
        <v>45763</v>
      </c>
      <c r="G873" t="str">
        <f>_xlfn.XLOOKUP(A873, Extraídas!A:A, Extraídas!G:G, "")</f>
        <v>Cianobacterias</v>
      </c>
    </row>
    <row r="874" spans="1:7" ht="15" thickBot="1" x14ac:dyDescent="0.35">
      <c r="A874" s="651" t="s">
        <v>930</v>
      </c>
      <c r="B874" s="255" t="str">
        <f>IFERROR(
   IF(INDEX(Extraídas!B:B,MATCH(LEFT($A874,6)&amp;"*",Extraídas!A:A,0))="Extraídas",
      "✅ En proceso",
      IF(INDEX(Extraídas!B:B,MATCH(LEFT($A874,6)&amp;"*",Extraídas!A:A,0))="Recibidas",
         "⏳ Pendiente","❌ No ingresada")),
   "❌ No ingresada"
)</f>
        <v>⏳ Pendiente</v>
      </c>
      <c r="C874" s="255" t="str">
        <f t="array" ref="C874">IFERROR(
   IF(INDEX([1]PCRs!B:B,MATCH(LEFT($A874,6)&amp;"*",[1]PCRs!A:A,0))="Positivo",
      "✅ Positivo",
      IF(INDEX([1]PCRs!B:B,MATCH(LEFT($A874,6)&amp;"*",[1]PCRs!A:A,0))="Negativo",
         "❌ Negativo",
         "⏳ No realizado")),
   "⏳ No realizado"
)</f>
        <v>❌ Negativo</v>
      </c>
      <c r="D874" s="255" t="str">
        <f>IFERROR(
   CHOOSE(
      MATCH(VLOOKUP(LEFT(A921,6)&amp;"*",'Identificación genética'!A:C,2,FALSE),
               {"En proceso";"Finalizado"},0),
      "🔬 En proceso",
      "🎯 Finalizado"
   ),
"❌ NA")</f>
        <v>🎯 Finalizado</v>
      </c>
      <c r="E874" t="s">
        <v>85</v>
      </c>
      <c r="F874" s="600">
        <v>45817</v>
      </c>
      <c r="G874" t="str">
        <f>_xlfn.XLOOKUP(A874, Extraídas!A:A, Extraídas!G:G, "")</f>
        <v>Cianobacterias</v>
      </c>
    </row>
    <row r="875" spans="1:7" ht="15" thickBot="1" x14ac:dyDescent="0.35">
      <c r="A875" s="650" t="s">
        <v>931</v>
      </c>
      <c r="B875" s="255" t="str">
        <f>IFERROR(
   IF(INDEX(Extraídas!B:B,MATCH(LEFT($A875,6)&amp;"*",Extraídas!A:A,0))="Extraídas",
      "✅ En proceso",
      IF(INDEX(Extraídas!B:B,MATCH(LEFT($A875,6)&amp;"*",Extraídas!A:A,0))="Recibidas",
         "⏳ Pendiente","❌ No ingresada")),
   "❌ No ingresada"
)</f>
        <v>⏳ Pendiente</v>
      </c>
      <c r="C875" s="255" t="str">
        <f t="array" ref="C875">IFERROR(
   IF(INDEX([1]PCRs!B:B,MATCH(LEFT($A875,6)&amp;"*",[1]PCRs!A:A,0))="Positivo",
      "✅ Positivo",
      IF(INDEX([1]PCRs!B:B,MATCH(LEFT($A875,6)&amp;"*",[1]PCRs!A:A,0))="Negativo",
         "❌ Negativo",
         "⏳ No realizado")),
   "⏳ No realizado"
)</f>
        <v>❌ Negativo</v>
      </c>
      <c r="D875" s="255" t="str">
        <f>IFERROR(
   CHOOSE(
      MATCH(VLOOKUP(LEFT(A922,6)&amp;"*",'Identificación genética'!A:C,2,FALSE),
               {"En proceso";"Finalizado"},0),
      "🔬 En proceso",
      "🎯 Finalizado"
   ),
"❌ NA")</f>
        <v>🎯 Finalizado</v>
      </c>
      <c r="E875" t="s">
        <v>85</v>
      </c>
      <c r="F875" s="597">
        <v>45817</v>
      </c>
      <c r="G875" t="str">
        <f>_xlfn.XLOOKUP(A875, Extraídas!A:A, Extraídas!G:G, "")</f>
        <v>Cianobacterias</v>
      </c>
    </row>
    <row r="876" spans="1:7" ht="15" thickBot="1" x14ac:dyDescent="0.35">
      <c r="A876" s="651" t="s">
        <v>932</v>
      </c>
      <c r="B876" s="255" t="str">
        <f>IFERROR(
   IF(INDEX(Extraídas!B:B,MATCH(LEFT($A876,6)&amp;"*",Extraídas!A:A,0))="Extraídas",
      "✅ En proceso",
      IF(INDEX(Extraídas!B:B,MATCH(LEFT($A876,6)&amp;"*",Extraídas!A:A,0))="Recibidas",
         "⏳ Pendiente","❌ No ingresada")),
   "❌ No ingresada"
)</f>
        <v>⏳ Pendiente</v>
      </c>
      <c r="C876" s="255" t="str">
        <f t="array" ref="C876">IFERROR(
   IF(INDEX([1]PCRs!B:B,MATCH(LEFT($A876,6)&amp;"*",[1]PCRs!A:A,0))="Positivo",
      "✅ Positivo",
      IF(INDEX([1]PCRs!B:B,MATCH(LEFT($A876,6)&amp;"*",[1]PCRs!A:A,0))="Negativo",
         "❌ Negativo",
         "⏳ No realizado")),
   "⏳ No realizado"
)</f>
        <v>❌ Negativo</v>
      </c>
      <c r="D876" s="255" t="str">
        <f>IFERROR(
   CHOOSE(
      MATCH(VLOOKUP(LEFT(A923,6)&amp;"*",'Identificación genética'!A:C,2,FALSE),
               {"En proceso";"Finalizado"},0),
      "🔬 En proceso",
      "🎯 Finalizado"
   ),
"❌ NA")</f>
        <v>🎯 Finalizado</v>
      </c>
      <c r="E876" t="s">
        <v>85</v>
      </c>
      <c r="F876" s="600">
        <v>45817</v>
      </c>
      <c r="G876" t="str">
        <f>_xlfn.XLOOKUP(A876, Extraídas!A:A, Extraídas!G:G, "")</f>
        <v>Cianobacterias</v>
      </c>
    </row>
    <row r="877" spans="1:7" ht="15" thickBot="1" x14ac:dyDescent="0.35">
      <c r="A877" s="650" t="s">
        <v>933</v>
      </c>
      <c r="B877" s="255" t="str">
        <f>IFERROR(
   IF(INDEX(Extraídas!B:B,MATCH(LEFT($A877,6)&amp;"*",Extraídas!A:A,0))="Extraídas",
      "✅ En proceso",
      IF(INDEX(Extraídas!B:B,MATCH(LEFT($A877,6)&amp;"*",Extraídas!A:A,0))="Recibidas",
         "⏳ Pendiente","❌ No ingresada")),
   "❌ No ingresada"
)</f>
        <v>⏳ Pendiente</v>
      </c>
      <c r="C877" s="255" t="str">
        <f t="array" ref="C877">IFERROR(
   IF(INDEX([1]PCRs!B:B,MATCH(LEFT($A877,6)&amp;"*",[1]PCRs!A:A,0))="Positivo",
      "✅ Positivo",
      IF(INDEX([1]PCRs!B:B,MATCH(LEFT($A877,6)&amp;"*",[1]PCRs!A:A,0))="Negativo",
         "❌ Negativo",
         "⏳ No realizado")),
   "⏳ No realizado"
)</f>
        <v>❌ Negativo</v>
      </c>
      <c r="D877" s="255" t="str">
        <f>IFERROR(
   CHOOSE(
      MATCH(VLOOKUP(LEFT(A924,6)&amp;"*",'Identificación genética'!A:C,2,FALSE),
               {"En proceso";"Finalizado"},0),
      "🔬 En proceso",
      "🎯 Finalizado"
   ),
"❌ NA")</f>
        <v>🎯 Finalizado</v>
      </c>
      <c r="E877" t="s">
        <v>85</v>
      </c>
      <c r="F877" s="597">
        <v>45817</v>
      </c>
      <c r="G877" t="str">
        <f>_xlfn.XLOOKUP(A877, Extraídas!A:A, Extraídas!G:G, "")</f>
        <v>Cianobacterias</v>
      </c>
    </row>
    <row r="878" spans="1:7" ht="15" thickBot="1" x14ac:dyDescent="0.35">
      <c r="A878" s="646" t="s">
        <v>934</v>
      </c>
      <c r="B878" s="255" t="str">
        <f t="array" ref="B878">IFERROR(
   IF(INDEX([1]Extraídas!B:B,MATCH(LEFT($A878,6)&amp;"*",[1]Extraídas!A:A,0))="Extraídas",
      "✅ En proceso",
      IF(INDEX([1]Extraídas!B:B,MATCH(LEFT($A878,6)&amp;"*",[1]Extraídas!A:A,0))="Recibidas",
         "⏳ Pendiente","❌ No ingresada")),
   "❌ No ingresada"
)</f>
        <v>⏳ Pendiente</v>
      </c>
      <c r="C878" s="255" t="str">
        <f t="array" ref="C878">IFERROR(
   IF(INDEX([1]PCRs!B:B,MATCH(LEFT($A878,6)&amp;"*",[1]PCRs!A:A,0))="Positivo",
      "✅ Positivo",
      IF(INDEX([1]PCRs!B:B,MATCH(LEFT($A878,6)&amp;"*",[1]PCRs!A:A,0))="Negativo",
         "❌ Negativo",
         "⏳ No realizado")),
   "⏳ No realizado"
)</f>
        <v>⏳ No realizado</v>
      </c>
      <c r="D878" s="255" t="str">
        <f>IFERROR(
   CHOOSE(
      MATCH(VLOOKUP(LEFT(A925,6)&amp;"*",'Identificación genética'!A:C,2,FALSE),
               {"En proceso";"Finalizado"},0),
      "🔬 En proceso",
      "🎯 Finalizado"
   ),
"❌ NA")</f>
        <v>🎯 Finalizado</v>
      </c>
      <c r="E878" t="s">
        <v>85</v>
      </c>
      <c r="F878" s="180">
        <v>45938</v>
      </c>
      <c r="G878" t="str">
        <f>_xlfn.XLOOKUP(A878, Extraídas!A:A, Extraídas!G:G, "")</f>
        <v>Cianobacterias</v>
      </c>
    </row>
    <row r="879" spans="1:7" ht="15" thickBot="1" x14ac:dyDescent="0.35">
      <c r="A879" s="647" t="s">
        <v>935</v>
      </c>
      <c r="B879" s="255" t="str">
        <f t="array" ref="B879">IFERROR(
   IF(INDEX([1]Extraídas!B:B,MATCH(LEFT($A879,6)&amp;"*",[1]Extraídas!A:A,0))="Extraídas",
      "✅ En proceso",
      IF(INDEX([1]Extraídas!B:B,MATCH(LEFT($A879,6)&amp;"*",[1]Extraídas!A:A,0))="Recibidas",
         "⏳ Pendiente","❌ No ingresada")),
   "❌ No ingresada"
)</f>
        <v>⏳ Pendiente</v>
      </c>
      <c r="C879" s="255" t="str">
        <f t="array" ref="C879">IFERROR(
   IF(INDEX([1]PCRs!B:B,MATCH(LEFT($A879,6)&amp;"*",[1]PCRs!A:A,0))="Positivo",
      "✅ Positivo",
      IF(INDEX([1]PCRs!B:B,MATCH(LEFT($A879,6)&amp;"*",[1]PCRs!A:A,0))="Negativo",
         "❌ Negativo",
         "⏳ No realizado")),
   "⏳ No realizado"
)</f>
        <v>⏳ No realizado</v>
      </c>
      <c r="D879" s="255" t="str">
        <f>IFERROR(
   CHOOSE(
      MATCH(VLOOKUP(LEFT(A926,6)&amp;"*",'Identificación genética'!A:C,2,FALSE),
               {"En proceso";"Finalizado"},0),
      "🔬 En proceso",
      "🎯 Finalizado"
   ),
"❌ NA")</f>
        <v>🎯 Finalizado</v>
      </c>
      <c r="E879" t="s">
        <v>85</v>
      </c>
      <c r="F879" s="176">
        <v>45938</v>
      </c>
      <c r="G879" t="str">
        <f>_xlfn.XLOOKUP(A879, Extraídas!A:A, Extraídas!G:G, "")</f>
        <v>Cianobacterias</v>
      </c>
    </row>
    <row r="880" spans="1:7" ht="15" thickBot="1" x14ac:dyDescent="0.35">
      <c r="A880" s="646" t="s">
        <v>936</v>
      </c>
      <c r="B880" s="255" t="str">
        <f t="array" ref="B880">IFERROR(
   IF(INDEX([1]Extraídas!B:B,MATCH(LEFT($A880,6)&amp;"*",[1]Extraídas!A:A,0))="Extraídas",
      "✅ En proceso",
      IF(INDEX([1]Extraídas!B:B,MATCH(LEFT($A880,6)&amp;"*",[1]Extraídas!A:A,0))="Recibidas",
         "⏳ Pendiente","❌ No ingresada")),
   "❌ No ingresada"
)</f>
        <v>⏳ Pendiente</v>
      </c>
      <c r="C880" s="255" t="str">
        <f t="array" ref="C880">IFERROR(
   IF(INDEX([1]PCRs!B:B,MATCH(LEFT($A880,6)&amp;"*",[1]PCRs!A:A,0))="Positivo",
      "✅ Positivo",
      IF(INDEX([1]PCRs!B:B,MATCH(LEFT($A880,6)&amp;"*",[1]PCRs!A:A,0))="Negativo",
         "❌ Negativo",
         "⏳ No realizado")),
   "⏳ No realizado"
)</f>
        <v>⏳ No realizado</v>
      </c>
      <c r="D880" s="255" t="str">
        <f>IFERROR(
   CHOOSE(
      MATCH(VLOOKUP(LEFT(A927,6)&amp;"*",'Identificación genética'!A:C,2,FALSE),
               {"En proceso";"Finalizado"},0),
      "🔬 En proceso",
      "🎯 Finalizado"
   ),
"❌ NA")</f>
        <v>🎯 Finalizado</v>
      </c>
      <c r="E880" t="s">
        <v>85</v>
      </c>
      <c r="F880" s="180">
        <v>45938</v>
      </c>
      <c r="G880" t="str">
        <f>_xlfn.XLOOKUP(A880, Extraídas!A:A, Extraídas!G:G, "")</f>
        <v>Cianobacterias</v>
      </c>
    </row>
    <row r="881" spans="1:7" ht="15" thickBot="1" x14ac:dyDescent="0.35">
      <c r="A881" s="556" t="s">
        <v>1164</v>
      </c>
      <c r="B881" s="255" t="str">
        <f>IFERROR(
   IF(INDEX(Extraídas!B:B,MATCH(LEFT($A881,6)&amp;"*",Extraídas!A:A,0))="Extraídas",
      "✅ En proceso",
      IF(INDEX(Extraídas!B:B,MATCH(LEFT($A881,6)&amp;"*",Extraídas!A:A,0))="Recibidas",
         "⏳ Pendiente","❌ No ingresada")),
   "❌ No ingresada"
)</f>
        <v>✅ En proceso</v>
      </c>
      <c r="C881" s="255" t="str">
        <f t="array" ref="C881">IFERROR(
   IF(INDEX([1]PCRs!B:B,MATCH(LEFT($A881,6)&amp;"*",[1]PCRs!A:A,0))="Positivo",
      "✅ Positivo",
      IF(INDEX([1]PCRs!B:B,MATCH(LEFT($A881,6)&amp;"*",[1]PCRs!A:A,0))="Negativo",
         "❌ Negativo",
         "⏳ No realizado")),
   "⏳ No realizado"
)</f>
        <v>❌ Negativo</v>
      </c>
      <c r="D881" s="255" t="str">
        <f>IFERROR(
   CHOOSE(
      MATCH(VLOOKUP(LEFT(A928,6)&amp;"*",'Identificación genética'!A:C,2,FALSE),
               {"En proceso";"Finalizado"},0),
      "🔬 En proceso",
      "🎯 Finalizado"
   ),
"❌ NA")</f>
        <v>🎯 Finalizado</v>
      </c>
      <c r="E881" t="s">
        <v>85</v>
      </c>
      <c r="F881" s="576"/>
      <c r="G881" t="str">
        <f>_xlfn.XLOOKUP(A881, Extraídas!A:A, Extraídas!G:G, "")</f>
        <v/>
      </c>
    </row>
    <row r="882" spans="1:7" ht="15" thickBot="1" x14ac:dyDescent="0.35">
      <c r="A882" s="606" t="s">
        <v>1165</v>
      </c>
      <c r="B882" s="255" t="str">
        <f>IFERROR(
   IF(INDEX(Extraídas!B:B,MATCH(LEFT($A882,6)&amp;"*",Extraídas!A:A,0))="Extraídas",
      "✅ En proceso",
      IF(INDEX(Extraídas!B:B,MATCH(LEFT($A882,6)&amp;"*",Extraídas!A:A,0))="Recibidas",
         "⏳ Pendiente","❌ No ingresada")),
   "❌ No ingresada"
)</f>
        <v>✅ En proceso</v>
      </c>
      <c r="C882" s="255" t="str">
        <f t="array" ref="C882">IFERROR(
   IF(INDEX([1]PCRs!B:B,MATCH(LEFT($A882,6)&amp;"*",[1]PCRs!A:A,0))="Positivo",
      "✅ Positivo",
      IF(INDEX([1]PCRs!B:B,MATCH(LEFT($A882,6)&amp;"*",[1]PCRs!A:A,0))="Negativo",
         "❌ Negativo",
         "⏳ No realizado")),
   "⏳ No realizado"
)</f>
        <v>❌ Negativo</v>
      </c>
      <c r="D882" s="255" t="str">
        <f>IFERROR(
   CHOOSE(
      MATCH(VLOOKUP(LEFT(A929,6)&amp;"*",'Identificación genética'!A:C,2,FALSE),
               {"En proceso";"Finalizado"},0),
      "🔬 En proceso",
      "🎯 Finalizado"
   ),
"❌ NA")</f>
        <v>🎯 Finalizado</v>
      </c>
      <c r="E882" t="s">
        <v>85</v>
      </c>
      <c r="F882" s="576"/>
      <c r="G882" t="str">
        <f>_xlfn.XLOOKUP(A882, Extraídas!A:A, Extraídas!G:G, "")</f>
        <v/>
      </c>
    </row>
    <row r="883" spans="1:7" ht="15" thickBot="1" x14ac:dyDescent="0.35">
      <c r="A883" s="613" t="s">
        <v>2277</v>
      </c>
      <c r="B883" s="255" t="str">
        <f>IFERROR(
   IF(INDEX(Extraídas!B:B,MATCH(LEFT($A883,6)&amp;"*",Extraídas!A:A,0))="Extraídas",
      "✅ En proceso",
      IF(INDEX(Extraídas!B:B,MATCH(LEFT($A883,6)&amp;"*",Extraídas!A:A,0))="Recibidas",
         "⏳ Pendiente","❌ No ingresada")),
   "❌ No ingresada"
)</f>
        <v>✅ En proceso</v>
      </c>
      <c r="C883" s="255" t="str">
        <f t="array" ref="C883">IFERROR(
   IF(INDEX([1]PCRs!B:B,MATCH(LEFT($A883,6)&amp;"*",[1]PCRs!A:A,0))="Positivo",
      "✅ Positivo",
      IF(INDEX([1]PCRs!B:B,MATCH(LEFT($A883,6)&amp;"*",[1]PCRs!A:A,0))="Negativo",
         "❌ Negativo",
         "⏳ No realizado")),
   "⏳ No realizado"
)</f>
        <v>❌ Negativo</v>
      </c>
      <c r="D883" s="255" t="str">
        <f>IFERROR(
   CHOOSE(
      MATCH(VLOOKUP(LEFT(A930,6)&amp;"*",'Identificación genética'!A:C,2,FALSE),
               {"En proceso";"Finalizado"},0),
      "🔬 En proceso",
      "🎯 Finalizado"
   ),
"❌ NA")</f>
        <v>🎯 Finalizado</v>
      </c>
      <c r="E883" t="s">
        <v>85</v>
      </c>
      <c r="F883" s="576"/>
      <c r="G883" t="str">
        <f>_xlfn.XLOOKUP(A883, Extraídas!A:A, Extraídas!G:G, "")</f>
        <v/>
      </c>
    </row>
    <row r="884" spans="1:7" ht="15" thickBot="1" x14ac:dyDescent="0.35">
      <c r="A884" s="646" t="s">
        <v>937</v>
      </c>
      <c r="B884" s="255" t="str">
        <f>IFERROR(
   IF(INDEX(Extraídas!B:B,MATCH(LEFT($A884,6)&amp;"*",Extraídas!A:A,0))="Extraídas",
      "✅ En proceso",
      IF(INDEX(Extraídas!B:B,MATCH(LEFT($A884,6)&amp;"*",Extraídas!A:A,0))="Recibidas",
         "⏳ Pendiente","❌ No ingresada")),
   "❌ No ingresada"
)</f>
        <v>✅ En proceso</v>
      </c>
      <c r="C884" s="255" t="str">
        <f t="array" ref="C884">IFERROR(
   IF(INDEX([1]PCRs!B:B,MATCH(LEFT($A884,6)&amp;"*",[1]PCRs!A:A,0))="Positivo",
      "✅ Positivo",
      IF(INDEX([1]PCRs!B:B,MATCH(LEFT($A884,6)&amp;"*",[1]PCRs!A:A,0))="Negativo",
         "❌ Negativo",
         "⏳ No realizado")),
   "⏳ No realizado"
)</f>
        <v>❌ Negativo</v>
      </c>
      <c r="D884" s="255" t="str">
        <f>IFERROR(
   CHOOSE(
      MATCH(VLOOKUP(LEFT(A931,6)&amp;"*",'Identificación genética'!A:C,2,FALSE),
               {"En proceso";"Finalizado"},0),
      "🔬 En proceso",
      "🎯 Finalizado"
   ),
"❌ NA")</f>
        <v>❌ NA</v>
      </c>
      <c r="E884" t="s">
        <v>85</v>
      </c>
      <c r="F884" s="224">
        <v>45933</v>
      </c>
      <c r="G884" t="str">
        <f>_xlfn.XLOOKUP(A884, Extraídas!A:A, Extraídas!G:G, "")</f>
        <v>Microalgas</v>
      </c>
    </row>
    <row r="885" spans="1:7" ht="15" thickBot="1" x14ac:dyDescent="0.35">
      <c r="A885" s="647" t="s">
        <v>938</v>
      </c>
      <c r="B885" s="255" t="str">
        <f>IFERROR(
   IF(INDEX(Extraídas!B:B,MATCH(LEFT($A885,6)&amp;"*",Extraídas!A:A,0))="Extraídas",
      "✅ En proceso",
      IF(INDEX(Extraídas!B:B,MATCH(LEFT($A885,6)&amp;"*",Extraídas!A:A,0))="Recibidas",
         "⏳ Pendiente","❌ No ingresada")),
   "❌ No ingresada"
)</f>
        <v>✅ En proceso</v>
      </c>
      <c r="C885" s="255" t="str">
        <f t="array" ref="C885">IFERROR(
   IF(INDEX([1]PCRs!B:B,MATCH(LEFT($A885,6)&amp;"*",[1]PCRs!A:A,0))="Positivo",
      "✅ Positivo",
      IF(INDEX([1]PCRs!B:B,MATCH(LEFT($A885,6)&amp;"*",[1]PCRs!A:A,0))="Negativo",
         "❌ Negativo",
         "⏳ No realizado")),
   "⏳ No realizado"
)</f>
        <v>❌ Negativo</v>
      </c>
      <c r="D885" s="255" t="str">
        <f>IFERROR(
   CHOOSE(
      MATCH(VLOOKUP(LEFT(A932,6)&amp;"*",'Identificación genética'!A:C,2,FALSE),
               {"En proceso";"Finalizado"},0),
      "🔬 En proceso",
      "🎯 Finalizado"
   ),
"❌ NA")</f>
        <v>❌ NA</v>
      </c>
      <c r="E885" t="s">
        <v>85</v>
      </c>
      <c r="F885" s="192">
        <v>45933</v>
      </c>
      <c r="G885" t="str">
        <f>_xlfn.XLOOKUP(A885, Extraídas!A:A, Extraídas!G:G, "")</f>
        <v>Microalgas</v>
      </c>
    </row>
    <row r="886" spans="1:7" ht="15" thickBot="1" x14ac:dyDescent="0.35">
      <c r="A886" s="609" t="s">
        <v>2245</v>
      </c>
      <c r="B886" s="255" t="str">
        <f>IFERROR(
   IF(INDEX(Extraídas!B:B,MATCH(LEFT($A886,6)&amp;"*",Extraídas!A:A,0))="Extraídas",
      "✅ En proceso",
      IF(INDEX(Extraídas!B:B,MATCH(LEFT($A886,6)&amp;"*",Extraídas!A:A,0))="Recibidas",
         "⏳ Pendiente","❌ No ingresada")),
   "❌ No ingresada"
)</f>
        <v>⏳ Pendiente</v>
      </c>
      <c r="C886" s="255" t="str">
        <f t="array" ref="C886">IFERROR(
   IF(INDEX([1]PCRs!B:B,MATCH(LEFT($A886,6)&amp;"*",[1]PCRs!A:A,0))="Positivo",
      "✅ Positivo",
      IF(INDEX([1]PCRs!B:B,MATCH(LEFT($A886,6)&amp;"*",[1]PCRs!A:A,0))="Negativo",
         "❌ Negativo",
         "⏳ No realizado")),
   "⏳ No realizado"
)</f>
        <v>✅ Positivo</v>
      </c>
      <c r="D886" s="255" t="str">
        <f>IFERROR(
   CHOOSE(
      MATCH(VLOOKUP(LEFT(A933,6)&amp;"*",'Identificación genética'!A:C,2,FALSE),
               {"En proceso";"Finalizado"},0),
      "🔬 En proceso",
      "🎯 Finalizado"
   ),
"❌ NA")</f>
        <v>❌ NA</v>
      </c>
      <c r="E886" t="s">
        <v>85</v>
      </c>
      <c r="F886" s="585"/>
      <c r="G886" t="str">
        <f>_xlfn.XLOOKUP(A886, Extraídas!A:A, Extraídas!G:G, "")</f>
        <v/>
      </c>
    </row>
    <row r="887" spans="1:7" ht="15" thickBot="1" x14ac:dyDescent="0.35">
      <c r="A887" s="647" t="s">
        <v>939</v>
      </c>
      <c r="B887" s="255" t="str">
        <f>IFERROR(
   IF(INDEX(Extraídas!B:B,MATCH(LEFT($A887,6)&amp;"*",Extraídas!A:A,0))="Extraídas",
      "✅ En proceso",
      IF(INDEX(Extraídas!B:B,MATCH(LEFT($A887,6)&amp;"*",Extraídas!A:A,0))="Recibidas",
         "⏳ Pendiente","❌ No ingresada")),
   "❌ No ingresada"
)</f>
        <v>⏳ Pendiente</v>
      </c>
      <c r="C887" s="255" t="str">
        <f t="array" ref="C887">IFERROR(
   IF(INDEX([1]PCRs!B:B,MATCH(LEFT($A887,6)&amp;"*",[1]PCRs!A:A,0))="Positivo",
      "✅ Positivo",
      IF(INDEX([1]PCRs!B:B,MATCH(LEFT($A887,6)&amp;"*",[1]PCRs!A:A,0))="Negativo",
         "❌ Negativo",
         "⏳ No realizado")),
   "⏳ No realizado"
)</f>
        <v>✅ Positivo</v>
      </c>
      <c r="D887" s="255" t="str">
        <f>IFERROR(
   CHOOSE(
      MATCH(VLOOKUP(LEFT(A934,6)&amp;"*",'Identificación genética'!A:C,2,FALSE),
               {"En proceso";"Finalizado"},0),
      "🔬 En proceso",
      "🎯 Finalizado"
   ),
"❌ NA")</f>
        <v>❌ NA</v>
      </c>
      <c r="E887" t="s">
        <v>85</v>
      </c>
      <c r="F887" s="619">
        <v>45924</v>
      </c>
      <c r="G887" t="str">
        <f>_xlfn.XLOOKUP(A887, Extraídas!A:A, Extraídas!G:G, "")</f>
        <v>Cianobacterias</v>
      </c>
    </row>
    <row r="888" spans="1:7" ht="15" thickBot="1" x14ac:dyDescent="0.35">
      <c r="A888" s="609" t="s">
        <v>2246</v>
      </c>
      <c r="B888" s="255" t="str">
        <f>IFERROR(
   IF(INDEX(Extraídas!B:B,MATCH(LEFT($A888,6)&amp;"*",Extraídas!A:A,0))="Extraídas",
      "✅ En proceso",
      IF(INDEX(Extraídas!B:B,MATCH(LEFT($A888,6)&amp;"*",Extraídas!A:A,0))="Recibidas",
         "⏳ Pendiente","❌ No ingresada")),
   "❌ No ingresada"
)</f>
        <v>⏳ Pendiente</v>
      </c>
      <c r="C888" s="255" t="str">
        <f t="array" ref="C888">IFERROR(
   IF(INDEX([1]PCRs!B:B,MATCH(LEFT($A888,6)&amp;"*",[1]PCRs!A:A,0))="Positivo",
      "✅ Positivo",
      IF(INDEX([1]PCRs!B:B,MATCH(LEFT($A888,6)&amp;"*",[1]PCRs!A:A,0))="Negativo",
         "❌ Negativo",
         "⏳ No realizado")),
   "⏳ No realizado"
)</f>
        <v>✅ Positivo</v>
      </c>
      <c r="D888" s="255" t="str">
        <f>IFERROR(
   CHOOSE(
      MATCH(VLOOKUP(LEFT(A935,6)&amp;"*",'Identificación genética'!A:C,2,FALSE),
               {"En proceso";"Finalizado"},0),
      "🔬 En proceso",
      "🎯 Finalizado"
   ),
"❌ NA")</f>
        <v>❌ NA</v>
      </c>
      <c r="E888" t="s">
        <v>85</v>
      </c>
      <c r="F888" s="576"/>
      <c r="G888" t="str">
        <f>_xlfn.XLOOKUP(A888, Extraídas!A:A, Extraídas!G:G, "")</f>
        <v/>
      </c>
    </row>
    <row r="889" spans="1:7" ht="15" thickBot="1" x14ac:dyDescent="0.35">
      <c r="A889" s="647" t="s">
        <v>940</v>
      </c>
      <c r="B889" s="255" t="str">
        <f>IFERROR(
   IF(INDEX(Extraídas!B:B,MATCH(LEFT($A889,6)&amp;"*",Extraídas!A:A,0))="Extraídas",
      "✅ En proceso",
      IF(INDEX(Extraídas!B:B,MATCH(LEFT($A889,6)&amp;"*",Extraídas!A:A,0))="Recibidas",
         "⏳ Pendiente","❌ No ingresada")),
   "❌ No ingresada"
)</f>
        <v>⏳ Pendiente</v>
      </c>
      <c r="C889" s="255" t="str">
        <f t="array" ref="C889">IFERROR(
   IF(INDEX([1]PCRs!B:B,MATCH(LEFT($A889,6)&amp;"*",[1]PCRs!A:A,0))="Positivo",
      "✅ Positivo",
      IF(INDEX([1]PCRs!B:B,MATCH(LEFT($A889,6)&amp;"*",[1]PCRs!A:A,0))="Negativo",
         "❌ Negativo",
         "⏳ No realizado")),
   "⏳ No realizado"
)</f>
        <v>✅ Positivo</v>
      </c>
      <c r="D889" s="255" t="str">
        <f>IFERROR(
   CHOOSE(
      MATCH(VLOOKUP(LEFT(A936,6)&amp;"*",'Identificación genética'!A:C,2,FALSE),
               {"En proceso";"Finalizado"},0),
      "🔬 En proceso",
      "🎯 Finalizado"
   ),
"❌ NA")</f>
        <v>🎯 Finalizado</v>
      </c>
      <c r="E889" t="s">
        <v>85</v>
      </c>
      <c r="F889" s="176">
        <v>45924</v>
      </c>
      <c r="G889" t="str">
        <f>_xlfn.XLOOKUP(A889, Extraídas!A:A, Extraídas!G:G, "")</f>
        <v>Cianobacterias</v>
      </c>
    </row>
    <row r="890" spans="1:7" ht="15" thickBot="1" x14ac:dyDescent="0.35">
      <c r="A890" s="609" t="s">
        <v>2164</v>
      </c>
      <c r="B890" s="255" t="str">
        <f>IFERROR(
   IF(INDEX(Extraídas!B:B,MATCH(LEFT($A890,6)&amp;"*",Extraídas!A:A,0))="Extraídas",
      "✅ En proceso",
      IF(INDEX(Extraídas!B:B,MATCH(LEFT($A890,6)&amp;"*",Extraídas!A:A,0))="Recibidas",
         "⏳ Pendiente","❌ No ingresada")),
   "❌ No ingresada"
)</f>
        <v>⏳ Pendiente</v>
      </c>
      <c r="C890" s="255" t="str">
        <f t="array" ref="C890">IFERROR(
   IF(INDEX([1]PCRs!B:B,MATCH(LEFT($A890,6)&amp;"*",[1]PCRs!A:A,0))="Positivo",
      "✅ Positivo",
      IF(INDEX([1]PCRs!B:B,MATCH(LEFT($A890,6)&amp;"*",[1]PCRs!A:A,0))="Negativo",
         "❌ Negativo",
         "⏳ No realizado")),
   "⏳ No realizado"
)</f>
        <v>✅ Positivo</v>
      </c>
      <c r="D890" s="255" t="str">
        <f>IFERROR(
   CHOOSE(
      MATCH(VLOOKUP(LEFT(A937,6)&amp;"*",'Identificación genética'!A:C,2,FALSE),
               {"En proceso";"Finalizado"},0),
      "🔬 En proceso",
      "🎯 Finalizado"
   ),
"❌ NA")</f>
        <v>🎯 Finalizado</v>
      </c>
      <c r="E890" t="s">
        <v>85</v>
      </c>
      <c r="F890" s="585"/>
      <c r="G890" t="str">
        <f>_xlfn.XLOOKUP(A890, Extraídas!A:A, Extraídas!G:G, "")</f>
        <v/>
      </c>
    </row>
    <row r="891" spans="1:7" ht="15" thickBot="1" x14ac:dyDescent="0.35">
      <c r="A891" s="647" t="s">
        <v>941</v>
      </c>
      <c r="B891" s="255" t="str">
        <f>IFERROR(
   IF(INDEX(Extraídas!B:B,MATCH(LEFT($A891,6)&amp;"*",Extraídas!A:A,0))="Extraídas",
      "✅ En proceso",
      IF(INDEX(Extraídas!B:B,MATCH(LEFT($A891,6)&amp;"*",Extraídas!A:A,0))="Recibidas",
         "⏳ Pendiente","❌ No ingresada")),
   "❌ No ingresada"
)</f>
        <v>⏳ Pendiente</v>
      </c>
      <c r="C891" s="255" t="str">
        <f t="array" ref="C891">IFERROR(
   IF(INDEX([1]PCRs!B:B,MATCH(LEFT($A891,6)&amp;"*",[1]PCRs!A:A,0))="Positivo",
      "✅ Positivo",
      IF(INDEX([1]PCRs!B:B,MATCH(LEFT($A891,6)&amp;"*",[1]PCRs!A:A,0))="Negativo",
         "❌ Negativo",
         "⏳ No realizado")),
   "⏳ No realizado"
)</f>
        <v>✅ Positivo</v>
      </c>
      <c r="D891" s="255" t="str">
        <f>IFERROR(
   CHOOSE(
      MATCH(VLOOKUP(LEFT(A938,6)&amp;"*",'Identificación genética'!A:C,2,FALSE),
               {"En proceso";"Finalizado"},0),
      "🔬 En proceso",
      "🎯 Finalizado"
   ),
"❌ NA")</f>
        <v>🎯 Finalizado</v>
      </c>
      <c r="E891" t="s">
        <v>85</v>
      </c>
      <c r="F891" s="98">
        <v>45924</v>
      </c>
      <c r="G891" t="str">
        <f>_xlfn.XLOOKUP(A891, Extraídas!A:A, Extraídas!G:G, "")</f>
        <v>Cianobacterias</v>
      </c>
    </row>
    <row r="892" spans="1:7" x14ac:dyDescent="0.3">
      <c r="A892" s="652" t="s">
        <v>942</v>
      </c>
      <c r="B892" s="255" t="str">
        <f>IFERROR(
   IF(INDEX(Extraídas!B:B,MATCH(LEFT($A892,6)&amp;"*",Extraídas!A:A,0))="Extraídas",
      "✅ En proceso",
      IF(INDEX(Extraídas!B:B,MATCH(LEFT($A892,6)&amp;"*",Extraídas!A:A,0))="Recibidas",
         "⏳ Pendiente","❌ No ingresada")),
   "❌ No ingresada"
)</f>
        <v>⏳ Pendiente</v>
      </c>
      <c r="C892" s="255" t="str">
        <f t="array" ref="C892">IFERROR(
   IF(INDEX([1]PCRs!B:B,MATCH(LEFT($A892,6)&amp;"*",[1]PCRs!A:A,0))="Positivo",
      "✅ Positivo",
      IF(INDEX([1]PCRs!B:B,MATCH(LEFT($A892,6)&amp;"*",[1]PCRs!A:A,0))="Negativo",
         "❌ Negativo",
         "⏳ No realizado")),
   "⏳ No realizado"
)</f>
        <v>✅ Positivo</v>
      </c>
      <c r="D892" s="255" t="str">
        <f>IFERROR(
   CHOOSE(
      MATCH(VLOOKUP(LEFT(A939,6)&amp;"*",'Identificación genética'!A:C,2,FALSE),
               {"En proceso";"Finalizado"},0),
      "🔬 En proceso",
      "🎯 Finalizado"
   ),
"❌ NA")</f>
        <v>🎯 Finalizado</v>
      </c>
      <c r="E892" t="s">
        <v>85</v>
      </c>
      <c r="F892" s="111">
        <v>45848</v>
      </c>
      <c r="G892" t="str">
        <f>_xlfn.XLOOKUP(A892, Extraídas!A:A, Extraídas!G:G, "")</f>
        <v>Microalgas</v>
      </c>
    </row>
    <row r="893" spans="1:7" x14ac:dyDescent="0.3">
      <c r="A893" s="653" t="s">
        <v>943</v>
      </c>
      <c r="B893" s="255" t="str">
        <f>IFERROR(
   IF(INDEX(Extraídas!B:B,MATCH(LEFT($A893,6)&amp;"*",Extraídas!A:A,0))="Extraídas",
      "✅ En proceso",
      IF(INDEX(Extraídas!B:B,MATCH(LEFT($A893,6)&amp;"*",Extraídas!A:A,0))="Recibidas",
         "⏳ Pendiente","❌ No ingresada")),
   "❌ No ingresada"
)</f>
        <v>⏳ Pendiente</v>
      </c>
      <c r="C893" s="255" t="str">
        <f t="array" ref="C893">IFERROR(
   IF(INDEX([1]PCRs!B:B,MATCH(LEFT($A893,6)&amp;"*",[1]PCRs!A:A,0))="Positivo",
      "✅ Positivo",
      IF(INDEX([1]PCRs!B:B,MATCH(LEFT($A893,6)&amp;"*",[1]PCRs!A:A,0))="Negativo",
         "❌ Negativo",
         "⏳ No realizado")),
   "⏳ No realizado"
)</f>
        <v>✅ Positivo</v>
      </c>
      <c r="D893" s="255" t="str">
        <f>IFERROR(
   CHOOSE(
      MATCH(VLOOKUP(LEFT(A940,6)&amp;"*",'Identificación genética'!A:C,2,FALSE),
               {"En proceso";"Finalizado"},0),
      "🔬 En proceso",
      "🎯 Finalizado"
   ),
"❌ NA")</f>
        <v>🎯 Finalizado</v>
      </c>
      <c r="E893" t="s">
        <v>85</v>
      </c>
      <c r="F893" s="98">
        <v>45924</v>
      </c>
      <c r="G893" t="str">
        <f>_xlfn.XLOOKUP(A893, Extraídas!A:A, Extraídas!G:G, "")</f>
        <v>Cianobacterias</v>
      </c>
    </row>
    <row r="894" spans="1:7" x14ac:dyDescent="0.3">
      <c r="A894" s="653" t="s">
        <v>944</v>
      </c>
      <c r="B894" s="255" t="str">
        <f>IFERROR(
   IF(INDEX(Extraídas!B:B,MATCH(LEFT($A894,6)&amp;"*",Extraídas!A:A,0))="Extraídas",
      "✅ En proceso",
      IF(INDEX(Extraídas!B:B,MATCH(LEFT($A894,6)&amp;"*",Extraídas!A:A,0))="Recibidas",
         "⏳ Pendiente","❌ No ingresada")),
   "❌ No ingresada"
)</f>
        <v>⏳ Pendiente</v>
      </c>
      <c r="C894" s="255" t="str">
        <f t="array" ref="C894">IFERROR(
   IF(INDEX([1]PCRs!B:B,MATCH(LEFT($A894,6)&amp;"*",[1]PCRs!A:A,0))="Positivo",
      "✅ Positivo",
      IF(INDEX([1]PCRs!B:B,MATCH(LEFT($A894,6)&amp;"*",[1]PCRs!A:A,0))="Negativo",
         "❌ Negativo",
         "⏳ No realizado")),
   "⏳ No realizado"
)</f>
        <v>❌ Negativo</v>
      </c>
      <c r="D894" s="255" t="str">
        <f>IFERROR(
   CHOOSE(
      MATCH(VLOOKUP(LEFT(A941,6)&amp;"*",'Identificación genética'!A:C,2,FALSE),
               {"En proceso";"Finalizado"},0),
      "🔬 En proceso",
      "🎯 Finalizado"
   ),
"❌ NA")</f>
        <v>🎯 Finalizado</v>
      </c>
      <c r="E894" t="s">
        <v>85</v>
      </c>
      <c r="F894" s="98">
        <v>45924</v>
      </c>
      <c r="G894" t="str">
        <f>_xlfn.XLOOKUP(A894, Extraídas!A:A, Extraídas!G:G, "")</f>
        <v>Cianobacterias</v>
      </c>
    </row>
    <row r="895" spans="1:7" x14ac:dyDescent="0.3">
      <c r="A895" s="653" t="s">
        <v>945</v>
      </c>
      <c r="B895" s="255" t="str">
        <f>IFERROR(
   IF(INDEX(Extraídas!B:B,MATCH(LEFT($A895,6)&amp;"*",Extraídas!A:A,0))="Extraídas",
      "✅ En proceso",
      IF(INDEX(Extraídas!B:B,MATCH(LEFT($A895,6)&amp;"*",Extraídas!A:A,0))="Recibidas",
         "⏳ Pendiente","❌ No ingresada")),
   "❌ No ingresada"
)</f>
        <v>⏳ Pendiente</v>
      </c>
      <c r="C895" s="255" t="str">
        <f t="array" ref="C895">IFERROR(
   IF(INDEX([1]PCRs!B:B,MATCH(LEFT($A895,6)&amp;"*",[1]PCRs!A:A,0))="Positivo",
      "✅ Positivo",
      IF(INDEX([1]PCRs!B:B,MATCH(LEFT($A895,6)&amp;"*",[1]PCRs!A:A,0))="Negativo",
         "❌ Negativo",
         "⏳ No realizado")),
   "⏳ No realizado"
)</f>
        <v>❌ Negativo</v>
      </c>
      <c r="D895" s="255" t="str">
        <f>IFERROR(
   CHOOSE(
      MATCH(VLOOKUP(LEFT(A942,6)&amp;"*",'Identificación genética'!A:C,2,FALSE),
               {"En proceso";"Finalizado"},0),
      "🔬 En proceso",
      "🎯 Finalizado"
   ),
"❌ NA")</f>
        <v>🎯 Finalizado</v>
      </c>
      <c r="E895" t="s">
        <v>85</v>
      </c>
      <c r="F895" s="98">
        <v>45924</v>
      </c>
      <c r="G895" t="str">
        <f>_xlfn.XLOOKUP(A895, Extraídas!A:A, Extraídas!G:G, "")</f>
        <v>Cianobacterias</v>
      </c>
    </row>
    <row r="896" spans="1:7" x14ac:dyDescent="0.3">
      <c r="A896" s="480" t="s">
        <v>1166</v>
      </c>
      <c r="B896" s="255" t="str">
        <f>IFERROR(
   IF(INDEX(Extraídas!B:B,MATCH(LEFT($A896,6)&amp;"*",Extraídas!A:A,0))="Extraídas",
      "✅ En proceso",
      IF(INDEX(Extraídas!B:B,MATCH(LEFT($A896,6)&amp;"*",Extraídas!A:A,0))="Recibidas",
         "⏳ Pendiente","❌ No ingresada")),
   "❌ No ingresada"
)</f>
        <v>⏳ Pendiente</v>
      </c>
      <c r="C896" s="255" t="str">
        <f t="array" ref="C896">IFERROR(
   IF(INDEX([1]PCRs!B:B,MATCH(LEFT($A896,6)&amp;"*",[1]PCRs!A:A,0))="Positivo",
      "✅ Positivo",
      IF(INDEX([1]PCRs!B:B,MATCH(LEFT($A896,6)&amp;"*",[1]PCRs!A:A,0))="Negativo",
         "❌ Negativo",
         "⏳ No realizado")),
   "⏳ No realizado"
)</f>
        <v>❌ Negativo</v>
      </c>
      <c r="D896" s="255" t="str">
        <f>IFERROR(
   CHOOSE(
      MATCH(VLOOKUP(LEFT(A943,6)&amp;"*",'Identificación genética'!A:C,2,FALSE),
               {"En proceso";"Finalizado"},0),
      "🔬 En proceso",
      "🎯 Finalizado"
   ),
"❌ NA")</f>
        <v>🎯 Finalizado</v>
      </c>
      <c r="E896" t="s">
        <v>85</v>
      </c>
      <c r="G896" t="str">
        <f>_xlfn.XLOOKUP(A896, Extraídas!A:A, Extraídas!G:G, "")</f>
        <v/>
      </c>
    </row>
    <row r="897" spans="1:7" x14ac:dyDescent="0.3">
      <c r="A897" s="654" t="s">
        <v>946</v>
      </c>
      <c r="B897" s="255" t="str">
        <f>IFERROR(
   IF(INDEX(Extraídas!B:B,MATCH(LEFT($A897,6)&amp;"*",Extraídas!A:A,0))="Extraídas",
      "✅ En proceso",
      IF(INDEX(Extraídas!B:B,MATCH(LEFT($A897,6)&amp;"*",Extraídas!A:A,0))="Recibidas",
         "⏳ Pendiente","❌ No ingresada")),
   "❌ No ingresada"
)</f>
        <v>⏳ Pendiente</v>
      </c>
      <c r="C897" s="255" t="str">
        <f t="array" ref="C897">IFERROR(
   IF(INDEX([1]PCRs!B:B,MATCH(LEFT($A897,6)&amp;"*",[1]PCRs!A:A,0))="Positivo",
      "✅ Positivo",
      IF(INDEX([1]PCRs!B:B,MATCH(LEFT($A897,6)&amp;"*",[1]PCRs!A:A,0))="Negativo",
         "❌ Negativo",
         "⏳ No realizado")),
   "⏳ No realizado"
)</f>
        <v>❌ Negativo</v>
      </c>
      <c r="D897" s="255" t="str">
        <f>IFERROR(
   CHOOSE(
      MATCH(VLOOKUP(LEFT(A944,6)&amp;"*",'Identificación genética'!A:C,2,FALSE),
               {"En proceso";"Finalizado"},0),
      "🔬 En proceso",
      "🎯 Finalizado"
   ),
"❌ NA")</f>
        <v>🎯 Finalizado</v>
      </c>
      <c r="E897" t="s">
        <v>85</v>
      </c>
      <c r="F897" s="579">
        <v>45817</v>
      </c>
      <c r="G897" t="str">
        <f>_xlfn.XLOOKUP(A897, Extraídas!A:A, Extraídas!G:G, "")</f>
        <v>Cianobacterias</v>
      </c>
    </row>
    <row r="898" spans="1:7" x14ac:dyDescent="0.3">
      <c r="A898" s="653" t="s">
        <v>947</v>
      </c>
      <c r="B898" s="255" t="str">
        <f>IFERROR(
   IF(INDEX(Extraídas!B:B,MATCH(LEFT($A898,6)&amp;"*",Extraídas!A:A,0))="Extraídas",
      "✅ En proceso",
      IF(INDEX(Extraídas!B:B,MATCH(LEFT($A898,6)&amp;"*",Extraídas!A:A,0))="Recibidas",
         "⏳ Pendiente","❌ No ingresada")),
   "❌ No ingresada"
)</f>
        <v>⏳ Pendiente</v>
      </c>
      <c r="C898" s="255" t="str">
        <f t="array" ref="C898">IFERROR(
   IF(INDEX([1]PCRs!B:B,MATCH(LEFT($A898,6)&amp;"*",[1]PCRs!A:A,0))="Positivo",
      "✅ Positivo",
      IF(INDEX([1]PCRs!B:B,MATCH(LEFT($A898,6)&amp;"*",[1]PCRs!A:A,0))="Negativo",
         "❌ Negativo",
         "⏳ No realizado")),
   "⏳ No realizado"
)</f>
        <v>❌ Negativo</v>
      </c>
      <c r="D898" s="255" t="str">
        <f>IFERROR(
   CHOOSE(
      MATCH(VLOOKUP(LEFT(A945,6)&amp;"*",'Identificación genética'!A:C,2,FALSE),
               {"En proceso";"Finalizado"},0),
      "🔬 En proceso",
      "🎯 Finalizado"
   ),
"❌ NA")</f>
        <v>🎯 Finalizado</v>
      </c>
      <c r="E898" t="s">
        <v>85</v>
      </c>
      <c r="F898" s="575">
        <v>45933</v>
      </c>
      <c r="G898" t="str">
        <f>_xlfn.XLOOKUP(A898, Extraídas!A:A, Extraídas!G:G, "")</f>
        <v>Microalgas</v>
      </c>
    </row>
    <row r="899" spans="1:7" x14ac:dyDescent="0.3">
      <c r="A899" s="653" t="s">
        <v>948</v>
      </c>
      <c r="B899" s="255" t="str">
        <f>IFERROR(
   IF(INDEX(Extraídas!B:B,MATCH(LEFT($A899,6)&amp;"*",Extraídas!A:A,0))="Extraídas",
      "✅ En proceso",
      IF(INDEX(Extraídas!B:B,MATCH(LEFT($A899,6)&amp;"*",Extraídas!A:A,0))="Recibidas",
         "⏳ Pendiente","❌ No ingresada")),
   "❌ No ingresada"
)</f>
        <v>✅ En proceso</v>
      </c>
      <c r="C899" s="255" t="str">
        <f t="array" ref="C899">IFERROR(
   IF(INDEX([1]PCRs!B:B,MATCH(LEFT($A899,6)&amp;"*",[1]PCRs!A:A,0))="Positivo",
      "✅ Positivo",
      IF(INDEX([1]PCRs!B:B,MATCH(LEFT($A899,6)&amp;"*",[1]PCRs!A:A,0))="Negativo",
         "❌ Negativo",
         "⏳ No realizado")),
   "⏳ No realizado"
)</f>
        <v>❌ Negativo</v>
      </c>
      <c r="D899" s="255" t="str">
        <f>IFERROR(
   CHOOSE(
      MATCH(VLOOKUP(LEFT(A946,6)&amp;"*",'Identificación genética'!A:C,2,FALSE),
               {"En proceso";"Finalizado"},0),
      "🔬 En proceso",
      "🎯 Finalizado"
   ),
"❌ NA")</f>
        <v>🎯 Finalizado</v>
      </c>
      <c r="E899" t="s">
        <v>85</v>
      </c>
      <c r="F899" s="583">
        <v>45933</v>
      </c>
      <c r="G899" t="str">
        <f>_xlfn.XLOOKUP(A899, Extraídas!A:A, Extraídas!G:G, "")</f>
        <v>Microalgas</v>
      </c>
    </row>
    <row r="900" spans="1:7" x14ac:dyDescent="0.3">
      <c r="A900" s="484" t="s">
        <v>2250</v>
      </c>
      <c r="B900" s="255" t="str">
        <f>IFERROR(
   IF(INDEX(Extraídas!B:B,MATCH(LEFT($A900,6)&amp;"*",Extraídas!A:A,0))="Extraídas",
      "✅ En proceso",
      IF(INDEX(Extraídas!B:B,MATCH(LEFT($A900,6)&amp;"*",Extraídas!A:A,0))="Recibidas",
         "⏳ Pendiente","❌ No ingresada")),
   "❌ No ingresada"
)</f>
        <v>✅ En proceso</v>
      </c>
      <c r="C900" s="255" t="str">
        <f t="array" ref="C900">IFERROR(
   IF(INDEX([1]PCRs!B:B,MATCH(LEFT($A900,6)&amp;"*",[1]PCRs!A:A,0))="Positivo",
      "✅ Positivo",
      IF(INDEX([1]PCRs!B:B,MATCH(LEFT($A900,6)&amp;"*",[1]PCRs!A:A,0))="Negativo",
         "❌ Negativo",
         "⏳ No realizado")),
   "⏳ No realizado"
)</f>
        <v>❌ Negativo</v>
      </c>
      <c r="D900" s="255" t="str">
        <f>IFERROR(
   CHOOSE(
      MATCH(VLOOKUP(LEFT(A947,6)&amp;"*",'Identificación genética'!A:C,2,FALSE),
               {"En proceso";"Finalizado"},0),
      "🔬 En proceso",
      "🎯 Finalizado"
   ),
"❌ NA")</f>
        <v>🎯 Finalizado</v>
      </c>
      <c r="E900" t="s">
        <v>85</v>
      </c>
      <c r="G900" t="str">
        <f>_xlfn.XLOOKUP(A900, Extraídas!A:A, Extraídas!G:G, "")</f>
        <v/>
      </c>
    </row>
    <row r="901" spans="1:7" x14ac:dyDescent="0.3">
      <c r="A901" s="653" t="s">
        <v>949</v>
      </c>
      <c r="B901" s="255" t="str">
        <f>IFERROR(
   IF(INDEX(Extraídas!B:B,MATCH(LEFT($A901,6)&amp;"*",Extraídas!A:A,0))="Extraídas",
      "✅ En proceso",
      IF(INDEX(Extraídas!B:B,MATCH(LEFT($A901,6)&amp;"*",Extraídas!A:A,0))="Recibidas",
         "⏳ Pendiente","❌ No ingresada")),
   "❌ No ingresada"
)</f>
        <v>✅ En proceso</v>
      </c>
      <c r="C901" s="255" t="str">
        <f t="array" ref="C901">IFERROR(
   IF(INDEX([1]PCRs!B:B,MATCH(LEFT($A901,6)&amp;"*",[1]PCRs!A:A,0))="Positivo",
      "✅ Positivo",
      IF(INDEX([1]PCRs!B:B,MATCH(LEFT($A901,6)&amp;"*",[1]PCRs!A:A,0))="Negativo",
         "❌ Negativo",
         "⏳ No realizado")),
   "⏳ No realizado"
)</f>
        <v>❌ Negativo</v>
      </c>
      <c r="D901" s="255" t="str">
        <f>IFERROR(
   CHOOSE(
      MATCH(VLOOKUP(LEFT(A948,6)&amp;"*",'Identificación genética'!A:C,2,FALSE),
               {"En proceso";"Finalizado"},0),
      "🔬 En proceso",
      "🎯 Finalizado"
   ),
"❌ NA")</f>
        <v>🎯 Finalizado</v>
      </c>
      <c r="E901" t="s">
        <v>85</v>
      </c>
      <c r="F901" s="98">
        <v>45924</v>
      </c>
      <c r="G901" t="str">
        <f>_xlfn.XLOOKUP(A901, Extraídas!A:A, Extraídas!G:G, "")</f>
        <v>Cianobacterias</v>
      </c>
    </row>
    <row r="902" spans="1:7" x14ac:dyDescent="0.3">
      <c r="A902" s="653" t="s">
        <v>950</v>
      </c>
      <c r="B902" s="255" t="str">
        <f>IFERROR(
   IF(INDEX(Extraídas!B:B,MATCH(LEFT($A902,6)&amp;"*",Extraídas!A:A,0))="Extraídas",
      "✅ En proceso",
      IF(INDEX(Extraídas!B:B,MATCH(LEFT($A902,6)&amp;"*",Extraídas!A:A,0))="Recibidas",
         "⏳ Pendiente","❌ No ingresada")),
   "❌ No ingresada"
)</f>
        <v>✅ En proceso</v>
      </c>
      <c r="C902" s="255" t="str">
        <f t="array" ref="C902">IFERROR(
   IF(INDEX([1]PCRs!B:B,MATCH(LEFT($A902,6)&amp;"*",[1]PCRs!A:A,0))="Positivo",
      "✅ Positivo",
      IF(INDEX([1]PCRs!B:B,MATCH(LEFT($A902,6)&amp;"*",[1]PCRs!A:A,0))="Negativo",
         "❌ Negativo",
         "⏳ No realizado")),
   "⏳ No realizado"
)</f>
        <v>❌ Negativo</v>
      </c>
      <c r="D902" s="255" t="str">
        <f>IFERROR(
   CHOOSE(
      MATCH(VLOOKUP(LEFT(A949,6)&amp;"*",'Identificación genética'!A:C,2,FALSE),
               {"En proceso";"Finalizado"},0),
      "🔬 En proceso",
      "🎯 Finalizado"
   ),
"❌ NA")</f>
        <v>🎯 Finalizado</v>
      </c>
      <c r="E902" t="s">
        <v>85</v>
      </c>
      <c r="F902" s="98">
        <v>45924</v>
      </c>
      <c r="G902" t="str">
        <f>_xlfn.XLOOKUP(A902, Extraídas!A:A, Extraídas!G:G, "")</f>
        <v>Cianobacterias</v>
      </c>
    </row>
    <row r="903" spans="1:7" x14ac:dyDescent="0.3">
      <c r="A903" s="352" t="s">
        <v>1167</v>
      </c>
      <c r="B903" s="255" t="str">
        <f>IFERROR(
   IF(INDEX(Extraídas!B:B,MATCH(LEFT($A903,6)&amp;"*",Extraídas!A:A,0))="Extraídas",
      "✅ En proceso",
      IF(INDEX(Extraídas!B:B,MATCH(LEFT($A903,6)&amp;"*",Extraídas!A:A,0))="Recibidas",
         "⏳ Pendiente","❌ No ingresada")),
   "❌ No ingresada"
)</f>
        <v>✅ En proceso</v>
      </c>
      <c r="C903" s="255" t="str">
        <f t="array" ref="C903">IFERROR(
   IF(INDEX([1]PCRs!B:B,MATCH(LEFT($A903,6)&amp;"*",[1]PCRs!A:A,0))="Positivo",
      "✅ Positivo",
      IF(INDEX([1]PCRs!B:B,MATCH(LEFT($A903,6)&amp;"*",[1]PCRs!A:A,0))="Negativo",
         "❌ Negativo",
         "⏳ No realizado")),
   "⏳ No realizado"
)</f>
        <v>❌ Negativo</v>
      </c>
      <c r="D903" s="255" t="str">
        <f>IFERROR(
   CHOOSE(
      MATCH(VLOOKUP(LEFT(A950,6)&amp;"*",'Identificación genética'!A:C,2,FALSE),
               {"En proceso";"Finalizado"},0),
      "🔬 En proceso",
      "🎯 Finalizado"
   ),
"❌ NA")</f>
        <v>🎯 Finalizado</v>
      </c>
      <c r="E903" t="s">
        <v>85</v>
      </c>
      <c r="G903" t="str">
        <f>_xlfn.XLOOKUP(A903, Extraídas!A:A, Extraídas!G:G, "")</f>
        <v/>
      </c>
    </row>
    <row r="904" spans="1:7" x14ac:dyDescent="0.3">
      <c r="A904" s="506" t="s">
        <v>1997</v>
      </c>
      <c r="B904" s="255" t="str">
        <f>IFERROR(
   IF(INDEX(Extraídas!B:B,MATCH(LEFT($A904,6)&amp;"*",Extraídas!A:A,0))="Extraídas",
      "✅ En proceso",
      IF(INDEX(Extraídas!B:B,MATCH(LEFT($A904,6)&amp;"*",Extraídas!A:A,0))="Recibidas",
         "⏳ Pendiente","❌ No ingresada")),
   "❌ No ingresada"
)</f>
        <v>✅ En proceso</v>
      </c>
      <c r="C904" s="255" t="str">
        <f t="array" ref="C904">IFERROR(
   IF(INDEX([1]PCRs!B:B,MATCH(LEFT($A904,6)&amp;"*",[1]PCRs!A:A,0))="Positivo",
      "✅ Positivo",
      IF(INDEX([1]PCRs!B:B,MATCH(LEFT($A904,6)&amp;"*",[1]PCRs!A:A,0))="Negativo",
         "❌ Negativo",
         "⏳ No realizado")),
   "⏳ No realizado"
)</f>
        <v>❌ Negativo</v>
      </c>
      <c r="D904" s="255" t="str">
        <f>IFERROR(
   CHOOSE(
      MATCH(VLOOKUP(LEFT(A951,6)&amp;"*",'Identificación genética'!A:C,2,FALSE),
               {"En proceso";"Finalizado"},0),
      "🔬 En proceso",
      "🎯 Finalizado"
   ),
"❌ NA")</f>
        <v>🎯 Finalizado</v>
      </c>
      <c r="E904" t="s">
        <v>85</v>
      </c>
      <c r="G904" t="str">
        <f>_xlfn.XLOOKUP(A904, Extraídas!A:A, Extraídas!G:G, "")</f>
        <v/>
      </c>
    </row>
    <row r="905" spans="1:7" x14ac:dyDescent="0.3">
      <c r="A905" s="653" t="s">
        <v>951</v>
      </c>
      <c r="B905" s="255" t="str">
        <f>IFERROR(
   IF(INDEX(Extraídas!B:B,MATCH(LEFT($A905,6)&amp;"*",Extraídas!A:A,0))="Extraídas",
      "✅ En proceso",
      IF(INDEX(Extraídas!B:B,MATCH(LEFT($A905,6)&amp;"*",Extraídas!A:A,0))="Recibidas",
         "⏳ Pendiente","❌ No ingresada")),
   "❌ No ingresada"
)</f>
        <v>✅ En proceso</v>
      </c>
      <c r="C905" s="255" t="str">
        <f t="array" ref="C905">IFERROR(
   IF(INDEX([1]PCRs!B:B,MATCH(LEFT($A905,6)&amp;"*",[1]PCRs!A:A,0))="Positivo",
      "✅ Positivo",
      IF(INDEX([1]PCRs!B:B,MATCH(LEFT($A905,6)&amp;"*",[1]PCRs!A:A,0))="Negativo",
         "❌ Negativo",
         "⏳ No realizado")),
   "⏳ No realizado"
)</f>
        <v>❌ Negativo</v>
      </c>
      <c r="D905" s="255" t="str">
        <f>IFERROR(
   CHOOSE(
      MATCH(VLOOKUP(LEFT(A952,6)&amp;"*",'Identificación genética'!A:C,2,FALSE),
               {"En proceso";"Finalizado"},0),
      "🔬 En proceso",
      "🎯 Finalizado"
   ),
"❌ NA")</f>
        <v>🎯 Finalizado</v>
      </c>
      <c r="E905" t="s">
        <v>85</v>
      </c>
      <c r="F905" s="98">
        <v>45924</v>
      </c>
      <c r="G905" t="str">
        <f>_xlfn.XLOOKUP(A905, Extraídas!A:A, Extraídas!G:G, "")</f>
        <v>Cianobacterias</v>
      </c>
    </row>
    <row r="906" spans="1:7" x14ac:dyDescent="0.3">
      <c r="A906" s="480" t="s">
        <v>1168</v>
      </c>
      <c r="B906" s="255" t="str">
        <f>IFERROR(
   IF(INDEX(Extraídas!B:B,MATCH(LEFT($A906,6)&amp;"*",Extraídas!A:A,0))="Extraídas",
      "✅ En proceso",
      IF(INDEX(Extraídas!B:B,MATCH(LEFT($A906,6)&amp;"*",Extraídas!A:A,0))="Recibidas",
         "⏳ Pendiente","❌ No ingresada")),
   "❌ No ingresada"
)</f>
        <v>✅ En proceso</v>
      </c>
      <c r="C906" s="255" t="str">
        <f t="array" ref="C906">IFERROR(
   IF(INDEX([1]PCRs!B:B,MATCH(LEFT($A906,6)&amp;"*",[1]PCRs!A:A,0))="Positivo",
      "✅ Positivo",
      IF(INDEX([1]PCRs!B:B,MATCH(LEFT($A906,6)&amp;"*",[1]PCRs!A:A,0))="Negativo",
         "❌ Negativo",
         "⏳ No realizado")),
   "⏳ No realizado"
)</f>
        <v>❌ Negativo</v>
      </c>
      <c r="D906" s="255" t="str">
        <f>IFERROR(
   CHOOSE(
      MATCH(VLOOKUP(LEFT(A953,6)&amp;"*",'Identificación genética'!A:C,2,FALSE),
               {"En proceso";"Finalizado"},0),
      "🔬 En proceso",
      "🎯 Finalizado"
   ),
"❌ NA")</f>
        <v>🎯 Finalizado</v>
      </c>
      <c r="E906" t="s">
        <v>85</v>
      </c>
      <c r="G906" t="str">
        <f>_xlfn.XLOOKUP(A906, Extraídas!A:A, Extraídas!G:G, "")</f>
        <v/>
      </c>
    </row>
    <row r="907" spans="1:7" x14ac:dyDescent="0.3">
      <c r="A907" s="352" t="s">
        <v>2278</v>
      </c>
      <c r="B907" s="255" t="str">
        <f>IFERROR(
   IF(INDEX(Extraídas!B:B,MATCH(LEFT($A907,6)&amp;"*",Extraídas!A:A,0))="Extraídas",
      "✅ En proceso",
      IF(INDEX(Extraídas!B:B,MATCH(LEFT($A907,6)&amp;"*",Extraídas!A:A,0))="Recibidas",
         "⏳ Pendiente","❌ No ingresada")),
   "❌ No ingresada"
)</f>
        <v>✅ En proceso</v>
      </c>
      <c r="C907" s="255" t="str">
        <f t="array" ref="C907">IFERROR(
   IF(INDEX([1]PCRs!B:B,MATCH(LEFT($A907,6)&amp;"*",[1]PCRs!A:A,0))="Positivo",
      "✅ Positivo",
      IF(INDEX([1]PCRs!B:B,MATCH(LEFT($A907,6)&amp;"*",[1]PCRs!A:A,0))="Negativo",
         "❌ Negativo",
         "⏳ No realizado")),
   "⏳ No realizado"
)</f>
        <v>❌ Negativo</v>
      </c>
      <c r="D907" s="255" t="str">
        <f>IFERROR(
   CHOOSE(
      MATCH(VLOOKUP(LEFT(A954,6)&amp;"*",'Identificación genética'!A:C,2,FALSE),
               {"En proceso";"Finalizado"},0),
      "🔬 En proceso",
      "🎯 Finalizado"
   ),
"❌ NA")</f>
        <v>❌ NA</v>
      </c>
      <c r="E907" t="s">
        <v>85</v>
      </c>
      <c r="G907" t="str">
        <f>_xlfn.XLOOKUP(A907, Extraídas!A:A, Extraídas!G:G, "")</f>
        <v/>
      </c>
    </row>
    <row r="908" spans="1:7" x14ac:dyDescent="0.3">
      <c r="A908" s="654" t="s">
        <v>952</v>
      </c>
      <c r="B908" s="255" t="str">
        <f>IFERROR(
   IF(INDEX(Extraídas!B:B,MATCH(LEFT($A908,6)&amp;"*",Extraídas!A:A,0))="Extraídas",
      "✅ En proceso",
      IF(INDEX(Extraídas!B:B,MATCH(LEFT($A908,6)&amp;"*",Extraídas!A:A,0))="Recibidas",
         "⏳ Pendiente","❌ No ingresada")),
   "❌ No ingresada"
)</f>
        <v>✅ En proceso</v>
      </c>
      <c r="C908" s="255" t="str">
        <f t="array" ref="C908">IFERROR(
   IF(INDEX([1]PCRs!B:B,MATCH(LEFT($A908,6)&amp;"*",[1]PCRs!A:A,0))="Positivo",
      "✅ Positivo",
      IF(INDEX([1]PCRs!B:B,MATCH(LEFT($A908,6)&amp;"*",[1]PCRs!A:A,0))="Negativo",
         "❌ Negativo",
         "⏳ No realizado")),
   "⏳ No realizado"
)</f>
        <v>✅ Positivo</v>
      </c>
      <c r="D908" s="255" t="str">
        <f>IFERROR(
   CHOOSE(
      MATCH(VLOOKUP(LEFT(A955,6)&amp;"*",'Identificación genética'!A:C,2,FALSE),
               {"En proceso";"Finalizado"},0),
      "🔬 En proceso",
      "🎯 Finalizado"
   ),
"❌ NA")</f>
        <v>🎯 Finalizado</v>
      </c>
      <c r="E908" t="s">
        <v>85</v>
      </c>
      <c r="F908" s="579">
        <v>45817</v>
      </c>
      <c r="G908" t="str">
        <f>_xlfn.XLOOKUP(A908, Extraídas!A:A, Extraídas!G:G, "")</f>
        <v>Cianobacterias</v>
      </c>
    </row>
    <row r="909" spans="1:7" x14ac:dyDescent="0.3">
      <c r="A909" s="352" t="s">
        <v>2197</v>
      </c>
      <c r="B909" s="255" t="str">
        <f>IFERROR(
   IF(INDEX(Extraídas!B:B,MATCH(LEFT($A909,6)&amp;"*",Extraídas!A:A,0))="Extraídas",
      "✅ En proceso",
      IF(INDEX(Extraídas!B:B,MATCH(LEFT($A909,6)&amp;"*",Extraídas!A:A,0))="Recibidas",
         "⏳ Pendiente","❌ No ingresada")),
   "❌ No ingresada"
)</f>
        <v>✅ En proceso</v>
      </c>
      <c r="C909" s="255" t="str">
        <f t="array" ref="C909">IFERROR(
   IF(INDEX([1]PCRs!B:B,MATCH(LEFT($A909,6)&amp;"*",[1]PCRs!A:A,0))="Positivo",
      "✅ Positivo",
      IF(INDEX([1]PCRs!B:B,MATCH(LEFT($A909,6)&amp;"*",[1]PCRs!A:A,0))="Negativo",
         "❌ Negativo",
         "⏳ No realizado")),
   "⏳ No realizado"
)</f>
        <v>✅ Positivo</v>
      </c>
      <c r="D909" s="255" t="str">
        <f>IFERROR(
   CHOOSE(
      MATCH(VLOOKUP(LEFT(A956,6)&amp;"*",'Identificación genética'!A:C,2,FALSE),
               {"En proceso";"Finalizado"},0),
      "🔬 En proceso",
      "🎯 Finalizado"
   ),
"❌ NA")</f>
        <v>🎯 Finalizado</v>
      </c>
      <c r="E909" t="s">
        <v>85</v>
      </c>
      <c r="G909" t="str">
        <f>_xlfn.XLOOKUP(A909, Extraídas!A:A, Extraídas!G:G, "")</f>
        <v/>
      </c>
    </row>
    <row r="910" spans="1:7" x14ac:dyDescent="0.3">
      <c r="A910" s="352" t="s">
        <v>1169</v>
      </c>
      <c r="B910" s="255" t="str">
        <f>IFERROR(
   IF(INDEX(Extraídas!B:B,MATCH(LEFT($A910,6)&amp;"*",Extraídas!A:A,0))="Extraídas",
      "✅ En proceso",
      IF(INDEX(Extraídas!B:B,MATCH(LEFT($A910,6)&amp;"*",Extraídas!A:A,0))="Recibidas",
         "⏳ Pendiente","❌ No ingresada")),
   "❌ No ingresada"
)</f>
        <v>✅ En proceso</v>
      </c>
      <c r="C910" s="255" t="str">
        <f t="array" ref="C910">IFERROR(
   IF(INDEX([1]PCRs!B:B,MATCH(LEFT($A910,6)&amp;"*",[1]PCRs!A:A,0))="Positivo",
      "✅ Positivo",
      IF(INDEX([1]PCRs!B:B,MATCH(LEFT($A910,6)&amp;"*",[1]PCRs!A:A,0))="Negativo",
         "❌ Negativo",
         "⏳ No realizado")),
   "⏳ No realizado"
)</f>
        <v>✅ Positivo</v>
      </c>
      <c r="D910" s="255" t="str">
        <f>IFERROR(
   CHOOSE(
      MATCH(VLOOKUP(LEFT(A957,6)&amp;"*",'Identificación genética'!A:C,2,FALSE),
               {"En proceso";"Finalizado"},0),
      "🔬 En proceso",
      "🎯 Finalizado"
   ),
"❌ NA")</f>
        <v>🎯 Finalizado</v>
      </c>
      <c r="E910" t="s">
        <v>85</v>
      </c>
      <c r="G910" t="str">
        <f>_xlfn.XLOOKUP(A910, Extraídas!A:A, Extraídas!G:G, "")</f>
        <v/>
      </c>
    </row>
    <row r="911" spans="1:7" x14ac:dyDescent="0.3">
      <c r="A911" s="655" t="s">
        <v>953</v>
      </c>
      <c r="B911" s="255" t="str">
        <f>IFERROR(
   IF(INDEX(Extraídas!B:B,MATCH(LEFT($A911,6)&amp;"*",Extraídas!A:A,0))="Extraídas",
      "✅ En proceso",
      IF(INDEX(Extraídas!B:B,MATCH(LEFT($A911,6)&amp;"*",Extraídas!A:A,0))="Recibidas",
         "⏳ Pendiente","❌ No ingresada")),
   "❌ No ingresada"
)</f>
        <v>✅ En proceso</v>
      </c>
      <c r="C911" s="255" t="str">
        <f t="array" ref="C911">IFERROR(
   IF(INDEX([1]PCRs!B:B,MATCH(LEFT($A911,6)&amp;"*",[1]PCRs!A:A,0))="Positivo",
      "✅ Positivo",
      IF(INDEX([1]PCRs!B:B,MATCH(LEFT($A911,6)&amp;"*",[1]PCRs!A:A,0))="Negativo",
         "❌ Negativo",
         "⏳ No realizado")),
   "⏳ No realizado"
)</f>
        <v>✅ Positivo</v>
      </c>
      <c r="D911" s="255" t="str">
        <f>IFERROR(
   CHOOSE(
      MATCH(VLOOKUP(LEFT(A958,6)&amp;"*",'Identificación genética'!A:C,2,FALSE),
               {"En proceso";"Finalizado"},0),
      "🔬 En proceso",
      "🎯 Finalizado"
   ),
"❌ NA")</f>
        <v>🎯 Finalizado</v>
      </c>
      <c r="E911" t="s">
        <v>85</v>
      </c>
      <c r="F911" s="579">
        <v>45733</v>
      </c>
      <c r="G911" t="str">
        <f>_xlfn.XLOOKUP(A911, Extraídas!A:A, Extraídas!G:G, "")</f>
        <v>Cianobacterias</v>
      </c>
    </row>
    <row r="912" spans="1:7" x14ac:dyDescent="0.3">
      <c r="A912" s="655" t="s">
        <v>954</v>
      </c>
      <c r="B912" s="255" t="str">
        <f>IFERROR(
   IF(INDEX(Extraídas!B:B,MATCH(LEFT($A912,6)&amp;"*",Extraídas!A:A,0))="Extraídas",
      "✅ En proceso",
      IF(INDEX(Extraídas!B:B,MATCH(LEFT($A912,6)&amp;"*",Extraídas!A:A,0))="Recibidas",
         "⏳ Pendiente","❌ No ingresada")),
   "❌ No ingresada"
)</f>
        <v>✅ En proceso</v>
      </c>
      <c r="C912" s="255" t="str">
        <f t="array" ref="C912">IFERROR(
   IF(INDEX([1]PCRs!B:B,MATCH(LEFT($A912,6)&amp;"*",[1]PCRs!A:A,0))="Positivo",
      "✅ Positivo",
      IF(INDEX([1]PCRs!B:B,MATCH(LEFT($A912,6)&amp;"*",[1]PCRs!A:A,0))="Negativo",
         "❌ Negativo",
         "⏳ No realizado")),
   "⏳ No realizado"
)</f>
        <v>✅ Positivo</v>
      </c>
      <c r="D912" s="255" t="str">
        <f>IFERROR(
   CHOOSE(
      MATCH(VLOOKUP(LEFT(A959,6)&amp;"*",'Identificación genética'!A:C,2,FALSE),
               {"En proceso";"Finalizado"},0),
      "🔬 En proceso",
      "🎯 Finalizado"
   ),
"❌ NA")</f>
        <v>🎯 Finalizado</v>
      </c>
      <c r="E912" t="s">
        <v>85</v>
      </c>
      <c r="F912" s="111">
        <v>45733</v>
      </c>
      <c r="G912" t="str">
        <f>_xlfn.XLOOKUP(A912, Extraídas!A:A, Extraídas!G:G, "")</f>
        <v>Cianobacterias</v>
      </c>
    </row>
    <row r="913" spans="1:7" x14ac:dyDescent="0.3">
      <c r="A913" s="480" t="s">
        <v>1170</v>
      </c>
      <c r="B913" s="255" t="str">
        <f>IFERROR(
   IF(INDEX(Extraídas!B:B,MATCH(LEFT($A913,6)&amp;"*",Extraídas!A:A,0))="Extraídas",
      "✅ En proceso",
      IF(INDEX(Extraídas!B:B,MATCH(LEFT($A913,6)&amp;"*",Extraídas!A:A,0))="Recibidas",
         "⏳ Pendiente","❌ No ingresada")),
   "❌ No ingresada"
)</f>
        <v>✅ En proceso</v>
      </c>
      <c r="C913" s="255" t="str">
        <f t="array" ref="C913">IFERROR(
   IF(INDEX([1]PCRs!B:B,MATCH(LEFT($A913,6)&amp;"*",[1]PCRs!A:A,0))="Positivo",
      "✅ Positivo",
      IF(INDEX([1]PCRs!B:B,MATCH(LEFT($A913,6)&amp;"*",[1]PCRs!A:A,0))="Negativo",
         "❌ Negativo",
         "⏳ No realizado")),
   "⏳ No realizado"
)</f>
        <v>✅ Positivo</v>
      </c>
      <c r="D913" s="255" t="str">
        <f>IFERROR(
   CHOOSE(
      MATCH(VLOOKUP(LEFT(A960,6)&amp;"*",'Identificación genética'!A:C,2,FALSE),
               {"En proceso";"Finalizado"},0),
      "🔬 En proceso",
      "🎯 Finalizado"
   ),
"❌ NA")</f>
        <v>🎯 Finalizado</v>
      </c>
      <c r="E913" t="s">
        <v>85</v>
      </c>
      <c r="G913" t="str">
        <f>_xlfn.XLOOKUP(A913, Extraídas!A:A, Extraídas!G:G, "")</f>
        <v/>
      </c>
    </row>
    <row r="914" spans="1:7" x14ac:dyDescent="0.3">
      <c r="A914" s="480" t="s">
        <v>1171</v>
      </c>
      <c r="B914" s="255" t="str">
        <f>IFERROR(
   IF(INDEX(Extraídas!B:B,MATCH(LEFT($A914,6)&amp;"*",Extraídas!A:A,0))="Extraídas",
      "✅ En proceso",
      IF(INDEX(Extraídas!B:B,MATCH(LEFT($A914,6)&amp;"*",Extraídas!A:A,0))="Recibidas",
         "⏳ Pendiente","❌ No ingresada")),
   "❌ No ingresada"
)</f>
        <v>✅ En proceso</v>
      </c>
      <c r="C914" s="255" t="str">
        <f t="array" ref="C914">IFERROR(
   IF(INDEX([1]PCRs!B:B,MATCH(LEFT($A914,6)&amp;"*",[1]PCRs!A:A,0))="Positivo",
      "✅ Positivo",
      IF(INDEX([1]PCRs!B:B,MATCH(LEFT($A914,6)&amp;"*",[1]PCRs!A:A,0))="Negativo",
         "❌ Negativo",
         "⏳ No realizado")),
   "⏳ No realizado"
)</f>
        <v>✅ Positivo</v>
      </c>
      <c r="D914" s="255" t="str">
        <f>IFERROR(
   CHOOSE(
      MATCH(VLOOKUP(LEFT(A961,6)&amp;"*",'Identificación genética'!A:C,2,FALSE),
               {"En proceso";"Finalizado"},0),
      "🔬 En proceso",
      "🎯 Finalizado"
   ),
"❌ NA")</f>
        <v>❌ NA</v>
      </c>
      <c r="E914" t="s">
        <v>85</v>
      </c>
      <c r="G914" t="str">
        <f>_xlfn.XLOOKUP(A914, Extraídas!A:A, Extraídas!G:G, "")</f>
        <v/>
      </c>
    </row>
    <row r="915" spans="1:7" x14ac:dyDescent="0.3">
      <c r="A915" s="653" t="s">
        <v>955</v>
      </c>
      <c r="B915" s="255" t="str">
        <f>IFERROR(
   IF(INDEX(Extraídas!B:B,MATCH(LEFT($A915,6)&amp;"*",Extraídas!A:A,0))="Extraídas",
      "✅ En proceso",
      IF(INDEX(Extraídas!B:B,MATCH(LEFT($A915,6)&amp;"*",Extraídas!A:A,0))="Recibidas",
         "⏳ Pendiente","❌ No ingresada")),
   "❌ No ingresada"
)</f>
        <v>✅ En proceso</v>
      </c>
      <c r="C915" s="255" t="str">
        <f t="array" ref="C915">IFERROR(
   IF(INDEX([1]PCRs!B:B,MATCH(LEFT($A915,6)&amp;"*",[1]PCRs!A:A,0))="Positivo",
      "✅ Positivo",
      IF(INDEX([1]PCRs!B:B,MATCH(LEFT($A915,6)&amp;"*",[1]PCRs!A:A,0))="Negativo",
         "❌ Negativo",
         "⏳ No realizado")),
   "⏳ No realizado"
)</f>
        <v>✅ Positivo</v>
      </c>
      <c r="D915" s="255" t="str">
        <f>IFERROR(
   CHOOSE(
      MATCH(VLOOKUP(LEFT(A962,6)&amp;"*",'Identificación genética'!A:C,2,FALSE),
               {"En proceso";"Finalizado"},0),
      "🔬 En proceso",
      "🎯 Finalizado"
   ),
"❌ NA")</f>
        <v>🎯 Finalizado</v>
      </c>
      <c r="E915" t="s">
        <v>85</v>
      </c>
      <c r="F915" s="575">
        <v>45933</v>
      </c>
      <c r="G915" t="str">
        <f>_xlfn.XLOOKUP(A915, Extraídas!A:A, Extraídas!G:G, "")</f>
        <v>Microalgas</v>
      </c>
    </row>
    <row r="916" spans="1:7" x14ac:dyDescent="0.3">
      <c r="A916" s="421" t="s">
        <v>2257</v>
      </c>
      <c r="B916" s="255" t="str">
        <f>IFERROR(
   IF(INDEX(Extraídas!B:B,MATCH(LEFT($A916,6)&amp;"*",Extraídas!A:A,0))="Extraídas",
      "✅ En proceso",
      IF(INDEX(Extraídas!B:B,MATCH(LEFT($A916,6)&amp;"*",Extraídas!A:A,0))="Recibidas",
         "⏳ Pendiente","❌ No ingresada")),
   "❌ No ingresada"
)</f>
        <v>❌ No ingresada</v>
      </c>
      <c r="C916" s="255" t="str">
        <f t="array" ref="C916">IFERROR(
   IF(INDEX([1]PCRs!B:B,MATCH(LEFT($A916,6)&amp;"*",[1]PCRs!A:A,0))="Positivo",
      "✅ Positivo",
      IF(INDEX([1]PCRs!B:B,MATCH(LEFT($A916,6)&amp;"*",[1]PCRs!A:A,0))="Negativo",
         "❌ Negativo",
         "⏳ No realizado")),
   "⏳ No realizado"
)</f>
        <v>✅ Positivo</v>
      </c>
      <c r="D916" s="255" t="str">
        <f>IFERROR(
   CHOOSE(
      MATCH(VLOOKUP(LEFT(A963,6)&amp;"*",'Identificación genética'!A:C,2,FALSE),
               {"En proceso";"Finalizado"},0),
      "🔬 En proceso",
      "🎯 Finalizado"
   ),
"❌ NA")</f>
        <v>❌ NA</v>
      </c>
      <c r="E916" t="s">
        <v>85</v>
      </c>
      <c r="G916" t="str">
        <f>_xlfn.XLOOKUP(A916, Extraídas!A:A, Extraídas!G:G, "")</f>
        <v/>
      </c>
    </row>
    <row r="917" spans="1:7" x14ac:dyDescent="0.3">
      <c r="A917" s="352" t="s">
        <v>2198</v>
      </c>
      <c r="B917" s="255" t="str">
        <f>IFERROR(
   IF(INDEX(Extraídas!B:B,MATCH(LEFT($A917,6)&amp;"*",Extraídas!A:A,0))="Extraídas",
      "✅ En proceso",
      IF(INDEX(Extraídas!B:B,MATCH(LEFT($A917,6)&amp;"*",Extraídas!A:A,0))="Recibidas",
         "⏳ Pendiente","❌ No ingresada")),
   "❌ No ingresada"
)</f>
        <v>✅ En proceso</v>
      </c>
      <c r="C917" s="255" t="str">
        <f t="array" ref="C917">IFERROR(
   IF(INDEX([1]PCRs!B:B,MATCH(LEFT($A917,6)&amp;"*",[1]PCRs!A:A,0))="Positivo",
      "✅ Positivo",
      IF(INDEX([1]PCRs!B:B,MATCH(LEFT($A917,6)&amp;"*",[1]PCRs!A:A,0))="Negativo",
         "❌ Negativo",
         "⏳ No realizado")),
   "⏳ No realizado"
)</f>
        <v>✅ Positivo</v>
      </c>
      <c r="D917" s="255" t="str">
        <f>IFERROR(
   CHOOSE(
      MATCH(VLOOKUP(LEFT(A964,6)&amp;"*",'Identificación genética'!A:C,2,FALSE),
               {"En proceso";"Finalizado"},0),
      "🔬 En proceso",
      "🎯 Finalizado"
   ),
"❌ NA")</f>
        <v>🎯 Finalizado</v>
      </c>
      <c r="E917" t="s">
        <v>85</v>
      </c>
      <c r="G917" t="str">
        <f>_xlfn.XLOOKUP(A917, Extraídas!A:A, Extraídas!G:G, "")</f>
        <v/>
      </c>
    </row>
    <row r="918" spans="1:7" x14ac:dyDescent="0.3">
      <c r="A918" s="655" t="s">
        <v>956</v>
      </c>
      <c r="B918" s="255" t="str">
        <f>IFERROR(
   IF(INDEX(Extraídas!B:B,MATCH(LEFT($A918,6)&amp;"*",Extraídas!A:A,0))="Extraídas",
      "✅ En proceso",
      IF(INDEX(Extraídas!B:B,MATCH(LEFT($A918,6)&amp;"*",Extraídas!A:A,0))="Recibidas",
         "⏳ Pendiente","❌ No ingresada")),
   "❌ No ingresada"
)</f>
        <v>✅ En proceso</v>
      </c>
      <c r="C918" s="255" t="str">
        <f t="array" ref="C918">IFERROR(
   IF(INDEX([1]PCRs!B:B,MATCH(LEFT($A918,6)&amp;"*",[1]PCRs!A:A,0))="Positivo",
      "✅ Positivo",
      IF(INDEX([1]PCRs!B:B,MATCH(LEFT($A918,6)&amp;"*",[1]PCRs!A:A,0))="Negativo",
         "❌ Negativo",
         "⏳ No realizado")),
   "⏳ No realizado"
)</f>
        <v>✅ Positivo</v>
      </c>
      <c r="D918" s="255" t="str">
        <f>IFERROR(
   CHOOSE(
      MATCH(VLOOKUP(LEFT(A965,6)&amp;"*",'Identificación genética'!A:C,2,FALSE),
               {"En proceso";"Finalizado"},0),
      "🔬 En proceso",
      "🎯 Finalizado"
   ),
"❌ NA")</f>
        <v>❌ NA</v>
      </c>
      <c r="E918" t="s">
        <v>85</v>
      </c>
      <c r="F918" s="579">
        <v>45817</v>
      </c>
      <c r="G918" t="str">
        <f>_xlfn.XLOOKUP(A918, Extraídas!A:A, Extraídas!G:G, "")</f>
        <v>Cianobacterias</v>
      </c>
    </row>
    <row r="919" spans="1:7" x14ac:dyDescent="0.3">
      <c r="A919" s="352" t="s">
        <v>2199</v>
      </c>
      <c r="B919" s="255" t="str">
        <f>IFERROR(
   IF(INDEX(Extraídas!B:B,MATCH(LEFT($A919,6)&amp;"*",Extraídas!A:A,0))="Extraídas",
      "✅ En proceso",
      IF(INDEX(Extraídas!B:B,MATCH(LEFT($A919,6)&amp;"*",Extraídas!A:A,0))="Recibidas",
         "⏳ Pendiente","❌ No ingresada")),
   "❌ No ingresada"
)</f>
        <v>✅ En proceso</v>
      </c>
      <c r="C919" s="255" t="str">
        <f t="array" ref="C919">IFERROR(
   IF(INDEX([1]PCRs!B:B,MATCH(LEFT($A919,6)&amp;"*",[1]PCRs!A:A,0))="Positivo",
      "✅ Positivo",
      IF(INDEX([1]PCRs!B:B,MATCH(LEFT($A919,6)&amp;"*",[1]PCRs!A:A,0))="Negativo",
         "❌ Negativo",
         "⏳ No realizado")),
   "⏳ No realizado"
)</f>
        <v>✅ Positivo</v>
      </c>
      <c r="D919" s="255" t="str">
        <f>IFERROR(
   CHOOSE(
      MATCH(VLOOKUP(LEFT(A966,6)&amp;"*",'Identificación genética'!A:C,2,FALSE),
               {"En proceso";"Finalizado"},0),
      "🔬 En proceso",
      "🎯 Finalizado"
   ),
"❌ NA")</f>
        <v>🎯 Finalizado</v>
      </c>
      <c r="E919" t="s">
        <v>85</v>
      </c>
      <c r="G919" t="str">
        <f>_xlfn.XLOOKUP(A919, Extraídas!A:A, Extraídas!G:G, "")</f>
        <v/>
      </c>
    </row>
    <row r="920" spans="1:7" x14ac:dyDescent="0.3">
      <c r="A920" s="655" t="s">
        <v>957</v>
      </c>
      <c r="B920" s="255" t="str">
        <f>IFERROR(
   IF(INDEX(Extraídas!B:B,MATCH(LEFT($A920,6)&amp;"*",Extraídas!A:A,0))="Extraídas",
      "✅ En proceso",
      IF(INDEX(Extraídas!B:B,MATCH(LEFT($A920,6)&amp;"*",Extraídas!A:A,0))="Recibidas",
         "⏳ Pendiente","❌ No ingresada")),
   "❌ No ingresada"
)</f>
        <v>✅ En proceso</v>
      </c>
      <c r="C920" s="255" t="str">
        <f t="array" ref="C920">IFERROR(
   IF(INDEX([1]PCRs!B:B,MATCH(LEFT($A920,6)&amp;"*",[1]PCRs!A:A,0))="Positivo",
      "✅ Positivo",
      IF(INDEX([1]PCRs!B:B,MATCH(LEFT($A920,6)&amp;"*",[1]PCRs!A:A,0))="Negativo",
         "❌ Negativo",
         "⏳ No realizado")),
   "⏳ No realizado"
)</f>
        <v>✅ Positivo</v>
      </c>
      <c r="D920" s="255" t="str">
        <f>IFERROR(
   CHOOSE(
      MATCH(VLOOKUP(LEFT(A967,6)&amp;"*",'Identificación genética'!A:C,2,FALSE),
               {"En proceso";"Finalizado"},0),
      "🔬 En proceso",
      "🎯 Finalizado"
   ),
"❌ NA")</f>
        <v>❌ NA</v>
      </c>
      <c r="E920" t="s">
        <v>85</v>
      </c>
      <c r="F920" s="579">
        <v>45817</v>
      </c>
      <c r="G920" t="str">
        <f>_xlfn.XLOOKUP(A920, Extraídas!A:A, Extraídas!G:G, "")</f>
        <v>Cianobacterias</v>
      </c>
    </row>
    <row r="921" spans="1:7" x14ac:dyDescent="0.3">
      <c r="A921" s="352" t="s">
        <v>2200</v>
      </c>
      <c r="B921" s="255" t="str">
        <f>IFERROR(
   IF(INDEX(Extraídas!B:B,MATCH(LEFT($A921,6)&amp;"*",Extraídas!A:A,0))="Extraídas",
      "✅ En proceso",
      IF(INDEX(Extraídas!B:B,MATCH(LEFT($A921,6)&amp;"*",Extraídas!A:A,0))="Recibidas",
         "⏳ Pendiente","❌ No ingresada")),
   "❌ No ingresada"
)</f>
        <v>✅ En proceso</v>
      </c>
      <c r="C921" s="255" t="str">
        <f t="array" ref="C921">IFERROR(
   IF(INDEX([1]PCRs!B:B,MATCH(LEFT($A921,6)&amp;"*",[1]PCRs!A:A,0))="Positivo",
      "✅ Positivo",
      IF(INDEX([1]PCRs!B:B,MATCH(LEFT($A921,6)&amp;"*",[1]PCRs!A:A,0))="Negativo",
         "❌ Negativo",
         "⏳ No realizado")),
   "⏳ No realizado"
)</f>
        <v>❌ Negativo</v>
      </c>
      <c r="D921" s="255" t="str">
        <f>IFERROR(
   CHOOSE(
      MATCH(VLOOKUP(LEFT(A968,6)&amp;"*",'Identificación genética'!A:C,2,FALSE),
               {"En proceso";"Finalizado"},0),
      "🔬 En proceso",
      "🎯 Finalizado"
   ),
"❌ NA")</f>
        <v>❌ NA</v>
      </c>
      <c r="E921" t="s">
        <v>85</v>
      </c>
      <c r="G921" t="str">
        <f>_xlfn.XLOOKUP(A921, Extraídas!A:A, Extraídas!G:G, "")</f>
        <v/>
      </c>
    </row>
    <row r="922" spans="1:7" x14ac:dyDescent="0.3">
      <c r="A922" s="655" t="s">
        <v>958</v>
      </c>
      <c r="B922" s="255" t="str">
        <f>IFERROR(
   IF(INDEX(Extraídas!B:B,MATCH(LEFT($A922,6)&amp;"*",Extraídas!A:A,0))="Extraídas",
      "✅ En proceso",
      IF(INDEX(Extraídas!B:B,MATCH(LEFT($A922,6)&amp;"*",Extraídas!A:A,0))="Recibidas",
         "⏳ Pendiente","❌ No ingresada")),
   "❌ No ingresada"
)</f>
        <v>✅ En proceso</v>
      </c>
      <c r="C922" s="255" t="str">
        <f t="array" ref="C922">IFERROR(
   IF(INDEX([1]PCRs!B:B,MATCH(LEFT($A922,6)&amp;"*",[1]PCRs!A:A,0))="Positivo",
      "✅ Positivo",
      IF(INDEX([1]PCRs!B:B,MATCH(LEFT($A922,6)&amp;"*",[1]PCRs!A:A,0))="Negativo",
         "❌ Negativo",
         "⏳ No realizado")),
   "⏳ No realizado"
)</f>
        <v>❌ Negativo</v>
      </c>
      <c r="D922" s="255" t="str">
        <f>IFERROR(
   CHOOSE(
      MATCH(VLOOKUP(LEFT(A969,6)&amp;"*",'Identificación genética'!A:C,2,FALSE),
               {"En proceso";"Finalizado"},0),
      "🔬 En proceso",
      "🎯 Finalizado"
   ),
"❌ NA")</f>
        <v>❌ NA</v>
      </c>
      <c r="E922" t="s">
        <v>85</v>
      </c>
      <c r="F922" s="579">
        <v>45789</v>
      </c>
      <c r="G922" t="str">
        <f>_xlfn.XLOOKUP(A922, Extraídas!A:A, Extraídas!G:G, "")</f>
        <v>Cianobacterias</v>
      </c>
    </row>
    <row r="923" spans="1:7" x14ac:dyDescent="0.3">
      <c r="A923" s="654" t="s">
        <v>959</v>
      </c>
      <c r="B923" s="255" t="str">
        <f>IFERROR(
   IF(INDEX(Extraídas!B:B,MATCH(LEFT($A923,6)&amp;"*",Extraídas!A:A,0))="Extraídas",
      "✅ En proceso",
      IF(INDEX(Extraídas!B:B,MATCH(LEFT($A923,6)&amp;"*",Extraídas!A:A,0))="Recibidas",
         "⏳ Pendiente","❌ No ingresada")),
   "❌ No ingresada"
)</f>
        <v>✅ En proceso</v>
      </c>
      <c r="C923" s="255" t="str">
        <f t="array" ref="C923">IFERROR(
   IF(INDEX([1]PCRs!B:B,MATCH(LEFT($A923,6)&amp;"*",[1]PCRs!A:A,0))="Positivo",
      "✅ Positivo",
      IF(INDEX([1]PCRs!B:B,MATCH(LEFT($A923,6)&amp;"*",[1]PCRs!A:A,0))="Negativo",
         "❌ Negativo",
         "⏳ No realizado")),
   "⏳ No realizado"
)</f>
        <v>❌ Negativo</v>
      </c>
      <c r="D923" s="255" t="str">
        <f>IFERROR(
   CHOOSE(
      MATCH(VLOOKUP(LEFT(A970,6)&amp;"*",'Identificación genética'!A:C,2,FALSE),
               {"En proceso";"Finalizado"},0),
      "🔬 En proceso",
      "🎯 Finalizado"
   ),
"❌ NA")</f>
        <v>❌ NA</v>
      </c>
      <c r="E923" t="s">
        <v>85</v>
      </c>
      <c r="F923" s="579">
        <v>45817</v>
      </c>
      <c r="G923" t="str">
        <f>_xlfn.XLOOKUP(A923, Extraídas!A:A, Extraídas!G:G, "")</f>
        <v>Cianobacterias</v>
      </c>
    </row>
    <row r="924" spans="1:7" x14ac:dyDescent="0.3">
      <c r="A924" s="485" t="s">
        <v>1215</v>
      </c>
      <c r="B924" s="255" t="str">
        <f>IFERROR(
   IF(INDEX(Extraídas!B:B,MATCH(LEFT($A924,6)&amp;"*",Extraídas!A:A,0))="Extraídas",
      "✅ En proceso",
      IF(INDEX(Extraídas!B:B,MATCH(LEFT($A924,6)&amp;"*",Extraídas!A:A,0))="Recibidas",
         "⏳ Pendiente","❌ No ingresada")),
   "❌ No ingresada"
)</f>
        <v>✅ En proceso</v>
      </c>
      <c r="C924" s="255" t="str">
        <f t="array" ref="C924">IFERROR(
   IF(INDEX([1]PCRs!B:B,MATCH(LEFT($A924,6)&amp;"*",[1]PCRs!A:A,0))="Positivo",
      "✅ Positivo",
      IF(INDEX([1]PCRs!B:B,MATCH(LEFT($A924,6)&amp;"*",[1]PCRs!A:A,0))="Negativo",
         "❌ Negativo",
         "⏳ No realizado")),
   "⏳ No realizado"
)</f>
        <v>❌ Negativo</v>
      </c>
      <c r="D924" s="255" t="str">
        <f>IFERROR(
   CHOOSE(
      MATCH(VLOOKUP(LEFT(A971,6)&amp;"*",'Identificación genética'!A:C,2,FALSE),
               {"En proceso";"Finalizado"},0),
      "🔬 En proceso",
      "🎯 Finalizado"
   ),
"❌ NA")</f>
        <v>❌ NA</v>
      </c>
      <c r="E924" t="s">
        <v>85</v>
      </c>
      <c r="G924" t="str">
        <f>_xlfn.XLOOKUP(A924, Extraídas!A:A, Extraídas!G:G, "")</f>
        <v/>
      </c>
    </row>
    <row r="925" spans="1:7" x14ac:dyDescent="0.3">
      <c r="A925" s="653" t="s">
        <v>960</v>
      </c>
      <c r="B925" s="255" t="str">
        <f>IFERROR(
   IF(INDEX(Extraídas!B:B,MATCH(LEFT($A925,6)&amp;"*",Extraídas!A:A,0))="Extraídas",
      "✅ En proceso",
      IF(INDEX(Extraídas!B:B,MATCH(LEFT($A925,6)&amp;"*",Extraídas!A:A,0))="Recibidas",
         "⏳ Pendiente","❌ No ingresada")),
   "❌ No ingresada"
)</f>
        <v>✅ En proceso</v>
      </c>
      <c r="C925" s="255" t="str">
        <f t="array" ref="C925">IFERROR(
   IF(INDEX([1]PCRs!B:B,MATCH(LEFT($A925,6)&amp;"*",[1]PCRs!A:A,0))="Positivo",
      "✅ Positivo",
      IF(INDEX([1]PCRs!B:B,MATCH(LEFT($A925,6)&amp;"*",[1]PCRs!A:A,0))="Negativo",
         "❌ Negativo",
         "⏳ No realizado")),
   "⏳ No realizado"
)</f>
        <v>❌ Negativo</v>
      </c>
      <c r="D925" s="255" t="str">
        <f>IFERROR(
   CHOOSE(
      MATCH(VLOOKUP(LEFT(A972,6)&amp;"*",'Identificación genética'!A:C,2,FALSE),
               {"En proceso";"Finalizado"},0),
      "🔬 En proceso",
      "🎯 Finalizado"
   ),
"❌ NA")</f>
        <v>🎯 Finalizado</v>
      </c>
      <c r="E925" t="s">
        <v>85</v>
      </c>
      <c r="F925" s="55">
        <v>45940</v>
      </c>
      <c r="G925" t="str">
        <f>_xlfn.XLOOKUP(A925, Extraídas!A:A, Extraídas!G:G, "")</f>
        <v>Microalgas</v>
      </c>
    </row>
    <row r="926" spans="1:7" x14ac:dyDescent="0.3">
      <c r="A926" s="653" t="s">
        <v>961</v>
      </c>
      <c r="B926" s="255" t="str">
        <f>IFERROR(
   IF(INDEX(Extraídas!B:B,MATCH(LEFT($A926,6)&amp;"*",Extraídas!A:A,0))="Extraídas",
      "✅ En proceso",
      IF(INDEX(Extraídas!B:B,MATCH(LEFT($A926,6)&amp;"*",Extraídas!A:A,0))="Recibidas",
         "⏳ Pendiente","❌ No ingresada")),
   "❌ No ingresada"
)</f>
        <v>✅ En proceso</v>
      </c>
      <c r="C926" s="255" t="str">
        <f t="array" ref="C926">IFERROR(
   IF(INDEX([1]PCRs!B:B,MATCH(LEFT($A926,6)&amp;"*",[1]PCRs!A:A,0))="Positivo",
      "✅ Positivo",
      IF(INDEX([1]PCRs!B:B,MATCH(LEFT($A926,6)&amp;"*",[1]PCRs!A:A,0))="Negativo",
         "❌ Negativo",
         "⏳ No realizado")),
   "⏳ No realizado"
)</f>
        <v>❌ Negativo</v>
      </c>
      <c r="D926" s="255" t="str">
        <f>IFERROR(
   CHOOSE(
      MATCH(VLOOKUP(LEFT(A973,6)&amp;"*",'Identificación genética'!A:C,2,FALSE),
               {"En proceso";"Finalizado"},0),
      "🔬 En proceso",
      "🎯 Finalizado"
   ),
"❌ NA")</f>
        <v>❌ NA</v>
      </c>
      <c r="E926" t="s">
        <v>85</v>
      </c>
      <c r="F926" s="55">
        <v>45940</v>
      </c>
      <c r="G926" t="str">
        <f>_xlfn.XLOOKUP(A926, Extraídas!A:A, Extraídas!G:G, "")</f>
        <v>Microalgas</v>
      </c>
    </row>
    <row r="927" spans="1:7" x14ac:dyDescent="0.3">
      <c r="A927" s="485" t="s">
        <v>1216</v>
      </c>
      <c r="B927" s="255" t="str">
        <f>IFERROR(
   IF(INDEX(Extraídas!B:B,MATCH(LEFT($A927,6)&amp;"*",Extraídas!A:A,0))="Extraídas",
      "✅ En proceso",
      IF(INDEX(Extraídas!B:B,MATCH(LEFT($A927,6)&amp;"*",Extraídas!A:A,0))="Recibidas",
         "⏳ Pendiente","❌ No ingresada")),
   "❌ No ingresada"
)</f>
        <v>✅ En proceso</v>
      </c>
      <c r="C927" s="255" t="str">
        <f t="array" ref="C927">IFERROR(
   IF(INDEX([1]PCRs!B:B,MATCH(LEFT($A927,6)&amp;"*",[1]PCRs!A:A,0))="Positivo",
      "✅ Positivo",
      IF(INDEX([1]PCRs!B:B,MATCH(LEFT($A927,6)&amp;"*",[1]PCRs!A:A,0))="Negativo",
         "❌ Negativo",
         "⏳ No realizado")),
   "⏳ No realizado"
)</f>
        <v>❌ Negativo</v>
      </c>
      <c r="D927" s="255" t="str">
        <f>IFERROR(
   CHOOSE(
      MATCH(VLOOKUP(LEFT(A974,6)&amp;"*",'Identificación genética'!A:C,2,FALSE),
               {"En proceso";"Finalizado"},0),
      "🔬 En proceso",
      "🎯 Finalizado"
   ),
"❌ NA")</f>
        <v>❌ NA</v>
      </c>
      <c r="E927" t="s">
        <v>85</v>
      </c>
      <c r="G927" t="str">
        <f>_xlfn.XLOOKUP(A927, Extraídas!A:A, Extraídas!G:G, "")</f>
        <v/>
      </c>
    </row>
    <row r="928" spans="1:7" x14ac:dyDescent="0.3">
      <c r="A928" s="485" t="s">
        <v>1217</v>
      </c>
      <c r="B928" s="255" t="str">
        <f>IFERROR(
   IF(INDEX(Extraídas!B:B,MATCH(LEFT($A928,6)&amp;"*",Extraídas!A:A,0))="Extraídas",
      "✅ En proceso",
      IF(INDEX(Extraídas!B:B,MATCH(LEFT($A928,6)&amp;"*",Extraídas!A:A,0))="Recibidas",
         "⏳ Pendiente","❌ No ingresada")),
   "❌ No ingresada"
)</f>
        <v>✅ En proceso</v>
      </c>
      <c r="C928" s="255" t="str">
        <f t="array" ref="C928">IFERROR(
   IF(INDEX([1]PCRs!B:B,MATCH(LEFT($A928,6)&amp;"*",[1]PCRs!A:A,0))="Positivo",
      "✅ Positivo",
      IF(INDEX([1]PCRs!B:B,MATCH(LEFT($A928,6)&amp;"*",[1]PCRs!A:A,0))="Negativo",
         "❌ Negativo",
         "⏳ No realizado")),
   "⏳ No realizado"
)</f>
        <v>❌ Negativo</v>
      </c>
      <c r="D928" s="255" t="str">
        <f>IFERROR(
   CHOOSE(
      MATCH(VLOOKUP(LEFT(A975,6)&amp;"*",'Identificación genética'!A:C,2,FALSE),
               {"En proceso";"Finalizado"},0),
      "🔬 En proceso",
      "🎯 Finalizado"
   ),
"❌ NA")</f>
        <v>❌ NA</v>
      </c>
      <c r="E928" t="s">
        <v>85</v>
      </c>
      <c r="G928" t="str">
        <f>_xlfn.XLOOKUP(A928, Extraídas!A:A, Extraídas!G:G, "")</f>
        <v/>
      </c>
    </row>
    <row r="929" spans="1:7" x14ac:dyDescent="0.3">
      <c r="A929" s="653" t="s">
        <v>962</v>
      </c>
      <c r="B929" s="255" t="str">
        <f>IFERROR(
   IF(INDEX(Extraídas!B:B,MATCH(LEFT($A929,6)&amp;"*",Extraídas!A:A,0))="Extraídas",
      "✅ En proceso",
      IF(INDEX(Extraídas!B:B,MATCH(LEFT($A929,6)&amp;"*",Extraídas!A:A,0))="Recibidas",
         "⏳ Pendiente","❌ No ingresada")),
   "❌ No ingresada"
)</f>
        <v>✅ En proceso</v>
      </c>
      <c r="C929" s="255" t="str">
        <f t="array" ref="C929">IFERROR(
   IF(INDEX([1]PCRs!B:B,MATCH(LEFT($A929,6)&amp;"*",[1]PCRs!A:A,0))="Positivo",
      "✅ Positivo",
      IF(INDEX([1]PCRs!B:B,MATCH(LEFT($A929,6)&amp;"*",[1]PCRs!A:A,0))="Negativo",
         "❌ Negativo",
         "⏳ No realizado")),
   "⏳ No realizado"
)</f>
        <v>❌ Negativo</v>
      </c>
      <c r="D929" s="255" t="str">
        <f>IFERROR(
   CHOOSE(
      MATCH(VLOOKUP(LEFT(A976,6)&amp;"*",'Identificación genética'!A:C,2,FALSE),
               {"En proceso";"Finalizado"},0),
      "🔬 En proceso",
      "🎯 Finalizado"
   ),
"❌ NA")</f>
        <v>🎯 Finalizado</v>
      </c>
      <c r="E929" t="s">
        <v>85</v>
      </c>
      <c r="F929" s="55">
        <v>45940</v>
      </c>
      <c r="G929" t="str">
        <f>_xlfn.XLOOKUP(A929, Extraídas!A:A, Extraídas!G:G, "")</f>
        <v>Microalgas</v>
      </c>
    </row>
    <row r="930" spans="1:7" x14ac:dyDescent="0.3">
      <c r="A930" s="653" t="s">
        <v>963</v>
      </c>
      <c r="B930" s="255" t="str">
        <f>IFERROR(
   IF(INDEX(Extraídas!B:B,MATCH(LEFT($A930,6)&amp;"*",Extraídas!A:A,0))="Extraídas",
      "✅ En proceso",
      IF(INDEX(Extraídas!B:B,MATCH(LEFT($A930,6)&amp;"*",Extraídas!A:A,0))="Recibidas",
         "⏳ Pendiente","❌ No ingresada")),
   "❌ No ingresada"
)</f>
        <v>✅ En proceso</v>
      </c>
      <c r="C930" s="255" t="str">
        <f t="array" ref="C930">IFERROR(
   IF(INDEX([1]PCRs!B:B,MATCH(LEFT($A930,6)&amp;"*",[1]PCRs!A:A,0))="Positivo",
      "✅ Positivo",
      IF(INDEX([1]PCRs!B:B,MATCH(LEFT($A930,6)&amp;"*",[1]PCRs!A:A,0))="Negativo",
         "❌ Negativo",
         "⏳ No realizado")),
   "⏳ No realizado"
)</f>
        <v>❌ Negativo</v>
      </c>
      <c r="D930" s="255" t="str">
        <f>IFERROR(
   CHOOSE(
      MATCH(VLOOKUP(LEFT(A977,6)&amp;"*",'Identificación genética'!A:C,2,FALSE),
               {"En proceso";"Finalizado"},0),
      "🔬 En proceso",
      "🎯 Finalizado"
   ),
"❌ NA")</f>
        <v>❌ NA</v>
      </c>
      <c r="E930" t="s">
        <v>85</v>
      </c>
      <c r="F930" s="55">
        <v>45940</v>
      </c>
      <c r="G930" t="str">
        <f>_xlfn.XLOOKUP(A930, Extraídas!A:A, Extraídas!G:G, "")</f>
        <v>Microalgas</v>
      </c>
    </row>
    <row r="931" spans="1:7" x14ac:dyDescent="0.3">
      <c r="A931" s="653" t="s">
        <v>964</v>
      </c>
      <c r="B931" s="255" t="str">
        <f t="array" ref="B931">IFERROR(
   IF(INDEX([1]Extraídas!B:B,MATCH(LEFT($A931,6)&amp;"*",[1]Extraídas!A:A,0))="Extraídas",
      "✅ En proceso",
      IF(INDEX([1]Extraídas!B:B,MATCH(LEFT($A931,6)&amp;"*",[1]Extraídas!A:A,0))="Recibidas",
         "⏳ Pendiente","❌ No ingresada")),
   "❌ No ingresada"
)</f>
        <v>⏳ Pendiente</v>
      </c>
      <c r="C931" s="255" t="str">
        <f t="array" ref="C931">IFERROR(
   IF(INDEX([1]PCRs!B:B,MATCH(LEFT($A931,6)&amp;"*",[1]PCRs!A:A,0))="Positivo",
      "✅ Positivo",
      IF(INDEX([1]PCRs!B:B,MATCH(LEFT($A931,6)&amp;"*",[1]PCRs!A:A,0))="Negativo",
         "❌ Negativo",
         "⏳ No realizado")),
   "⏳ No realizado"
)</f>
        <v>⏳ No realizado</v>
      </c>
      <c r="D931" s="255" t="str">
        <f>IFERROR(
   CHOOSE(
      MATCH(VLOOKUP(LEFT(A978,6)&amp;"*",'Identificación genética'!A:C,2,FALSE),
               {"En proceso";"Finalizado"},0),
      "🔬 En proceso",
      "🎯 Finalizado"
   ),
"❌ NA")</f>
        <v>❌ NA</v>
      </c>
      <c r="E931" t="s">
        <v>85</v>
      </c>
      <c r="F931" s="98">
        <v>45940</v>
      </c>
      <c r="G931" t="str">
        <f>_xlfn.XLOOKUP(A931, Extraídas!A:A, Extraídas!G:G, "")</f>
        <v>Cianobacterias</v>
      </c>
    </row>
    <row r="932" spans="1:7" x14ac:dyDescent="0.3">
      <c r="A932" s="653" t="s">
        <v>965</v>
      </c>
      <c r="B932" s="255" t="str">
        <f t="array" ref="B932">IFERROR(
   IF(INDEX([1]Extraídas!B:B,MATCH(LEFT($A932,6)&amp;"*",[1]Extraídas!A:A,0))="Extraídas",
      "✅ En proceso",
      IF(INDEX([1]Extraídas!B:B,MATCH(LEFT($A932,6)&amp;"*",[1]Extraídas!A:A,0))="Recibidas",
         "⏳ Pendiente","❌ No ingresada")),
   "❌ No ingresada"
)</f>
        <v>⏳ Pendiente</v>
      </c>
      <c r="C932" s="255" t="str">
        <f t="array" ref="C932">IFERROR(
   IF(INDEX([1]PCRs!B:B,MATCH(LEFT($A932,6)&amp;"*",[1]PCRs!A:A,0))="Positivo",
      "✅ Positivo",
      IF(INDEX([1]PCRs!B:B,MATCH(LEFT($A932,6)&amp;"*",[1]PCRs!A:A,0))="Negativo",
         "❌ Negativo",
         "⏳ No realizado")),
   "⏳ No realizado"
)</f>
        <v>⏳ No realizado</v>
      </c>
      <c r="D932" s="255" t="str">
        <f>IFERROR(
   CHOOSE(
      MATCH(VLOOKUP(LEFT(A979,6)&amp;"*",'Identificación genética'!A:C,2,FALSE),
               {"En proceso";"Finalizado"},0),
      "🔬 En proceso",
      "🎯 Finalizado"
   ),
"❌ NA")</f>
        <v>❌ NA</v>
      </c>
      <c r="E932" t="s">
        <v>85</v>
      </c>
      <c r="F932" s="98">
        <v>45926</v>
      </c>
      <c r="G932" t="str">
        <f>_xlfn.XLOOKUP(A932, Extraídas!A:A, Extraídas!G:G, "")</f>
        <v>Microalgas</v>
      </c>
    </row>
    <row r="933" spans="1:7" x14ac:dyDescent="0.3">
      <c r="A933" s="653" t="s">
        <v>966</v>
      </c>
      <c r="B933" s="255" t="str">
        <f t="array" ref="B933">IFERROR(
   IF(INDEX([1]Extraídas!B:B,MATCH(LEFT($A933,6)&amp;"*",[1]Extraídas!A:A,0))="Extraídas",
      "✅ En proceso",
      IF(INDEX([1]Extraídas!B:B,MATCH(LEFT($A933,6)&amp;"*",[1]Extraídas!A:A,0))="Recibidas",
         "⏳ Pendiente","❌ No ingresada")),
   "❌ No ingresada"
)</f>
        <v>⏳ Pendiente</v>
      </c>
      <c r="C933" s="255" t="str">
        <f t="array" ref="C933">IFERROR(
   IF(INDEX([1]PCRs!B:B,MATCH(LEFT($A933,6)&amp;"*",[1]PCRs!A:A,0))="Positivo",
      "✅ Positivo",
      IF(INDEX([1]PCRs!B:B,MATCH(LEFT($A933,6)&amp;"*",[1]PCRs!A:A,0))="Negativo",
         "❌ Negativo",
         "⏳ No realizado")),
   "⏳ No realizado"
)</f>
        <v>⏳ No realizado</v>
      </c>
      <c r="D933" s="255" t="str">
        <f>IFERROR(
   CHOOSE(
      MATCH(VLOOKUP(LEFT(A980,6)&amp;"*",'Identificación genética'!A:C,2,FALSE),
               {"En proceso";"Finalizado"},0),
      "🔬 En proceso",
      "🎯 Finalizado"
   ),
"❌ NA")</f>
        <v>❌ NA</v>
      </c>
      <c r="E933" t="s">
        <v>85</v>
      </c>
      <c r="F933" s="98">
        <v>45926</v>
      </c>
      <c r="G933" t="str">
        <f>_xlfn.XLOOKUP(A933, Extraídas!A:A, Extraídas!G:G, "")</f>
        <v>Microalgas</v>
      </c>
    </row>
    <row r="934" spans="1:7" x14ac:dyDescent="0.3">
      <c r="A934" s="653" t="s">
        <v>967</v>
      </c>
      <c r="B934" s="255" t="str">
        <f t="array" ref="B934">IFERROR(
   IF(INDEX([1]Extraídas!B:B,MATCH(LEFT($A934,6)&amp;"*",[1]Extraídas!A:A,0))="Extraídas",
      "✅ En proceso",
      IF(INDEX([1]Extraídas!B:B,MATCH(LEFT($A934,6)&amp;"*",[1]Extraídas!A:A,0))="Recibidas",
         "⏳ Pendiente","❌ No ingresada")),
   "❌ No ingresada"
)</f>
        <v>⏳ Pendiente</v>
      </c>
      <c r="C934" s="255" t="str">
        <f t="array" ref="C934">IFERROR(
   IF(INDEX([1]PCRs!B:B,MATCH(LEFT($A934,6)&amp;"*",[1]PCRs!A:A,0))="Positivo",
      "✅ Positivo",
      IF(INDEX([1]PCRs!B:B,MATCH(LEFT($A934,6)&amp;"*",[1]PCRs!A:A,0))="Negativo",
         "❌ Negativo",
         "⏳ No realizado")),
   "⏳ No realizado"
)</f>
        <v>⏳ No realizado</v>
      </c>
      <c r="D934" s="255" t="str">
        <f>IFERROR(
   CHOOSE(
      MATCH(VLOOKUP(LEFT(A981,6)&amp;"*",'Identificación genética'!A:C,2,FALSE),
               {"En proceso";"Finalizado"},0),
      "🔬 En proceso",
      "🎯 Finalizado"
   ),
"❌ NA")</f>
        <v>❌ NA</v>
      </c>
      <c r="E934" t="s">
        <v>85</v>
      </c>
      <c r="F934" s="98">
        <v>45929</v>
      </c>
      <c r="G934" t="str">
        <f>_xlfn.XLOOKUP(A934, Extraídas!A:A, Extraídas!G:G, "")</f>
        <v>Cianobacterias</v>
      </c>
    </row>
    <row r="935" spans="1:7" x14ac:dyDescent="0.3">
      <c r="A935" s="474" t="s">
        <v>2275</v>
      </c>
      <c r="B935" t="str">
        <f t="array" ref="B935">IFERROR(
   IF(INDEX([1]Extraídas!B:B,MATCH(LEFT($A935,6)&amp;"*",[1]Extraídas!A:A,0))="Extraídas",
      "✅ En proceso",
      IF(INDEX([1]Extraídas!B:B,MATCH(LEFT($A935,6)&amp;"*",[1]Extraídas!A:A,0))="Recibidas",
         "⏳ Pendiente","❌ No ingresada")),
   "❌ No ingresada"
)</f>
        <v>❌ No ingresada</v>
      </c>
      <c r="C935" s="255" t="str">
        <f t="array" ref="C935">IFERROR(
   IF(INDEX([1]PCRs!B:B,MATCH(LEFT($A935,6)&amp;"*",[1]PCRs!A:A,0))="Positivo",
      "✅ Positivo",
      IF(INDEX([1]PCRs!B:B,MATCH(LEFT($A935,6)&amp;"*",[1]PCRs!A:A,0))="Negativo",
         "❌ Negativo",
         "⏳ No realizado")),
   "⏳ No realizado"
)</f>
        <v>❌ Negativo</v>
      </c>
      <c r="D935" s="255" t="str">
        <f>IFERROR(
   CHOOSE(
      MATCH(VLOOKUP(LEFT(A982,6)&amp;"*",'Identificación genética'!A:C,2,FALSE),
               {"En proceso";"Finalizado"},0),
      "🔬 En proceso",
      "🎯 Finalizado"
   ),
"❌ NA")</f>
        <v>🎯 Finalizado</v>
      </c>
      <c r="E935" t="s">
        <v>85</v>
      </c>
      <c r="G935" t="str">
        <f>_xlfn.XLOOKUP(A935, Extraídas!A:A, Extraídas!G:G, "")</f>
        <v/>
      </c>
    </row>
    <row r="936" spans="1:7" x14ac:dyDescent="0.3">
      <c r="A936" s="474" t="s">
        <v>2181</v>
      </c>
      <c r="B936" s="255" t="str">
        <f>IFERROR(
   IF(INDEX(Extraídas!B:B,MATCH(LEFT($A936,6)&amp;"*",Extraídas!A:A,0))="Extraídas",
      "✅ En proceso",
      IF(INDEX(Extraídas!B:B,MATCH(LEFT($A936,6)&amp;"*",Extraídas!A:A,0))="Recibidas",
         "⏳ Pendiente","❌ No ingresada")),
   "❌ No ingresada"
)</f>
        <v>✅ En proceso</v>
      </c>
      <c r="C936" s="255" t="str">
        <f t="array" ref="C936">IFERROR(
   IF(INDEX([1]PCRs!B:B,MATCH(LEFT($A936,6)&amp;"*",[1]PCRs!A:A,0))="Positivo",
      "✅ Positivo",
      IF(INDEX([1]PCRs!B:B,MATCH(LEFT($A936,6)&amp;"*",[1]PCRs!A:A,0))="Negativo",
         "❌ Negativo",
         "⏳ No realizado")),
   "⏳ No realizado"
)</f>
        <v>❌ Negativo</v>
      </c>
      <c r="D936" s="255" t="str">
        <f>IFERROR(
   CHOOSE(
      MATCH(VLOOKUP(LEFT(A983,6)&amp;"*",'Identificación genética'!A:C,2,FALSE),
               {"En proceso";"Finalizado"},0),
      "🔬 En proceso",
      "🎯 Finalizado"
   ),
"❌ NA")</f>
        <v>❌ NA</v>
      </c>
      <c r="E936" t="s">
        <v>85</v>
      </c>
      <c r="G936" t="str">
        <f>_xlfn.XLOOKUP(A936, Extraídas!A:A, Extraídas!G:G, "")</f>
        <v/>
      </c>
    </row>
    <row r="937" spans="1:7" x14ac:dyDescent="0.3">
      <c r="A937" s="653" t="s">
        <v>968</v>
      </c>
      <c r="B937" s="255" t="str">
        <f>IFERROR(
   IF(INDEX(Extraídas!B:B,MATCH(LEFT($A937,6)&amp;"*",Extraídas!A:A,0))="Extraídas",
      "✅ En proceso",
      IF(INDEX(Extraídas!B:B,MATCH(LEFT($A937,6)&amp;"*",Extraídas!A:A,0))="Recibidas",
         "⏳ Pendiente","❌ No ingresada")),
   "❌ No ingresada"
)</f>
        <v>✅ En proceso</v>
      </c>
      <c r="C937" s="255" t="str">
        <f t="array" ref="C937">IFERROR(
   IF(INDEX([1]PCRs!B:B,MATCH(LEFT($A937,6)&amp;"*",[1]PCRs!A:A,0))="Positivo",
      "✅ Positivo",
      IF(INDEX([1]PCRs!B:B,MATCH(LEFT($A937,6)&amp;"*",[1]PCRs!A:A,0))="Negativo",
         "❌ Negativo",
         "⏳ No realizado")),
   "⏳ No realizado"
)</f>
        <v>❌ Negativo</v>
      </c>
      <c r="D937" s="255" t="str">
        <f>IFERROR(
   CHOOSE(
      MATCH(VLOOKUP(LEFT(A984,6)&amp;"*",'Identificación genética'!A:C,2,FALSE),
               {"En proceso";"Finalizado"},0),
      "🔬 En proceso",
      "🎯 Finalizado"
   ),
"❌ NA")</f>
        <v>🎯 Finalizado</v>
      </c>
      <c r="E937" t="s">
        <v>85</v>
      </c>
      <c r="F937" s="98">
        <v>45932</v>
      </c>
      <c r="G937" t="str">
        <f>_xlfn.XLOOKUP(A937, Extraídas!A:A, Extraídas!G:G, "")</f>
        <v>Microalgas</v>
      </c>
    </row>
    <row r="938" spans="1:7" x14ac:dyDescent="0.3">
      <c r="A938" s="491" t="s">
        <v>2141</v>
      </c>
      <c r="B938" s="255" t="str">
        <f>IFERROR(
   IF(INDEX(Extraídas!B:B,MATCH(LEFT($A938,6)&amp;"*",Extraídas!A:A,0))="Extraídas",
      "✅ En proceso",
      IF(INDEX(Extraídas!B:B,MATCH(LEFT($A938,6)&amp;"*",Extraídas!A:A,0))="Recibidas",
         "⏳ Pendiente","❌ No ingresada")),
   "❌ No ingresada"
)</f>
        <v>✅ En proceso</v>
      </c>
      <c r="C938" s="255" t="str">
        <f t="array" ref="C938">IFERROR(
   IF(INDEX([1]PCRs!B:B,MATCH(LEFT($A938,6)&amp;"*",[1]PCRs!A:A,0))="Positivo",
      "✅ Positivo",
      IF(INDEX([1]PCRs!B:B,MATCH(LEFT($A938,6)&amp;"*",[1]PCRs!A:A,0))="Negativo",
         "❌ Negativo",
         "⏳ No realizado")),
   "⏳ No realizado"
)</f>
        <v>❌ Negativo</v>
      </c>
      <c r="D938" s="255" t="str">
        <f>IFERROR(
   CHOOSE(
      MATCH(VLOOKUP(LEFT(A985,6)&amp;"*",'Identificación genética'!A:C,2,FALSE),
               {"En proceso";"Finalizado"},0),
      "🔬 En proceso",
      "🎯 Finalizado"
   ),
"❌ NA")</f>
        <v>❌ NA</v>
      </c>
      <c r="E938" t="s">
        <v>85</v>
      </c>
      <c r="G938" t="str">
        <f>_xlfn.XLOOKUP(A938, Extraídas!A:A, Extraídas!G:G, "")</f>
        <v/>
      </c>
    </row>
    <row r="939" spans="1:7" x14ac:dyDescent="0.3">
      <c r="A939" s="491" t="s">
        <v>2258</v>
      </c>
      <c r="B939" s="255" t="str">
        <f>IFERROR(
   IF(INDEX(Extraídas!B:B,MATCH(LEFT($A939,6)&amp;"*",Extraídas!A:A,0))="Extraídas",
      "✅ En proceso",
      IF(INDEX(Extraídas!B:B,MATCH(LEFT($A939,6)&amp;"*",Extraídas!A:A,0))="Recibidas",
         "⏳ Pendiente","❌ No ingresada")),
   "❌ No ingresada"
)</f>
        <v>✅ En proceso</v>
      </c>
      <c r="C939" s="255" t="str">
        <f t="array" ref="C939">IFERROR(
   IF(INDEX([1]PCRs!B:B,MATCH(LEFT($A939,6)&amp;"*",[1]PCRs!A:A,0))="Positivo",
      "✅ Positivo",
      IF(INDEX([1]PCRs!B:B,MATCH(LEFT($A939,6)&amp;"*",[1]PCRs!A:A,0))="Negativo",
         "❌ Negativo",
         "⏳ No realizado")),
   "⏳ No realizado"
)</f>
        <v>❌ Negativo</v>
      </c>
      <c r="D939" s="255" t="str">
        <f>IFERROR(
   CHOOSE(
      MATCH(VLOOKUP(LEFT(A986,6)&amp;"*",'Identificación genética'!A:C,2,FALSE),
               {"En proceso";"Finalizado"},0),
      "🔬 En proceso",
      "🎯 Finalizado"
   ),
"❌ NA")</f>
        <v>❌ NA</v>
      </c>
      <c r="E939" t="s">
        <v>85</v>
      </c>
      <c r="G939" t="str">
        <f>_xlfn.XLOOKUP(A939, Extraídas!A:A, Extraídas!G:G, "")</f>
        <v/>
      </c>
    </row>
    <row r="940" spans="1:7" x14ac:dyDescent="0.3">
      <c r="A940" s="474" t="s">
        <v>2182</v>
      </c>
      <c r="B940" s="255" t="str">
        <f>IFERROR(
   IF(INDEX(Extraídas!B:B,MATCH(LEFT($A940,6)&amp;"*",Extraídas!A:A,0))="Extraídas",
      "✅ En proceso",
      IF(INDEX(Extraídas!B:B,MATCH(LEFT($A940,6)&amp;"*",Extraídas!A:A,0))="Recibidas",
         "⏳ Pendiente","❌ No ingresada")),
   "❌ No ingresada"
)</f>
        <v>✅ En proceso</v>
      </c>
      <c r="C940" s="255" t="str">
        <f t="array" ref="C940">IFERROR(
   IF(INDEX([1]PCRs!B:B,MATCH(LEFT($A940,6)&amp;"*",[1]PCRs!A:A,0))="Positivo",
      "✅ Positivo",
      IF(INDEX([1]PCRs!B:B,MATCH(LEFT($A940,6)&amp;"*",[1]PCRs!A:A,0))="Negativo",
         "❌ Negativo",
         "⏳ No realizado")),
   "⏳ No realizado"
)</f>
        <v>❌ Negativo</v>
      </c>
      <c r="D940" s="255" t="str">
        <f>IFERROR(
   CHOOSE(
      MATCH(VLOOKUP(LEFT(A987,6)&amp;"*",'Identificación genética'!A:C,2,FALSE),
               {"En proceso";"Finalizado"},0),
      "🔬 En proceso",
      "🎯 Finalizado"
   ),
"❌ NA")</f>
        <v>❌ NA</v>
      </c>
      <c r="E940" t="s">
        <v>85</v>
      </c>
      <c r="G940" t="str">
        <f>_xlfn.XLOOKUP(A940, Extraídas!A:A, Extraídas!G:G, "")</f>
        <v/>
      </c>
    </row>
    <row r="941" spans="1:7" x14ac:dyDescent="0.3">
      <c r="A941" s="653" t="s">
        <v>969</v>
      </c>
      <c r="B941" s="255" t="str">
        <f>IFERROR(
   IF(INDEX(Extraídas!B:B,MATCH(LEFT($A941,6)&amp;"*",Extraídas!A:A,0))="Extraídas",
      "✅ En proceso",
      IF(INDEX(Extraídas!B:B,MATCH(LEFT($A941,6)&amp;"*",Extraídas!A:A,0))="Recibidas",
         "⏳ Pendiente","❌ No ingresada")),
   "❌ No ingresada"
)</f>
        <v>✅ En proceso</v>
      </c>
      <c r="C941" s="255" t="str">
        <f t="array" ref="C941">IFERROR(
   IF(INDEX([1]PCRs!B:B,MATCH(LEFT($A941,6)&amp;"*",[1]PCRs!A:A,0))="Positivo",
      "✅ Positivo",
      IF(INDEX([1]PCRs!B:B,MATCH(LEFT($A941,6)&amp;"*",[1]PCRs!A:A,0))="Negativo",
         "❌ Negativo",
         "⏳ No realizado")),
   "⏳ No realizado"
)</f>
        <v>❌ Negativo</v>
      </c>
      <c r="D941" s="255" t="str">
        <f>IFERROR(
   CHOOSE(
      MATCH(VLOOKUP(LEFT(A988,6)&amp;"*",'Identificación genética'!A:C,2,FALSE),
               {"En proceso";"Finalizado"},0),
      "🔬 En proceso",
      "🎯 Finalizado"
   ),
"❌ NA")</f>
        <v>❌ NA</v>
      </c>
      <c r="E941" t="s">
        <v>85</v>
      </c>
      <c r="F941" s="53">
        <v>45940</v>
      </c>
      <c r="G941" t="str">
        <f>_xlfn.XLOOKUP(A941, Extraídas!A:A, Extraídas!G:G, "")</f>
        <v>Microalgas</v>
      </c>
    </row>
    <row r="942" spans="1:7" x14ac:dyDescent="0.3">
      <c r="A942" s="475" t="s">
        <v>1172</v>
      </c>
      <c r="B942" s="255" t="str">
        <f>IFERROR(
   IF(INDEX(Extraídas!B:B,MATCH(LEFT($A942,6)&amp;"*",Extraídas!A:A,0))="Extraídas",
      "✅ En proceso",
      IF(INDEX(Extraídas!B:B,MATCH(LEFT($A942,6)&amp;"*",Extraídas!A:A,0))="Recibidas",
         "⏳ Pendiente","❌ No ingresada")),
   "❌ No ingresada"
)</f>
        <v>✅ En proceso</v>
      </c>
      <c r="C942" s="255" t="str">
        <f t="array" ref="C942">IFERROR(
   IF(INDEX([1]PCRs!B:B,MATCH(LEFT($A942,6)&amp;"*",[1]PCRs!A:A,0))="Positivo",
      "✅ Positivo",
      IF(INDEX([1]PCRs!B:B,MATCH(LEFT($A942,6)&amp;"*",[1]PCRs!A:A,0))="Negativo",
         "❌ Negativo",
         "⏳ No realizado")),
   "⏳ No realizado"
)</f>
        <v>❌ Negativo</v>
      </c>
      <c r="D942" s="255" t="str">
        <f>IFERROR(
   CHOOSE(
      MATCH(VLOOKUP(LEFT(A989,6)&amp;"*",'Identificación genética'!A:C,2,FALSE),
               {"En proceso";"Finalizado"},0),
      "🔬 En proceso",
      "🎯 Finalizado"
   ),
"❌ NA")</f>
        <v>❌ NA</v>
      </c>
      <c r="E942" t="s">
        <v>85</v>
      </c>
      <c r="G942" t="str">
        <f>_xlfn.XLOOKUP(A942, Extraídas!A:A, Extraídas!G:G, "")</f>
        <v/>
      </c>
    </row>
    <row r="943" spans="1:7" x14ac:dyDescent="0.3">
      <c r="A943" s="653" t="s">
        <v>970</v>
      </c>
      <c r="B943" s="255" t="str">
        <f>IFERROR(
   IF(INDEX(Extraídas!B:B,MATCH(LEFT($A943,6)&amp;"*",Extraídas!A:A,0))="Extraídas",
      "✅ En proceso",
      IF(INDEX(Extraídas!B:B,MATCH(LEFT($A943,6)&amp;"*",Extraídas!A:A,0))="Recibidas",
         "⏳ Pendiente","❌ No ingresada")),
   "❌ No ingresada"
)</f>
        <v>✅ En proceso</v>
      </c>
      <c r="C943" s="255" t="str">
        <f t="array" ref="C943">IFERROR(
   IF(INDEX([1]PCRs!B:B,MATCH(LEFT($A943,6)&amp;"*",[1]PCRs!A:A,0))="Positivo",
      "✅ Positivo",
      IF(INDEX([1]PCRs!B:B,MATCH(LEFT($A943,6)&amp;"*",[1]PCRs!A:A,0))="Negativo",
         "❌ Negativo",
         "⏳ No realizado")),
   "⏳ No realizado"
)</f>
        <v>❌ Negativo</v>
      </c>
      <c r="D943" s="255" t="str">
        <f>IFERROR(
   CHOOSE(
      MATCH(VLOOKUP(LEFT(A990,6)&amp;"*",'Identificación genética'!A:C,2,FALSE),
               {"En proceso";"Finalizado"},0),
      "🔬 En proceso",
      "🎯 Finalizado"
   ),
"❌ NA")</f>
        <v>❌ NA</v>
      </c>
      <c r="E943" t="s">
        <v>85</v>
      </c>
      <c r="F943" s="55">
        <v>45940</v>
      </c>
      <c r="G943" t="str">
        <f>_xlfn.XLOOKUP(A943, Extraídas!A:A, Extraídas!G:G, "")</f>
        <v>Microalgas</v>
      </c>
    </row>
    <row r="944" spans="1:7" x14ac:dyDescent="0.3">
      <c r="A944" s="491" t="s">
        <v>2142</v>
      </c>
      <c r="B944" s="255" t="str">
        <f>IFERROR(
   IF(INDEX(Extraídas!B:B,MATCH(LEFT($A944,6)&amp;"*",Extraídas!A:A,0))="Extraídas",
      "✅ En proceso",
      IF(INDEX(Extraídas!B:B,MATCH(LEFT($A944,6)&amp;"*",Extraídas!A:A,0))="Recibidas",
         "⏳ Pendiente","❌ No ingresada")),
   "❌ No ingresada"
)</f>
        <v>✅ En proceso</v>
      </c>
      <c r="C944" s="255" t="str">
        <f t="array" ref="C944">IFERROR(
   IF(INDEX([1]PCRs!B:B,MATCH(LEFT($A944,6)&amp;"*",[1]PCRs!A:A,0))="Positivo",
      "✅ Positivo",
      IF(INDEX([1]PCRs!B:B,MATCH(LEFT($A944,6)&amp;"*",[1]PCRs!A:A,0))="Negativo",
         "❌ Negativo",
         "⏳ No realizado")),
   "⏳ No realizado"
)</f>
        <v>❌ Negativo</v>
      </c>
      <c r="D944" s="255" t="str">
        <f>IFERROR(
   CHOOSE(
      MATCH(VLOOKUP(LEFT(A991,6)&amp;"*",'Identificación genética'!A:C,2,FALSE),
               {"En proceso";"Finalizado"},0),
      "🔬 En proceso",
      "🎯 Finalizado"
   ),
"❌ NA")</f>
        <v>❌ NA</v>
      </c>
      <c r="E944" t="s">
        <v>85</v>
      </c>
      <c r="G944" t="str">
        <f>_xlfn.XLOOKUP(A944, Extraídas!A:A, Extraídas!G:G, "")</f>
        <v/>
      </c>
    </row>
    <row r="945" spans="1:7" x14ac:dyDescent="0.3">
      <c r="A945" s="492" t="s">
        <v>2259</v>
      </c>
      <c r="B945" s="255" t="str">
        <f>IFERROR(
   IF(INDEX(Extraídas!B:B,MATCH(LEFT($A945,6)&amp;"*",Extraídas!A:A,0))="Extraídas",
      "✅ En proceso",
      IF(INDEX(Extraídas!B:B,MATCH(LEFT($A945,6)&amp;"*",Extraídas!A:A,0))="Recibidas",
         "⏳ Pendiente","❌ No ingresada")),
   "❌ No ingresada"
)</f>
        <v>✅ En proceso</v>
      </c>
      <c r="C945" s="255" t="str">
        <f t="array" ref="C945">IFERROR(
   IF(INDEX([1]PCRs!B:B,MATCH(LEFT($A945,6)&amp;"*",[1]PCRs!A:A,0))="Positivo",
      "✅ Positivo",
      IF(INDEX([1]PCRs!B:B,MATCH(LEFT($A945,6)&amp;"*",[1]PCRs!A:A,0))="Negativo",
         "❌ Negativo",
         "⏳ No realizado")),
   "⏳ No realizado"
)</f>
        <v>❌ Negativo</v>
      </c>
      <c r="D945" s="255" t="str">
        <f>IFERROR(
   CHOOSE(
      MATCH(VLOOKUP(LEFT(A992,6)&amp;"*",'Identificación genética'!A:C,2,FALSE),
               {"En proceso";"Finalizado"},0),
      "🔬 En proceso",
      "🎯 Finalizado"
   ),
"❌ NA")</f>
        <v>❌ NA</v>
      </c>
      <c r="E945" t="s">
        <v>85</v>
      </c>
      <c r="G945" t="str">
        <f>_xlfn.XLOOKUP(A945, Extraídas!A:A, Extraídas!G:G, "")</f>
        <v/>
      </c>
    </row>
    <row r="946" spans="1:7" x14ac:dyDescent="0.3">
      <c r="A946" s="484" t="s">
        <v>2110</v>
      </c>
      <c r="B946" s="255" t="str">
        <f>IFERROR(
   IF(INDEX(Extraídas!B:B,MATCH(LEFT($A946,6)&amp;"*",Extraídas!A:A,0))="Extraídas",
      "✅ En proceso",
      IF(INDEX(Extraídas!B:B,MATCH(LEFT($A946,6)&amp;"*",Extraídas!A:A,0))="Recibidas",
         "⏳ Pendiente","❌ No ingresada")),
   "❌ No ingresada"
)</f>
        <v>✅ En proceso</v>
      </c>
      <c r="C946" s="255" t="str">
        <f t="array" ref="C946">IFERROR(
   IF(INDEX([1]PCRs!B:B,MATCH(LEFT($A946,6)&amp;"*",[1]PCRs!A:A,0))="Positivo",
      "✅ Positivo",
      IF(INDEX([1]PCRs!B:B,MATCH(LEFT($A946,6)&amp;"*",[1]PCRs!A:A,0))="Negativo",
         "❌ Negativo",
         "⏳ No realizado")),
   "⏳ No realizado"
)</f>
        <v>✅ Positivo</v>
      </c>
      <c r="D946" s="255" t="str">
        <f>IFERROR(
   CHOOSE(
      MATCH(VLOOKUP(LEFT(A993,6)&amp;"*",'Identificación genética'!A:C,2,FALSE),
               {"En proceso";"Finalizado"},0),
      "🔬 En proceso",
      "🎯 Finalizado"
   ),
"❌ NA")</f>
        <v>❌ NA</v>
      </c>
      <c r="E946" t="s">
        <v>85</v>
      </c>
      <c r="G946" t="str">
        <f>_xlfn.XLOOKUP(A946, Extraídas!A:A, Extraídas!G:G, "")</f>
        <v/>
      </c>
    </row>
    <row r="947" spans="1:7" x14ac:dyDescent="0.3">
      <c r="A947" s="493" t="s">
        <v>2260</v>
      </c>
      <c r="B947" s="255" t="str">
        <f>IFERROR(
   IF(INDEX(Extraídas!B:B,MATCH(LEFT($A947,6)&amp;"*",Extraídas!A:A,0))="Extraídas",
      "✅ En proceso",
      IF(INDEX(Extraídas!B:B,MATCH(LEFT($A947,6)&amp;"*",Extraídas!A:A,0))="Recibidas",
         "⏳ Pendiente","❌ No ingresada")),
   "❌ No ingresada"
)</f>
        <v>✅ En proceso</v>
      </c>
      <c r="C947" s="255" t="str">
        <f t="array" ref="C947">IFERROR(
   IF(INDEX([1]PCRs!B:B,MATCH(LEFT($A947,6)&amp;"*",[1]PCRs!A:A,0))="Positivo",
      "✅ Positivo",
      IF(INDEX([1]PCRs!B:B,MATCH(LEFT($A947,6)&amp;"*",[1]PCRs!A:A,0))="Negativo",
         "❌ Negativo",
         "⏳ No realizado")),
   "⏳ No realizado"
)</f>
        <v>✅ Positivo</v>
      </c>
      <c r="D947" s="255" t="str">
        <f>IFERROR(
   CHOOSE(
      MATCH(VLOOKUP(LEFT(A994,6)&amp;"*",'Identificación genética'!A:C,2,FALSE),
               {"En proceso";"Finalizado"},0),
      "🔬 En proceso",
      "🎯 Finalizado"
   ),
"❌ NA")</f>
        <v>❌ NA</v>
      </c>
      <c r="E947" t="s">
        <v>85</v>
      </c>
      <c r="G947" t="str">
        <f>_xlfn.XLOOKUP(A947, Extraídas!A:A, Extraídas!G:G, "")</f>
        <v/>
      </c>
    </row>
    <row r="948" spans="1:7" x14ac:dyDescent="0.3">
      <c r="A948" s="484" t="s">
        <v>2112</v>
      </c>
      <c r="B948" s="255" t="str">
        <f>IFERROR(
   IF(INDEX(Extraídas!B:B,MATCH(LEFT($A948,6)&amp;"*",Extraídas!A:A,0))="Extraídas",
      "✅ En proceso",
      IF(INDEX(Extraídas!B:B,MATCH(LEFT($A948,6)&amp;"*",Extraídas!A:A,0))="Recibidas",
         "⏳ Pendiente","❌ No ingresada")),
   "❌ No ingresada"
)</f>
        <v>✅ En proceso</v>
      </c>
      <c r="C948" s="255" t="str">
        <f t="array" ref="C948">IFERROR(
   IF(INDEX([1]PCRs!B:B,MATCH(LEFT($A948,6)&amp;"*",[1]PCRs!A:A,0))="Positivo",
      "✅ Positivo",
      IF(INDEX([1]PCRs!B:B,MATCH(LEFT($A948,6)&amp;"*",[1]PCRs!A:A,0))="Negativo",
         "❌ Negativo",
         "⏳ No realizado")),
   "⏳ No realizado"
)</f>
        <v>✅ Positivo</v>
      </c>
      <c r="D948" s="255" t="str">
        <f>IFERROR(
   CHOOSE(
      MATCH(VLOOKUP(LEFT(A995,6)&amp;"*",'Identificación genética'!A:C,2,FALSE),
               {"En proceso";"Finalizado"},0),
      "🔬 En proceso",
      "🎯 Finalizado"
   ),
"❌ NA")</f>
        <v>❌ NA</v>
      </c>
      <c r="E948" t="s">
        <v>85</v>
      </c>
      <c r="G948" t="str">
        <f>_xlfn.XLOOKUP(A948, Extraídas!A:A, Extraídas!G:G, "")</f>
        <v/>
      </c>
    </row>
    <row r="949" spans="1:7" x14ac:dyDescent="0.3">
      <c r="A949" s="494" t="s">
        <v>2261</v>
      </c>
      <c r="B949" s="255" t="str">
        <f>IFERROR(
   IF(INDEX(Extraídas!B:B,MATCH(LEFT($A949,6)&amp;"*",Extraídas!A:A,0))="Extraídas",
      "✅ En proceso",
      IF(INDEX(Extraídas!B:B,MATCH(LEFT($A949,6)&amp;"*",Extraídas!A:A,0))="Recibidas",
         "⏳ Pendiente","❌ No ingresada")),
   "❌ No ingresada"
)</f>
        <v>✅ En proceso</v>
      </c>
      <c r="C949" s="255" t="str">
        <f t="array" ref="C949">IFERROR(
   IF(INDEX([1]PCRs!B:B,MATCH(LEFT($A949,6)&amp;"*",[1]PCRs!A:A,0))="Positivo",
      "✅ Positivo",
      IF(INDEX([1]PCRs!B:B,MATCH(LEFT($A949,6)&amp;"*",[1]PCRs!A:A,0))="Negativo",
         "❌ Negativo",
         "⏳ No realizado")),
   "⏳ No realizado"
)</f>
        <v>✅ Positivo</v>
      </c>
      <c r="D949" s="255" t="str">
        <f>IFERROR(
   CHOOSE(
      MATCH(VLOOKUP(LEFT(A996,6)&amp;"*",'Identificación genética'!A:C,2,FALSE),
               {"En proceso";"Finalizado"},0),
      "🔬 En proceso",
      "🎯 Finalizado"
   ),
"❌ NA")</f>
        <v>🎯 Finalizado</v>
      </c>
      <c r="E949" t="s">
        <v>85</v>
      </c>
      <c r="G949" t="str">
        <f>_xlfn.XLOOKUP(A949, Extraídas!A:A, Extraídas!G:G, "")</f>
        <v/>
      </c>
    </row>
    <row r="950" spans="1:7" x14ac:dyDescent="0.3">
      <c r="A950" s="484" t="s">
        <v>2113</v>
      </c>
      <c r="B950" s="255" t="str">
        <f>IFERROR(
   IF(INDEX(Extraídas!B:B,MATCH(LEFT($A950,6)&amp;"*",Extraídas!A:A,0))="Extraídas",
      "✅ En proceso",
      IF(INDEX(Extraídas!B:B,MATCH(LEFT($A950,6)&amp;"*",Extraídas!A:A,0))="Recibidas",
         "⏳ Pendiente","❌ No ingresada")),
   "❌ No ingresada"
)</f>
        <v>✅ En proceso</v>
      </c>
      <c r="C950" s="255" t="str">
        <f t="array" ref="C950">IFERROR(
   IF(INDEX([1]PCRs!B:B,MATCH(LEFT($A950,6)&amp;"*",[1]PCRs!A:A,0))="Positivo",
      "✅ Positivo",
      IF(INDEX([1]PCRs!B:B,MATCH(LEFT($A950,6)&amp;"*",[1]PCRs!A:A,0))="Negativo",
         "❌ Negativo",
         "⏳ No realizado")),
   "⏳ No realizado"
)</f>
        <v>✅ Positivo</v>
      </c>
      <c r="D950" s="255" t="str">
        <f>IFERROR(
   CHOOSE(
      MATCH(VLOOKUP(LEFT(A997,6)&amp;"*",'Identificación genética'!A:C,2,FALSE),
               {"En proceso";"Finalizado"},0),
      "🔬 En proceso",
      "🎯 Finalizado"
   ),
"❌ NA")</f>
        <v>❌ NA</v>
      </c>
      <c r="E950" t="s">
        <v>85</v>
      </c>
      <c r="G950" t="str">
        <f>_xlfn.XLOOKUP(A950, Extraídas!A:A, Extraídas!G:G, "")</f>
        <v/>
      </c>
    </row>
    <row r="951" spans="1:7" x14ac:dyDescent="0.3">
      <c r="A951" s="493" t="s">
        <v>2262</v>
      </c>
      <c r="B951" s="255" t="str">
        <f>IFERROR(
   IF(INDEX(Extraídas!B:B,MATCH(LEFT($A951,6)&amp;"*",Extraídas!A:A,0))="Extraídas",
      "✅ En proceso",
      IF(INDEX(Extraídas!B:B,MATCH(LEFT($A951,6)&amp;"*",Extraídas!A:A,0))="Recibidas",
         "⏳ Pendiente","❌ No ingresada")),
   "❌ No ingresada"
)</f>
        <v>✅ En proceso</v>
      </c>
      <c r="C951" s="255" t="str">
        <f t="array" ref="C951">IFERROR(
   IF(INDEX([1]PCRs!B:B,MATCH(LEFT($A951,6)&amp;"*",[1]PCRs!A:A,0))="Positivo",
      "✅ Positivo",
      IF(INDEX([1]PCRs!B:B,MATCH(LEFT($A951,6)&amp;"*",[1]PCRs!A:A,0))="Negativo",
         "❌ Negativo",
         "⏳ No realizado")),
   "⏳ No realizado"
)</f>
        <v>✅ Positivo</v>
      </c>
      <c r="D951" s="255" t="str">
        <f>IFERROR(
   CHOOSE(
      MATCH(VLOOKUP(LEFT(A998,6)&amp;"*",'Identificación genética'!A:C,2,FALSE),
               {"En proceso";"Finalizado"},0),
      "🔬 En proceso",
      "🎯 Finalizado"
   ),
"❌ NA")</f>
        <v>❌ NA</v>
      </c>
      <c r="E951" t="s">
        <v>85</v>
      </c>
      <c r="G951" t="str">
        <f>_xlfn.XLOOKUP(A951, Extraídas!A:A, Extraídas!G:G, "")</f>
        <v/>
      </c>
    </row>
    <row r="952" spans="1:7" x14ac:dyDescent="0.3">
      <c r="A952" s="485" t="s">
        <v>1220</v>
      </c>
      <c r="B952" s="255" t="str">
        <f>IFERROR(
   IF(INDEX(Extraídas!B:B,MATCH(LEFT($A952,6)&amp;"*",Extraídas!A:A,0))="Extraídas",
      "✅ En proceso",
      IF(INDEX(Extraídas!B:B,MATCH(LEFT($A952,6)&amp;"*",Extraídas!A:A,0))="Recibidas",
         "⏳ Pendiente","❌ No ingresada")),
   "❌ No ingresada"
)</f>
        <v>✅ En proceso</v>
      </c>
      <c r="C952" s="255" t="str">
        <f t="array" ref="C952">IFERROR(
   IF(INDEX([1]PCRs!B:B,MATCH(LEFT($A952,6)&amp;"*",[1]PCRs!A:A,0))="Positivo",
      "✅ Positivo",
      IF(INDEX([1]PCRs!B:B,MATCH(LEFT($A952,6)&amp;"*",[1]PCRs!A:A,0))="Negativo",
         "❌ Negativo",
         "⏳ No realizado")),
   "⏳ No realizado"
)</f>
        <v>✅ Positivo</v>
      </c>
      <c r="D952" s="255" t="str">
        <f>IFERROR(
   CHOOSE(
      MATCH(VLOOKUP(LEFT(A999,6)&amp;"*",'Identificación genética'!A:C,2,FALSE),
               {"En proceso";"Finalizado"},0),
      "🔬 En proceso",
      "🎯 Finalizado"
   ),
"❌ NA")</f>
        <v>🎯 Finalizado</v>
      </c>
      <c r="E952" t="s">
        <v>85</v>
      </c>
      <c r="G952" t="str">
        <f>_xlfn.XLOOKUP(A952, Extraídas!A:A, Extraídas!G:G, "")</f>
        <v/>
      </c>
    </row>
    <row r="953" spans="1:7" x14ac:dyDescent="0.3">
      <c r="A953" s="653" t="s">
        <v>971</v>
      </c>
      <c r="B953" s="255" t="str">
        <f>IFERROR(
   IF(INDEX(Extraídas!B:B,MATCH(LEFT($A953,6)&amp;"*",Extraídas!A:A,0))="Extraídas",
      "✅ En proceso",
      IF(INDEX(Extraídas!B:B,MATCH(LEFT($A953,6)&amp;"*",Extraídas!A:A,0))="Recibidas",
         "⏳ Pendiente","❌ No ingresada")),
   "❌ No ingresada"
)</f>
        <v>✅ En proceso</v>
      </c>
      <c r="C953" s="255" t="str">
        <f t="array" ref="C953">IFERROR(
   IF(INDEX([1]PCRs!B:B,MATCH(LEFT($A953,6)&amp;"*",[1]PCRs!A:A,0))="Positivo",
      "✅ Positivo",
      IF(INDEX([1]PCRs!B:B,MATCH(LEFT($A953,6)&amp;"*",[1]PCRs!A:A,0))="Negativo",
         "❌ Negativo",
         "⏳ No realizado")),
   "⏳ No realizado"
)</f>
        <v>✅ Positivo</v>
      </c>
      <c r="D953" s="255" t="str">
        <f>IFERROR(
   CHOOSE(
      MATCH(VLOOKUP(LEFT(A1000,6)&amp;"*",'Identificación genética'!A:C,2,FALSE),
               {"En proceso";"Finalizado"},0),
      "🔬 En proceso",
      "🎯 Finalizado"
   ),
"❌ NA")</f>
        <v>🎯 Finalizado</v>
      </c>
      <c r="E953" t="s">
        <v>85</v>
      </c>
      <c r="F953" s="53">
        <v>45940</v>
      </c>
      <c r="G953" t="str">
        <f>_xlfn.XLOOKUP(A953, Extraídas!A:A, Extraídas!G:G, "")</f>
        <v>Microalgas</v>
      </c>
    </row>
    <row r="954" spans="1:7" x14ac:dyDescent="0.3">
      <c r="A954" s="486" t="s">
        <v>2279</v>
      </c>
      <c r="B954" t="str">
        <f t="array" ref="B954">IFERROR(
   IF(INDEX([1]Extraídas!B:B,MATCH(LEFT($A954,6)&amp;"*",[1]Extraídas!A:A,0))="Extraídas",
      "✅ En proceso",
      IF(INDEX([1]Extraídas!B:B,MATCH(LEFT($A954,6)&amp;"*",[1]Extraídas!A:A,0))="Recibidas",
         "⏳ Pendiente","❌ No ingresada")),
   "❌ No ingresada"
)</f>
        <v>❌ No ingresada</v>
      </c>
      <c r="C954" s="255" t="str">
        <f t="array" ref="C954">IFERROR(
   IF(INDEX([1]PCRs!B:B,MATCH(LEFT($A954,6)&amp;"*",[1]PCRs!A:A,0))="Positivo",
      "✅ Positivo",
      IF(INDEX([1]PCRs!B:B,MATCH(LEFT($A954,6)&amp;"*",[1]PCRs!A:A,0))="Negativo",
         "❌ Negativo",
         "⏳ No realizado")),
   "⏳ No realizado"
)</f>
        <v>❌ Negativo</v>
      </c>
      <c r="D954" s="255" t="str">
        <f>IFERROR(
   CHOOSE(
      MATCH(VLOOKUP(LEFT(A1001,6)&amp;"*",'Identificación genética'!A:C,2,FALSE),
               {"En proceso";"Finalizado"},0),
      "🔬 En proceso",
      "🎯 Finalizado"
   ),
"❌ NA")</f>
        <v>❌ NA</v>
      </c>
      <c r="E954" t="s">
        <v>85</v>
      </c>
      <c r="G954" t="str">
        <f>_xlfn.XLOOKUP(A954, Extraídas!A:A, Extraídas!G:G, "")</f>
        <v/>
      </c>
    </row>
    <row r="955" spans="1:7" x14ac:dyDescent="0.3">
      <c r="A955" s="352" t="s">
        <v>2241</v>
      </c>
      <c r="B955" s="255" t="str">
        <f>IFERROR(
   IF(INDEX(Extraídas!B:B,MATCH(LEFT($A955,6)&amp;"*",Extraídas!A:A,0))="Extraídas",
      "✅ En proceso",
      IF(INDEX(Extraídas!B:B,MATCH(LEFT($A955,6)&amp;"*",Extraídas!A:A,0))="Recibidas",
         "⏳ Pendiente","❌ No ingresada")),
   "❌ No ingresada"
)</f>
        <v>❌ No ingresada</v>
      </c>
      <c r="C955" s="255" t="str">
        <f t="array" ref="C955">IFERROR(
   IF(INDEX([1]PCRs!B:B,MATCH(LEFT($A955,6)&amp;"*",[1]PCRs!A:A,0))="Positivo",
      "✅ Positivo",
      IF(INDEX([1]PCRs!B:B,MATCH(LEFT($A955,6)&amp;"*",[1]PCRs!A:A,0))="Negativo",
         "❌ Negativo",
         "⏳ No realizado")),
   "⏳ No realizado"
)</f>
        <v>✅ Positivo</v>
      </c>
      <c r="D955" s="255" t="str">
        <f>IFERROR(
   CHOOSE(
      MATCH(VLOOKUP(LEFT(A1002,6)&amp;"*",'Identificación genética'!A:C,2,FALSE),
               {"En proceso";"Finalizado"},0),
      "🔬 En proceso",
      "🎯 Finalizado"
   ),
"❌ NA")</f>
        <v>❌ NA</v>
      </c>
      <c r="E955" t="s">
        <v>85</v>
      </c>
      <c r="G955" t="str">
        <f>_xlfn.XLOOKUP(A955, Extraídas!A:A, Extraídas!G:G, "")</f>
        <v/>
      </c>
    </row>
    <row r="956" spans="1:7" x14ac:dyDescent="0.3">
      <c r="A956" s="502" t="s">
        <v>2295</v>
      </c>
      <c r="B956" s="255" t="str">
        <f>IFERROR(
   IF(INDEX(Extraídas!B:B,MATCH(LEFT($A956,6)&amp;"*",Extraídas!A:A,0))="Extraídas",
      "✅ En proceso",
      IF(INDEX(Extraídas!B:B,MATCH(LEFT($A956,6)&amp;"*",Extraídas!A:A,0))="Recibidas",
         "⏳ Pendiente","❌ No ingresada")),
   "❌ No ingresada"
)</f>
        <v>❌ No ingresada</v>
      </c>
      <c r="C956" s="255" t="str">
        <f t="array" ref="C956">IFERROR(
   IF(INDEX([1]PCRs!B:B,MATCH(LEFT($A956,6)&amp;"*",[1]PCRs!A:A,0))="Positivo",
      "✅ Positivo",
      IF(INDEX([1]PCRs!B:B,MATCH(LEFT($A956,6)&amp;"*",[1]PCRs!A:A,0))="Negativo",
         "❌ Negativo",
         "⏳ No realizado")),
   "⏳ No realizado"
)</f>
        <v>✅ Positivo</v>
      </c>
      <c r="D956" s="255" t="str">
        <f>IFERROR(
   CHOOSE(
      MATCH(VLOOKUP(LEFT(A1003,6)&amp;"*",'Identificación genética'!A:C,2,FALSE),
               {"En proceso";"Finalizado"},0),
      "🔬 En proceso",
      "🎯 Finalizado"
   ),
"❌ NA")</f>
        <v>❌ NA</v>
      </c>
      <c r="E956" t="s">
        <v>85</v>
      </c>
      <c r="G956" t="str">
        <f>_xlfn.XLOOKUP(A956, Extraídas!A:A, Extraídas!G:G, "")</f>
        <v/>
      </c>
    </row>
    <row r="957" spans="1:7" x14ac:dyDescent="0.3">
      <c r="A957" s="421" t="s">
        <v>2236</v>
      </c>
      <c r="B957" s="255" t="str">
        <f>IFERROR(
   IF(INDEX(Extraídas!B:B,MATCH(LEFT($A957,6)&amp;"*",Extraídas!A:A,0))="Extraídas",
      "✅ En proceso",
      IF(INDEX(Extraídas!B:B,MATCH(LEFT($A957,6)&amp;"*",Extraídas!A:A,0))="Recibidas",
         "⏳ Pendiente","❌ No ingresada")),
   "❌ No ingresada"
)</f>
        <v>✅ En proceso</v>
      </c>
      <c r="C957" s="255" t="str">
        <f t="array" ref="C957">IFERROR(
   IF(INDEX([1]PCRs!B:B,MATCH(LEFT($A957,6)&amp;"*",[1]PCRs!A:A,0))="Positivo",
      "✅ Positivo",
      IF(INDEX([1]PCRs!B:B,MATCH(LEFT($A957,6)&amp;"*",[1]PCRs!A:A,0))="Negativo",
         "❌ Negativo",
         "⏳ No realizado")),
   "⏳ No realizado"
)</f>
        <v>✅ Positivo</v>
      </c>
      <c r="D957" s="255" t="str">
        <f>IFERROR(
   CHOOSE(
      MATCH(VLOOKUP(LEFT(A1004,6)&amp;"*",'Identificación genética'!A:C,2,FALSE),
               {"En proceso";"Finalizado"},0),
      "🔬 En proceso",
      "🎯 Finalizado"
   ),
"❌ NA")</f>
        <v>❌ NA</v>
      </c>
      <c r="E957" t="s">
        <v>85</v>
      </c>
      <c r="G957" t="str">
        <f>_xlfn.XLOOKUP(A957, Extraídas!A:A, Extraídas!G:G, "")</f>
        <v/>
      </c>
    </row>
    <row r="958" spans="1:7" x14ac:dyDescent="0.3">
      <c r="A958" s="655" t="s">
        <v>972</v>
      </c>
      <c r="B958" s="255" t="str">
        <f>IFERROR(
   IF(INDEX(Extraídas!B:B,MATCH(LEFT($A958,6)&amp;"*",Extraídas!A:A,0))="Extraídas",
      "✅ En proceso",
      IF(INDEX(Extraídas!B:B,MATCH(LEFT($A958,6)&amp;"*",Extraídas!A:A,0))="Recibidas",
         "⏳ Pendiente","❌ No ingresada")),
   "❌ No ingresada"
)</f>
        <v>✅ En proceso</v>
      </c>
      <c r="C958" s="255" t="str">
        <f t="array" ref="C958">IFERROR(
   IF(INDEX([1]PCRs!B:B,MATCH(LEFT($A958,6)&amp;"*",[1]PCRs!A:A,0))="Positivo",
      "✅ Positivo",
      IF(INDEX([1]PCRs!B:B,MATCH(LEFT($A958,6)&amp;"*",[1]PCRs!A:A,0))="Negativo",
         "❌ Negativo",
         "⏳ No realizado")),
   "⏳ No realizado"
)</f>
        <v>✅ Positivo</v>
      </c>
      <c r="D958" s="255" t="str">
        <f>IFERROR(
   CHOOSE(
      MATCH(VLOOKUP(LEFT(A1005,6)&amp;"*",'Identificación genética'!A:C,2,FALSE),
               {"En proceso";"Finalizado"},0),
      "🔬 En proceso",
      "🎯 Finalizado"
   ),
"❌ NA")</f>
        <v>❌ NA</v>
      </c>
      <c r="E958" t="s">
        <v>85</v>
      </c>
      <c r="F958" s="111">
        <v>45768</v>
      </c>
      <c r="G958" t="str">
        <f>_xlfn.XLOOKUP(A958, Extraídas!A:A, Extraídas!G:G, "")</f>
        <v>Microalgas</v>
      </c>
    </row>
    <row r="959" spans="1:7" x14ac:dyDescent="0.3">
      <c r="A959" s="352" t="s">
        <v>1173</v>
      </c>
      <c r="B959" s="255" t="str">
        <f>IFERROR(
   IF(INDEX(Extraídas!B:B,MATCH(LEFT($A959,6)&amp;"*",Extraídas!A:A,0))="Extraídas",
      "✅ En proceso",
      IF(INDEX(Extraídas!B:B,MATCH(LEFT($A959,6)&amp;"*",Extraídas!A:A,0))="Recibidas",
         "⏳ Pendiente","❌ No ingresada")),
   "❌ No ingresada"
)</f>
        <v>✅ En proceso</v>
      </c>
      <c r="C959" s="255" t="str">
        <f t="array" ref="C959">IFERROR(
   IF(INDEX([1]PCRs!B:B,MATCH(LEFT($A959,6)&amp;"*",[1]PCRs!A:A,0))="Positivo",
      "✅ Positivo",
      IF(INDEX([1]PCRs!B:B,MATCH(LEFT($A959,6)&amp;"*",[1]PCRs!A:A,0))="Negativo",
         "❌ Negativo",
         "⏳ No realizado")),
   "⏳ No realizado"
)</f>
        <v>✅ Positivo</v>
      </c>
      <c r="D959" s="255" t="str">
        <f>IFERROR(
   CHOOSE(
      MATCH(VLOOKUP(LEFT(A1006,6)&amp;"*",'Identificación genética'!A:C,2,FALSE),
               {"En proceso";"Finalizado"},0),
      "🔬 En proceso",
      "🎯 Finalizado"
   ),
"❌ NA")</f>
        <v>❌ NA</v>
      </c>
      <c r="E959" t="s">
        <v>85</v>
      </c>
      <c r="G959" t="str">
        <f>_xlfn.XLOOKUP(A959, Extraídas!A:A, Extraídas!G:G, "")</f>
        <v/>
      </c>
    </row>
    <row r="960" spans="1:7" x14ac:dyDescent="0.3">
      <c r="A960" s="352" t="s">
        <v>1174</v>
      </c>
      <c r="B960" s="255" t="str">
        <f>IFERROR(
   IF(INDEX(Extraídas!B:B,MATCH(LEFT($A960,6)&amp;"*",Extraídas!A:A,0))="Extraídas",
      "✅ En proceso",
      IF(INDEX(Extraídas!B:B,MATCH(LEFT($A960,6)&amp;"*",Extraídas!A:A,0))="Recibidas",
         "⏳ Pendiente","❌ No ingresada")),
   "❌ No ingresada"
)</f>
        <v>✅ En proceso</v>
      </c>
      <c r="C960" s="255" t="str">
        <f t="array" ref="C960">IFERROR(
   IF(INDEX([1]PCRs!B:B,MATCH(LEFT($A960,6)&amp;"*",[1]PCRs!A:A,0))="Positivo",
      "✅ Positivo",
      IF(INDEX([1]PCRs!B:B,MATCH(LEFT($A960,6)&amp;"*",[1]PCRs!A:A,0))="Negativo",
         "❌ Negativo",
         "⏳ No realizado")),
   "⏳ No realizado"
)</f>
        <v>✅ Positivo</v>
      </c>
      <c r="D960" s="255" t="str">
        <f>IFERROR(
   CHOOSE(
      MATCH(VLOOKUP(LEFT(A1007,6)&amp;"*",'Identificación genética'!A:C,2,FALSE),
               {"En proceso";"Finalizado"},0),
      "🔬 En proceso",
      "🎯 Finalizado"
   ),
"❌ NA")</f>
        <v>❌ NA</v>
      </c>
      <c r="E960" t="s">
        <v>85</v>
      </c>
      <c r="G960" t="str">
        <f>_xlfn.XLOOKUP(A960, Extraídas!A:A, Extraídas!G:G, "")</f>
        <v/>
      </c>
    </row>
    <row r="961" spans="1:7" x14ac:dyDescent="0.3">
      <c r="A961" s="654" t="s">
        <v>975</v>
      </c>
      <c r="B961" s="255" t="str">
        <f>IFERROR(
   IF(INDEX(Extraídas!B:B,MATCH(LEFT($A961,6)&amp;"*",Extraídas!A:A,0))="Extraídas",
      "✅ En proceso",
      IF(INDEX(Extraídas!B:B,MATCH(LEFT($A961,6)&amp;"*",Extraídas!A:A,0))="Recibidas",
         "⏳ Pendiente","❌ No ingresada")),
   "❌ No ingresada"
)</f>
        <v>✅ En proceso</v>
      </c>
      <c r="C961" s="255" t="str">
        <f t="array" ref="C961">IFERROR(
   IF(INDEX([1]PCRs!B:B,MATCH(LEFT($A961,6)&amp;"*",[1]PCRs!A:A,0))="Positivo",
      "✅ Positivo",
      IF(INDEX([1]PCRs!B:B,MATCH(LEFT($A961,6)&amp;"*",[1]PCRs!A:A,0))="Negativo",
         "❌ Negativo",
         "⏳ No realizado")),
   "⏳ No realizado"
)</f>
        <v>⏳ No realizado</v>
      </c>
      <c r="D961" s="255" t="str">
        <f>IFERROR(
   CHOOSE(
      MATCH(VLOOKUP(LEFT(A1008,6)&amp;"*",'Identificación genética'!A:C,2,FALSE),
               {"En proceso";"Finalizado"},0),
      "🔬 En proceso",
      "🎯 Finalizado"
   ),
"❌ NA")</f>
        <v>❌ NA</v>
      </c>
      <c r="E961" t="s">
        <v>85</v>
      </c>
      <c r="F961" s="111">
        <v>45817</v>
      </c>
      <c r="G961" t="str">
        <f>_xlfn.XLOOKUP(A961, Extraídas!A:A, Extraídas!G:G, "")</f>
        <v>Microalgas</v>
      </c>
    </row>
    <row r="962" spans="1:7" x14ac:dyDescent="0.3">
      <c r="A962" s="352" t="s">
        <v>1175</v>
      </c>
      <c r="B962" s="255" t="str">
        <f>IFERROR(
   IF(INDEX(Extraídas!B:B,MATCH(LEFT($A962,6)&amp;"*",Extraídas!A:A,0))="Extraídas",
      "✅ En proceso",
      IF(INDEX(Extraídas!B:B,MATCH(LEFT($A962,6)&amp;"*",Extraídas!A:A,0))="Recibidas",
         "⏳ Pendiente","❌ No ingresada")),
   "❌ No ingresada"
)</f>
        <v>✅ En proceso</v>
      </c>
      <c r="C962" s="255" t="str">
        <f t="array" ref="C962">IFERROR(
   IF(INDEX([1]PCRs!B:B,MATCH(LEFT($A962,6)&amp;"*",[1]PCRs!A:A,0))="Positivo",
      "✅ Positivo",
      IF(INDEX([1]PCRs!B:B,MATCH(LEFT($A962,6)&amp;"*",[1]PCRs!A:A,0))="Negativo",
         "❌ Negativo",
         "⏳ No realizado")),
   "⏳ No realizado"
)</f>
        <v>✅ Positivo</v>
      </c>
      <c r="D962" s="255" t="str">
        <f>IFERROR(
   CHOOSE(
      MATCH(VLOOKUP(LEFT(A1009,6)&amp;"*",'Identificación genética'!A:C,2,FALSE),
               {"En proceso";"Finalizado"},0),
      "🔬 En proceso",
      "🎯 Finalizado"
   ),
"❌ NA")</f>
        <v>❌ NA</v>
      </c>
      <c r="E962" t="s">
        <v>85</v>
      </c>
      <c r="G962" t="str">
        <f>_xlfn.XLOOKUP(A962, Extraídas!A:A, Extraídas!G:G, "")</f>
        <v/>
      </c>
    </row>
    <row r="963" spans="1:7" x14ac:dyDescent="0.3">
      <c r="A963" s="655" t="s">
        <v>977</v>
      </c>
      <c r="B963" s="255" t="str">
        <f>IFERROR(
   IF(INDEX(Extraídas!B:B,MATCH(LEFT($A963,6)&amp;"*",Extraídas!A:A,0))="Extraídas",
      "✅ En proceso",
      IF(INDEX(Extraídas!B:B,MATCH(LEFT($A963,6)&amp;"*",Extraídas!A:A,0))="Recibidas",
         "⏳ Pendiente","❌ No ingresada")),
   "❌ No ingresada"
)</f>
        <v>✅ En proceso</v>
      </c>
      <c r="C963" s="255" t="str">
        <f t="array" ref="C963">IFERROR(
   IF(INDEX([1]PCRs!B:B,MATCH(LEFT($A963,6)&amp;"*",[1]PCRs!A:A,0))="Positivo",
      "✅ Positivo",
      IF(INDEX([1]PCRs!B:B,MATCH(LEFT($A963,6)&amp;"*",[1]PCRs!A:A,0))="Negativo",
         "❌ Negativo",
         "⏳ No realizado")),
   "⏳ No realizado"
)</f>
        <v>⏳ No realizado</v>
      </c>
      <c r="D963" s="255" t="str">
        <f>IFERROR(
   CHOOSE(
      MATCH(VLOOKUP(LEFT(A1010,6)&amp;"*",'Identificación genética'!A:C,2,FALSE),
               {"En proceso";"Finalizado"},0),
      "🔬 En proceso",
      "🎯 Finalizado"
   ),
"❌ NA")</f>
        <v>❌ NA</v>
      </c>
      <c r="E963" t="s">
        <v>85</v>
      </c>
      <c r="F963" s="111">
        <v>45817</v>
      </c>
      <c r="G963" t="str">
        <f>_xlfn.XLOOKUP(A963, Extraídas!A:A, Extraídas!G:G, "")</f>
        <v>Microalgas</v>
      </c>
    </row>
    <row r="964" spans="1:7" x14ac:dyDescent="0.3">
      <c r="A964" s="352" t="s">
        <v>1176</v>
      </c>
      <c r="B964" s="255" t="str">
        <f>IFERROR(
   IF(INDEX(Extraídas!B:B,MATCH(LEFT($A964,6)&amp;"*",Extraídas!A:A,0))="Extraídas",
      "✅ En proceso",
      IF(INDEX(Extraídas!B:B,MATCH(LEFT($A964,6)&amp;"*",Extraídas!A:A,0))="Recibidas",
         "⏳ Pendiente","❌ No ingresada")),
   "❌ No ingresada"
)</f>
        <v>✅ En proceso</v>
      </c>
      <c r="C964" s="255" t="str">
        <f t="array" ref="C964">IFERROR(
   IF(INDEX([1]PCRs!B:B,MATCH(LEFT($A964,6)&amp;"*",[1]PCRs!A:A,0))="Positivo",
      "✅ Positivo",
      IF(INDEX([1]PCRs!B:B,MATCH(LEFT($A964,6)&amp;"*",[1]PCRs!A:A,0))="Negativo",
         "❌ Negativo",
         "⏳ No realizado")),
   "⏳ No realizado"
)</f>
        <v>✅ Positivo</v>
      </c>
      <c r="D964" s="255" t="str">
        <f>IFERROR(
   CHOOSE(
      MATCH(VLOOKUP(LEFT(A1011,6)&amp;"*",'Identificación genética'!A:C,2,FALSE),
               {"En proceso";"Finalizado"},0),
      "🔬 En proceso",
      "🎯 Finalizado"
   ),
"❌ NA")</f>
        <v>❌ NA</v>
      </c>
      <c r="E964" t="s">
        <v>85</v>
      </c>
      <c r="G964" t="str">
        <f>_xlfn.XLOOKUP(A964, Extraídas!A:A, Extraídas!G:G, "")</f>
        <v/>
      </c>
    </row>
    <row r="965" spans="1:7" x14ac:dyDescent="0.3">
      <c r="A965" s="655" t="s">
        <v>978</v>
      </c>
      <c r="B965" s="255" t="str">
        <f>IFERROR(
   IF(INDEX(Extraídas!B:B,MATCH(LEFT($A965,6)&amp;"*",Extraídas!A:A,0))="Extraídas",
      "✅ En proceso",
      IF(INDEX(Extraídas!B:B,MATCH(LEFT($A965,6)&amp;"*",Extraídas!A:A,0))="Recibidas",
         "⏳ Pendiente","❌ No ingresada")),
   "❌ No ingresada"
)</f>
        <v>✅ En proceso</v>
      </c>
      <c r="C965" s="255" t="str">
        <f t="array" ref="C965">IFERROR(
   IF(INDEX([1]PCRs!B:B,MATCH(LEFT($A965,6)&amp;"*",[1]PCRs!A:A,0))="Positivo",
      "✅ Positivo",
      IF(INDEX([1]PCRs!B:B,MATCH(LEFT($A965,6)&amp;"*",[1]PCRs!A:A,0))="Negativo",
         "❌ Negativo",
         "⏳ No realizado")),
   "⏳ No realizado"
)</f>
        <v>⏳ No realizado</v>
      </c>
      <c r="D965" s="255" t="str">
        <f>IFERROR(
   CHOOSE(
      MATCH(VLOOKUP(LEFT(A1012,6)&amp;"*",'Identificación genética'!A:C,2,FALSE),
               {"En proceso";"Finalizado"},0),
      "🔬 En proceso",
      "🎯 Finalizado"
   ),
"❌ NA")</f>
        <v>❌ NA</v>
      </c>
      <c r="E965" t="s">
        <v>85</v>
      </c>
      <c r="F965" s="111">
        <v>45817</v>
      </c>
      <c r="G965" t="str">
        <f>_xlfn.XLOOKUP(A965, Extraídas!A:A, Extraídas!G:G, "")</f>
        <v>Microalgas</v>
      </c>
    </row>
    <row r="966" spans="1:7" x14ac:dyDescent="0.3">
      <c r="A966" s="352" t="s">
        <v>2237</v>
      </c>
      <c r="B966" s="255" t="str">
        <f>IFERROR(
   IF(INDEX(Extraídas!B:B,MATCH(LEFT($A966,6)&amp;"*",Extraídas!A:A,0))="Extraídas",
      "✅ En proceso",
      IF(INDEX(Extraídas!B:B,MATCH(LEFT($A966,6)&amp;"*",Extraídas!A:A,0))="Recibidas",
         "⏳ Pendiente","❌ No ingresada")),
   "❌ No ingresada"
)</f>
        <v>❌ No ingresada</v>
      </c>
      <c r="C966" s="255" t="str">
        <f t="array" ref="C966">IFERROR(
   IF(INDEX([1]PCRs!B:B,MATCH(LEFT($A966,6)&amp;"*",[1]PCRs!A:A,0))="Positivo",
      "✅ Positivo",
      IF(INDEX([1]PCRs!B:B,MATCH(LEFT($A966,6)&amp;"*",[1]PCRs!A:A,0))="Negativo",
         "❌ Negativo",
         "⏳ No realizado")),
   "⏳ No realizado"
)</f>
        <v>✅ Positivo</v>
      </c>
      <c r="D966" s="255" t="str">
        <f>IFERROR(
   CHOOSE(
      MATCH(VLOOKUP(LEFT(A1013,6)&amp;"*",'Identificación genética'!A:C,2,FALSE),
               {"En proceso";"Finalizado"},0),
      "🔬 En proceso",
      "🎯 Finalizado"
   ),
"❌ NA")</f>
        <v>❌ NA</v>
      </c>
      <c r="E966" t="s">
        <v>85</v>
      </c>
      <c r="G966" t="str">
        <f>_xlfn.XLOOKUP(A966, Extraídas!A:A, Extraídas!G:G, "")</f>
        <v/>
      </c>
    </row>
    <row r="967" spans="1:7" x14ac:dyDescent="0.3">
      <c r="A967" s="352" t="s">
        <v>2280</v>
      </c>
      <c r="B967" t="str">
        <f t="array" ref="B967">IFERROR(
   IF(INDEX([1]Extraídas!B:B,MATCH(LEFT($A967,6)&amp;"*",[1]Extraídas!A:A,0))="Extraídas",
      "✅ En proceso",
      IF(INDEX([1]Extraídas!B:B,MATCH(LEFT($A967,6)&amp;"*",[1]Extraídas!A:A,0))="Recibidas",
         "⏳ Pendiente","❌ No ingresada")),
   "❌ No ingresada"
)</f>
        <v>❌ No ingresada</v>
      </c>
      <c r="C967" s="255" t="str">
        <f t="array" ref="C967">IFERROR(
   IF(INDEX([1]PCRs!B:B,MATCH(LEFT($A967,6)&amp;"*",[1]PCRs!A:A,0))="Positivo",
      "✅ Positivo",
      IF(INDEX([1]PCRs!B:B,MATCH(LEFT($A967,6)&amp;"*",[1]PCRs!A:A,0))="Negativo",
         "❌ Negativo",
         "⏳ No realizado")),
   "⏳ No realizado"
)</f>
        <v>⏳ No realizado</v>
      </c>
      <c r="D967" s="255" t="str">
        <f>IFERROR(
   CHOOSE(
      MATCH(VLOOKUP(LEFT(A1014,6)&amp;"*",'Identificación genética'!A:C,2,FALSE),
               {"En proceso";"Finalizado"},0),
      "🔬 En proceso",
      "🎯 Finalizado"
   ),
"❌ NA")</f>
        <v>❌ NA</v>
      </c>
      <c r="E967" t="s">
        <v>85</v>
      </c>
      <c r="G967" t="str">
        <f>_xlfn.XLOOKUP(A967, Extraídas!A:A, Extraídas!G:G, "")</f>
        <v/>
      </c>
    </row>
    <row r="968" spans="1:7" x14ac:dyDescent="0.3">
      <c r="A968" s="654" t="s">
        <v>979</v>
      </c>
      <c r="B968" s="255" t="str">
        <f t="array" ref="B968">IFERROR(
   IF(INDEX([1]Extraídas!B:B,MATCH(LEFT($A968,6)&amp;"*",[1]Extraídas!A:A,0))="Extraídas",
      "✅ En proceso",
      IF(INDEX([1]Extraídas!B:B,MATCH(LEFT($A968,6)&amp;"*",[1]Extraídas!A:A,0))="Recibidas",
         "⏳ Pendiente","❌ No ingresada")),
   "❌ No ingresada"
)</f>
        <v>✅ En proceso</v>
      </c>
      <c r="C968" s="255" t="str">
        <f t="array" ref="C968">IFERROR(
   IF(INDEX([1]PCRs!B:B,MATCH(LEFT($A968,6)&amp;"*",[1]PCRs!A:A,0))="Positivo",
      "✅ Positivo",
      IF(INDEX([1]PCRs!B:B,MATCH(LEFT($A968,6)&amp;"*",[1]PCRs!A:A,0))="Negativo",
         "❌ Negativo",
         "⏳ No realizado")),
   "⏳ No realizado"
)</f>
        <v>⏳ No realizado</v>
      </c>
      <c r="D968" s="255" t="str">
        <f>IFERROR(
   CHOOSE(
      MATCH(VLOOKUP(LEFT(A1015,6)&amp;"*",'Identificación genética'!A:C,2,FALSE),
               {"En proceso";"Finalizado"},0),
      "🔬 En proceso",
      "🎯 Finalizado"
   ),
"❌ NA")</f>
        <v>❌ NA</v>
      </c>
      <c r="E968" t="s">
        <v>85</v>
      </c>
      <c r="F968" s="111">
        <v>45756</v>
      </c>
      <c r="G968" t="str">
        <f>_xlfn.XLOOKUP(A968, Extraídas!A:A, Extraídas!G:G, "")</f>
        <v>Microalgas</v>
      </c>
    </row>
    <row r="969" spans="1:7" x14ac:dyDescent="0.3">
      <c r="A969" s="654" t="s">
        <v>980</v>
      </c>
      <c r="B969" s="255" t="str">
        <f t="array" ref="B969">IFERROR(
   IF(INDEX([1]Extraídas!B:B,MATCH(LEFT($A969,6)&amp;"*",[1]Extraídas!A:A,0))="Extraídas",
      "✅ En proceso",
      IF(INDEX([1]Extraídas!B:B,MATCH(LEFT($A969,6)&amp;"*",[1]Extraídas!A:A,0))="Recibidas",
         "⏳ Pendiente","❌ No ingresada")),
   "❌ No ingresada"
)</f>
        <v>✅ En proceso</v>
      </c>
      <c r="C969" s="255" t="str">
        <f t="array" ref="C969">IFERROR(
   IF(INDEX([1]PCRs!B:B,MATCH(LEFT($A969,6)&amp;"*",[1]PCRs!A:A,0))="Positivo",
      "✅ Positivo",
      IF(INDEX([1]PCRs!B:B,MATCH(LEFT($A969,6)&amp;"*",[1]PCRs!A:A,0))="Negativo",
         "❌ Negativo",
         "⏳ No realizado")),
   "⏳ No realizado"
)</f>
        <v>⏳ No realizado</v>
      </c>
      <c r="D969" s="255" t="str">
        <f>IFERROR(
   CHOOSE(
      MATCH(VLOOKUP(LEFT(A1016,6)&amp;"*",'Identificación genética'!A:C,2,FALSE),
               {"En proceso";"Finalizado"},0),
      "🔬 En proceso",
      "🎯 Finalizado"
   ),
"❌ NA")</f>
        <v>❌ NA</v>
      </c>
      <c r="E969" t="s">
        <v>85</v>
      </c>
      <c r="F969" s="111">
        <v>45848</v>
      </c>
      <c r="G969" t="str">
        <f>_xlfn.XLOOKUP(A969, Extraídas!A:A, Extraídas!G:G, "")</f>
        <v>Microalgas</v>
      </c>
    </row>
    <row r="970" spans="1:7" x14ac:dyDescent="0.3">
      <c r="A970" s="352" t="s">
        <v>1179</v>
      </c>
      <c r="B970" t="str">
        <f t="array" ref="B970">IFERROR(
   IF(INDEX([1]Extraídas!B:B,MATCH(LEFT($A970,6)&amp;"*",[1]Extraídas!A:A,0))="Extraídas",
      "✅ En proceso",
      IF(INDEX([1]Extraídas!B:B,MATCH(LEFT($A970,6)&amp;"*",[1]Extraídas!A:A,0))="Recibidas",
         "⏳ Pendiente","❌ No ingresada")),
   "❌ No ingresada"
)</f>
        <v>❌ No ingresada</v>
      </c>
      <c r="C970" s="255" t="str">
        <f t="array" ref="C970">IFERROR(
   IF(INDEX([1]PCRs!B:B,MATCH(LEFT($A970,6)&amp;"*",[1]PCRs!A:A,0))="Positivo",
      "✅ Positivo",
      IF(INDEX([1]PCRs!B:B,MATCH(LEFT($A970,6)&amp;"*",[1]PCRs!A:A,0))="Negativo",
         "❌ Negativo",
         "⏳ No realizado")),
   "⏳ No realizado"
)</f>
        <v>❌ Negativo</v>
      </c>
      <c r="D970" s="255" t="str">
        <f>IFERROR(
   CHOOSE(
      MATCH(VLOOKUP(LEFT(A1017,6)&amp;"*",'Identificación genética'!A:C,2,FALSE),
               {"En proceso";"Finalizado"},0),
      "🔬 En proceso",
      "🎯 Finalizado"
   ),
"❌ NA")</f>
        <v>❌ NA</v>
      </c>
      <c r="E970" t="s">
        <v>85</v>
      </c>
      <c r="G970" t="str">
        <f>_xlfn.XLOOKUP(A970, Extraídas!A:A, Extraídas!G:G, "")</f>
        <v/>
      </c>
    </row>
    <row r="971" spans="1:7" x14ac:dyDescent="0.3">
      <c r="A971" s="415" t="s">
        <v>2201</v>
      </c>
      <c r="B971" t="str">
        <f t="array" ref="B971">IFERROR(
   IF(INDEX([1]Extraídas!B:B,MATCH(LEFT($A971,6)&amp;"*",[1]Extraídas!A:A,0))="Extraídas",
      "✅ En proceso",
      IF(INDEX([1]Extraídas!B:B,MATCH(LEFT($A971,6)&amp;"*",[1]Extraídas!A:A,0))="Recibidas",
         "⏳ Pendiente","❌ No ingresada")),
   "❌ No ingresada"
)</f>
        <v>❌ No ingresada</v>
      </c>
      <c r="C971" s="255" t="str">
        <f t="array" ref="C971">IFERROR(
   IF(INDEX([1]PCRs!B:B,MATCH(LEFT($A971,6)&amp;"*",[1]PCRs!A:A,0))="Positivo",
      "✅ Positivo",
      IF(INDEX([1]PCRs!B:B,MATCH(LEFT($A971,6)&amp;"*",[1]PCRs!A:A,0))="Negativo",
         "❌ Negativo",
         "⏳ No realizado")),
   "⏳ No realizado"
)</f>
        <v>✅ Positivo</v>
      </c>
      <c r="D971" s="255" t="str">
        <f>IFERROR(
   CHOOSE(
      MATCH(VLOOKUP(LEFT(A1018,6)&amp;"*",'Identificación genética'!A:C,2,FALSE),
               {"En proceso";"Finalizado"},0),
      "🔬 En proceso",
      "🎯 Finalizado"
   ),
"❌ NA")</f>
        <v>❌ NA</v>
      </c>
      <c r="E971" t="s">
        <v>85</v>
      </c>
      <c r="G971" t="str">
        <f>_xlfn.XLOOKUP(A971, Extraídas!A:A, Extraídas!G:G, "")</f>
        <v/>
      </c>
    </row>
    <row r="972" spans="1:7" x14ac:dyDescent="0.3">
      <c r="A972" s="352" t="s">
        <v>1181</v>
      </c>
      <c r="B972" s="255" t="str">
        <f>IFERROR(
   IF(INDEX(Extraídas!B:B,MATCH(LEFT($A972,6)&amp;"*",Extraídas!A:A,0))="Extraídas",
      "✅ En proceso",
      IF(INDEX(Extraídas!B:B,MATCH(LEFT($A972,6)&amp;"*",Extraídas!A:A,0))="Recibidas",
         "⏳ Pendiente","❌ No ingresada")),
   "❌ No ingresada"
)</f>
        <v>✅ En proceso</v>
      </c>
      <c r="C972" s="255" t="str">
        <f t="array" ref="C972">IFERROR(
   IF(INDEX([1]PCRs!B:B,MATCH(LEFT($A972,6)&amp;"*",[1]PCRs!A:A,0))="Positivo",
      "✅ Positivo",
      IF(INDEX([1]PCRs!B:B,MATCH(LEFT($A972,6)&amp;"*",[1]PCRs!A:A,0))="Negativo",
         "❌ Negativo",
         "⏳ No realizado")),
   "⏳ No realizado"
)</f>
        <v>✅ Positivo</v>
      </c>
      <c r="D972" s="255" t="str">
        <f>IFERROR(
   CHOOSE(
      MATCH(VLOOKUP(LEFT(A1019,6)&amp;"*",'Identificación genética'!A:C,2,FALSE),
               {"En proceso";"Finalizado"},0),
      "🔬 En proceso",
      "🎯 Finalizado"
   ),
"❌ NA")</f>
        <v>❌ NA</v>
      </c>
      <c r="E972" t="s">
        <v>85</v>
      </c>
      <c r="G972" t="str">
        <f>_xlfn.XLOOKUP(A972, Extraídas!A:A, Extraídas!G:G, "")</f>
        <v/>
      </c>
    </row>
    <row r="973" spans="1:7" x14ac:dyDescent="0.3">
      <c r="A973" s="654" t="s">
        <v>981</v>
      </c>
      <c r="B973" s="255" t="str">
        <f>IFERROR(
   IF(INDEX(Extraídas!B:B,MATCH(LEFT($A973,6)&amp;"*",Extraídas!A:A,0))="Extraídas",
      "✅ En proceso",
      IF(INDEX(Extraídas!B:B,MATCH(LEFT($A973,6)&amp;"*",Extraídas!A:A,0))="Recibidas",
         "⏳ Pendiente","❌ No ingresada")),
   "❌ No ingresada"
)</f>
        <v>✅ En proceso</v>
      </c>
      <c r="C973" s="255" t="str">
        <f t="array" ref="C973">IFERROR(
   IF(INDEX([1]PCRs!B:B,MATCH(LEFT($A973,6)&amp;"*",[1]PCRs!A:A,0))="Positivo",
      "✅ Positivo",
      IF(INDEX([1]PCRs!B:B,MATCH(LEFT($A973,6)&amp;"*",[1]PCRs!A:A,0))="Negativo",
         "❌ Negativo",
         "⏳ No realizado")),
   "⏳ No realizado"
)</f>
        <v>⏳ No realizado</v>
      </c>
      <c r="D973" s="255" t="str">
        <f>IFERROR(
   CHOOSE(
      MATCH(VLOOKUP(LEFT(A1020,6)&amp;"*",'Identificación genética'!A:C,2,FALSE),
               {"En proceso";"Finalizado"},0),
      "🔬 En proceso",
      "🎯 Finalizado"
   ),
"❌ NA")</f>
        <v>❌ NA</v>
      </c>
      <c r="E973" t="s">
        <v>85</v>
      </c>
      <c r="F973" s="111">
        <v>45817</v>
      </c>
      <c r="G973" t="str">
        <f>_xlfn.XLOOKUP(A973, Extraídas!A:A, Extraídas!G:G, "")</f>
        <v>Microalgas</v>
      </c>
    </row>
    <row r="974" spans="1:7" x14ac:dyDescent="0.3">
      <c r="A974" s="352" t="s">
        <v>1182</v>
      </c>
      <c r="B974" t="str">
        <f t="array" ref="B974">IFERROR(
   IF(INDEX([1]Extraídas!B:B,MATCH(LEFT($A974,6)&amp;"*",[1]Extraídas!A:A,0))="Extraídas",
      "✅ En proceso",
      IF(INDEX([1]Extraídas!B:B,MATCH(LEFT($A974,6)&amp;"*",[1]Extraídas!A:A,0))="Recibidas",
         "⏳ Pendiente","❌ No ingresada")),
   "❌ No ingresada"
)</f>
        <v>❌ No ingresada</v>
      </c>
      <c r="C974" s="255" t="str">
        <f t="array" ref="C974">IFERROR(
   IF(INDEX([1]PCRs!B:B,MATCH(LEFT($A974,6)&amp;"*",[1]PCRs!A:A,0))="Positivo",
      "✅ Positivo",
      IF(INDEX([1]PCRs!B:B,MATCH(LEFT($A974,6)&amp;"*",[1]PCRs!A:A,0))="Negativo",
         "❌ Negativo",
         "⏳ No realizado")),
   "⏳ No realizado"
)</f>
        <v>✅ Positivo</v>
      </c>
      <c r="D974" s="255" t="str">
        <f>IFERROR(
   CHOOSE(
      MATCH(VLOOKUP(LEFT(A1021,6)&amp;"*",'Identificación genética'!A:C,2,FALSE),
               {"En proceso";"Finalizado"},0),
      "🔬 En proceso",
      "🎯 Finalizado"
   ),
"❌ NA")</f>
        <v>❌ NA</v>
      </c>
      <c r="E974" t="s">
        <v>24</v>
      </c>
      <c r="G974" t="str">
        <f>_xlfn.XLOOKUP(A974, Extraídas!A:A, Extraídas!G:G, "")</f>
        <v/>
      </c>
    </row>
    <row r="975" spans="1:7" x14ac:dyDescent="0.3">
      <c r="A975" s="352" t="s">
        <v>1183</v>
      </c>
      <c r="B975" t="str">
        <f t="array" ref="B975">IFERROR(
   IF(INDEX([1]Extraídas!B:B,MATCH(LEFT($A975,6)&amp;"*",[1]Extraídas!A:A,0))="Extraídas",
      "✅ En proceso",
      IF(INDEX([1]Extraídas!B:B,MATCH(LEFT($A975,6)&amp;"*",[1]Extraídas!A:A,0))="Recibidas",
         "⏳ Pendiente","❌ No ingresada")),
   "❌ No ingresada"
)</f>
        <v>❌ No ingresada</v>
      </c>
      <c r="C975" s="255" t="str">
        <f t="array" ref="C975">IFERROR(
   IF(INDEX([1]PCRs!B:B,MATCH(LEFT($A975,6)&amp;"*",[1]PCRs!A:A,0))="Positivo",
      "✅ Positivo",
      IF(INDEX([1]PCRs!B:B,MATCH(LEFT($A975,6)&amp;"*",[1]PCRs!A:A,0))="Negativo",
         "❌ Negativo",
         "⏳ No realizado")),
   "⏳ No realizado"
)</f>
        <v>✅ Positivo</v>
      </c>
      <c r="D975" s="255" t="str">
        <f>IFERROR(
   CHOOSE(
      MATCH(VLOOKUP(LEFT(A1022,6)&amp;"*",'Identificación genética'!A:C,2,FALSE),
               {"En proceso";"Finalizado"},0),
      "🔬 En proceso",
      "🎯 Finalizado"
   ),
"❌ NA")</f>
        <v>❌ NA</v>
      </c>
      <c r="E975" t="s">
        <v>24</v>
      </c>
      <c r="G975" t="str">
        <f>_xlfn.XLOOKUP(A975, Extraídas!A:A, Extraídas!G:G, "")</f>
        <v/>
      </c>
    </row>
    <row r="976" spans="1:7" x14ac:dyDescent="0.3">
      <c r="A976" s="502" t="s">
        <v>2271</v>
      </c>
      <c r="B976" s="255" t="str">
        <f>IFERROR(
   IF(INDEX(Extraídas!B:B,MATCH(LEFT($A976,6)&amp;"*",Extraídas!A:A,0))="Extraídas",
      "✅ En proceso",
      IF(INDEX(Extraídas!B:B,MATCH(LEFT($A976,6)&amp;"*",Extraídas!A:A,0))="Recibidas",
         "⏳ Pendiente","❌ No ingresada")),
   "❌ No ingresada"
)</f>
        <v>❌ No ingresada</v>
      </c>
      <c r="C976" s="255" t="str">
        <f t="array" ref="C976">IFERROR(
   IF(INDEX([1]PCRs!B:B,MATCH(LEFT($A976,6)&amp;"*",[1]PCRs!A:A,0))="Positivo",
      "✅ Positivo",
      IF(INDEX([1]PCRs!B:B,MATCH(LEFT($A976,6)&amp;"*",[1]PCRs!A:A,0))="Negativo",
         "❌ Negativo",
         "⏳ No realizado")),
   "⏳ No realizado"
)</f>
        <v>✅ Positivo</v>
      </c>
      <c r="D976" s="255" t="str">
        <f>IFERROR(
   CHOOSE(
      MATCH(VLOOKUP(LEFT(A1023,6)&amp;"*",'Identificación genética'!A:C,2,FALSE),
               {"En proceso";"Finalizado"},0),
      "🔬 En proceso",
      "🎯 Finalizado"
   ),
"❌ NA")</f>
        <v>❌ NA</v>
      </c>
      <c r="E976" t="s">
        <v>85</v>
      </c>
      <c r="G976" t="str">
        <f>_xlfn.XLOOKUP(A976, Extraídas!A:A, Extraídas!G:G, "")</f>
        <v/>
      </c>
    </row>
    <row r="977" spans="1:7" x14ac:dyDescent="0.3">
      <c r="A977" s="475" t="s">
        <v>2296</v>
      </c>
      <c r="B977" t="str">
        <f t="array" ref="B977">IFERROR(
   IF(INDEX([1]Extraídas!B:B,MATCH(LEFT($A977,6)&amp;"*",[1]Extraídas!A:A,0))="Extraídas",
      "✅ En proceso",
      IF(INDEX([1]Extraídas!B:B,MATCH(LEFT($A977,6)&amp;"*",[1]Extraídas!A:A,0))="Recibidas",
         "⏳ Pendiente","❌ No ingresada")),
   "❌ No ingresada"
)</f>
        <v>❌ No ingresada</v>
      </c>
      <c r="C977" s="255" t="str">
        <f t="array" ref="C977">IFERROR(
   IF(INDEX([1]PCRs!B:B,MATCH(LEFT($A977,6)&amp;"*",[1]PCRs!A:A,0))="Positivo",
      "✅ Positivo",
      IF(INDEX([1]PCRs!B:B,MATCH(LEFT($A977,6)&amp;"*",[1]PCRs!A:A,0))="Negativo",
         "❌ Negativo",
         "⏳ No realizado")),
   "⏳ No realizado"
)</f>
        <v>❌ Negativo</v>
      </c>
      <c r="D977" s="255" t="str">
        <f>IFERROR(
   CHOOSE(
      MATCH(VLOOKUP(LEFT(A1024,6)&amp;"*",'Identificación genética'!A:C,2,FALSE),
               {"En proceso";"Finalizado"},0),
      "🔬 En proceso",
      "🎯 Finalizado"
   ),
"❌ NA")</f>
        <v>❌ NA</v>
      </c>
      <c r="E977" t="s">
        <v>24</v>
      </c>
      <c r="G977" t="str">
        <f>_xlfn.XLOOKUP(A977, Extraídas!A:A, Extraídas!G:G, "")</f>
        <v/>
      </c>
    </row>
    <row r="978" spans="1:7" x14ac:dyDescent="0.3">
      <c r="A978" s="475" t="s">
        <v>2297</v>
      </c>
      <c r="B978" t="str">
        <f t="array" ref="B978">IFERROR(
   IF(INDEX([1]Extraídas!B:B,MATCH(LEFT($A978,6)&amp;"*",[1]Extraídas!A:A,0))="Extraídas",
      "✅ En proceso",
      IF(INDEX([1]Extraídas!B:B,MATCH(LEFT($A978,6)&amp;"*",[1]Extraídas!A:A,0))="Recibidas",
         "⏳ Pendiente","❌ No ingresada")),
   "❌ No ingresada"
)</f>
        <v>❌ No ingresada</v>
      </c>
      <c r="C978" s="255" t="str">
        <f t="array" ref="C978">IFERROR(
   IF(INDEX([1]PCRs!B:B,MATCH(LEFT($A978,6)&amp;"*",[1]PCRs!A:A,0))="Positivo",
      "✅ Positivo",
      IF(INDEX([1]PCRs!B:B,MATCH(LEFT($A978,6)&amp;"*",[1]PCRs!A:A,0))="Negativo",
         "❌ Negativo",
         "⏳ No realizado")),
   "⏳ No realizado"
)</f>
        <v>❌ Negativo</v>
      </c>
      <c r="D978" s="255" t="str">
        <f>IFERROR(
   CHOOSE(
      MATCH(VLOOKUP(LEFT(A1025,6)&amp;"*",'Identificación genética'!A:C,2,FALSE),
               {"En proceso";"Finalizado"},0),
      "🔬 En proceso",
      "🎯 Finalizado"
   ),
"❌ NA")</f>
        <v>❌ NA</v>
      </c>
      <c r="E978" t="s">
        <v>24</v>
      </c>
      <c r="G978" t="str">
        <f>_xlfn.XLOOKUP(A978, Extraídas!A:A, Extraídas!G:G, "")</f>
        <v/>
      </c>
    </row>
    <row r="979" spans="1:7" x14ac:dyDescent="0.3">
      <c r="A979" s="655" t="s">
        <v>982</v>
      </c>
      <c r="B979" s="255" t="str">
        <f t="array" ref="B979">IFERROR(
   IF(INDEX([1]Extraídas!B:B,MATCH(LEFT($A979,6)&amp;"*",[1]Extraídas!A:A,0))="Extraídas",
      "✅ En proceso",
      IF(INDEX([1]Extraídas!B:B,MATCH(LEFT($A979,6)&amp;"*",[1]Extraídas!A:A,0))="Recibidas",
         "⏳ Pendiente","❌ No ingresada")),
   "❌ No ingresada"
)</f>
        <v>✅ En proceso</v>
      </c>
      <c r="C979" s="255" t="str">
        <f t="array" ref="C979">IFERROR(
   IF(INDEX([1]PCRs!B:B,MATCH(LEFT($A979,6)&amp;"*",[1]PCRs!A:A,0))="Positivo",
      "✅ Positivo",
      IF(INDEX([1]PCRs!B:B,MATCH(LEFT($A979,6)&amp;"*",[1]PCRs!A:A,0))="Negativo",
         "❌ Negativo",
         "⏳ No realizado")),
   "⏳ No realizado"
)</f>
        <v>⏳ No realizado</v>
      </c>
      <c r="D979" s="255" t="str">
        <f>IFERROR(
   CHOOSE(
      MATCH(VLOOKUP(LEFT(A1026,6)&amp;"*",'Identificación genética'!A:C,2,FALSE),
               {"En proceso";"Finalizado"},0),
      "🔬 En proceso",
      "🎯 Finalizado"
   ),
"❌ NA")</f>
        <v>❌ NA</v>
      </c>
      <c r="E979" t="s">
        <v>24</v>
      </c>
      <c r="F979" s="111">
        <v>45848</v>
      </c>
      <c r="G979" t="str">
        <f>_xlfn.XLOOKUP(A979, Extraídas!A:A, Extraídas!G:G, "")</f>
        <v>Microalgas</v>
      </c>
    </row>
    <row r="980" spans="1:7" x14ac:dyDescent="0.3">
      <c r="A980" s="656" t="s">
        <v>983</v>
      </c>
      <c r="B980" s="255" t="str">
        <f t="array" ref="B980">IFERROR(
   IF(INDEX([1]Extraídas!B:B,MATCH(LEFT($A980,6)&amp;"*",[1]Extraídas!A:A,0))="Extraídas",
      "✅ En proceso",
      IF(INDEX([1]Extraídas!B:B,MATCH(LEFT($A980,6)&amp;"*",[1]Extraídas!A:A,0))="Recibidas",
         "⏳ Pendiente","❌ No ingresada")),
   "❌ No ingresada"
)</f>
        <v>✅ En proceso</v>
      </c>
      <c r="C980" s="255" t="str">
        <f t="array" ref="C980">IFERROR(
   IF(INDEX([1]PCRs!B:B,MATCH(LEFT($A980,6)&amp;"*",[1]PCRs!A:A,0))="Positivo",
      "✅ Positivo",
      IF(INDEX([1]PCRs!B:B,MATCH(LEFT($A980,6)&amp;"*",[1]PCRs!A:A,0))="Negativo",
         "❌ Negativo",
         "⏳ No realizado")),
   "⏳ No realizado"
)</f>
        <v>⏳ No realizado</v>
      </c>
      <c r="D980" s="255" t="str">
        <f>IFERROR(
   CHOOSE(
      MATCH(VLOOKUP(LEFT(A1027,6)&amp;"*",'Identificación genética'!A:C,2,FALSE),
               {"En proceso";"Finalizado"},0),
      "🔬 En proceso",
      "🎯 Finalizado"
   ),
"❌ NA")</f>
        <v>❌ NA</v>
      </c>
      <c r="E980" t="s">
        <v>24</v>
      </c>
      <c r="F980" s="54">
        <v>45947</v>
      </c>
      <c r="G980" t="str">
        <f>_xlfn.XLOOKUP(A980, Extraídas!A:A, Extraídas!G:G, "")</f>
        <v>ambiental</v>
      </c>
    </row>
    <row r="981" spans="1:7" x14ac:dyDescent="0.3">
      <c r="A981" s="653" t="s">
        <v>984</v>
      </c>
      <c r="B981" s="255" t="str">
        <f t="array" ref="B981">IFERROR(
   IF(INDEX([1]Extraídas!B:B,MATCH(LEFT($A981,6)&amp;"*",[1]Extraídas!A:A,0))="Extraídas",
      "✅ En proceso",
      IF(INDEX([1]Extraídas!B:B,MATCH(LEFT($A981,6)&amp;"*",[1]Extraídas!A:A,0))="Recibidas",
         "⏳ Pendiente","❌ No ingresada")),
   "❌ No ingresada"
)</f>
        <v>✅ En proceso</v>
      </c>
      <c r="C981" s="255" t="str">
        <f t="array" ref="C981">IFERROR(
   IF(INDEX([1]PCRs!B:B,MATCH(LEFT($A981,6)&amp;"*",[1]PCRs!A:A,0))="Positivo",
      "✅ Positivo",
      IF(INDEX([1]PCRs!B:B,MATCH(LEFT($A981,6)&amp;"*",[1]PCRs!A:A,0))="Negativo",
         "❌ Negativo",
         "⏳ No realizado")),
   "⏳ No realizado"
)</f>
        <v>⏳ No realizado</v>
      </c>
      <c r="D981" s="255" t="str">
        <f>IFERROR(
   CHOOSE(
      MATCH(VLOOKUP(LEFT(A1028,6)&amp;"*",'Identificación genética'!A:C,2,FALSE),
               {"En proceso";"Finalizado"},0),
      "🔬 En proceso",
      "🎯 Finalizado"
   ),
"❌ NA")</f>
        <v>❌ NA</v>
      </c>
      <c r="E981" t="s">
        <v>24</v>
      </c>
      <c r="F981" s="110">
        <v>45922</v>
      </c>
      <c r="G981" t="str">
        <f>_xlfn.XLOOKUP(A981, Extraídas!A:A, Extraídas!G:G, "")</f>
        <v>Microalgas</v>
      </c>
    </row>
    <row r="982" spans="1:7" x14ac:dyDescent="0.3">
      <c r="A982" s="653" t="s">
        <v>985</v>
      </c>
      <c r="B982" s="255" t="str">
        <f>IFERROR(
   IF(INDEX(Extraídas!B:B,MATCH(LEFT($A982,6)&amp;"*",Extraídas!A:A,0))="Extraídas",
      "✅ En proceso",
      IF(INDEX(Extraídas!B:B,MATCH(LEFT($A982,6)&amp;"*",Extraídas!A:A,0))="Recibidas",
         "⏳ Pendiente","❌ No ingresada")),
   "❌ No ingresada"
)</f>
        <v>✅ En proceso</v>
      </c>
      <c r="C982" s="255" t="str">
        <f t="array" ref="C982">IFERROR(
   IF(INDEX([1]PCRs!B:B,MATCH(LEFT($A982,6)&amp;"*",[1]PCRs!A:A,0))="Positivo",
      "✅ Positivo",
      IF(INDEX([1]PCRs!B:B,MATCH(LEFT($A982,6)&amp;"*",[1]PCRs!A:A,0))="Negativo",
         "❌ Negativo",
         "⏳ No realizado")),
   "⏳ No realizado"
)</f>
        <v>❌ Negativo</v>
      </c>
      <c r="D982" s="255" t="str">
        <f>IFERROR(
   CHOOSE(
      MATCH(VLOOKUP(LEFT(A1029,6)&amp;"*",'Identificación genética'!A:C,2,FALSE),
               {"En proceso";"Finalizado"},0),
      "🔬 En proceso",
      "🎯 Finalizado"
   ),
"❌ NA")</f>
        <v>❌ NA</v>
      </c>
      <c r="E982" t="s">
        <v>85</v>
      </c>
      <c r="F982" s="110">
        <v>45931</v>
      </c>
      <c r="G982" t="str">
        <f>_xlfn.XLOOKUP(A982, Extraídas!A:A, Extraídas!G:G, "")</f>
        <v>Microalgas</v>
      </c>
    </row>
    <row r="983" spans="1:7" x14ac:dyDescent="0.3">
      <c r="A983" s="475" t="s">
        <v>2298</v>
      </c>
      <c r="B983" t="str">
        <f t="array" ref="B983">IFERROR(
   IF(INDEX([1]Extraídas!B:B,MATCH(LEFT($A983,6)&amp;"*",[1]Extraídas!A:A,0))="Extraídas",
      "✅ En proceso",
      IF(INDEX([1]Extraídas!B:B,MATCH(LEFT($A983,6)&amp;"*",[1]Extraídas!A:A,0))="Recibidas",
         "⏳ Pendiente","❌ No ingresada")),
   "❌ No ingresada"
)</f>
        <v>❌ No ingresada</v>
      </c>
      <c r="C983" s="255" t="str">
        <f t="array" ref="C983">IFERROR(
   IF(INDEX([1]PCRs!B:B,MATCH(LEFT($A983,6)&amp;"*",[1]PCRs!A:A,0))="Positivo",
      "✅ Positivo",
      IF(INDEX([1]PCRs!B:B,MATCH(LEFT($A983,6)&amp;"*",[1]PCRs!A:A,0))="Negativo",
         "❌ Negativo",
         "⏳ No realizado")),
   "⏳ No realizado"
)</f>
        <v>⏳ No realizado</v>
      </c>
      <c r="D983" s="255" t="str">
        <f>IFERROR(
   CHOOSE(
      MATCH(VLOOKUP(LEFT(A1030,6)&amp;"*",'Identificación genética'!A:C,2,FALSE),
               {"En proceso";"Finalizado"},0),
      "🔬 En proceso",
      "🎯 Finalizado"
   ),
"❌ NA")</f>
        <v>❌ NA</v>
      </c>
      <c r="E983" t="s">
        <v>24</v>
      </c>
      <c r="G983" t="str">
        <f>_xlfn.XLOOKUP(A983, Extraídas!A:A, Extraídas!G:G, "")</f>
        <v/>
      </c>
    </row>
    <row r="984" spans="1:7" x14ac:dyDescent="0.3">
      <c r="A984" s="352" t="s">
        <v>2202</v>
      </c>
      <c r="B984" s="255" t="str">
        <f>IFERROR(
   IF(INDEX(Extraídas!B:B,MATCH(LEFT($A984,6)&amp;"*",Extraídas!A:A,0))="Extraídas",
      "✅ En proceso",
      IF(INDEX(Extraídas!B:B,MATCH(LEFT($A984,6)&amp;"*",Extraídas!A:A,0))="Recibidas",
         "⏳ Pendiente","❌ No ingresada")),
   "❌ No ingresada"
)</f>
        <v>❌ No ingresada</v>
      </c>
      <c r="C984" s="255" t="str">
        <f t="array" ref="C984">IFERROR(
   IF(INDEX([1]PCRs!B:B,MATCH(LEFT($A984,6)&amp;"*",[1]PCRs!A:A,0))="Positivo",
      "✅ Positivo",
      IF(INDEX([1]PCRs!B:B,MATCH(LEFT($A984,6)&amp;"*",[1]PCRs!A:A,0))="Negativo",
         "❌ Negativo",
         "⏳ No realizado")),
   "⏳ No realizado"
)</f>
        <v>✅ Positivo</v>
      </c>
      <c r="D984" s="255" t="str">
        <f>IFERROR(
   CHOOSE(
      MATCH(VLOOKUP(LEFT(A1031,6)&amp;"*",'Identificación genética'!A:C,2,FALSE),
               {"En proceso";"Finalizado"},0),
      "🔬 En proceso",
      "🎯 Finalizado"
   ),
"❌ NA")</f>
        <v>🎯 Finalizado</v>
      </c>
      <c r="E984" t="s">
        <v>85</v>
      </c>
      <c r="G984" t="str">
        <f>_xlfn.XLOOKUP(A984, Extraídas!A:A, Extraídas!G:G, "")</f>
        <v/>
      </c>
    </row>
    <row r="985" spans="1:7" x14ac:dyDescent="0.3">
      <c r="A985" s="352" t="s">
        <v>2203</v>
      </c>
      <c r="B985" t="str">
        <f t="array" ref="B985">IFERROR(
   IF(INDEX([1]Extraídas!B:B,MATCH(LEFT($A985,6)&amp;"*",[1]Extraídas!A:A,0))="Extraídas",
      "✅ En proceso",
      IF(INDEX([1]Extraídas!B:B,MATCH(LEFT($A985,6)&amp;"*",[1]Extraídas!A:A,0))="Recibidas",
         "⏳ Pendiente","❌ No ingresada")),
   "❌ No ingresada"
)</f>
        <v>❌ No ingresada</v>
      </c>
      <c r="C985" s="255" t="str">
        <f t="array" ref="C985">IFERROR(
   IF(INDEX([1]PCRs!B:B,MATCH(LEFT($A985,6)&amp;"*",[1]PCRs!A:A,0))="Positivo",
      "✅ Positivo",
      IF(INDEX([1]PCRs!B:B,MATCH(LEFT($A985,6)&amp;"*",[1]PCRs!A:A,0))="Negativo",
         "❌ Negativo",
         "⏳ No realizado")),
   "⏳ No realizado"
)</f>
        <v>✅ Positivo</v>
      </c>
      <c r="D985" s="255" t="str">
        <f>IFERROR(
   CHOOSE(
      MATCH(VLOOKUP(LEFT(A1032,6)&amp;"*",'Identificación genética'!A:C,2,FALSE),
               {"En proceso";"Finalizado"},0),
      "🔬 En proceso",
      "🎯 Finalizado"
   ),
"❌ NA")</f>
        <v>🎯 Finalizado</v>
      </c>
      <c r="E985" t="s">
        <v>24</v>
      </c>
      <c r="G985" t="str">
        <f>_xlfn.XLOOKUP(A985, Extraídas!A:A, Extraídas!G:G, "")</f>
        <v/>
      </c>
    </row>
    <row r="986" spans="1:7" x14ac:dyDescent="0.3">
      <c r="A986" s="656" t="s">
        <v>986</v>
      </c>
      <c r="B986" s="255" t="str">
        <f t="array" ref="B986">IFERROR(
   IF(INDEX([1]Extraídas!B:B,MATCH(LEFT($A986,6)&amp;"*",[1]Extraídas!A:A,0))="Extraídas",
      "✅ En proceso",
      IF(INDEX([1]Extraídas!B:B,MATCH(LEFT($A986,6)&amp;"*",[1]Extraídas!A:A,0))="Recibidas",
         "⏳ Pendiente","❌ No ingresada")),
   "❌ No ingresada"
)</f>
        <v>✅ En proceso</v>
      </c>
      <c r="C986" s="255" t="str">
        <f t="array" ref="C986">IFERROR(
   IF(INDEX([1]PCRs!B:B,MATCH(LEFT($A986,6)&amp;"*",[1]PCRs!A:A,0))="Positivo",
      "✅ Positivo",
      IF(INDEX([1]PCRs!B:B,MATCH(LEFT($A986,6)&amp;"*",[1]PCRs!A:A,0))="Negativo",
         "❌ Negativo",
         "⏳ No realizado")),
   "⏳ No realizado"
)</f>
        <v>⏳ No realizado</v>
      </c>
      <c r="D986" s="255" t="str">
        <f>IFERROR(
   CHOOSE(
      MATCH(VLOOKUP(LEFT(A1033,6)&amp;"*",'Identificación genética'!A:C,2,FALSE),
               {"En proceso";"Finalizado"},0),
      "🔬 En proceso",
      "🎯 Finalizado"
   ),
"❌ NA")</f>
        <v>❌ NA</v>
      </c>
      <c r="E986" t="s">
        <v>24</v>
      </c>
      <c r="F986" s="55">
        <v>45966</v>
      </c>
      <c r="G986" t="str">
        <f>_xlfn.XLOOKUP(A986, Extraídas!A:A, Extraídas!G:G, "")</f>
        <v>Microalgas</v>
      </c>
    </row>
    <row r="987" spans="1:7" x14ac:dyDescent="0.3">
      <c r="A987" s="653" t="s">
        <v>987</v>
      </c>
      <c r="B987" s="255" t="str">
        <f t="array" ref="B987">IFERROR(
   IF(INDEX([1]Extraídas!B:B,MATCH(LEFT($A987,6)&amp;"*",[1]Extraídas!A:A,0))="Extraídas",
      "✅ En proceso",
      IF(INDEX([1]Extraídas!B:B,MATCH(LEFT($A987,6)&amp;"*",[1]Extraídas!A:A,0))="Recibidas",
         "⏳ Pendiente","❌ No ingresada")),
   "❌ No ingresada"
)</f>
        <v>✅ En proceso</v>
      </c>
      <c r="C987" s="255" t="str">
        <f t="array" ref="C987">IFERROR(
   IF(INDEX([1]PCRs!B:B,MATCH(LEFT($A987,6)&amp;"*",[1]PCRs!A:A,0))="Positivo",
      "✅ Positivo",
      IF(INDEX([1]PCRs!B:B,MATCH(LEFT($A987,6)&amp;"*",[1]PCRs!A:A,0))="Negativo",
         "❌ Negativo",
         "⏳ No realizado")),
   "⏳ No realizado"
)</f>
        <v>❌ Negativo</v>
      </c>
      <c r="D987" s="255" t="str">
        <f>IFERROR(
   CHOOSE(
      MATCH(VLOOKUP(LEFT(A1034,6)&amp;"*",'Identificación genética'!A:C,2,FALSE),
               {"En proceso";"Finalizado"},0),
      "🔬 En proceso",
      "🎯 Finalizado"
   ),
"❌ NA")</f>
        <v>🎯 Finalizado</v>
      </c>
      <c r="E987" t="s">
        <v>24</v>
      </c>
      <c r="F987" s="110">
        <v>45931</v>
      </c>
      <c r="G987" t="str">
        <f>_xlfn.XLOOKUP(A987, Extraídas!A:A, Extraídas!G:G, "")</f>
        <v>Microalgas</v>
      </c>
    </row>
    <row r="988" spans="1:7" x14ac:dyDescent="0.3">
      <c r="A988" s="475" t="s">
        <v>2299</v>
      </c>
      <c r="B988" t="str">
        <f t="array" ref="B988">IFERROR(
   IF(INDEX([1]Extraídas!B:B,MATCH(LEFT($A988,6)&amp;"*",[1]Extraídas!A:A,0))="Extraídas",
      "✅ En proceso",
      IF(INDEX([1]Extraídas!B:B,MATCH(LEFT($A988,6)&amp;"*",[1]Extraídas!A:A,0))="Recibidas",
         "⏳ Pendiente","❌ No ingresada")),
   "❌ No ingresada"
)</f>
        <v>❌ No ingresada</v>
      </c>
      <c r="C988" s="255" t="str">
        <f t="array" ref="C988">IFERROR(
   IF(INDEX([1]PCRs!B:B,MATCH(LEFT($A988,6)&amp;"*",[1]PCRs!A:A,0))="Positivo",
      "✅ Positivo",
      IF(INDEX([1]PCRs!B:B,MATCH(LEFT($A988,6)&amp;"*",[1]PCRs!A:A,0))="Negativo",
         "❌ Negativo",
         "⏳ No realizado")),
   "⏳ No realizado"
)</f>
        <v>⏳ No realizado</v>
      </c>
      <c r="D988" s="255" t="str">
        <f>IFERROR(
   CHOOSE(
      MATCH(VLOOKUP(LEFT(A1035,6)&amp;"*",'Identificación genética'!A:C,2,FALSE),
               {"En proceso";"Finalizado"},0),
      "🔬 En proceso",
      "🎯 Finalizado"
   ),
"❌ NA")</f>
        <v>❌ NA</v>
      </c>
      <c r="E988" t="s">
        <v>24</v>
      </c>
      <c r="G988" t="str">
        <f>_xlfn.XLOOKUP(A988, Extraídas!A:A, Extraídas!G:G, "")</f>
        <v/>
      </c>
    </row>
    <row r="989" spans="1:7" x14ac:dyDescent="0.3">
      <c r="A989" s="475" t="s">
        <v>2300</v>
      </c>
      <c r="B989" t="str">
        <f t="array" ref="B989">IFERROR(
   IF(INDEX([1]Extraídas!B:B,MATCH(LEFT($A989,6)&amp;"*",[1]Extraídas!A:A,0))="Extraídas",
      "✅ En proceso",
      IF(INDEX([1]Extraídas!B:B,MATCH(LEFT($A989,6)&amp;"*",[1]Extraídas!A:A,0))="Recibidas",
         "⏳ Pendiente","❌ No ingresada")),
   "❌ No ingresada"
)</f>
        <v>❌ No ingresada</v>
      </c>
      <c r="C989" s="255" t="str">
        <f t="array" ref="C989">IFERROR(
   IF(INDEX([1]PCRs!B:B,MATCH(LEFT($A989,6)&amp;"*",[1]PCRs!A:A,0))="Positivo",
      "✅ Positivo",
      IF(INDEX([1]PCRs!B:B,MATCH(LEFT($A989,6)&amp;"*",[1]PCRs!A:A,0))="Negativo",
         "❌ Negativo",
         "⏳ No realizado")),
   "⏳ No realizado"
)</f>
        <v>⏳ No realizado</v>
      </c>
      <c r="D989" s="255" t="str">
        <f>IFERROR(
   CHOOSE(
      MATCH(VLOOKUP(LEFT(A1036,6)&amp;"*",'Identificación genética'!A:C,2,FALSE),
               {"En proceso";"Finalizado"},0),
      "🔬 En proceso",
      "🎯 Finalizado"
   ),
"❌ NA")</f>
        <v>❌ NA</v>
      </c>
      <c r="E989" t="s">
        <v>24</v>
      </c>
      <c r="G989" t="str">
        <f>_xlfn.XLOOKUP(A989, Extraídas!A:A, Extraídas!G:G, "")</f>
        <v/>
      </c>
    </row>
    <row r="990" spans="1:7" x14ac:dyDescent="0.3">
      <c r="A990" s="484" t="s">
        <v>2301</v>
      </c>
      <c r="B990" t="str">
        <f t="array" ref="B990">IFERROR(
   IF(INDEX([1]Extraídas!B:B,MATCH(LEFT($A990,6)&amp;"*",[1]Extraídas!A:A,0))="Extraídas",
      "✅ En proceso",
      IF(INDEX([1]Extraídas!B:B,MATCH(LEFT($A990,6)&amp;"*",[1]Extraídas!A:A,0))="Recibidas",
         "⏳ Pendiente","❌ No ingresada")),
   "❌ No ingresada"
)</f>
        <v>❌ No ingresada</v>
      </c>
      <c r="C990" s="255" t="str">
        <f t="array" ref="C990">IFERROR(
   IF(INDEX([1]PCRs!B:B,MATCH(LEFT($A990,6)&amp;"*",[1]PCRs!A:A,0))="Positivo",
      "✅ Positivo",
      IF(INDEX([1]PCRs!B:B,MATCH(LEFT($A990,6)&amp;"*",[1]PCRs!A:A,0))="Negativo",
         "❌ Negativo",
         "⏳ No realizado")),
   "⏳ No realizado"
)</f>
        <v>⏳ No realizado</v>
      </c>
      <c r="D990" s="255" t="str">
        <f>IFERROR(
   CHOOSE(
      MATCH(VLOOKUP(LEFT(A1037,6)&amp;"*",'Identificación genética'!A:C,2,FALSE),
               {"En proceso";"Finalizado"},0),
      "🔬 En proceso",
      "🎯 Finalizado"
   ),
"❌ NA")</f>
        <v>🎯 Finalizado</v>
      </c>
      <c r="E990" t="s">
        <v>24</v>
      </c>
      <c r="G990" t="str">
        <f>_xlfn.XLOOKUP(A990, Extraídas!A:A, Extraídas!G:G, "")</f>
        <v/>
      </c>
    </row>
    <row r="991" spans="1:7" x14ac:dyDescent="0.3">
      <c r="A991" s="494" t="s">
        <v>2302</v>
      </c>
      <c r="B991" t="str">
        <f t="array" ref="B991">IFERROR(
   IF(INDEX([1]Extraídas!B:B,MATCH(LEFT($A991,6)&amp;"*",[1]Extraídas!A:A,0))="Extraídas",
      "✅ En proceso",
      IF(INDEX([1]Extraídas!B:B,MATCH(LEFT($A991,6)&amp;"*",[1]Extraídas!A:A,0))="Recibidas",
         "⏳ Pendiente","❌ No ingresada")),
   "❌ No ingresada"
)</f>
        <v>❌ No ingresada</v>
      </c>
      <c r="C991" s="255" t="str">
        <f t="array" ref="C991">IFERROR(
   IF(INDEX([1]PCRs!B:B,MATCH(LEFT($A991,6)&amp;"*",[1]PCRs!A:A,0))="Positivo",
      "✅ Positivo",
      IF(INDEX([1]PCRs!B:B,MATCH(LEFT($A991,6)&amp;"*",[1]PCRs!A:A,0))="Negativo",
         "❌ Negativo",
         "⏳ No realizado")),
   "⏳ No realizado"
)</f>
        <v>⏳ No realizado</v>
      </c>
      <c r="D991" s="255" t="str">
        <f>IFERROR(
   CHOOSE(
      MATCH(VLOOKUP(LEFT(A1038,6)&amp;"*",'Identificación genética'!A:C,2,FALSE),
               {"En proceso";"Finalizado"},0),
      "🔬 En proceso",
      "🎯 Finalizado"
   ),
"❌ NA")</f>
        <v>🎯 Finalizado</v>
      </c>
      <c r="E991" t="s">
        <v>24</v>
      </c>
      <c r="G991" t="str">
        <f>_xlfn.XLOOKUP(A991, Extraídas!A:A, Extraídas!G:G, "")</f>
        <v/>
      </c>
    </row>
    <row r="992" spans="1:7" x14ac:dyDescent="0.3">
      <c r="A992" s="653" t="s">
        <v>988</v>
      </c>
      <c r="B992" s="255" t="str">
        <f t="array" ref="B992">IFERROR(
   IF(INDEX([1]Extraídas!B:B,MATCH(LEFT($A992,6)&amp;"*",[1]Extraídas!A:A,0))="Extraídas",
      "✅ En proceso",
      IF(INDEX([1]Extraídas!B:B,MATCH(LEFT($A992,6)&amp;"*",[1]Extraídas!A:A,0))="Recibidas",
         "⏳ Pendiente","❌ No ingresada")),
   "❌ No ingresada"
)</f>
        <v>✅ En proceso</v>
      </c>
      <c r="C992" s="255" t="str">
        <f t="array" ref="C992">IFERROR(
   IF(INDEX([1]PCRs!B:B,MATCH(LEFT($A992,6)&amp;"*",[1]PCRs!A:A,0))="Positivo",
      "✅ Positivo",
      IF(INDEX([1]PCRs!B:B,MATCH(LEFT($A992,6)&amp;"*",[1]PCRs!A:A,0))="Negativo",
         "❌ Negativo",
         "⏳ No realizado")),
   "⏳ No realizado"
)</f>
        <v>⏳ No realizado</v>
      </c>
      <c r="D992" s="255" t="str">
        <f>IFERROR(
   CHOOSE(
      MATCH(VLOOKUP(LEFT(A1039,6)&amp;"*",'Identificación genética'!A:C,2,FALSE),
               {"En proceso";"Finalizado"},0),
      "🔬 En proceso",
      "🎯 Finalizado"
   ),
"❌ NA")</f>
        <v>❌ NA</v>
      </c>
      <c r="E992" t="s">
        <v>24</v>
      </c>
      <c r="F992" s="110">
        <v>45931</v>
      </c>
      <c r="G992" t="str">
        <f>_xlfn.XLOOKUP(A992, Extraídas!A:A, Extraídas!G:G, "")</f>
        <v>Microalgas</v>
      </c>
    </row>
    <row r="993" spans="1:7" x14ac:dyDescent="0.3">
      <c r="A993" s="653" t="s">
        <v>989</v>
      </c>
      <c r="B993" s="255" t="str">
        <f t="array" ref="B993">IFERROR(
   IF(INDEX([1]Extraídas!B:B,MATCH(LEFT($A993,6)&amp;"*",[1]Extraídas!A:A,0))="Extraídas",
      "✅ En proceso",
      IF(INDEX([1]Extraídas!B:B,MATCH(LEFT($A993,6)&amp;"*",[1]Extraídas!A:A,0))="Recibidas",
         "⏳ Pendiente","❌ No ingresada")),
   "❌ No ingresada"
)</f>
        <v>✅ En proceso</v>
      </c>
      <c r="C993" s="255" t="str">
        <f t="array" ref="C993">IFERROR(
   IF(INDEX([1]PCRs!B:B,MATCH(LEFT($A993,6)&amp;"*",[1]PCRs!A:A,0))="Positivo",
      "✅ Positivo",
      IF(INDEX([1]PCRs!B:B,MATCH(LEFT($A993,6)&amp;"*",[1]PCRs!A:A,0))="Negativo",
         "❌ Negativo",
         "⏳ No realizado")),
   "⏳ No realizado"
)</f>
        <v>⏳ No realizado</v>
      </c>
      <c r="D993" s="255" t="str">
        <f>IFERROR(
   CHOOSE(
      MATCH(VLOOKUP(LEFT(A1040,6)&amp;"*",'Identificación genética'!A:C,2,FALSE),
               {"En proceso";"Finalizado"},0),
      "🔬 En proceso",
      "🎯 Finalizado"
   ),
"❌ NA")</f>
        <v>❌ NA</v>
      </c>
      <c r="E993" t="s">
        <v>24</v>
      </c>
      <c r="F993" s="110">
        <v>45931</v>
      </c>
      <c r="G993" t="str">
        <f>_xlfn.XLOOKUP(A993, Extraídas!A:A, Extraídas!G:G, "")</f>
        <v>Microalgas</v>
      </c>
    </row>
    <row r="994" spans="1:7" x14ac:dyDescent="0.3">
      <c r="A994" s="653" t="s">
        <v>990</v>
      </c>
      <c r="B994" s="255" t="str">
        <f t="array" ref="B994">IFERROR(
   IF(INDEX([1]Extraídas!B:B,MATCH(LEFT($A994,6)&amp;"*",[1]Extraídas!A:A,0))="Extraídas",
      "✅ En proceso",
      IF(INDEX([1]Extraídas!B:B,MATCH(LEFT($A994,6)&amp;"*",[1]Extraídas!A:A,0))="Recibidas",
         "⏳ Pendiente","❌ No ingresada")),
   "❌ No ingresada"
)</f>
        <v>✅ En proceso</v>
      </c>
      <c r="C994" s="255" t="str">
        <f t="array" ref="C994">IFERROR(
   IF(INDEX([1]PCRs!B:B,MATCH(LEFT($A994,6)&amp;"*",[1]PCRs!A:A,0))="Positivo",
      "✅ Positivo",
      IF(INDEX([1]PCRs!B:B,MATCH(LEFT($A994,6)&amp;"*",[1]PCRs!A:A,0))="Negativo",
         "❌ Negativo",
         "⏳ No realizado")),
   "⏳ No realizado"
)</f>
        <v>❌ Negativo</v>
      </c>
      <c r="D994" s="255" t="str">
        <f>IFERROR(
   CHOOSE(
      MATCH(VLOOKUP(LEFT(A1041,6)&amp;"*",'Identificación genética'!A:C,2,FALSE),
               {"En proceso";"Finalizado"},0),
      "🔬 En proceso",
      "🎯 Finalizado"
   ),
"❌ NA")</f>
        <v>❌ NA</v>
      </c>
      <c r="E994" t="s">
        <v>24</v>
      </c>
      <c r="F994" s="110">
        <v>45931</v>
      </c>
      <c r="G994" t="str">
        <f>_xlfn.XLOOKUP(A994, Extraídas!A:A, Extraídas!G:G, "")</f>
        <v>Microalgas</v>
      </c>
    </row>
    <row r="995" spans="1:7" x14ac:dyDescent="0.3">
      <c r="A995" s="653" t="s">
        <v>991</v>
      </c>
      <c r="B995" s="255" t="str">
        <f t="array" ref="B995">IFERROR(
   IF(INDEX([1]Extraídas!B:B,MATCH(LEFT($A995,6)&amp;"*",[1]Extraídas!A:A,0))="Extraídas",
      "✅ En proceso",
      IF(INDEX([1]Extraídas!B:B,MATCH(LEFT($A995,6)&amp;"*",[1]Extraídas!A:A,0))="Recibidas",
         "⏳ Pendiente","❌ No ingresada")),
   "❌ No ingresada"
)</f>
        <v>✅ En proceso</v>
      </c>
      <c r="C995" s="255" t="str">
        <f t="array" ref="C995">IFERROR(
   IF(INDEX([1]PCRs!B:B,MATCH(LEFT($A995,6)&amp;"*",[1]PCRs!A:A,0))="Positivo",
      "✅ Positivo",
      IF(INDEX([1]PCRs!B:B,MATCH(LEFT($A995,6)&amp;"*",[1]PCRs!A:A,0))="Negativo",
         "❌ Negativo",
         "⏳ No realizado")),
   "⏳ No realizado"
)</f>
        <v>⏳ No realizado</v>
      </c>
      <c r="D995" s="255" t="str">
        <f>IFERROR(
   CHOOSE(
      MATCH(VLOOKUP(LEFT(A1042,6)&amp;"*",'Identificación genética'!A:C,2,FALSE),
               {"En proceso";"Finalizado"},0),
      "🔬 En proceso",
      "🎯 Finalizado"
   ),
"❌ NA")</f>
        <v>❌ NA</v>
      </c>
      <c r="E995" t="s">
        <v>24</v>
      </c>
      <c r="F995" s="110">
        <v>45931</v>
      </c>
      <c r="G995" t="str">
        <f>_xlfn.XLOOKUP(A995, Extraídas!A:A, Extraídas!G:G, "")</f>
        <v>Microalgas</v>
      </c>
    </row>
    <row r="996" spans="1:7" x14ac:dyDescent="0.3">
      <c r="A996" s="653" t="s">
        <v>992</v>
      </c>
      <c r="B996" s="255" t="str">
        <f>IFERROR(
   IF(INDEX(Extraídas!B:B,MATCH(LEFT($A996,6)&amp;"*",Extraídas!A:A,0))="Extraídas",
      "✅ En proceso",
      IF(INDEX(Extraídas!B:B,MATCH(LEFT($A996,6)&amp;"*",Extraídas!A:A,0))="Recibidas",
         "⏳ Pendiente","❌ No ingresada")),
   "❌ No ingresada"
)</f>
        <v>✅ En proceso</v>
      </c>
      <c r="C996" s="255" t="str">
        <f t="array" ref="C996">IFERROR(
   IF(INDEX([1]PCRs!B:B,MATCH(LEFT($A996,6)&amp;"*",[1]PCRs!A:A,0))="Positivo",
      "✅ Positivo",
      IF(INDEX([1]PCRs!B:B,MATCH(LEFT($A996,6)&amp;"*",[1]PCRs!A:A,0))="Negativo",
         "❌ Negativo",
         "⏳ No realizado")),
   "⏳ No realizado"
)</f>
        <v>✅ Positivo</v>
      </c>
      <c r="D996" s="255" t="str">
        <f>IFERROR(
   CHOOSE(
      MATCH(VLOOKUP(LEFT(A1043,6)&amp;"*",'Identificación genética'!A:C,2,FALSE),
               {"En proceso";"Finalizado"},0),
      "🔬 En proceso",
      "🎯 Finalizado"
   ),
"❌ NA")</f>
        <v>❌ NA</v>
      </c>
      <c r="E996" t="s">
        <v>85</v>
      </c>
      <c r="F996" s="111">
        <v>45848</v>
      </c>
      <c r="G996" t="str">
        <f>_xlfn.XLOOKUP(A996, Extraídas!A:A, Extraídas!G:G, "")</f>
        <v>Microalgas</v>
      </c>
    </row>
    <row r="997" spans="1:7" x14ac:dyDescent="0.3">
      <c r="A997" s="655" t="s">
        <v>993</v>
      </c>
      <c r="B997" s="255" t="str">
        <f>IFERROR(
   IF(INDEX(Extraídas!B:B,MATCH(LEFT($A997,6)&amp;"*",Extraídas!A:A,0))="Extraídas",
      "✅ En proceso",
      IF(INDEX(Extraídas!B:B,MATCH(LEFT($A997,6)&amp;"*",Extraídas!A:A,0))="Recibidas",
         "⏳ Pendiente","❌ No ingresada")),
   "❌ No ingresada"
)</f>
        <v>✅ En proceso</v>
      </c>
      <c r="C997" s="255" t="str">
        <f t="array" ref="C997">IFERROR(
   IF(INDEX([1]PCRs!B:B,MATCH(LEFT($A997,6)&amp;"*",[1]PCRs!A:A,0))="Positivo",
      "✅ Positivo",
      IF(INDEX([1]PCRs!B:B,MATCH(LEFT($A997,6)&amp;"*",[1]PCRs!A:A,0))="Negativo",
         "❌ Negativo",
         "⏳ No realizado")),
   "⏳ No realizado"
)</f>
        <v>✅ Positivo</v>
      </c>
      <c r="D997" s="255" t="str">
        <f>IFERROR(
   CHOOSE(
      MATCH(VLOOKUP(LEFT(A1044,6)&amp;"*",'Identificación genética'!A:C,2,FALSE),
               {"En proceso";"Finalizado"},0),
      "🔬 En proceso",
      "🎯 Finalizado"
   ),
"❌ NA")</f>
        <v>❌ NA</v>
      </c>
      <c r="E997" t="s">
        <v>85</v>
      </c>
      <c r="F997" s="111">
        <v>45848</v>
      </c>
      <c r="G997" t="str">
        <f>_xlfn.XLOOKUP(A997, Extraídas!A:A, Extraídas!G:G, "")</f>
        <v>Microalgas</v>
      </c>
    </row>
    <row r="998" spans="1:7" x14ac:dyDescent="0.3">
      <c r="A998" s="653" t="s">
        <v>994</v>
      </c>
      <c r="B998" s="255" t="str">
        <f t="array" ref="B998">IFERROR(
   IF(INDEX([1]Extraídas!B:B,MATCH(LEFT($A998,6)&amp;"*",[1]Extraídas!A:A,0))="Extraídas",
      "✅ En proceso",
      IF(INDEX([1]Extraídas!B:B,MATCH(LEFT($A998,6)&amp;"*",[1]Extraídas!A:A,0))="Recibidas",
         "⏳ Pendiente","❌ No ingresada")),
   "❌ No ingresada"
)</f>
        <v>✅ En proceso</v>
      </c>
      <c r="C998" s="255" t="str">
        <f t="array" ref="C998">IFERROR(
   IF(INDEX([1]PCRs!B:B,MATCH(LEFT($A998,6)&amp;"*",[1]PCRs!A:A,0))="Positivo",
      "✅ Positivo",
      IF(INDEX([1]PCRs!B:B,MATCH(LEFT($A998,6)&amp;"*",[1]PCRs!A:A,0))="Negativo",
         "❌ Negativo",
         "⏳ No realizado")),
   "⏳ No realizado"
)</f>
        <v>⏳ No realizado</v>
      </c>
      <c r="D998" s="255" t="str">
        <f>IFERROR(
   CHOOSE(
      MATCH(VLOOKUP(LEFT(A1045,6)&amp;"*",'Identificación genética'!A:C,2,FALSE),
               {"En proceso";"Finalizado"},0),
      "🔬 En proceso",
      "🎯 Finalizado"
   ),
"❌ NA")</f>
        <v>❌ NA</v>
      </c>
      <c r="E998" t="s">
        <v>24</v>
      </c>
      <c r="F998" s="110">
        <v>45931</v>
      </c>
      <c r="G998" t="str">
        <f>_xlfn.XLOOKUP(A998, Extraídas!A:A, Extraídas!G:G, "")</f>
        <v>Microalgas</v>
      </c>
    </row>
    <row r="999" spans="1:7" x14ac:dyDescent="0.3">
      <c r="A999" s="352" t="s">
        <v>2263</v>
      </c>
      <c r="B999" s="255" t="str">
        <f>IFERROR(
   IF(INDEX(Extraídas!B:B,MATCH(LEFT($A999,6)&amp;"*",Extraídas!A:A,0))="Extraídas",
      "✅ En proceso",
      IF(INDEX(Extraídas!B:B,MATCH(LEFT($A999,6)&amp;"*",Extraídas!A:A,0))="Recibidas",
         "⏳ Pendiente","❌ No ingresada")),
   "❌ No ingresada"
)</f>
        <v>✅ En proceso</v>
      </c>
      <c r="C999" s="255" t="str">
        <f t="array" ref="C999">IFERROR(
   IF(INDEX([1]PCRs!B:B,MATCH(LEFT($A999,6)&amp;"*",[1]PCRs!A:A,0))="Positivo",
      "✅ Positivo",
      IF(INDEX([1]PCRs!B:B,MATCH(LEFT($A999,6)&amp;"*",[1]PCRs!A:A,0))="Negativo",
         "❌ Negativo",
         "⏳ No realizado")),
   "⏳ No realizado"
)</f>
        <v>✅ Positivo</v>
      </c>
      <c r="D999" s="255" t="str">
        <f>IFERROR(
   CHOOSE(
      MATCH(VLOOKUP(LEFT(A1046,6)&amp;"*",'Identificación genética'!A:C,2,FALSE),
               {"En proceso";"Finalizado"},0),
      "🔬 En proceso",
      "🎯 Finalizado"
   ),
"❌ NA")</f>
        <v>❌ NA</v>
      </c>
      <c r="E999" t="s">
        <v>85</v>
      </c>
      <c r="G999" t="str">
        <f>_xlfn.XLOOKUP(A999, Extraídas!A:A, Extraídas!G:G, "")</f>
        <v/>
      </c>
    </row>
    <row r="1000" spans="1:7" x14ac:dyDescent="0.3">
      <c r="A1000" s="655" t="s">
        <v>995</v>
      </c>
      <c r="B1000" s="255" t="str">
        <f>IFERROR(
   IF(INDEX(Extraídas!B:B,MATCH(LEFT($A1000,6)&amp;"*",Extraídas!A:A,0))="Extraídas",
      "✅ En proceso",
      IF(INDEX(Extraídas!B:B,MATCH(LEFT($A1000,6)&amp;"*",Extraídas!A:A,0))="Recibidas",
         "⏳ Pendiente","❌ No ingresada")),
   "❌ No ingresada"
)</f>
        <v>✅ En proceso</v>
      </c>
      <c r="C1000" s="255" t="str">
        <f t="array" ref="C1000">IFERROR(
   IF(INDEX([1]PCRs!B:B,MATCH(LEFT($A1000,6)&amp;"*",[1]PCRs!A:A,0))="Positivo",
      "✅ Positivo",
      IF(INDEX([1]PCRs!B:B,MATCH(LEFT($A1000,6)&amp;"*",[1]PCRs!A:A,0))="Negativo",
         "❌ Negativo",
         "⏳ No realizado")),
   "⏳ No realizado"
)</f>
        <v>✅ Positivo</v>
      </c>
      <c r="D1000" s="255" t="str">
        <f>IFERROR(
   CHOOSE(
      MATCH(VLOOKUP(LEFT(A1047,6)&amp;"*",'Identificación genética'!A:C,2,FALSE),
               {"En proceso";"Finalizado"},0),
      "🔬 En proceso",
      "🎯 Finalizado"
   ),
"❌ NA")</f>
        <v>❌ NA</v>
      </c>
      <c r="E1000" t="s">
        <v>85</v>
      </c>
      <c r="F1000" s="111">
        <v>45848</v>
      </c>
      <c r="G1000" t="str">
        <f>_xlfn.XLOOKUP(A1000, Extraídas!A:A, Extraídas!G:G, "")</f>
        <v>Microalgas</v>
      </c>
    </row>
    <row r="1001" spans="1:7" x14ac:dyDescent="0.3">
      <c r="A1001" s="657" t="s">
        <v>996</v>
      </c>
      <c r="B1001" s="255" t="str">
        <f t="array" ref="B1001">IFERROR(
   IF(INDEX([1]Extraídas!B:B,MATCH(LEFT($A1001,6)&amp;"*",[1]Extraídas!A:A,0))="Extraídas",
      "✅ En proceso",
      IF(INDEX([1]Extraídas!B:B,MATCH(LEFT($A1001,6)&amp;"*",[1]Extraídas!A:A,0))="Recibidas",
         "⏳ Pendiente","❌ No ingresada")),
   "❌ No ingresada"
)</f>
        <v>✅ En proceso</v>
      </c>
      <c r="C1001" s="255" t="str">
        <f t="array" ref="C1001">IFERROR(
   IF(INDEX([1]PCRs!B:B,MATCH(LEFT($A1001,6)&amp;"*",[1]PCRs!A:A,0))="Positivo",
      "✅ Positivo",
      IF(INDEX([1]PCRs!B:B,MATCH(LEFT($A1001,6)&amp;"*",[1]PCRs!A:A,0))="Negativo",
         "❌ Negativo",
         "⏳ No realizado")),
   "⏳ No realizado"
)</f>
        <v>⏳ No realizado</v>
      </c>
      <c r="D1001" s="255" t="str">
        <f>IFERROR(
   CHOOSE(
      MATCH(VLOOKUP(LEFT(A1048,6)&amp;"*",'Identificación genética'!A:C,2,FALSE),
               {"En proceso";"Finalizado"},0),
      "🔬 En proceso",
      "🎯 Finalizado"
   ),
"❌ NA")</f>
        <v>🎯 Finalizado</v>
      </c>
      <c r="E1001" t="s">
        <v>24</v>
      </c>
      <c r="F1001" s="53">
        <v>45966</v>
      </c>
      <c r="G1001" t="str">
        <f>_xlfn.XLOOKUP(A1001, Extraídas!A:A, Extraídas!G:G, "")</f>
        <v>Microalgas</v>
      </c>
    </row>
    <row r="1002" spans="1:7" x14ac:dyDescent="0.3">
      <c r="A1002" s="656" t="s">
        <v>997</v>
      </c>
      <c r="B1002" s="255" t="str">
        <f t="array" ref="B1002">IFERROR(
   IF(INDEX([1]Extraídas!B:B,MATCH(LEFT($A1002,6)&amp;"*",[1]Extraídas!A:A,0))="Extraídas",
      "✅ En proceso",
      IF(INDEX([1]Extraídas!B:B,MATCH(LEFT($A1002,6)&amp;"*",[1]Extraídas!A:A,0))="Recibidas",
         "⏳ Pendiente","❌ No ingresada")),
   "❌ No ingresada"
)</f>
        <v>✅ En proceso</v>
      </c>
      <c r="C1002" s="255" t="str">
        <f t="array" ref="C1002">IFERROR(
   IF(INDEX([1]PCRs!B:B,MATCH(LEFT($A1002,6)&amp;"*",[1]PCRs!A:A,0))="Positivo",
      "✅ Positivo",
      IF(INDEX([1]PCRs!B:B,MATCH(LEFT($A1002,6)&amp;"*",[1]PCRs!A:A,0))="Negativo",
         "❌ Negativo",
         "⏳ No realizado")),
   "⏳ No realizado"
)</f>
        <v>⏳ No realizado</v>
      </c>
      <c r="D1002" s="255" t="str">
        <f>IFERROR(
   CHOOSE(
      MATCH(VLOOKUP(LEFT(A1049,6)&amp;"*",'Identificación genética'!A:C,2,FALSE),
               {"En proceso";"Finalizado"},0),
      "🔬 En proceso",
      "🎯 Finalizado"
   ),
"❌ NA")</f>
        <v>🎯 Finalizado</v>
      </c>
      <c r="E1002" t="s">
        <v>24</v>
      </c>
      <c r="F1002" s="55">
        <v>45966</v>
      </c>
      <c r="G1002" t="str">
        <f>_xlfn.XLOOKUP(A1002, Extraídas!A:A, Extraídas!G:G, "")</f>
        <v>Microalgas</v>
      </c>
    </row>
    <row r="1003" spans="1:7" x14ac:dyDescent="0.3">
      <c r="A1003" s="653" t="s">
        <v>998</v>
      </c>
      <c r="B1003" s="255" t="str">
        <f t="array" ref="B1003">IFERROR(
   IF(INDEX([1]Extraídas!B:B,MATCH(LEFT($A1003,6)&amp;"*",[1]Extraídas!A:A,0))="Extraídas",
      "✅ En proceso",
      IF(INDEX([1]Extraídas!B:B,MATCH(LEFT($A1003,6)&amp;"*",[1]Extraídas!A:A,0))="Recibidas",
         "⏳ Pendiente","❌ No ingresada")),
   "❌ No ingresada"
)</f>
        <v>✅ En proceso</v>
      </c>
      <c r="C1003" s="255" t="str">
        <f t="array" ref="C1003">IFERROR(
   IF(INDEX([1]PCRs!B:B,MATCH(LEFT($A1003,6)&amp;"*",[1]PCRs!A:A,0))="Positivo",
      "✅ Positivo",
      IF(INDEX([1]PCRs!B:B,MATCH(LEFT($A1003,6)&amp;"*",[1]PCRs!A:A,0))="Negativo",
         "❌ Negativo",
         "⏳ No realizado")),
   "⏳ No realizado"
)</f>
        <v>⏳ No realizado</v>
      </c>
      <c r="D1003" s="255" t="str">
        <f>IFERROR(
   CHOOSE(
      MATCH(VLOOKUP(LEFT(A1050,6)&amp;"*",'Identificación genética'!A:C,2,FALSE),
               {"En proceso";"Finalizado"},0),
      "🔬 En proceso",
      "🎯 Finalizado"
   ),
"❌ NA")</f>
        <v>🎯 Finalizado</v>
      </c>
      <c r="E1003" t="s">
        <v>24</v>
      </c>
      <c r="F1003" s="110">
        <v>45931</v>
      </c>
      <c r="G1003" t="str">
        <f>_xlfn.XLOOKUP(A1003, Extraídas!A:A, Extraídas!G:G, "")</f>
        <v>Microalgas</v>
      </c>
    </row>
    <row r="1004" spans="1:7" x14ac:dyDescent="0.3">
      <c r="A1004" s="494" t="s">
        <v>2303</v>
      </c>
      <c r="B1004" t="str">
        <f t="array" ref="B1004">IFERROR(
   IF(INDEX([1]Extraídas!B:B,MATCH(LEFT($A1004,6)&amp;"*",[1]Extraídas!A:A,0))="Extraídas",
      "✅ En proceso",
      IF(INDEX([1]Extraídas!B:B,MATCH(LEFT($A1004,6)&amp;"*",[1]Extraídas!A:A,0))="Recibidas",
         "⏳ Pendiente","❌ No ingresada")),
   "❌ No ingresada"
)</f>
        <v>✅ En proceso</v>
      </c>
      <c r="C1004" s="255" t="str">
        <f t="array" ref="C1004">IFERROR(
   IF(INDEX([1]PCRs!B:B,MATCH(LEFT($A1004,6)&amp;"*",[1]PCRs!A:A,0))="Positivo",
      "✅ Positivo",
      IF(INDEX([1]PCRs!B:B,MATCH(LEFT($A1004,6)&amp;"*",[1]PCRs!A:A,0))="Negativo",
         "❌ Negativo",
         "⏳ No realizado")),
   "⏳ No realizado"
)</f>
        <v>⏳ No realizado</v>
      </c>
      <c r="D1004" s="255" t="str">
        <f>IFERROR(
   CHOOSE(
      MATCH(VLOOKUP(LEFT(A1051,6)&amp;"*",'Identificación genética'!A:C,2,FALSE),
               {"En proceso";"Finalizado"},0),
      "🔬 En proceso",
      "🎯 Finalizado"
   ),
"❌ NA")</f>
        <v>🎯 Finalizado</v>
      </c>
      <c r="E1004" t="s">
        <v>24</v>
      </c>
      <c r="G1004" t="str">
        <f>_xlfn.XLOOKUP(A1004, Extraídas!A:A, Extraídas!G:G, "")</f>
        <v/>
      </c>
    </row>
    <row r="1005" spans="1:7" x14ac:dyDescent="0.3">
      <c r="A1005" s="653" t="s">
        <v>999</v>
      </c>
      <c r="B1005" s="255" t="str">
        <f t="array" ref="B1005">IFERROR(
   IF(INDEX([1]Extraídas!B:B,MATCH(LEFT($A1005,6)&amp;"*",[1]Extraídas!A:A,0))="Extraídas",
      "✅ En proceso",
      IF(INDEX([1]Extraídas!B:B,MATCH(LEFT($A1005,6)&amp;"*",[1]Extraídas!A:A,0))="Recibidas",
         "⏳ Pendiente","❌ No ingresada")),
   "❌ No ingresada"
)</f>
        <v>✅ En proceso</v>
      </c>
      <c r="C1005" s="255" t="str">
        <f t="array" ref="C1005">IFERROR(
   IF(INDEX([1]PCRs!B:B,MATCH(LEFT($A1005,6)&amp;"*",[1]PCRs!A:A,0))="Positivo",
      "✅ Positivo",
      IF(INDEX([1]PCRs!B:B,MATCH(LEFT($A1005,6)&amp;"*",[1]PCRs!A:A,0))="Negativo",
         "❌ Negativo",
         "⏳ No realizado")),
   "⏳ No realizado"
)</f>
        <v>⏳ No realizado</v>
      </c>
      <c r="D1005" s="255" t="str">
        <f>IFERROR(
   CHOOSE(
      MATCH(VLOOKUP(LEFT(A1052,6)&amp;"*",'Identificación genética'!A:C,2,FALSE),
               {"En proceso";"Finalizado"},0),
      "🔬 En proceso",
      "🎯 Finalizado"
   ),
"❌ NA")</f>
        <v>🎯 Finalizado</v>
      </c>
      <c r="E1005" t="s">
        <v>24</v>
      </c>
      <c r="F1005" s="110">
        <v>45931</v>
      </c>
      <c r="G1005" t="str">
        <f>_xlfn.XLOOKUP(A1005, Extraídas!A:A, Extraídas!G:G, "")</f>
        <v>Microalgas</v>
      </c>
    </row>
    <row r="1006" spans="1:7" x14ac:dyDescent="0.3">
      <c r="A1006" s="493" t="s">
        <v>2304</v>
      </c>
      <c r="B1006" t="str">
        <f t="array" ref="B1006">IFERROR(
   IF(INDEX([1]Extraídas!B:B,MATCH(LEFT($A1006,6)&amp;"*",[1]Extraídas!A:A,0))="Extraídas",
      "✅ En proceso",
      IF(INDEX([1]Extraídas!B:B,MATCH(LEFT($A1006,6)&amp;"*",[1]Extraídas!A:A,0))="Recibidas",
         "⏳ Pendiente","❌ No ingresada")),
   "❌ No ingresada"
)</f>
        <v>❌ No ingresada</v>
      </c>
      <c r="C1006" s="255" t="str">
        <f t="array" ref="C1006">IFERROR(
   IF(INDEX([1]PCRs!B:B,MATCH(LEFT($A1006,6)&amp;"*",[1]PCRs!A:A,0))="Positivo",
      "✅ Positivo",
      IF(INDEX([1]PCRs!B:B,MATCH(LEFT($A1006,6)&amp;"*",[1]PCRs!A:A,0))="Negativo",
         "❌ Negativo",
         "⏳ No realizado")),
   "⏳ No realizado"
)</f>
        <v>⏳ No realizado</v>
      </c>
      <c r="D1006" s="255" t="str">
        <f>IFERROR(
   CHOOSE(
      MATCH(VLOOKUP(LEFT(A1053,6)&amp;"*",'Identificación genética'!A:C,2,FALSE),
               {"En proceso";"Finalizado"},0),
      "🔬 En proceso",
      "🎯 Finalizado"
   ),
"❌ NA")</f>
        <v>🎯 Finalizado</v>
      </c>
      <c r="E1006" t="s">
        <v>24</v>
      </c>
      <c r="G1006" t="str">
        <f>_xlfn.XLOOKUP(A1006, Extraídas!A:A, Extraídas!G:G, "")</f>
        <v/>
      </c>
    </row>
    <row r="1007" spans="1:7" x14ac:dyDescent="0.3">
      <c r="A1007" s="657" t="s">
        <v>1000</v>
      </c>
      <c r="B1007" s="255" t="str">
        <f t="array" ref="B1007">IFERROR(
   IF(INDEX([1]Extraídas!B:B,MATCH(LEFT($A1007,6)&amp;"*",[1]Extraídas!A:A,0))="Extraídas",
      "✅ En proceso",
      IF(INDEX([1]Extraídas!B:B,MATCH(LEFT($A1007,6)&amp;"*",[1]Extraídas!A:A,0))="Recibidas",
         "⏳ Pendiente","❌ No ingresada")),
   "❌ No ingresada"
)</f>
        <v>✅ En proceso</v>
      </c>
      <c r="C1007" s="255" t="str">
        <f t="array" ref="C1007">IFERROR(
   IF(INDEX([1]PCRs!B:B,MATCH(LEFT($A1007,6)&amp;"*",[1]PCRs!A:A,0))="Positivo",
      "✅ Positivo",
      IF(INDEX([1]PCRs!B:B,MATCH(LEFT($A1007,6)&amp;"*",[1]PCRs!A:A,0))="Negativo",
         "❌ Negativo",
         "⏳ No realizado")),
   "⏳ No realizado"
)</f>
        <v>⏳ No realizado</v>
      </c>
      <c r="D1007" s="255" t="str">
        <f>IFERROR(
   CHOOSE(
      MATCH(VLOOKUP(LEFT(A1054,6)&amp;"*",'Identificación genética'!A:C,2,FALSE),
               {"En proceso";"Finalizado"},0),
      "🔬 En proceso",
      "🎯 Finalizado"
   ),
"❌ NA")</f>
        <v>❌ NA</v>
      </c>
      <c r="E1007" t="s">
        <v>24</v>
      </c>
      <c r="F1007" s="53">
        <v>45966</v>
      </c>
      <c r="G1007" t="str">
        <f>_xlfn.XLOOKUP(A1007, Extraídas!A:A, Extraídas!G:G, "")</f>
        <v>Cyanobacteria</v>
      </c>
    </row>
    <row r="1008" spans="1:7" x14ac:dyDescent="0.3">
      <c r="A1008" s="656" t="s">
        <v>1001</v>
      </c>
      <c r="B1008" s="255" t="str">
        <f t="array" ref="B1008">IFERROR(
   IF(INDEX([1]Extraídas!B:B,MATCH(LEFT($A1008,6)&amp;"*",[1]Extraídas!A:A,0))="Extraídas",
      "✅ En proceso",
      IF(INDEX([1]Extraídas!B:B,MATCH(LEFT($A1008,6)&amp;"*",[1]Extraídas!A:A,0))="Recibidas",
         "⏳ Pendiente","❌ No ingresada")),
   "❌ No ingresada"
)</f>
        <v>✅ En proceso</v>
      </c>
      <c r="C1008" s="255" t="str">
        <f t="array" ref="C1008">IFERROR(
   IF(INDEX([1]PCRs!B:B,MATCH(LEFT($A1008,6)&amp;"*",[1]PCRs!A:A,0))="Positivo",
      "✅ Positivo",
      IF(INDEX([1]PCRs!B:B,MATCH(LEFT($A1008,6)&amp;"*",[1]PCRs!A:A,0))="Negativo",
         "❌ Negativo",
         "⏳ No realizado")),
   "⏳ No realizado"
)</f>
        <v>⏳ No realizado</v>
      </c>
      <c r="D1008" s="255" t="str">
        <f>IFERROR(
   CHOOSE(
      MATCH(VLOOKUP(LEFT(A1055,6)&amp;"*",'Identificación genética'!A:C,2,FALSE),
               {"En proceso";"Finalizado"},0),
      "🔬 En proceso",
      "🎯 Finalizado"
   ),
"❌ NA")</f>
        <v>🎯 Finalizado</v>
      </c>
      <c r="E1008" t="s">
        <v>24</v>
      </c>
      <c r="F1008" s="55">
        <v>45966</v>
      </c>
      <c r="G1008" t="str">
        <f>_xlfn.XLOOKUP(A1008, Extraídas!A:A, Extraídas!G:G, "")</f>
        <v>Microalgas</v>
      </c>
    </row>
    <row r="1009" spans="1:7" x14ac:dyDescent="0.3">
      <c r="A1009" s="657" t="s">
        <v>1002</v>
      </c>
      <c r="B1009" s="255" t="str">
        <f t="array" ref="B1009">IFERROR(
   IF(INDEX([1]Extraídas!B:B,MATCH(LEFT($A1009,6)&amp;"*",[1]Extraídas!A:A,0))="Extraídas",
      "✅ En proceso",
      IF(INDEX([1]Extraídas!B:B,MATCH(LEFT($A1009,6)&amp;"*",[1]Extraídas!A:A,0))="Recibidas",
         "⏳ Pendiente","❌ No ingresada")),
   "❌ No ingresada"
)</f>
        <v>✅ En proceso</v>
      </c>
      <c r="C1009" s="255" t="str">
        <f t="array" ref="C1009">IFERROR(
   IF(INDEX([1]PCRs!B:B,MATCH(LEFT($A1009,6)&amp;"*",[1]PCRs!A:A,0))="Positivo",
      "✅ Positivo",
      IF(INDEX([1]PCRs!B:B,MATCH(LEFT($A1009,6)&amp;"*",[1]PCRs!A:A,0))="Negativo",
         "❌ Negativo",
         "⏳ No realizado")),
   "⏳ No realizado"
)</f>
        <v>⏳ No realizado</v>
      </c>
      <c r="D1009" s="255" t="str">
        <f>IFERROR(
   CHOOSE(
      MATCH(VLOOKUP(LEFT(A1056,6)&amp;"*",'Identificación genética'!A:C,2,FALSE),
               {"En proceso";"Finalizado"},0),
      "🔬 En proceso",
      "🎯 Finalizado"
   ),
"❌ NA")</f>
        <v>🎯 Finalizado</v>
      </c>
      <c r="E1009" t="s">
        <v>24</v>
      </c>
      <c r="F1009" s="53">
        <v>45966</v>
      </c>
      <c r="G1009" t="str">
        <f>_xlfn.XLOOKUP(A1009, Extraídas!A:A, Extraídas!G:G, "")</f>
        <v>Microalgas</v>
      </c>
    </row>
    <row r="1010" spans="1:7" x14ac:dyDescent="0.3">
      <c r="A1010" s="495" t="s">
        <v>2305</v>
      </c>
      <c r="B1010" t="str">
        <f t="array" ref="B1010">IFERROR(
   IF(INDEX([1]Extraídas!B:B,MATCH(LEFT($A1010,6)&amp;"*",[1]Extraídas!A:A,0))="Extraídas",
      "✅ En proceso",
      IF(INDEX([1]Extraídas!B:B,MATCH(LEFT($A1010,6)&amp;"*",[1]Extraídas!A:A,0))="Recibidas",
         "⏳ Pendiente","❌ No ingresada")),
   "❌ No ingresada"
)</f>
        <v>❌ No ingresada</v>
      </c>
      <c r="C1010" s="255" t="str">
        <f t="array" ref="C1010">IFERROR(
   IF(INDEX([1]PCRs!B:B,MATCH(LEFT($A1010,6)&amp;"*",[1]PCRs!A:A,0))="Positivo",
      "✅ Positivo",
      IF(INDEX([1]PCRs!B:B,MATCH(LEFT($A1010,6)&amp;"*",[1]PCRs!A:A,0))="Negativo",
         "❌ Negativo",
         "⏳ No realizado")),
   "⏳ No realizado"
)</f>
        <v>⏳ No realizado</v>
      </c>
      <c r="D1010" s="255" t="str">
        <f>IFERROR(
   CHOOSE(
      MATCH(VLOOKUP(LEFT(A1057,6)&amp;"*",'Identificación genética'!A:C,2,FALSE),
               {"En proceso";"Finalizado"},0),
      "🔬 En proceso",
      "🎯 Finalizado"
   ),
"❌ NA")</f>
        <v>🎯 Finalizado</v>
      </c>
      <c r="E1010" t="s">
        <v>24</v>
      </c>
      <c r="G1010" t="str">
        <f>_xlfn.XLOOKUP(A1010, Extraídas!A:A, Extraídas!G:G, "")</f>
        <v/>
      </c>
    </row>
    <row r="1011" spans="1:7" x14ac:dyDescent="0.3">
      <c r="A1011" s="495" t="s">
        <v>2306</v>
      </c>
      <c r="B1011" t="str">
        <f t="array" ref="B1011">IFERROR(
   IF(INDEX([1]Extraídas!B:B,MATCH(LEFT($A1011,6)&amp;"*",[1]Extraídas!A:A,0))="Extraídas",
      "✅ En proceso",
      IF(INDEX([1]Extraídas!B:B,MATCH(LEFT($A1011,6)&amp;"*",[1]Extraídas!A:A,0))="Recibidas",
         "⏳ Pendiente","❌ No ingresada")),
   "❌ No ingresada"
)</f>
        <v>❌ No ingresada</v>
      </c>
      <c r="C1011" s="255" t="str">
        <f t="array" ref="C1011">IFERROR(
   IF(INDEX([1]PCRs!B:B,MATCH(LEFT($A1011,6)&amp;"*",[1]PCRs!A:A,0))="Positivo",
      "✅ Positivo",
      IF(INDEX([1]PCRs!B:B,MATCH(LEFT($A1011,6)&amp;"*",[1]PCRs!A:A,0))="Negativo",
         "❌ Negativo",
         "⏳ No realizado")),
   "⏳ No realizado"
)</f>
        <v>⏳ No realizado</v>
      </c>
      <c r="D1011" s="255" t="str">
        <f>IFERROR(
   CHOOSE(
      MATCH(VLOOKUP(LEFT(A1058,6)&amp;"*",'Identificación genética'!A:C,2,FALSE),
               {"En proceso";"Finalizado"},0),
      "🔬 En proceso",
      "🎯 Finalizado"
   ),
"❌ NA")</f>
        <v>🎯 Finalizado</v>
      </c>
      <c r="E1011" t="s">
        <v>24</v>
      </c>
      <c r="G1011" t="str">
        <f>_xlfn.XLOOKUP(A1011, Extraídas!A:A, Extraídas!G:G, "")</f>
        <v/>
      </c>
    </row>
    <row r="1012" spans="1:7" x14ac:dyDescent="0.3">
      <c r="A1012" s="484" t="s">
        <v>2307</v>
      </c>
      <c r="B1012" t="str">
        <f t="array" ref="B1012">IFERROR(
   IF(INDEX([1]Extraídas!B:B,MATCH(LEFT($A1012,6)&amp;"*",[1]Extraídas!A:A,0))="Extraídas",
      "✅ En proceso",
      IF(INDEX([1]Extraídas!B:B,MATCH(LEFT($A1012,6)&amp;"*",[1]Extraídas!A:A,0))="Recibidas",
         "⏳ Pendiente","❌ No ingresada")),
   "❌ No ingresada"
)</f>
        <v>❌ No ingresada</v>
      </c>
      <c r="C1012" s="255" t="str">
        <f t="array" ref="C1012">IFERROR(
   IF(INDEX([1]PCRs!B:B,MATCH(LEFT($A1012,6)&amp;"*",[1]PCRs!A:A,0))="Positivo",
      "✅ Positivo",
      IF(INDEX([1]PCRs!B:B,MATCH(LEFT($A1012,6)&amp;"*",[1]PCRs!A:A,0))="Negativo",
         "❌ Negativo",
         "⏳ No realizado")),
   "⏳ No realizado"
)</f>
        <v>⏳ No realizado</v>
      </c>
      <c r="D1012" s="255" t="str">
        <f>IFERROR(
   CHOOSE(
      MATCH(VLOOKUP(LEFT(A1059,6)&amp;"*",'Identificación genética'!A:C,2,FALSE),
               {"En proceso";"Finalizado"},0),
      "🔬 En proceso",
      "🎯 Finalizado"
   ),
"❌ NA")</f>
        <v>❌ NA</v>
      </c>
      <c r="E1012" t="s">
        <v>24</v>
      </c>
      <c r="G1012" t="str">
        <f>_xlfn.XLOOKUP(A1012, Extraídas!A:A, Extraídas!G:G, "")</f>
        <v/>
      </c>
    </row>
    <row r="1013" spans="1:7" x14ac:dyDescent="0.3">
      <c r="A1013" s="495" t="s">
        <v>2308</v>
      </c>
      <c r="B1013" t="str">
        <f t="array" ref="B1013">IFERROR(
   IF(INDEX([1]Extraídas!B:B,MATCH(LEFT($A1013,6)&amp;"*",[1]Extraídas!A:A,0))="Extraídas",
      "✅ En proceso",
      IF(INDEX([1]Extraídas!B:B,MATCH(LEFT($A1013,6)&amp;"*",[1]Extraídas!A:A,0))="Recibidas",
         "⏳ Pendiente","❌ No ingresada")),
   "❌ No ingresada"
)</f>
        <v>❌ No ingresada</v>
      </c>
      <c r="C1013" s="255" t="str">
        <f t="array" ref="C1013">IFERROR(
   IF(INDEX([1]PCRs!B:B,MATCH(LEFT($A1013,6)&amp;"*",[1]PCRs!A:A,0))="Positivo",
      "✅ Positivo",
      IF(INDEX([1]PCRs!B:B,MATCH(LEFT($A1013,6)&amp;"*",[1]PCRs!A:A,0))="Negativo",
         "❌ Negativo",
         "⏳ No realizado")),
   "⏳ No realizado"
)</f>
        <v>⏳ No realizado</v>
      </c>
      <c r="D1013" s="255" t="str">
        <f>IFERROR(
   CHOOSE(
      MATCH(VLOOKUP(LEFT(A1060,6)&amp;"*",'Identificación genética'!A:C,2,FALSE),
               {"En proceso";"Finalizado"},0),
      "🔬 En proceso",
      "🎯 Finalizado"
   ),
"❌ NA")</f>
        <v>❌ NA</v>
      </c>
      <c r="E1013" t="s">
        <v>24</v>
      </c>
      <c r="G1013" t="str">
        <f>_xlfn.XLOOKUP(A1013, Extraídas!A:A, Extraídas!G:G, "")</f>
        <v/>
      </c>
    </row>
    <row r="1014" spans="1:7" x14ac:dyDescent="0.3">
      <c r="A1014" s="484" t="s">
        <v>2309</v>
      </c>
      <c r="B1014" t="str">
        <f t="array" ref="B1014">IFERROR(
   IF(INDEX([1]Extraídas!B:B,MATCH(LEFT($A1014,6)&amp;"*",[1]Extraídas!A:A,0))="Extraídas",
      "✅ En proceso",
      IF(INDEX([1]Extraídas!B:B,MATCH(LEFT($A1014,6)&amp;"*",[1]Extraídas!A:A,0))="Recibidas",
         "⏳ Pendiente","❌ No ingresada")),
   "❌ No ingresada"
)</f>
        <v>❌ No ingresada</v>
      </c>
      <c r="C1014" s="255" t="str">
        <f t="array" ref="C1014">IFERROR(
   IF(INDEX([1]PCRs!B:B,MATCH(LEFT($A1014,6)&amp;"*",[1]PCRs!A:A,0))="Positivo",
      "✅ Positivo",
      IF(INDEX([1]PCRs!B:B,MATCH(LEFT($A1014,6)&amp;"*",[1]PCRs!A:A,0))="Negativo",
         "❌ Negativo",
         "⏳ No realizado")),
   "⏳ No realizado"
)</f>
        <v>⏳ No realizado</v>
      </c>
      <c r="D1014" s="255" t="str">
        <f>IFERROR(
   CHOOSE(
      MATCH(VLOOKUP(LEFT(A1061,6)&amp;"*",'Identificación genética'!A:C,2,FALSE),
               {"En proceso";"Finalizado"},0),
      "🔬 En proceso",
      "🎯 Finalizado"
   ),
"❌ NA")</f>
        <v>🎯 Finalizado</v>
      </c>
      <c r="E1014" t="s">
        <v>24</v>
      </c>
      <c r="G1014" t="str">
        <f>_xlfn.XLOOKUP(A1014, Extraídas!A:A, Extraídas!G:G, "")</f>
        <v/>
      </c>
    </row>
    <row r="1015" spans="1:7" x14ac:dyDescent="0.3">
      <c r="A1015" s="494" t="s">
        <v>2310</v>
      </c>
      <c r="B1015" t="str">
        <f t="array" ref="B1015">IFERROR(
   IF(INDEX([1]Extraídas!B:B,MATCH(LEFT($A1015,6)&amp;"*",[1]Extraídas!A:A,0))="Extraídas",
      "✅ En proceso",
      IF(INDEX([1]Extraídas!B:B,MATCH(LEFT($A1015,6)&amp;"*",[1]Extraídas!A:A,0))="Recibidas",
         "⏳ Pendiente","❌ No ingresada")),
   "❌ No ingresada"
)</f>
        <v>❌ No ingresada</v>
      </c>
      <c r="C1015" s="255" t="str">
        <f t="array" ref="C1015">IFERROR(
   IF(INDEX([1]PCRs!B:B,MATCH(LEFT($A1015,6)&amp;"*",[1]PCRs!A:A,0))="Positivo",
      "✅ Positivo",
      IF(INDEX([1]PCRs!B:B,MATCH(LEFT($A1015,6)&amp;"*",[1]PCRs!A:A,0))="Negativo",
         "❌ Negativo",
         "⏳ No realizado")),
   "⏳ No realizado"
)</f>
        <v>⏳ No realizado</v>
      </c>
      <c r="D1015" s="255" t="str">
        <f>IFERROR(
   CHOOSE(
      MATCH(VLOOKUP(LEFT(A1062,6)&amp;"*",'Identificación genética'!A:C,2,FALSE),
               {"En proceso";"Finalizado"},0),
      "🔬 En proceso",
      "🎯 Finalizado"
   ),
"❌ NA")</f>
        <v>🎯 Finalizado</v>
      </c>
      <c r="E1015" t="s">
        <v>24</v>
      </c>
      <c r="G1015" t="str">
        <f>_xlfn.XLOOKUP(A1015, Extraídas!A:A, Extraídas!G:G, "")</f>
        <v/>
      </c>
    </row>
    <row r="1016" spans="1:7" x14ac:dyDescent="0.3">
      <c r="A1016" s="656" t="s">
        <v>1003</v>
      </c>
      <c r="B1016" s="255" t="str">
        <f t="array" ref="B1016">IFERROR(
   IF(INDEX([1]Extraídas!B:B,MATCH(LEFT($A1016,6)&amp;"*",[1]Extraídas!A:A,0))="Extraídas",
      "✅ En proceso",
      IF(INDEX([1]Extraídas!B:B,MATCH(LEFT($A1016,6)&amp;"*",[1]Extraídas!A:A,0))="Recibidas",
         "⏳ Pendiente","❌ No ingresada")),
   "❌ No ingresada"
)</f>
        <v>✅ En proceso</v>
      </c>
      <c r="C1016" s="255" t="str">
        <f t="array" ref="C1016">IFERROR(
   IF(INDEX([1]PCRs!B:B,MATCH(LEFT($A1016,6)&amp;"*",[1]PCRs!A:A,0))="Positivo",
      "✅ Positivo",
      IF(INDEX([1]PCRs!B:B,MATCH(LEFT($A1016,6)&amp;"*",[1]PCRs!A:A,0))="Negativo",
         "❌ Negativo",
         "⏳ No realizado")),
   "⏳ No realizado"
)</f>
        <v>⏳ No realizado</v>
      </c>
      <c r="D1016" s="255" t="str">
        <f>IFERROR(
   CHOOSE(
      MATCH(VLOOKUP(LEFT(A1063,6)&amp;"*",'Identificación genética'!A:C,2,FALSE),
               {"En proceso";"Finalizado"},0),
      "🔬 En proceso",
      "🎯 Finalizado"
   ),
"❌ NA")</f>
        <v>❌ NA</v>
      </c>
      <c r="E1016" t="s">
        <v>24</v>
      </c>
      <c r="F1016" s="55">
        <v>45966</v>
      </c>
      <c r="G1016" t="str">
        <f>_xlfn.XLOOKUP(A1016, Extraídas!A:A, Extraídas!G:G, "")</f>
        <v>Microalgas</v>
      </c>
    </row>
    <row r="1017" spans="1:7" x14ac:dyDescent="0.3">
      <c r="A1017" s="491" t="s">
        <v>2311</v>
      </c>
      <c r="B1017" t="str">
        <f t="array" ref="B1017">IFERROR(
   IF(INDEX([1]Extraídas!B:B,MATCH(LEFT($A1017,6)&amp;"*",[1]Extraídas!A:A,0))="Extraídas",
      "✅ En proceso",
      IF(INDEX([1]Extraídas!B:B,MATCH(LEFT($A1017,6)&amp;"*",[1]Extraídas!A:A,0))="Recibidas",
         "⏳ Pendiente","❌ No ingresada")),
   "❌ No ingresada"
)</f>
        <v>❌ No ingresada</v>
      </c>
      <c r="C1017" s="255" t="str">
        <f t="array" ref="C1017">IFERROR(
   IF(INDEX([1]PCRs!B:B,MATCH(LEFT($A1017,6)&amp;"*",[1]PCRs!A:A,0))="Positivo",
      "✅ Positivo",
      IF(INDEX([1]PCRs!B:B,MATCH(LEFT($A1017,6)&amp;"*",[1]PCRs!A:A,0))="Negativo",
         "❌ Negativo",
         "⏳ No realizado")),
   "⏳ No realizado"
)</f>
        <v>⏳ No realizado</v>
      </c>
      <c r="D1017" s="255" t="str">
        <f>IFERROR(
   CHOOSE(
      MATCH(VLOOKUP(LEFT(A1064,6)&amp;"*",'Identificación genética'!A:C,2,FALSE),
               {"En proceso";"Finalizado"},0),
      "🔬 En proceso",
      "🎯 Finalizado"
   ),
"❌ NA")</f>
        <v>❌ NA</v>
      </c>
      <c r="E1017" t="s">
        <v>24</v>
      </c>
      <c r="G1017" t="str">
        <f>_xlfn.XLOOKUP(A1017, Extraídas!A:A, Extraídas!G:G, "")</f>
        <v/>
      </c>
    </row>
    <row r="1018" spans="1:7" x14ac:dyDescent="0.3">
      <c r="A1018" s="492" t="s">
        <v>2312</v>
      </c>
      <c r="B1018" t="str">
        <f t="array" ref="B1018">IFERROR(
   IF(INDEX([1]Extraídas!B:B,MATCH(LEFT($A1018,6)&amp;"*",[1]Extraídas!A:A,0))="Extraídas",
      "✅ En proceso",
      IF(INDEX([1]Extraídas!B:B,MATCH(LEFT($A1018,6)&amp;"*",[1]Extraídas!A:A,0))="Recibidas",
         "⏳ Pendiente","❌ No ingresada")),
   "❌ No ingresada"
)</f>
        <v>❌ No ingresada</v>
      </c>
      <c r="C1018" s="255" t="str">
        <f t="array" ref="C1018">IFERROR(
   IF(INDEX([1]PCRs!B:B,MATCH(LEFT($A1018,6)&amp;"*",[1]PCRs!A:A,0))="Positivo",
      "✅ Positivo",
      IF(INDEX([1]PCRs!B:B,MATCH(LEFT($A1018,6)&amp;"*",[1]PCRs!A:A,0))="Negativo",
         "❌ Negativo",
         "⏳ No realizado")),
   "⏳ No realizado"
)</f>
        <v>⏳ No realizado</v>
      </c>
      <c r="D1018" s="255" t="str">
        <f>IFERROR(
   CHOOSE(
      MATCH(VLOOKUP(LEFT(A1065,6)&amp;"*",'Identificación genética'!A:C,2,FALSE),
               {"En proceso";"Finalizado"},0),
      "🔬 En proceso",
      "🎯 Finalizado"
   ),
"❌ NA")</f>
        <v>🎯 Finalizado</v>
      </c>
      <c r="E1018" t="s">
        <v>24</v>
      </c>
      <c r="G1018" t="str">
        <f>_xlfn.XLOOKUP(A1018, Extraídas!A:A, Extraídas!G:G, "")</f>
        <v/>
      </c>
    </row>
    <row r="1019" spans="1:7" x14ac:dyDescent="0.3">
      <c r="A1019" s="657" t="s">
        <v>1004</v>
      </c>
      <c r="B1019" s="255" t="str">
        <f t="array" ref="B1019">IFERROR(
   IF(INDEX([1]Extraídas!B:B,MATCH(LEFT($A1019,6)&amp;"*",[1]Extraídas!A:A,0))="Extraídas",
      "✅ En proceso",
      IF(INDEX([1]Extraídas!B:B,MATCH(LEFT($A1019,6)&amp;"*",[1]Extraídas!A:A,0))="Recibidas",
         "⏳ Pendiente","❌ No ingresada")),
   "❌ No ingresada"
)</f>
        <v>✅ En proceso</v>
      </c>
      <c r="C1019" s="255" t="str">
        <f t="array" ref="C1019">IFERROR(
   IF(INDEX([1]PCRs!B:B,MATCH(LEFT($A1019,6)&amp;"*",[1]PCRs!A:A,0))="Positivo",
      "✅ Positivo",
      IF(INDEX([1]PCRs!B:B,MATCH(LEFT($A1019,6)&amp;"*",[1]PCRs!A:A,0))="Negativo",
         "❌ Negativo",
         "⏳ No realizado")),
   "⏳ No realizado"
)</f>
        <v>⏳ No realizado</v>
      </c>
      <c r="D1019" s="255" t="str">
        <f>IFERROR(
   CHOOSE(
      MATCH(VLOOKUP(LEFT(A1066,6)&amp;"*",'Identificación genética'!A:C,2,FALSE),
               {"En proceso";"Finalizado"},0),
      "🔬 En proceso",
      "🎯 Finalizado"
   ),
"❌ NA")</f>
        <v>❌ NA</v>
      </c>
      <c r="E1019" t="s">
        <v>24</v>
      </c>
      <c r="F1019" s="53">
        <v>45966</v>
      </c>
      <c r="G1019" t="str">
        <f>_xlfn.XLOOKUP(A1019, Extraídas!A:A, Extraídas!G:G, "")</f>
        <v>Microalgas</v>
      </c>
    </row>
    <row r="1020" spans="1:7" x14ac:dyDescent="0.3">
      <c r="A1020" s="656" t="s">
        <v>1005</v>
      </c>
      <c r="B1020" s="255" t="str">
        <f t="array" ref="B1020">IFERROR(
   IF(INDEX([1]Extraídas!B:B,MATCH(LEFT($A1020,6)&amp;"*",[1]Extraídas!A:A,0))="Extraídas",
      "✅ En proceso",
      IF(INDEX([1]Extraídas!B:B,MATCH(LEFT($A1020,6)&amp;"*",[1]Extraídas!A:A,0))="Recibidas",
         "⏳ Pendiente","❌ No ingresada")),
   "❌ No ingresada"
)</f>
        <v>✅ En proceso</v>
      </c>
      <c r="C1020" s="255" t="str">
        <f t="array" ref="C1020">IFERROR(
   IF(INDEX([1]PCRs!B:B,MATCH(LEFT($A1020,6)&amp;"*",[1]PCRs!A:A,0))="Positivo",
      "✅ Positivo",
      IF(INDEX([1]PCRs!B:B,MATCH(LEFT($A1020,6)&amp;"*",[1]PCRs!A:A,0))="Negativo",
         "❌ Negativo",
         "⏳ No realizado")),
   "⏳ No realizado"
)</f>
        <v>⏳ No realizado</v>
      </c>
      <c r="D1020" s="255" t="str">
        <f>IFERROR(
   CHOOSE(
      MATCH(VLOOKUP(LEFT(A1067,6)&amp;"*",'Identificación genética'!A:C,2,FALSE),
               {"En proceso";"Finalizado"},0),
      "🔬 En proceso",
      "🎯 Finalizado"
   ),
"❌ NA")</f>
        <v>❌ NA</v>
      </c>
      <c r="E1020" t="s">
        <v>24</v>
      </c>
      <c r="F1020" s="55">
        <v>45966</v>
      </c>
      <c r="G1020" t="str">
        <f>_xlfn.XLOOKUP(A1020, Extraídas!A:A, Extraídas!G:G, "")</f>
        <v>Microalgas</v>
      </c>
    </row>
    <row r="1021" spans="1:7" x14ac:dyDescent="0.3">
      <c r="A1021" s="491" t="s">
        <v>2314</v>
      </c>
      <c r="B1021" t="str">
        <f t="array" ref="B1021">IFERROR(
   IF(INDEX([1]Extraídas!B:B,MATCH(LEFT($A1021,6)&amp;"*",[1]Extraídas!A:A,0))="Extraídas",
      "✅ En proceso",
      IF(INDEX([1]Extraídas!B:B,MATCH(LEFT($A1021,6)&amp;"*",[1]Extraídas!A:A,0))="Recibidas",
         "⏳ Pendiente","❌ No ingresada")),
   "❌ No ingresada"
)</f>
        <v>❌ No ingresada</v>
      </c>
      <c r="C1021" s="255" t="str">
        <f t="array" ref="C1021">IFERROR(
   IF(INDEX([1]PCRs!B:B,MATCH(LEFT($A1021,6)&amp;"*",[1]PCRs!A:A,0))="Positivo",
      "✅ Positivo",
      IF(INDEX([1]PCRs!B:B,MATCH(LEFT($A1021,6)&amp;"*",[1]PCRs!A:A,0))="Negativo",
         "❌ Negativo",
         "⏳ No realizado")),
   "⏳ No realizado"
)</f>
        <v>⏳ No realizado</v>
      </c>
      <c r="D1021" s="255" t="str">
        <f>IFERROR(
   CHOOSE(
      MATCH(VLOOKUP(LEFT(A1068,6)&amp;"*",'Identificación genética'!A:C,2,FALSE),
               {"En proceso";"Finalizado"},0),
      "🔬 En proceso",
      "🎯 Finalizado"
   ),
"❌ NA")</f>
        <v>❌ NA</v>
      </c>
      <c r="E1021" t="s">
        <v>24</v>
      </c>
      <c r="G1021" t="str">
        <f>_xlfn.XLOOKUP(A1021, Extraídas!A:A, Extraídas!G:G, "")</f>
        <v/>
      </c>
    </row>
    <row r="1022" spans="1:7" x14ac:dyDescent="0.3">
      <c r="A1022" s="496" t="s">
        <v>2313</v>
      </c>
      <c r="B1022" t="str">
        <f t="array" ref="B1022">IFERROR(
   IF(INDEX([1]Extraídas!B:B,MATCH(LEFT($A1022,6)&amp;"*",[1]Extraídas!A:A,0))="Extraídas",
      "✅ En proceso",
      IF(INDEX([1]Extraídas!B:B,MATCH(LEFT($A1022,6)&amp;"*",[1]Extraídas!A:A,0))="Recibidas",
         "⏳ Pendiente","❌ No ingresada")),
   "❌ No ingresada"
)</f>
        <v>❌ No ingresada</v>
      </c>
      <c r="C1022" s="255" t="str">
        <f t="array" ref="C1022">IFERROR(
   IF(INDEX([1]PCRs!B:B,MATCH(LEFT($A1022,6)&amp;"*",[1]PCRs!A:A,0))="Positivo",
      "✅ Positivo",
      IF(INDEX([1]PCRs!B:B,MATCH(LEFT($A1022,6)&amp;"*",[1]PCRs!A:A,0))="Negativo",
         "❌ Negativo",
         "⏳ No realizado")),
   "⏳ No realizado"
)</f>
        <v>⏳ No realizado</v>
      </c>
      <c r="D1022" s="255" t="str">
        <f>IFERROR(
   CHOOSE(
      MATCH(VLOOKUP(LEFT(A1069,6)&amp;"*",'Identificación genética'!A:C,2,FALSE),
               {"En proceso";"Finalizado"},0),
      "🔬 En proceso",
      "🎯 Finalizado"
   ),
"❌ NA")</f>
        <v>❌ NA</v>
      </c>
      <c r="E1022" t="s">
        <v>24</v>
      </c>
      <c r="G1022" t="str">
        <f>_xlfn.XLOOKUP(A1022, Extraídas!A:A, Extraídas!G:G, "")</f>
        <v/>
      </c>
    </row>
    <row r="1023" spans="1:7" x14ac:dyDescent="0.3">
      <c r="A1023" s="496" t="s">
        <v>2315</v>
      </c>
      <c r="B1023" t="str">
        <f t="array" ref="B1023">IFERROR(
   IF(INDEX([1]Extraídas!B:B,MATCH(LEFT($A1023,6)&amp;"*",[1]Extraídas!A:A,0))="Extraídas",
      "✅ En proceso",
      IF(INDEX([1]Extraídas!B:B,MATCH(LEFT($A1023,6)&amp;"*",[1]Extraídas!A:A,0))="Recibidas",
         "⏳ Pendiente","❌ No ingresada")),
   "❌ No ingresada"
)</f>
        <v>❌ No ingresada</v>
      </c>
      <c r="C1023" s="255" t="str">
        <f t="array" ref="C1023">IFERROR(
   IF(INDEX([1]PCRs!B:B,MATCH(LEFT($A1023,6)&amp;"*",[1]PCRs!A:A,0))="Positivo",
      "✅ Positivo",
      IF(INDEX([1]PCRs!B:B,MATCH(LEFT($A1023,6)&amp;"*",[1]PCRs!A:A,0))="Negativo",
         "❌ Negativo",
         "⏳ No realizado")),
   "⏳ No realizado"
)</f>
        <v>⏳ No realizado</v>
      </c>
      <c r="D1023" s="255" t="str">
        <f>IFERROR(
   CHOOSE(
      MATCH(VLOOKUP(LEFT(A1070,6)&amp;"*",'Identificación genética'!A:C,2,FALSE),
               {"En proceso";"Finalizado"},0),
      "🔬 En proceso",
      "🎯 Finalizado"
   ),
"❌ NA")</f>
        <v>❌ NA</v>
      </c>
      <c r="E1023" t="s">
        <v>24</v>
      </c>
      <c r="G1023" t="str">
        <f>_xlfn.XLOOKUP(A1023, Extraídas!A:A, Extraídas!G:G, "")</f>
        <v/>
      </c>
    </row>
    <row r="1024" spans="1:7" x14ac:dyDescent="0.3">
      <c r="A1024" s="496" t="s">
        <v>2316</v>
      </c>
      <c r="B1024" t="str">
        <f t="array" ref="B1024">IFERROR(
   IF(INDEX([1]Extraídas!B:B,MATCH(LEFT($A1024,6)&amp;"*",[1]Extraídas!A:A,0))="Extraídas",
      "✅ En proceso",
      IF(INDEX([1]Extraídas!B:B,MATCH(LEFT($A1024,6)&amp;"*",[1]Extraídas!A:A,0))="Recibidas",
         "⏳ Pendiente","❌ No ingresada")),
   "❌ No ingresada"
)</f>
        <v>❌ No ingresada</v>
      </c>
      <c r="C1024" s="255" t="str">
        <f t="array" ref="C1024">IFERROR(
   IF(INDEX([1]PCRs!B:B,MATCH(LEFT($A1024,6)&amp;"*",[1]PCRs!A:A,0))="Positivo",
      "✅ Positivo",
      IF(INDEX([1]PCRs!B:B,MATCH(LEFT($A1024,6)&amp;"*",[1]PCRs!A:A,0))="Negativo",
         "❌ Negativo",
         "⏳ No realizado")),
   "⏳ No realizado"
)</f>
        <v>⏳ No realizado</v>
      </c>
      <c r="D1024" s="255" t="str">
        <f>IFERROR(
   CHOOSE(
      MATCH(VLOOKUP(LEFT(A1071,6)&amp;"*",'Identificación genética'!A:C,2,FALSE),
               {"En proceso";"Finalizado"},0),
      "🔬 En proceso",
      "🎯 Finalizado"
   ),
"❌ NA")</f>
        <v>❌ NA</v>
      </c>
      <c r="E1024" t="s">
        <v>24</v>
      </c>
      <c r="G1024" t="str">
        <f>_xlfn.XLOOKUP(A1024, Extraídas!A:A, Extraídas!G:G, "")</f>
        <v/>
      </c>
    </row>
    <row r="1025" spans="1:7" x14ac:dyDescent="0.3">
      <c r="A1025" s="352" t="s">
        <v>1185</v>
      </c>
      <c r="B1025" t="str">
        <f t="array" ref="B1025">IFERROR(
   IF(INDEX([1]Extraídas!B:B,MATCH(LEFT($A1025,6)&amp;"*",[1]Extraídas!A:A,0))="Extraídas",
      "✅ En proceso",
      IF(INDEX([1]Extraídas!B:B,MATCH(LEFT($A1025,6)&amp;"*",[1]Extraídas!A:A,0))="Recibidas",
         "⏳ Pendiente","❌ No ingresada")),
   "❌ No ingresada"
)</f>
        <v>❌ No ingresada</v>
      </c>
      <c r="C1025" s="255" t="str">
        <f t="array" ref="C1025">IFERROR(
   IF(INDEX([1]PCRs!B:B,MATCH(LEFT($A1025,6)&amp;"*",[1]PCRs!A:A,0))="Positivo",
      "✅ Positivo",
      IF(INDEX([1]PCRs!B:B,MATCH(LEFT($A1025,6)&amp;"*",[1]PCRs!A:A,0))="Negativo",
         "❌ Negativo",
         "⏳ No realizado")),
   "⏳ No realizado"
)</f>
        <v>❌ Negativo</v>
      </c>
      <c r="D1025" s="255" t="str">
        <f>IFERROR(
   CHOOSE(
      MATCH(VLOOKUP(LEFT(A1072,6)&amp;"*",'Identificación genética'!A:C,2,FALSE),
               {"En proceso";"Finalizado"},0),
      "🔬 En proceso",
      "🎯 Finalizado"
   ),
"❌ NA")</f>
        <v>❌ NA</v>
      </c>
      <c r="E1025" t="s">
        <v>24</v>
      </c>
      <c r="G1025" t="str">
        <f>_xlfn.XLOOKUP(A1025, Extraídas!A:A, Extraídas!G:G, "")</f>
        <v/>
      </c>
    </row>
    <row r="1026" spans="1:7" x14ac:dyDescent="0.3">
      <c r="A1026" s="657" t="s">
        <v>1006</v>
      </c>
      <c r="B1026" s="255" t="str">
        <f t="array" ref="B1026">IFERROR(
   IF(INDEX([1]Extraídas!B:B,MATCH(LEFT($A1026,6)&amp;"*",[1]Extraídas!A:A,0))="Extraídas",
      "✅ En proceso",
      IF(INDEX([1]Extraídas!B:B,MATCH(LEFT($A1026,6)&amp;"*",[1]Extraídas!A:A,0))="Recibidas",
         "⏳ Pendiente","❌ No ingresada")),
   "❌ No ingresada"
)</f>
        <v>✅ En proceso</v>
      </c>
      <c r="C1026" s="255" t="str">
        <f t="array" ref="C1026">IFERROR(
   IF(INDEX([1]PCRs!B:B,MATCH(LEFT($A1026,6)&amp;"*",[1]PCRs!A:A,0))="Positivo",
      "✅ Positivo",
      IF(INDEX([1]PCRs!B:B,MATCH(LEFT($A1026,6)&amp;"*",[1]PCRs!A:A,0))="Negativo",
         "❌ Negativo",
         "⏳ No realizado")),
   "⏳ No realizado"
)</f>
        <v>⏳ No realizado</v>
      </c>
      <c r="D1026" s="255" t="str">
        <f>IFERROR(
   CHOOSE(
      MATCH(VLOOKUP(LEFT(A1073,6)&amp;"*",'Identificación genética'!A:C,2,FALSE),
               {"En proceso";"Finalizado"},0),
      "🔬 En proceso",
      "🎯 Finalizado"
   ),
"❌ NA")</f>
        <v>❌ NA</v>
      </c>
      <c r="E1026" t="s">
        <v>24</v>
      </c>
      <c r="F1026" s="54">
        <v>45952</v>
      </c>
      <c r="G1026" t="str">
        <f>_xlfn.XLOOKUP(A1026, Extraídas!A:A, Extraídas!G:G, "")</f>
        <v>MACROALGAS</v>
      </c>
    </row>
    <row r="1027" spans="1:7" x14ac:dyDescent="0.3">
      <c r="A1027" s="654" t="s">
        <v>1007</v>
      </c>
      <c r="B1027" s="255" t="str">
        <f t="array" ref="B1027">IFERROR(
   IF(INDEX([1]Extraídas!B:B,MATCH(LEFT($A1027,6)&amp;"*",[1]Extraídas!A:A,0))="Extraídas",
      "✅ En proceso",
      IF(INDEX([1]Extraídas!B:B,MATCH(LEFT($A1027,6)&amp;"*",[1]Extraídas!A:A,0))="Recibidas",
         "⏳ Pendiente","❌ No ingresada")),
   "❌ No ingresada"
)</f>
        <v>✅ En proceso</v>
      </c>
      <c r="C1027" s="255" t="str">
        <f t="array" ref="C1027">IFERROR(
   IF(INDEX([1]PCRs!B:B,MATCH(LEFT($A1027,6)&amp;"*",[1]PCRs!A:A,0))="Positivo",
      "✅ Positivo",
      IF(INDEX([1]PCRs!B:B,MATCH(LEFT($A1027,6)&amp;"*",[1]PCRs!A:A,0))="Negativo",
         "❌ Negativo",
         "⏳ No realizado")),
   "⏳ No realizado"
)</f>
        <v>❌ Negativo</v>
      </c>
      <c r="D1027" s="255" t="str">
        <f>IFERROR(
   CHOOSE(
      MATCH(VLOOKUP(LEFT(A1074,6)&amp;"*",'Identificación genética'!A:C,2,FALSE),
               {"En proceso";"Finalizado"},0),
      "🔬 En proceso",
      "🎯 Finalizado"
   ),
"❌ NA")</f>
        <v>❌ NA</v>
      </c>
      <c r="E1027" t="s">
        <v>24</v>
      </c>
      <c r="F1027" s="111">
        <v>45848</v>
      </c>
      <c r="G1027" t="str">
        <f>_xlfn.XLOOKUP(A1027, Extraídas!A:A, Extraídas!G:G, "")</f>
        <v>Microalgas</v>
      </c>
    </row>
    <row r="1028" spans="1:7" x14ac:dyDescent="0.3">
      <c r="A1028" s="475" t="s">
        <v>2317</v>
      </c>
      <c r="B1028" t="str">
        <f t="array" ref="B1028">IFERROR(
   IF(INDEX([1]Extraídas!B:B,MATCH(LEFT($A1028,6)&amp;"*",[1]Extraídas!A:A,0))="Extraídas",
      "✅ En proceso",
      IF(INDEX([1]Extraídas!B:B,MATCH(LEFT($A1028,6)&amp;"*",[1]Extraídas!A:A,0))="Recibidas",
         "⏳ Pendiente","❌ No ingresada")),
   "❌ No ingresada"
)</f>
        <v>❌ No ingresada</v>
      </c>
      <c r="C1028" s="255" t="str">
        <f t="array" ref="C1028">IFERROR(
   IF(INDEX([1]PCRs!B:B,MATCH(LEFT($A1028,6)&amp;"*",[1]PCRs!A:A,0))="Positivo",
      "✅ Positivo",
      IF(INDEX([1]PCRs!B:B,MATCH(LEFT($A1028,6)&amp;"*",[1]PCRs!A:A,0))="Negativo",
         "❌ Negativo",
         "⏳ No realizado")),
   "⏳ No realizado"
)</f>
        <v>❌ Negativo</v>
      </c>
      <c r="D1028" s="255" t="str">
        <f>IFERROR(
   CHOOSE(
      MATCH(VLOOKUP(LEFT(A1075,6)&amp;"*",'Identificación genética'!A:C,2,FALSE),
               {"En proceso";"Finalizado"},0),
      "🔬 En proceso",
      "🎯 Finalizado"
   ),
"❌ NA")</f>
        <v>❌ NA</v>
      </c>
      <c r="E1028" t="s">
        <v>24</v>
      </c>
      <c r="G1028" t="str">
        <f>_xlfn.XLOOKUP(A1028, Extraídas!A:A, Extraídas!G:G, "")</f>
        <v/>
      </c>
    </row>
    <row r="1029" spans="1:7" x14ac:dyDescent="0.3">
      <c r="A1029" s="352" t="s">
        <v>2238</v>
      </c>
      <c r="B1029" t="str">
        <f t="array" ref="B1029">IFERROR(
   IF(INDEX([1]Extraídas!B:B,MATCH(LEFT($A1029,6)&amp;"*",[1]Extraídas!A:A,0))="Extraídas",
      "✅ En proceso",
      IF(INDEX([1]Extraídas!B:B,MATCH(LEFT($A1029,6)&amp;"*",[1]Extraídas!A:A,0))="Recibidas",
         "⏳ Pendiente","❌ No ingresada")),
   "❌ No ingresada"
)</f>
        <v>❌ No ingresada</v>
      </c>
      <c r="C1029" s="255" t="str">
        <f t="array" ref="C1029">IFERROR(
   IF(INDEX([1]PCRs!B:B,MATCH(LEFT($A1029,6)&amp;"*",[1]PCRs!A:A,0))="Positivo",
      "✅ Positivo",
      IF(INDEX([1]PCRs!B:B,MATCH(LEFT($A1029,6)&amp;"*",[1]PCRs!A:A,0))="Negativo",
         "❌ Negativo",
         "⏳ No realizado")),
   "⏳ No realizado"
)</f>
        <v>✅ Positivo</v>
      </c>
      <c r="D1029" s="255" t="str">
        <f>IFERROR(
   CHOOSE(
      MATCH(VLOOKUP(LEFT(A1076,6)&amp;"*",'Identificación genética'!A:C,2,FALSE),
               {"En proceso";"Finalizado"},0),
      "🔬 En proceso",
      "🎯 Finalizado"
   ),
"❌ NA")</f>
        <v>❌ NA</v>
      </c>
      <c r="E1029" t="s">
        <v>24</v>
      </c>
      <c r="G1029" t="str">
        <f>_xlfn.XLOOKUP(A1029, Extraídas!A:A, Extraídas!G:G, "")</f>
        <v/>
      </c>
    </row>
    <row r="1030" spans="1:7" x14ac:dyDescent="0.3">
      <c r="A1030" s="656" t="s">
        <v>1008</v>
      </c>
      <c r="B1030" s="255" t="str">
        <f t="array" ref="B1030">IFERROR(
   IF(INDEX([1]Extraídas!B:B,MATCH(LEFT($A1030,6)&amp;"*",[1]Extraídas!A:A,0))="Extraídas",
      "✅ En proceso",
      IF(INDEX([1]Extraídas!B:B,MATCH(LEFT($A1030,6)&amp;"*",[1]Extraídas!A:A,0))="Recibidas",
         "⏳ Pendiente","❌ No ingresada")),
   "❌ No ingresada"
)</f>
        <v>✅ En proceso</v>
      </c>
      <c r="C1030" s="255" t="str">
        <f t="array" ref="C1030">IFERROR(
   IF(INDEX([1]PCRs!B:B,MATCH(LEFT($A1030,6)&amp;"*",[1]PCRs!A:A,0))="Positivo",
      "✅ Positivo",
      IF(INDEX([1]PCRs!B:B,MATCH(LEFT($A1030,6)&amp;"*",[1]PCRs!A:A,0))="Negativo",
         "❌ Negativo",
         "⏳ No realizado")),
   "⏳ No realizado"
)</f>
        <v>⏳ No realizado</v>
      </c>
      <c r="D1030" s="255" t="str">
        <f>IFERROR(
   CHOOSE(
      MATCH(VLOOKUP(LEFT(A1077,6)&amp;"*",'Identificación genética'!A:C,2,FALSE),
               {"En proceso";"Finalizado"},0),
      "🔬 En proceso",
      "🎯 Finalizado"
   ),
"❌ NA")</f>
        <v>❌ NA</v>
      </c>
      <c r="E1030" t="s">
        <v>24</v>
      </c>
      <c r="F1030" s="54">
        <v>45946</v>
      </c>
      <c r="G1030" t="str">
        <f>_xlfn.XLOOKUP(A1030, Extraídas!A:A, Extraídas!G:G, "")</f>
        <v>ambiental</v>
      </c>
    </row>
    <row r="1031" spans="1:7" x14ac:dyDescent="0.3">
      <c r="A1031" s="655" t="s">
        <v>1009</v>
      </c>
      <c r="B1031" s="255" t="str">
        <f>IFERROR(
   IF(INDEX(Extraídas!B:B,MATCH(LEFT($A1031,6)&amp;"*",Extraídas!A:A,0))="Extraídas",
      "✅ En proceso",
      IF(INDEX(Extraídas!B:B,MATCH(LEFT($A1031,6)&amp;"*",Extraídas!A:A,0))="Recibidas",
         "⏳ Pendiente","❌ No ingresada")),
   "❌ No ingresada"
)</f>
        <v>✅ En proceso</v>
      </c>
      <c r="C1031" s="255" t="str">
        <f t="array" ref="C1031">IFERROR(
   IF(INDEX([1]PCRs!B:B,MATCH(LEFT($A1031,6)&amp;"*",[1]PCRs!A:A,0))="Positivo",
      "✅ Positivo",
      IF(INDEX([1]PCRs!B:B,MATCH(LEFT($A1031,6)&amp;"*",[1]PCRs!A:A,0))="Negativo",
         "❌ Negativo",
         "⏳ No realizado")),
   "⏳ No realizado"
)</f>
        <v>⏳ No realizado</v>
      </c>
      <c r="D1031" s="255" t="str">
        <f>IFERROR(
   CHOOSE(
      MATCH(VLOOKUP(LEFT(A1078,6)&amp;"*",'Identificación genética'!A:C,2,FALSE),
               {"En proceso";"Finalizado"},0),
      "🔬 En proceso",
      "🎯 Finalizado"
   ),
"❌ NA")</f>
        <v>❌ NA</v>
      </c>
      <c r="E1031" t="s">
        <v>85</v>
      </c>
      <c r="F1031" s="111">
        <v>45817</v>
      </c>
      <c r="G1031" t="str">
        <f>_xlfn.XLOOKUP(A1031, Extraídas!A:A, Extraídas!G:G, "")</f>
        <v>Microalgas</v>
      </c>
    </row>
    <row r="1032" spans="1:7" x14ac:dyDescent="0.3">
      <c r="A1032" s="352" t="s">
        <v>1187</v>
      </c>
      <c r="B1032" s="255" t="str">
        <f>IFERROR(
   IF(INDEX(Extraídas!B:B,MATCH(LEFT($A1032,6)&amp;"*",Extraídas!A:A,0))="Extraídas",
      "✅ En proceso",
      IF(INDEX(Extraídas!B:B,MATCH(LEFT($A1032,6)&amp;"*",Extraídas!A:A,0))="Recibidas",
         "⏳ Pendiente","❌ No ingresada")),
   "❌ No ingresada"
)</f>
        <v>✅ En proceso</v>
      </c>
      <c r="C1032" s="255" t="str">
        <f t="array" ref="C1032">IFERROR(
   IF(INDEX([1]PCRs!B:B,MATCH(LEFT($A1032,6)&amp;"*",[1]PCRs!A:A,0))="Positivo",
      "✅ Positivo",
      IF(INDEX([1]PCRs!B:B,MATCH(LEFT($A1032,6)&amp;"*",[1]PCRs!A:A,0))="Negativo",
         "❌ Negativo",
         "⏳ No realizado")),
   "⏳ No realizado"
)</f>
        <v>✅ Positivo</v>
      </c>
      <c r="D1032" s="255" t="str">
        <f>IFERROR(
   CHOOSE(
      MATCH(VLOOKUP(LEFT(A1079,6)&amp;"*",'Identificación genética'!A:C,2,FALSE),
               {"En proceso";"Finalizado"},0),
      "🔬 En proceso",
      "🎯 Finalizado"
   ),
"❌ NA")</f>
        <v>❌ NA</v>
      </c>
      <c r="E1032" t="s">
        <v>85</v>
      </c>
      <c r="G1032" t="str">
        <f>_xlfn.XLOOKUP(A1032, Extraídas!A:A, Extraídas!G:G, "")</f>
        <v/>
      </c>
    </row>
    <row r="1033" spans="1:7" x14ac:dyDescent="0.3">
      <c r="A1033" s="655" t="s">
        <v>1010</v>
      </c>
      <c r="B1033" s="255" t="str">
        <f>IFERROR(
   IF(INDEX(Extraídas!B:B,MATCH(LEFT($A1033,6)&amp;"*",Extraídas!A:A,0))="Extraídas",
      "✅ En proceso",
      IF(INDEX(Extraídas!B:B,MATCH(LEFT($A1033,6)&amp;"*",Extraídas!A:A,0))="Recibidas",
         "⏳ Pendiente","❌ No ingresada")),
   "❌ No ingresada"
)</f>
        <v>✅ En proceso</v>
      </c>
      <c r="C1033" s="255" t="str">
        <f t="array" ref="C1033">IFERROR(
   IF(INDEX([1]PCRs!B:B,MATCH(LEFT($A1033,6)&amp;"*",[1]PCRs!A:A,0))="Positivo",
      "✅ Positivo",
      IF(INDEX([1]PCRs!B:B,MATCH(LEFT($A1033,6)&amp;"*",[1]PCRs!A:A,0))="Negativo",
         "❌ Negativo",
         "⏳ No realizado")),
   "⏳ No realizado"
)</f>
        <v>⏳ No realizado</v>
      </c>
      <c r="D1033" s="255" t="str">
        <f>IFERROR(
   CHOOSE(
      MATCH(VLOOKUP(LEFT(A1080,6)&amp;"*",'Identificación genética'!A:C,2,FALSE),
               {"En proceso";"Finalizado"},0),
      "🔬 En proceso",
      "🎯 Finalizado"
   ),
"❌ NA")</f>
        <v>❌ NA</v>
      </c>
      <c r="E1033" t="s">
        <v>85</v>
      </c>
      <c r="F1033" s="111">
        <v>45817</v>
      </c>
      <c r="G1033" t="str">
        <f>_xlfn.XLOOKUP(A1033, Extraídas!A:A, Extraídas!G:G, "")</f>
        <v>Microalgas</v>
      </c>
    </row>
    <row r="1034" spans="1:7" x14ac:dyDescent="0.3">
      <c r="A1034" s="352" t="s">
        <v>1188</v>
      </c>
      <c r="B1034" s="255" t="str">
        <f>IFERROR(
   IF(INDEX(Extraídas!B:B,MATCH(LEFT($A1034,6)&amp;"*",Extraídas!A:A,0))="Extraídas",
      "✅ En proceso",
      IF(INDEX(Extraídas!B:B,MATCH(LEFT($A1034,6)&amp;"*",Extraídas!A:A,0))="Recibidas",
         "⏳ Pendiente","❌ No ingresada")),
   "❌ No ingresada"
)</f>
        <v>✅ En proceso</v>
      </c>
      <c r="C1034" s="255" t="str">
        <f t="array" ref="C1034">IFERROR(
   IF(INDEX([1]PCRs!B:B,MATCH(LEFT($A1034,6)&amp;"*",[1]PCRs!A:A,0))="Positivo",
      "✅ Positivo",
      IF(INDEX([1]PCRs!B:B,MATCH(LEFT($A1034,6)&amp;"*",[1]PCRs!A:A,0))="Negativo",
         "❌ Negativo",
         "⏳ No realizado")),
   "⏳ No realizado"
)</f>
        <v>✅ Positivo</v>
      </c>
      <c r="D1034" s="255" t="str">
        <f>IFERROR(
   CHOOSE(
      MATCH(VLOOKUP(LEFT(A1081,6)&amp;"*",'Identificación genética'!A:C,2,FALSE),
               {"En proceso";"Finalizado"},0),
      "🔬 En proceso",
      "🎯 Finalizado"
   ),
"❌ NA")</f>
        <v>❌ NA</v>
      </c>
      <c r="E1034" t="s">
        <v>85</v>
      </c>
      <c r="G1034" t="str">
        <f>_xlfn.XLOOKUP(A1034, Extraídas!A:A, Extraídas!G:G, "")</f>
        <v/>
      </c>
    </row>
    <row r="1035" spans="1:7" x14ac:dyDescent="0.3">
      <c r="A1035" s="655" t="s">
        <v>1011</v>
      </c>
      <c r="B1035" s="255" t="str">
        <f>IFERROR(
   IF(INDEX(Extraídas!B:B,MATCH(LEFT($A1035,6)&amp;"*",Extraídas!A:A,0))="Extraídas",
      "✅ En proceso",
      IF(INDEX(Extraídas!B:B,MATCH(LEFT($A1035,6)&amp;"*",Extraídas!A:A,0))="Recibidas",
         "⏳ Pendiente","❌ No ingresada")),
   "❌ No ingresada"
)</f>
        <v>✅ En proceso</v>
      </c>
      <c r="C1035" s="255" t="str">
        <f t="array" ref="C1035">IFERROR(
   IF(INDEX([1]PCRs!B:B,MATCH(LEFT($A1035,6)&amp;"*",[1]PCRs!A:A,0))="Positivo",
      "✅ Positivo",
      IF(INDEX([1]PCRs!B:B,MATCH(LEFT($A1035,6)&amp;"*",[1]PCRs!A:A,0))="Negativo",
         "❌ Negativo",
         "⏳ No realizado")),
   "⏳ No realizado"
)</f>
        <v>⏳ No realizado</v>
      </c>
      <c r="D1035" s="255" t="str">
        <f>IFERROR(
   CHOOSE(
      MATCH(VLOOKUP(LEFT(A1082,6)&amp;"*",'Identificación genética'!A:C,2,FALSE),
               {"En proceso";"Finalizado"},0),
      "🔬 En proceso",
      "🎯 Finalizado"
   ),
"❌ NA")</f>
        <v>❌ NA</v>
      </c>
      <c r="E1035" t="s">
        <v>85</v>
      </c>
      <c r="F1035" s="111">
        <v>45817</v>
      </c>
      <c r="G1035" t="str">
        <f>_xlfn.XLOOKUP(A1035, Extraídas!A:A, Extraídas!G:G, "")</f>
        <v>Microalgas</v>
      </c>
    </row>
    <row r="1036" spans="1:7" x14ac:dyDescent="0.3">
      <c r="A1036" s="415" t="s">
        <v>2242</v>
      </c>
      <c r="B1036" t="str">
        <f t="array" ref="B1036">IFERROR(
   IF(INDEX([1]Extraídas!B:B,MATCH(LEFT($A1036,6)&amp;"*",[1]Extraídas!A:A,0))="Extraídas",
      "✅ En proceso",
      IF(INDEX([1]Extraídas!B:B,MATCH(LEFT($A1036,6)&amp;"*",[1]Extraídas!A:A,0))="Recibidas",
         "⏳ Pendiente","❌ No ingresada")),
   "❌ No ingresada"
)</f>
        <v>❌ No ingresada</v>
      </c>
      <c r="C1036" s="255" t="str">
        <f t="array" ref="C1036">IFERROR(
   IF(INDEX([1]PCRs!B:B,MATCH(LEFT($A1036,6)&amp;"*",[1]PCRs!A:A,0))="Positivo",
      "✅ Positivo",
      IF(INDEX([1]PCRs!B:B,MATCH(LEFT($A1036,6)&amp;"*",[1]PCRs!A:A,0))="Negativo",
         "❌ Negativo",
         "⏳ No realizado")),
   "⏳ No realizado"
)</f>
        <v>✅ Positivo</v>
      </c>
      <c r="D1036" s="255" t="str">
        <f>IFERROR(
   CHOOSE(
      MATCH(VLOOKUP(LEFT(A1083,6)&amp;"*",'Identificación genética'!A:C,2,FALSE),
               {"En proceso";"Finalizado"},0),
      "🔬 En proceso",
      "🎯 Finalizado"
   ),
"❌ NA")</f>
        <v>❌ NA</v>
      </c>
      <c r="E1036" t="s">
        <v>24</v>
      </c>
      <c r="G1036" t="str">
        <f>_xlfn.XLOOKUP(A1036, Extraídas!A:A, Extraídas!G:G, "")</f>
        <v/>
      </c>
    </row>
    <row r="1037" spans="1:7" x14ac:dyDescent="0.3">
      <c r="A1037" s="352" t="s">
        <v>1189</v>
      </c>
      <c r="B1037" s="255" t="str">
        <f>IFERROR(
   IF(INDEX(Extraídas!B:B,MATCH(LEFT($A1037,6)&amp;"*",Extraídas!A:A,0))="Extraídas",
      "✅ En proceso",
      IF(INDEX(Extraídas!B:B,MATCH(LEFT($A1037,6)&amp;"*",Extraídas!A:A,0))="Recibidas",
         "⏳ Pendiente","❌ No ingresada")),
   "❌ No ingresada"
)</f>
        <v>❌ No ingresada</v>
      </c>
      <c r="C1037" s="255" t="str">
        <f t="array" ref="C1037">IFERROR(
   IF(INDEX([1]PCRs!B:B,MATCH(LEFT($A1037,6)&amp;"*",[1]PCRs!A:A,0))="Positivo",
      "✅ Positivo",
      IF(INDEX([1]PCRs!B:B,MATCH(LEFT($A1037,6)&amp;"*",[1]PCRs!A:A,0))="Negativo",
         "❌ Negativo",
         "⏳ No realizado")),
   "⏳ No realizado"
)</f>
        <v>❌ Negativo</v>
      </c>
      <c r="D1037" s="255" t="str">
        <f>IFERROR(
   CHOOSE(
      MATCH(VLOOKUP(LEFT(A1084,6)&amp;"*",'Identificación genética'!A:C,2,FALSE),
               {"En proceso";"Finalizado"},0),
      "🔬 En proceso",
      "🎯 Finalizado"
   ),
"❌ NA")</f>
        <v>❌ NA</v>
      </c>
      <c r="E1037" t="s">
        <v>85</v>
      </c>
      <c r="G1037" t="str">
        <f>_xlfn.XLOOKUP(A1037, Extraídas!A:A, Extraídas!G:G, "")</f>
        <v/>
      </c>
    </row>
    <row r="1038" spans="1:7" x14ac:dyDescent="0.3">
      <c r="A1038" s="352" t="s">
        <v>1190</v>
      </c>
      <c r="B1038" s="255" t="str">
        <f>IFERROR(
   IF(INDEX(Extraídas!B:B,MATCH(LEFT($A1038,6)&amp;"*",Extraídas!A:A,0))="Extraídas",
      "✅ En proceso",
      IF(INDEX(Extraídas!B:B,MATCH(LEFT($A1038,6)&amp;"*",Extraídas!A:A,0))="Recibidas",
         "⏳ Pendiente","❌ No ingresada")),
   "❌ No ingresada"
)</f>
        <v>✅ En proceso</v>
      </c>
      <c r="C1038" s="255" t="str">
        <f t="array" ref="C1038">IFERROR(
   IF(INDEX([1]PCRs!B:B,MATCH(LEFT($A1038,6)&amp;"*",[1]PCRs!A:A,0))="Positivo",
      "✅ Positivo",
      IF(INDEX([1]PCRs!B:B,MATCH(LEFT($A1038,6)&amp;"*",[1]PCRs!A:A,0))="Negativo",
         "❌ Negativo",
         "⏳ No realizado")),
   "⏳ No realizado"
)</f>
        <v>✅ Positivo</v>
      </c>
      <c r="D1038" s="255" t="str">
        <f>IFERROR(
   CHOOSE(
      MATCH(VLOOKUP(LEFT(A1085,6)&amp;"*",'Identificación genética'!A:C,2,FALSE),
               {"En proceso";"Finalizado"},0),
      "🔬 En proceso",
      "🎯 Finalizado"
   ),
"❌ NA")</f>
        <v>❌ NA</v>
      </c>
      <c r="E1038" t="s">
        <v>85</v>
      </c>
      <c r="G1038" t="str">
        <f>_xlfn.XLOOKUP(A1038, Extraídas!A:A, Extraídas!G:G, "")</f>
        <v/>
      </c>
    </row>
    <row r="1039" spans="1:7" x14ac:dyDescent="0.3">
      <c r="A1039" s="655" t="s">
        <v>1012</v>
      </c>
      <c r="B1039" s="255" t="str">
        <f>IFERROR(
   IF(INDEX(Extraídas!B:B,MATCH(LEFT($A1039,6)&amp;"*",Extraídas!A:A,0))="Extraídas",
      "✅ En proceso",
      IF(INDEX(Extraídas!B:B,MATCH(LEFT($A1039,6)&amp;"*",Extraídas!A:A,0))="Recibidas",
         "⏳ Pendiente","❌ No ingresada")),
   "❌ No ingresada"
)</f>
        <v>✅ En proceso</v>
      </c>
      <c r="C1039" s="255" t="str">
        <f t="array" ref="C1039">IFERROR(
   IF(INDEX([1]PCRs!B:B,MATCH(LEFT($A1039,6)&amp;"*",[1]PCRs!A:A,0))="Positivo",
      "✅ Positivo",
      IF(INDEX([1]PCRs!B:B,MATCH(LEFT($A1039,6)&amp;"*",[1]PCRs!A:A,0))="Negativo",
         "❌ Negativo",
         "⏳ No realizado")),
   "⏳ No realizado"
)</f>
        <v>⏳ No realizado</v>
      </c>
      <c r="D1039" s="255" t="str">
        <f>IFERROR(
   CHOOSE(
      MATCH(VLOOKUP(LEFT(A1086,6)&amp;"*",'Identificación genética'!A:C,2,FALSE),
               {"En proceso";"Finalizado"},0),
      "🔬 En proceso",
      "🎯 Finalizado"
   ),
"❌ NA")</f>
        <v>❌ NA</v>
      </c>
      <c r="E1039" t="s">
        <v>85</v>
      </c>
      <c r="F1039" s="111">
        <v>45817</v>
      </c>
      <c r="G1039" t="str">
        <f>_xlfn.XLOOKUP(A1039, Extraídas!A:A, Extraídas!G:G, "")</f>
        <v>Microalgas</v>
      </c>
    </row>
    <row r="1040" spans="1:7" x14ac:dyDescent="0.3">
      <c r="A1040" s="352" t="s">
        <v>1191</v>
      </c>
      <c r="B1040" t="str">
        <f t="array" ref="B1040">IFERROR(
   IF(INDEX([1]Extraídas!B:B,MATCH(LEFT($A1040,6)&amp;"*",[1]Extraídas!A:A,0))="Extraídas",
      "✅ En proceso",
      IF(INDEX([1]Extraídas!B:B,MATCH(LEFT($A1040,6)&amp;"*",[1]Extraídas!A:A,0))="Recibidas",
         "⏳ Pendiente","❌ No ingresada")),
   "❌ No ingresada"
)</f>
        <v>❌ No ingresada</v>
      </c>
      <c r="C1040" s="255" t="str">
        <f t="array" ref="C1040">IFERROR(
   IF(INDEX([1]PCRs!B:B,MATCH(LEFT($A1040,6)&amp;"*",[1]PCRs!A:A,0))="Positivo",
      "✅ Positivo",
      IF(INDEX([1]PCRs!B:B,MATCH(LEFT($A1040,6)&amp;"*",[1]PCRs!A:A,0))="Negativo",
         "❌ Negativo",
         "⏳ No realizado")),
   "⏳ No realizado"
)</f>
        <v>✅ Positivo</v>
      </c>
      <c r="D1040" s="255" t="str">
        <f>IFERROR(
   CHOOSE(
      MATCH(VLOOKUP(LEFT(A1087,6)&amp;"*",'Identificación genética'!A:C,2,FALSE),
               {"En proceso";"Finalizado"},0),
      "🔬 En proceso",
      "🎯 Finalizado"
   ),
"❌ NA")</f>
        <v>❌ NA</v>
      </c>
      <c r="E1040" t="s">
        <v>24</v>
      </c>
      <c r="G1040" t="str">
        <f>_xlfn.XLOOKUP(A1040, Extraídas!A:A, Extraídas!G:G, "")</f>
        <v/>
      </c>
    </row>
    <row r="1041" spans="1:7" x14ac:dyDescent="0.3">
      <c r="A1041" s="657" t="s">
        <v>1014</v>
      </c>
      <c r="B1041" s="255" t="str">
        <f t="array" ref="B1041">IFERROR(
   IF(INDEX([1]Extraídas!B:B,MATCH(LEFT($A1041,6)&amp;"*",[1]Extraídas!A:A,0))="Extraídas",
      "✅ En proceso",
      IF(INDEX([1]Extraídas!B:B,MATCH(LEFT($A1041,6)&amp;"*",[1]Extraídas!A:A,0))="Recibidas",
         "⏳ Pendiente","❌ No ingresada")),
   "❌ No ingresada"
)</f>
        <v>✅ En proceso</v>
      </c>
      <c r="C1041" s="255" t="str">
        <f t="array" ref="C1041">IFERROR(
   IF(INDEX([1]PCRs!B:B,MATCH(LEFT($A1041,6)&amp;"*",[1]PCRs!A:A,0))="Positivo",
      "✅ Positivo",
      IF(INDEX([1]PCRs!B:B,MATCH(LEFT($A1041,6)&amp;"*",[1]PCRs!A:A,0))="Negativo",
         "❌ Negativo",
         "⏳ No realizado")),
   "⏳ No realizado"
)</f>
        <v>⏳ No realizado</v>
      </c>
      <c r="D1041" s="255" t="str">
        <f>IFERROR(
   CHOOSE(
      MATCH(VLOOKUP(LEFT(A1088,6)&amp;"*",'Identificación genética'!A:C,2,FALSE),
               {"En proceso";"Finalizado"},0),
      "🔬 En proceso",
      "🎯 Finalizado"
   ),
"❌ NA")</f>
        <v>❌ NA</v>
      </c>
      <c r="E1041" t="s">
        <v>85</v>
      </c>
      <c r="F1041" s="53">
        <v>45971</v>
      </c>
      <c r="G1041" t="str">
        <f>_xlfn.XLOOKUP(A1041, Extraídas!A:A, Extraídas!G:G, "")</f>
        <v>Cyanobacteria</v>
      </c>
    </row>
    <row r="1042" spans="1:7" x14ac:dyDescent="0.3">
      <c r="A1042" s="656" t="s">
        <v>1015</v>
      </c>
      <c r="B1042" s="255" t="str">
        <f t="array" ref="B1042">IFERROR(
   IF(INDEX([1]Extraídas!B:B,MATCH(LEFT($A1042,6)&amp;"*",[1]Extraídas!A:A,0))="Extraídas",
      "✅ En proceso",
      IF(INDEX([1]Extraídas!B:B,MATCH(LEFT($A1042,6)&amp;"*",[1]Extraídas!A:A,0))="Recibidas",
         "⏳ Pendiente","❌ No ingresada")),
   "❌ No ingresada"
)</f>
        <v>✅ En proceso</v>
      </c>
      <c r="C1042" s="255" t="str">
        <f t="array" ref="C1042">IFERROR(
   IF(INDEX([1]PCRs!B:B,MATCH(LEFT($A1042,6)&amp;"*",[1]PCRs!A:A,0))="Positivo",
      "✅ Positivo",
      IF(INDEX([1]PCRs!B:B,MATCH(LEFT($A1042,6)&amp;"*",[1]PCRs!A:A,0))="Negativo",
         "❌ Negativo",
         "⏳ No realizado")),
   "⏳ No realizado"
)</f>
        <v>⏳ No realizado</v>
      </c>
      <c r="D1042" s="255" t="str">
        <f>IFERROR(
   CHOOSE(
      MATCH(VLOOKUP(LEFT(A1089,6)&amp;"*",'Identificación genética'!A:C,2,FALSE),
               {"En proceso";"Finalizado"},0),
      "🔬 En proceso",
      "🎯 Finalizado"
   ),
"❌ NA")</f>
        <v>❌ NA</v>
      </c>
      <c r="E1042" t="s">
        <v>85</v>
      </c>
      <c r="F1042" s="55">
        <v>45960</v>
      </c>
      <c r="G1042" t="str">
        <f>_xlfn.XLOOKUP(A1042, Extraídas!A:A, Extraídas!G:G, "")</f>
        <v>Cyanobacteria</v>
      </c>
    </row>
    <row r="1043" spans="1:7" x14ac:dyDescent="0.3">
      <c r="A1043" s="656" t="s">
        <v>1018</v>
      </c>
      <c r="B1043" s="255" t="str">
        <f t="array" ref="B1043">IFERROR(
   IF(INDEX([1]Extraídas!B:B,MATCH(LEFT($A1043,6)&amp;"*",[1]Extraídas!A:A,0))="Extraídas",
      "✅ En proceso",
      IF(INDEX([1]Extraídas!B:B,MATCH(LEFT($A1043,6)&amp;"*",[1]Extraídas!A:A,0))="Recibidas",
         "⏳ Pendiente","❌ No ingresada")),
   "❌ No ingresada"
)</f>
        <v>✅ En proceso</v>
      </c>
      <c r="C1043" s="255" t="str">
        <f t="array" ref="C1043">IFERROR(
   IF(INDEX([1]PCRs!B:B,MATCH(LEFT($A1043,6)&amp;"*",[1]PCRs!A:A,0))="Positivo",
      "✅ Positivo",
      IF(INDEX([1]PCRs!B:B,MATCH(LEFT($A1043,6)&amp;"*",[1]PCRs!A:A,0))="Negativo",
         "❌ Negativo",
         "⏳ No realizado")),
   "⏳ No realizado"
)</f>
        <v>⏳ No realizado</v>
      </c>
      <c r="D1043" s="255" t="str">
        <f>IFERROR(
   CHOOSE(
      MATCH(VLOOKUP(LEFT(A1090,6)&amp;"*",'Identificación genética'!A:C,2,FALSE),
               {"En proceso";"Finalizado"},0),
      "🔬 En proceso",
      "🎯 Finalizado"
   ),
"❌ NA")</f>
        <v>❌ NA</v>
      </c>
      <c r="E1043" t="s">
        <v>85</v>
      </c>
      <c r="F1043" s="575">
        <v>45924</v>
      </c>
      <c r="G1043" t="str">
        <f>_xlfn.XLOOKUP(A1043, Extraídas!A:A, Extraídas!G:G, "")</f>
        <v>Cyanobacteria</v>
      </c>
    </row>
    <row r="1044" spans="1:7" x14ac:dyDescent="0.3">
      <c r="A1044" s="657" t="s">
        <v>1019</v>
      </c>
      <c r="B1044" s="255" t="str">
        <f t="array" ref="B1044">IFERROR(
   IF(INDEX([1]Extraídas!B:B,MATCH(LEFT($A1044,6)&amp;"*",[1]Extraídas!A:A,0))="Extraídas",
      "✅ En proceso",
      IF(INDEX([1]Extraídas!B:B,MATCH(LEFT($A1044,6)&amp;"*",[1]Extraídas!A:A,0))="Recibidas",
         "⏳ Pendiente","❌ No ingresada")),
   "❌ No ingresada"
)</f>
        <v>✅ En proceso</v>
      </c>
      <c r="C1044" s="255" t="str">
        <f t="array" ref="C1044">IFERROR(
   IF(INDEX([1]PCRs!B:B,MATCH(LEFT($A1044,6)&amp;"*",[1]PCRs!A:A,0))="Positivo",
      "✅ Positivo",
      IF(INDEX([1]PCRs!B:B,MATCH(LEFT($A1044,6)&amp;"*",[1]PCRs!A:A,0))="Negativo",
         "❌ Negativo",
         "⏳ No realizado")),
   "⏳ No realizado"
)</f>
        <v>⏳ No realizado</v>
      </c>
      <c r="D1044" s="255" t="str">
        <f>IFERROR(
   CHOOSE(
      MATCH(VLOOKUP(LEFT(A1091,6)&amp;"*",'Identificación genética'!A:C,2,FALSE),
               {"En proceso";"Finalizado"},0),
      "🔬 En proceso",
      "🎯 Finalizado"
   ),
"❌ NA")</f>
        <v>❌ NA</v>
      </c>
      <c r="E1044" t="s">
        <v>85</v>
      </c>
      <c r="F1044" s="583">
        <v>45924</v>
      </c>
      <c r="G1044" t="str">
        <f>_xlfn.XLOOKUP(A1044, Extraídas!A:A, Extraídas!G:G, "")</f>
        <v>Stylonematophyceae</v>
      </c>
    </row>
    <row r="1045" spans="1:7" x14ac:dyDescent="0.3">
      <c r="A1045" s="656" t="s">
        <v>1021</v>
      </c>
      <c r="B1045" s="255" t="str">
        <f t="array" ref="B1045">IFERROR(
   IF(INDEX([1]Extraídas!B:B,MATCH(LEFT($A1045,6)&amp;"*",[1]Extraídas!A:A,0))="Extraídas",
      "✅ En proceso",
      IF(INDEX([1]Extraídas!B:B,MATCH(LEFT($A1045,6)&amp;"*",[1]Extraídas!A:A,0))="Recibidas",
         "⏳ Pendiente","❌ No ingresada")),
   "❌ No ingresada"
)</f>
        <v>✅ En proceso</v>
      </c>
      <c r="C1045" s="255" t="str">
        <f t="array" ref="C1045">IFERROR(
   IF(INDEX([1]PCRs!B:B,MATCH(LEFT($A1045,6)&amp;"*",[1]PCRs!A:A,0))="Positivo",
      "✅ Positivo",
      IF(INDEX([1]PCRs!B:B,MATCH(LEFT($A1045,6)&amp;"*",[1]PCRs!A:A,0))="Negativo",
         "❌ Negativo",
         "⏳ No realizado")),
   "⏳ No realizado"
)</f>
        <v>⏳ No realizado</v>
      </c>
      <c r="D1045" s="255" t="str">
        <f>IFERROR(
   CHOOSE(
      MATCH(VLOOKUP(LEFT(A1092,6)&amp;"*",'Identificación genética'!A:C,2,FALSE),
               {"En proceso";"Finalizado"},0),
      "🔬 En proceso",
      "🎯 Finalizado"
   ),
"❌ NA")</f>
        <v>❌ NA</v>
      </c>
      <c r="E1045" t="s">
        <v>85</v>
      </c>
      <c r="F1045" s="55">
        <v>45971</v>
      </c>
      <c r="G1045" t="str">
        <f>_xlfn.XLOOKUP(A1045, Extraídas!A:A, Extraídas!G:G, "")</f>
        <v>Stylonematophyceae</v>
      </c>
    </row>
    <row r="1046" spans="1:7" x14ac:dyDescent="0.3">
      <c r="A1046" s="653" t="s">
        <v>1022</v>
      </c>
      <c r="B1046" s="255" t="str">
        <f t="array" ref="B1046">IFERROR(
   IF(INDEX([1]Extraídas!B:B,MATCH(LEFT($A1046,6)&amp;"*",[1]Extraídas!A:A,0))="Extraídas",
      "✅ En proceso",
      IF(INDEX([1]Extraídas!B:B,MATCH(LEFT($A1046,6)&amp;"*",[1]Extraídas!A:A,0))="Recibidas",
         "⏳ Pendiente","❌ No ingresada")),
   "❌ No ingresada"
)</f>
        <v>⏳ Pendiente</v>
      </c>
      <c r="C1046" s="255" t="str">
        <f t="array" ref="C1046">IFERROR(
   IF(INDEX([1]PCRs!B:B,MATCH(LEFT($A1046,6)&amp;"*",[1]PCRs!A:A,0))="Positivo",
      "✅ Positivo",
      IF(INDEX([1]PCRs!B:B,MATCH(LEFT($A1046,6)&amp;"*",[1]PCRs!A:A,0))="Negativo",
         "❌ Negativo",
         "⏳ No realizado")),
   "⏳ No realizado"
)</f>
        <v>⏳ No realizado</v>
      </c>
      <c r="D1046" s="255" t="str">
        <f>IFERROR(
   CHOOSE(
      MATCH(VLOOKUP(LEFT(A1093,6)&amp;"*",'Identificación genética'!A:C,2,FALSE),
               {"En proceso";"Finalizado"},0),
      "🔬 En proceso",
      "🎯 Finalizado"
   ),
"❌ NA")</f>
        <v>❌ NA</v>
      </c>
      <c r="E1046" t="s">
        <v>85</v>
      </c>
      <c r="F1046" s="98">
        <v>45924</v>
      </c>
      <c r="G1046" t="str">
        <f>_xlfn.XLOOKUP(A1046, Extraídas!A:A, Extraídas!G:G, "")</f>
        <v>Cianobacterias</v>
      </c>
    </row>
    <row r="1047" spans="1:7" x14ac:dyDescent="0.3">
      <c r="A1047" s="653" t="s">
        <v>1023</v>
      </c>
      <c r="B1047" s="255" t="str">
        <f t="array" ref="B1047">IFERROR(
   IF(INDEX([1]Extraídas!B:B,MATCH(LEFT($A1047,6)&amp;"*",[1]Extraídas!A:A,0))="Extraídas",
      "✅ En proceso",
      IF(INDEX([1]Extraídas!B:B,MATCH(LEFT($A1047,6)&amp;"*",[1]Extraídas!A:A,0))="Recibidas",
         "⏳ Pendiente","❌ No ingresada")),
   "❌ No ingresada"
)</f>
        <v>⏳ Pendiente</v>
      </c>
      <c r="C1047" s="255" t="str">
        <f t="array" ref="C1047">IFERROR(
   IF(INDEX([1]PCRs!B:B,MATCH(LEFT($A1047,6)&amp;"*",[1]PCRs!A:A,0))="Positivo",
      "✅ Positivo",
      IF(INDEX([1]PCRs!B:B,MATCH(LEFT($A1047,6)&amp;"*",[1]PCRs!A:A,0))="Negativo",
         "❌ Negativo",
         "⏳ No realizado")),
   "⏳ No realizado"
)</f>
        <v>⏳ No realizado</v>
      </c>
      <c r="D1047" s="255" t="str">
        <f>IFERROR(
   CHOOSE(
      MATCH(VLOOKUP(LEFT(A1094,6)&amp;"*",'Identificación genética'!A:C,2,FALSE),
               {"En proceso";"Finalizado"},0),
      "🔬 En proceso",
      "🎯 Finalizado"
   ),
"❌ NA")</f>
        <v>❌ NA</v>
      </c>
      <c r="E1047" t="s">
        <v>85</v>
      </c>
      <c r="F1047" s="98">
        <v>45924</v>
      </c>
      <c r="G1047" t="str">
        <f>_xlfn.XLOOKUP(A1047, Extraídas!A:A, Extraídas!G:G, "")</f>
        <v>Cianobacterias</v>
      </c>
    </row>
    <row r="1048" spans="1:7" x14ac:dyDescent="0.3">
      <c r="A1048" s="352" t="s">
        <v>1192</v>
      </c>
      <c r="B1048" s="255" t="str">
        <f>IFERROR(
   IF(INDEX(Extraídas!B:B,MATCH(LEFT($A1048,6)&amp;"*",Extraídas!A:A,0))="Extraídas",
      "✅ En proceso",
      IF(INDEX(Extraídas!B:B,MATCH(LEFT($A1048,6)&amp;"*",Extraídas!A:A,0))="Recibidas",
         "⏳ Pendiente","❌ No ingresada")),
   "❌ No ingresada"
)</f>
        <v>✅ En proceso</v>
      </c>
      <c r="C1048" s="255" t="str">
        <f t="array" ref="C1048">IFERROR(
   IF(INDEX([1]PCRs!B:B,MATCH(LEFT($A1048,6)&amp;"*",[1]PCRs!A:A,0))="Positivo",
      "✅ Positivo",
      IF(INDEX([1]PCRs!B:B,MATCH(LEFT($A1048,6)&amp;"*",[1]PCRs!A:A,0))="Negativo",
         "❌ Negativo",
         "⏳ No realizado")),
   "⏳ No realizado"
)</f>
        <v>✅ Positivo</v>
      </c>
      <c r="D1048" s="255" t="str">
        <f>IFERROR(
   CHOOSE(
      MATCH(VLOOKUP(LEFT(A1095,6)&amp;"*",'Identificación genética'!A:C,2,FALSE),
               {"En proceso";"Finalizado"},0),
      "🔬 En proceso",
      "🎯 Finalizado"
   ),
"❌ NA")</f>
        <v>❌ NA</v>
      </c>
      <c r="E1048" t="s">
        <v>85</v>
      </c>
      <c r="G1048" t="str">
        <f>_xlfn.XLOOKUP(A1048, Extraídas!A:A, Extraídas!G:G, "")</f>
        <v/>
      </c>
    </row>
    <row r="1049" spans="1:7" x14ac:dyDescent="0.3">
      <c r="A1049" s="655" t="s">
        <v>1024</v>
      </c>
      <c r="B1049" s="255" t="str">
        <f>IFERROR(
   IF(INDEX(Extraídas!B:B,MATCH(LEFT($A1049,6)&amp;"*",Extraídas!A:A,0))="Extraídas",
      "✅ En proceso",
      IF(INDEX(Extraídas!B:B,MATCH(LEFT($A1049,6)&amp;"*",Extraídas!A:A,0))="Recibidas",
         "⏳ Pendiente","❌ No ingresada")),
   "❌ No ingresada"
)</f>
        <v>✅ En proceso</v>
      </c>
      <c r="C1049" s="255" t="str">
        <f t="array" ref="C1049">IFERROR(
   IF(INDEX([1]PCRs!B:B,MATCH(LEFT($A1049,6)&amp;"*",[1]PCRs!A:A,0))="Positivo",
      "✅ Positivo",
      IF(INDEX([1]PCRs!B:B,MATCH(LEFT($A1049,6)&amp;"*",[1]PCRs!A:A,0))="Negativo",
         "❌ Negativo",
         "⏳ No realizado")),
   "⏳ No realizado"
)</f>
        <v>✅ Positivo</v>
      </c>
      <c r="D1049" s="255" t="str">
        <f>IFERROR(
   CHOOSE(
      MATCH(VLOOKUP(LEFT(A1096,6)&amp;"*",'Identificación genética'!A:C,2,FALSE),
               {"En proceso";"Finalizado"},0),
      "🔬 En proceso",
      "🎯 Finalizado"
   ),
"❌ NA")</f>
        <v>❌ NA</v>
      </c>
      <c r="E1049" t="s">
        <v>85</v>
      </c>
      <c r="F1049" s="111">
        <v>45817</v>
      </c>
      <c r="G1049" t="str">
        <f>_xlfn.XLOOKUP(A1049, Extraídas!A:A, Extraídas!G:G, "")</f>
        <v>Microalgas</v>
      </c>
    </row>
    <row r="1050" spans="1:7" x14ac:dyDescent="0.3">
      <c r="A1050" s="352" t="s">
        <v>1193</v>
      </c>
      <c r="B1050" s="255" t="str">
        <f>IFERROR(
   IF(INDEX(Extraídas!B:B,MATCH(LEFT($A1050,6)&amp;"*",Extraídas!A:A,0))="Extraídas",
      "✅ En proceso",
      IF(INDEX(Extraídas!B:B,MATCH(LEFT($A1050,6)&amp;"*",Extraídas!A:A,0))="Recibidas",
         "⏳ Pendiente","❌ No ingresada")),
   "❌ No ingresada"
)</f>
        <v>✅ En proceso</v>
      </c>
      <c r="C1050" s="255" t="str">
        <f t="array" ref="C1050">IFERROR(
   IF(INDEX([1]PCRs!B:B,MATCH(LEFT($A1050,6)&amp;"*",[1]PCRs!A:A,0))="Positivo",
      "✅ Positivo",
      IF(INDEX([1]PCRs!B:B,MATCH(LEFT($A1050,6)&amp;"*",[1]PCRs!A:A,0))="Negativo",
         "❌ Negativo",
         "⏳ No realizado")),
   "⏳ No realizado"
)</f>
        <v>✅ Positivo</v>
      </c>
      <c r="D1050" s="255" t="str">
        <f>IFERROR(
   CHOOSE(
      MATCH(VLOOKUP(LEFT(A1097,6)&amp;"*",'Identificación genética'!A:C,2,FALSE),
               {"En proceso";"Finalizado"},0),
      "🔬 En proceso",
      "🎯 Finalizado"
   ),
"❌ NA")</f>
        <v>❌ NA</v>
      </c>
      <c r="E1050" t="s">
        <v>85</v>
      </c>
      <c r="G1050" t="str">
        <f>_xlfn.XLOOKUP(A1050, Extraídas!A:A, Extraídas!G:G, "")</f>
        <v/>
      </c>
    </row>
    <row r="1051" spans="1:7" x14ac:dyDescent="0.3">
      <c r="A1051" s="655" t="s">
        <v>1025</v>
      </c>
      <c r="B1051" s="255" t="str">
        <f>IFERROR(
   IF(INDEX(Extraídas!B:B,MATCH(LEFT($A1051,6)&amp;"*",Extraídas!A:A,0))="Extraídas",
      "✅ En proceso",
      IF(INDEX(Extraídas!B:B,MATCH(LEFT($A1051,6)&amp;"*",Extraídas!A:A,0))="Recibidas",
         "⏳ Pendiente","❌ No ingresada")),
   "❌ No ingresada"
)</f>
        <v>✅ En proceso</v>
      </c>
      <c r="C1051" s="255" t="str">
        <f t="array" ref="C1051">IFERROR(
   IF(INDEX([1]PCRs!B:B,MATCH(LEFT($A1051,6)&amp;"*",[1]PCRs!A:A,0))="Positivo",
      "✅ Positivo",
      IF(INDEX([1]PCRs!B:B,MATCH(LEFT($A1051,6)&amp;"*",[1]PCRs!A:A,0))="Negativo",
         "❌ Negativo",
         "⏳ No realizado")),
   "⏳ No realizado"
)</f>
        <v>✅ Positivo</v>
      </c>
      <c r="D1051" s="255" t="str">
        <f>IFERROR(
   CHOOSE(
      MATCH(VLOOKUP(LEFT(A1098,6)&amp;"*",'Identificación genética'!A:C,2,FALSE),
               {"En proceso";"Finalizado"},0),
      "🔬 En proceso",
      "🎯 Finalizado"
   ),
"❌ NA")</f>
        <v>🎯 Finalizado</v>
      </c>
      <c r="E1051" t="s">
        <v>85</v>
      </c>
      <c r="F1051" s="111">
        <v>45817</v>
      </c>
      <c r="G1051" t="str">
        <f>_xlfn.XLOOKUP(A1051, Extraídas!A:A, Extraídas!G:G, "")</f>
        <v>Microalgas</v>
      </c>
    </row>
    <row r="1052" spans="1:7" x14ac:dyDescent="0.3">
      <c r="A1052" s="352" t="s">
        <v>1194</v>
      </c>
      <c r="B1052" s="255" t="str">
        <f>IFERROR(
   IF(INDEX(Extraídas!B:B,MATCH(LEFT($A1052,6)&amp;"*",Extraídas!A:A,0))="Extraídas",
      "✅ En proceso",
      IF(INDEX(Extraídas!B:B,MATCH(LEFT($A1052,6)&amp;"*",Extraídas!A:A,0))="Recibidas",
         "⏳ Pendiente","❌ No ingresada")),
   "❌ No ingresada"
)</f>
        <v>✅ En proceso</v>
      </c>
      <c r="C1052" s="255" t="str">
        <f t="array" ref="C1052">IFERROR(
   IF(INDEX([1]PCRs!B:B,MATCH(LEFT($A1052,6)&amp;"*",[1]PCRs!A:A,0))="Positivo",
      "✅ Positivo",
      IF(INDEX([1]PCRs!B:B,MATCH(LEFT($A1052,6)&amp;"*",[1]PCRs!A:A,0))="Negativo",
         "❌ Negativo",
         "⏳ No realizado")),
   "⏳ No realizado"
)</f>
        <v>✅ Positivo</v>
      </c>
      <c r="D1052" s="255" t="str">
        <f>IFERROR(
   CHOOSE(
      MATCH(VLOOKUP(LEFT(A1099,6)&amp;"*",'Identificación genética'!A:C,2,FALSE),
               {"En proceso";"Finalizado"},0),
      "🔬 En proceso",
      "🎯 Finalizado"
   ),
"❌ NA")</f>
        <v>🎯 Finalizado</v>
      </c>
      <c r="E1052" t="s">
        <v>85</v>
      </c>
      <c r="G1052" t="str">
        <f>_xlfn.XLOOKUP(A1052, Extraídas!A:A, Extraídas!G:G, "")</f>
        <v/>
      </c>
    </row>
    <row r="1053" spans="1:7" x14ac:dyDescent="0.3">
      <c r="A1053" s="655" t="s">
        <v>1026</v>
      </c>
      <c r="B1053" s="255" t="str">
        <f>IFERROR(
   IF(INDEX(Extraídas!B:B,MATCH(LEFT($A1053,6)&amp;"*",Extraídas!A:A,0))="Extraídas",
      "✅ En proceso",
      IF(INDEX(Extraídas!B:B,MATCH(LEFT($A1053,6)&amp;"*",Extraídas!A:A,0))="Recibidas",
         "⏳ Pendiente","❌ No ingresada")),
   "❌ No ingresada"
)</f>
        <v>✅ En proceso</v>
      </c>
      <c r="C1053" s="255" t="str">
        <f t="array" ref="C1053">IFERROR(
   IF(INDEX([1]PCRs!B:B,MATCH(LEFT($A1053,6)&amp;"*",[1]PCRs!A:A,0))="Positivo",
      "✅ Positivo",
      IF(INDEX([1]PCRs!B:B,MATCH(LEFT($A1053,6)&amp;"*",[1]PCRs!A:A,0))="Negativo",
         "❌ Negativo",
         "⏳ No realizado")),
   "⏳ No realizado"
)</f>
        <v>✅ Positivo</v>
      </c>
      <c r="D1053" s="255" t="str">
        <f>IFERROR(
   CHOOSE(
      MATCH(VLOOKUP(LEFT(A1100,6)&amp;"*",'Identificación genética'!A:C,2,FALSE),
               {"En proceso";"Finalizado"},0),
      "🔬 En proceso",
      "🎯 Finalizado"
   ),
"❌ NA")</f>
        <v>❌ NA</v>
      </c>
      <c r="E1053" t="s">
        <v>85</v>
      </c>
      <c r="F1053" s="111">
        <v>45817</v>
      </c>
      <c r="G1053" t="str">
        <f>_xlfn.XLOOKUP(A1053, Extraídas!A:A, Extraídas!G:G, "")</f>
        <v>Microalgas</v>
      </c>
    </row>
    <row r="1054" spans="1:7" x14ac:dyDescent="0.3">
      <c r="A1054" s="655" t="s">
        <v>1027</v>
      </c>
      <c r="B1054" s="255" t="str">
        <f>IFERROR(
   IF(INDEX(Extraídas!B:B,MATCH(LEFT($A1054,6)&amp;"*",Extraídas!A:A,0))="Extraídas",
      "✅ En proceso",
      IF(INDEX(Extraídas!B:B,MATCH(LEFT($A1054,6)&amp;"*",Extraídas!A:A,0))="Recibidas",
         "⏳ Pendiente","❌ No ingresada")),
   "❌ No ingresada"
)</f>
        <v>✅ En proceso</v>
      </c>
      <c r="C1054" s="255" t="str">
        <f t="array" ref="C1054">IFERROR(
   IF(INDEX([1]PCRs!B:B,MATCH(LEFT($A1054,6)&amp;"*",[1]PCRs!A:A,0))="Positivo",
      "✅ Positivo",
      IF(INDEX([1]PCRs!B:B,MATCH(LEFT($A1054,6)&amp;"*",[1]PCRs!A:A,0))="Negativo",
         "❌ Negativo",
         "⏳ No realizado")),
   "⏳ No realizado"
)</f>
        <v>⏳ No realizado</v>
      </c>
      <c r="D1054" s="255" t="str">
        <f>IFERROR(
   CHOOSE(
      MATCH(VLOOKUP(LEFT(A1101,6)&amp;"*",'Identificación genética'!A:C,2,FALSE),
               {"En proceso";"Finalizado"},0),
      "🔬 En proceso",
      "🎯 Finalizado"
   ),
"❌ NA")</f>
        <v>🎯 Finalizado</v>
      </c>
      <c r="E1054" t="s">
        <v>85</v>
      </c>
      <c r="F1054" s="111">
        <v>45817</v>
      </c>
      <c r="G1054" t="str">
        <f>_xlfn.XLOOKUP(A1054, Extraídas!A:A, Extraídas!G:G, "")</f>
        <v>Microalgas</v>
      </c>
    </row>
    <row r="1055" spans="1:7" x14ac:dyDescent="0.3">
      <c r="A1055" s="352" t="s">
        <v>1195</v>
      </c>
      <c r="B1055" s="255" t="str">
        <f>IFERROR(
   IF(INDEX(Extraídas!B:B,MATCH(LEFT($A1055,6)&amp;"*",Extraídas!A:A,0))="Extraídas",
      "✅ En proceso",
      IF(INDEX(Extraídas!B:B,MATCH(LEFT($A1055,6)&amp;"*",Extraídas!A:A,0))="Recibidas",
         "⏳ Pendiente","❌ No ingresada")),
   "❌ No ingresada"
)</f>
        <v>✅ En proceso</v>
      </c>
      <c r="C1055" s="255" t="str">
        <f t="array" ref="C1055">IFERROR(
   IF(INDEX([1]PCRs!B:B,MATCH(LEFT($A1055,6)&amp;"*",[1]PCRs!A:A,0))="Positivo",
      "✅ Positivo",
      IF(INDEX([1]PCRs!B:B,MATCH(LEFT($A1055,6)&amp;"*",[1]PCRs!A:A,0))="Negativo",
         "❌ Negativo",
         "⏳ No realizado")),
   "⏳ No realizado"
)</f>
        <v>✅ Positivo</v>
      </c>
      <c r="D1055" s="255" t="str">
        <f>IFERROR(
   CHOOSE(
      MATCH(VLOOKUP(LEFT(A1102,6)&amp;"*",'Identificación genética'!A:C,2,FALSE),
               {"En proceso";"Finalizado"},0),
      "🔬 En proceso",
      "🎯 Finalizado"
   ),
"❌ NA")</f>
        <v>❌ NA</v>
      </c>
      <c r="E1055" t="s">
        <v>85</v>
      </c>
      <c r="G1055" t="str">
        <f>_xlfn.XLOOKUP(A1055, Extraídas!A:A, Extraídas!G:G, "")</f>
        <v/>
      </c>
    </row>
    <row r="1056" spans="1:7" x14ac:dyDescent="0.3">
      <c r="A1056" s="655" t="s">
        <v>1028</v>
      </c>
      <c r="B1056" s="255" t="str">
        <f>IFERROR(
   IF(INDEX(Extraídas!B:B,MATCH(LEFT($A1056,6)&amp;"*",Extraídas!A:A,0))="Extraídas",
      "✅ En proceso",
      IF(INDEX(Extraídas!B:B,MATCH(LEFT($A1056,6)&amp;"*",Extraídas!A:A,0))="Recibidas",
         "⏳ Pendiente","❌ No ingresada")),
   "❌ No ingresada"
)</f>
        <v>✅ En proceso</v>
      </c>
      <c r="C1056" s="255" t="str">
        <f t="array" ref="C1056">IFERROR(
   IF(INDEX([1]PCRs!B:B,MATCH(LEFT($A1056,6)&amp;"*",[1]PCRs!A:A,0))="Positivo",
      "✅ Positivo",
      IF(INDEX([1]PCRs!B:B,MATCH(LEFT($A1056,6)&amp;"*",[1]PCRs!A:A,0))="Negativo",
         "❌ Negativo",
         "⏳ No realizado")),
   "⏳ No realizado"
)</f>
        <v>✅ Positivo</v>
      </c>
      <c r="D1056" s="255" t="str">
        <f>IFERROR(
   CHOOSE(
      MATCH(VLOOKUP(LEFT(A1103,6)&amp;"*",'Identificación genética'!A:C,2,FALSE),
               {"En proceso";"Finalizado"},0),
      "🔬 En proceso",
      "🎯 Finalizado"
   ),
"❌ NA")</f>
        <v>❌ NA</v>
      </c>
      <c r="E1056" t="s">
        <v>85</v>
      </c>
      <c r="F1056" s="111">
        <v>45817</v>
      </c>
      <c r="G1056" t="str">
        <f>_xlfn.XLOOKUP(A1056, Extraídas!A:A, Extraídas!G:G, "")</f>
        <v>Microalgas</v>
      </c>
    </row>
    <row r="1057" spans="1:7" x14ac:dyDescent="0.3">
      <c r="A1057" s="352" t="s">
        <v>1196</v>
      </c>
      <c r="B1057" s="255" t="str">
        <f>IFERROR(
   IF(INDEX(Extraídas!B:B,MATCH(LEFT($A1057,6)&amp;"*",Extraídas!A:A,0))="Extraídas",
      "✅ En proceso",
      IF(INDEX(Extraídas!B:B,MATCH(LEFT($A1057,6)&amp;"*",Extraídas!A:A,0))="Recibidas",
         "⏳ Pendiente","❌ No ingresada")),
   "❌ No ingresada"
)</f>
        <v>❌ No ingresada</v>
      </c>
      <c r="C1057" s="255" t="str">
        <f t="array" ref="C1057">IFERROR(
   IF(INDEX([1]PCRs!B:B,MATCH(LEFT($A1057,6)&amp;"*",[1]PCRs!A:A,0))="Positivo",
      "✅ Positivo",
      IF(INDEX([1]PCRs!B:B,MATCH(LEFT($A1057,6)&amp;"*",[1]PCRs!A:A,0))="Negativo",
         "❌ Negativo",
         "⏳ No realizado")),
   "⏳ No realizado"
)</f>
        <v>❌ Negativo</v>
      </c>
      <c r="D1057" s="255" t="str">
        <f>IFERROR(
   CHOOSE(
      MATCH(VLOOKUP(LEFT(A1104,6)&amp;"*",'Identificación genética'!A:C,2,FALSE),
               {"En proceso";"Finalizado"},0),
      "🔬 En proceso",
      "🎯 Finalizado"
   ),
"❌ NA")</f>
        <v>❌ NA</v>
      </c>
      <c r="E1057" t="s">
        <v>85</v>
      </c>
      <c r="G1057" t="str">
        <f>_xlfn.XLOOKUP(A1057, Extraídas!A:A, Extraídas!G:G, "")</f>
        <v/>
      </c>
    </row>
    <row r="1058" spans="1:7" x14ac:dyDescent="0.3">
      <c r="A1058" s="481" t="s">
        <v>2355</v>
      </c>
      <c r="B1058" s="255" t="str">
        <f>IFERROR(
   IF(INDEX(Extraídas!B:B,MATCH(LEFT($A1058,6)&amp;"*",Extraídas!A:A,0))="Extraídas",
      "✅ En proceso",
      IF(INDEX(Extraídas!B:B,MATCH(LEFT($A1058,6)&amp;"*",Extraídas!A:A,0))="Recibidas",
         "⏳ Pendiente","❌ No ingresada")),
   "❌ No ingresada"
)</f>
        <v>❌ No ingresada</v>
      </c>
      <c r="C1058" s="255" t="str">
        <f t="array" ref="C1058">IFERROR(
   IF(INDEX([1]PCRs!B:B,MATCH(LEFT($A1058,6)&amp;"*",[1]PCRs!A:A,0))="Positivo",
      "✅ Positivo",
      IF(INDEX([1]PCRs!B:B,MATCH(LEFT($A1058,6)&amp;"*",[1]PCRs!A:A,0))="Negativo",
         "❌ Negativo",
         "⏳ No realizado")),
   "⏳ No realizado"
)</f>
        <v>✅ Positivo</v>
      </c>
      <c r="D1058" s="255" t="str">
        <f>IFERROR(
   CHOOSE(
      MATCH(VLOOKUP(LEFT(A1105,6)&amp;"*",'Identificación genética'!A:C,2,FALSE),
               {"En proceso";"Finalizado"},0),
      "🔬 En proceso",
      "🎯 Finalizado"
   ),
"❌ NA")</f>
        <v>❌ NA</v>
      </c>
      <c r="E1058" t="s">
        <v>85</v>
      </c>
      <c r="G1058" t="str">
        <f>_xlfn.XLOOKUP(A1058, Extraídas!A:A, Extraídas!G:G, "")</f>
        <v/>
      </c>
    </row>
    <row r="1059" spans="1:7" x14ac:dyDescent="0.3">
      <c r="A1059" s="653" t="s">
        <v>1029</v>
      </c>
      <c r="B1059" s="255" t="str">
        <f t="array" ref="B1059">IFERROR(
   IF(INDEX([1]Extraídas!B:B,MATCH(LEFT($A1059,6)&amp;"*",[1]Extraídas!A:A,0))="Extraídas",
      "✅ En proceso",
      IF(INDEX([1]Extraídas!B:B,MATCH(LEFT($A1059,6)&amp;"*",[1]Extraídas!A:A,0))="Recibidas",
         "⏳ Pendiente","❌ No ingresada")),
   "❌ No ingresada"
)</f>
        <v>✅ En proceso</v>
      </c>
      <c r="C1059" s="255" t="str">
        <f t="array" ref="C1059">IFERROR(
   IF(INDEX([1]PCRs!B:B,MATCH(LEFT($A1059,6)&amp;"*",[1]PCRs!A:A,0))="Positivo",
      "✅ Positivo",
      IF(INDEX([1]PCRs!B:B,MATCH(LEFT($A1059,6)&amp;"*",[1]PCRs!A:A,0))="Negativo",
         "❌ Negativo",
         "⏳ No realizado")),
   "⏳ No realizado"
)</f>
        <v>⏳ No realizado</v>
      </c>
      <c r="D1059" s="255" t="str">
        <f>IFERROR(
   CHOOSE(
      MATCH(VLOOKUP(LEFT(A1106,6)&amp;"*",'Identificación genética'!A:C,2,FALSE),
               {"En proceso";"Finalizado"},0),
      "🔬 En proceso",
      "🎯 Finalizado"
   ),
"❌ NA")</f>
        <v>❌ NA</v>
      </c>
      <c r="E1059" t="s">
        <v>24</v>
      </c>
      <c r="F1059" s="110">
        <v>45931</v>
      </c>
      <c r="G1059" t="str">
        <f>_xlfn.XLOOKUP(A1059, Extraídas!A:A, Extraídas!G:G, "")</f>
        <v>Microalgas</v>
      </c>
    </row>
    <row r="1060" spans="1:7" x14ac:dyDescent="0.3">
      <c r="A1060" s="352" t="s">
        <v>2318</v>
      </c>
      <c r="B1060" t="str">
        <f t="array" ref="B1060">IFERROR(
   IF(INDEX([1]Extraídas!B:B,MATCH(LEFT($A1060,6)&amp;"*",[1]Extraídas!A:A,0))="Extraídas",
      "✅ En proceso",
      IF(INDEX([1]Extraídas!B:B,MATCH(LEFT($A1060,6)&amp;"*",[1]Extraídas!A:A,0))="Recibidas",
         "⏳ Pendiente","❌ No ingresada")),
   "❌ No ingresada"
)</f>
        <v>❌ No ingresada</v>
      </c>
      <c r="C1060" s="255" t="str">
        <f t="array" ref="C1060">IFERROR(
   IF(INDEX([1]PCRs!B:B,MATCH(LEFT($A1060,6)&amp;"*",[1]PCRs!A:A,0))="Positivo",
      "✅ Positivo",
      IF(INDEX([1]PCRs!B:B,MATCH(LEFT($A1060,6)&amp;"*",[1]PCRs!A:A,0))="Negativo",
         "❌ Negativo",
         "⏳ No realizado")),
   "⏳ No realizado"
)</f>
        <v>⏳ No realizado</v>
      </c>
      <c r="D1060" s="255" t="str">
        <f>IFERROR(
   CHOOSE(
      MATCH(VLOOKUP(LEFT(A1107,6)&amp;"*",'Identificación genética'!A:C,2,FALSE),
               {"En proceso";"Finalizado"},0),
      "🔬 En proceso",
      "🎯 Finalizado"
   ),
"❌ NA")</f>
        <v>❌ NA</v>
      </c>
      <c r="E1060" t="s">
        <v>24</v>
      </c>
      <c r="G1060" t="str">
        <f>_xlfn.XLOOKUP(A1060, Extraídas!A:A, Extraídas!G:G, "")</f>
        <v/>
      </c>
    </row>
    <row r="1061" spans="1:7" x14ac:dyDescent="0.3">
      <c r="A1061" s="352" t="s">
        <v>1197</v>
      </c>
      <c r="B1061" s="255" t="str">
        <f>IFERROR(
   IF(INDEX(Extraídas!B:B,MATCH(LEFT($A1061,6)&amp;"*",Extraídas!A:A,0))="Extraídas",
      "✅ En proceso",
      IF(INDEX(Extraídas!B:B,MATCH(LEFT($A1061,6)&amp;"*",Extraídas!A:A,0))="Recibidas",
         "⏳ Pendiente","❌ No ingresada")),
   "❌ No ingresada"
)</f>
        <v>❌ No ingresada</v>
      </c>
      <c r="C1061" s="255" t="str">
        <f t="array" ref="C1061">IFERROR(
   IF(INDEX([1]PCRs!B:B,MATCH(LEFT($A1061,6)&amp;"*",[1]PCRs!A:A,0))="Positivo",
      "✅ Positivo",
      IF(INDEX([1]PCRs!B:B,MATCH(LEFT($A1061,6)&amp;"*",[1]PCRs!A:A,0))="Negativo",
         "❌ Negativo",
         "⏳ No realizado")),
   "⏳ No realizado"
)</f>
        <v>❌ Negativo</v>
      </c>
      <c r="D1061" s="255" t="str">
        <f>IFERROR(
   CHOOSE(
      MATCH(VLOOKUP(LEFT(A1108,6)&amp;"*",'Identificación genética'!A:C,2,FALSE),
               {"En proceso";"Finalizado"},0),
      "🔬 En proceso",
      "🎯 Finalizado"
   ),
"❌ NA")</f>
        <v>❌ NA</v>
      </c>
      <c r="E1061" t="s">
        <v>85</v>
      </c>
      <c r="G1061" t="str">
        <f>_xlfn.XLOOKUP(A1061, Extraídas!A:A, Extraídas!G:G, "")</f>
        <v/>
      </c>
    </row>
    <row r="1062" spans="1:7" x14ac:dyDescent="0.3">
      <c r="A1062" s="352" t="s">
        <v>2239</v>
      </c>
      <c r="B1062" s="255" t="str">
        <f>IFERROR(
   IF(INDEX(Extraídas!B:B,MATCH(LEFT($A1062,6)&amp;"*",Extraídas!A:A,0))="Extraídas",
      "✅ En proceso",
      IF(INDEX(Extraídas!B:B,MATCH(LEFT($A1062,6)&amp;"*",Extraídas!A:A,0))="Recibidas",
         "⏳ Pendiente","❌ No ingresada")),
   "❌ No ingresada"
)</f>
        <v>❌ No ingresada</v>
      </c>
      <c r="C1062" s="255" t="str">
        <f t="array" ref="C1062">IFERROR(
   IF(INDEX([1]PCRs!B:B,MATCH(LEFT($A1062,6)&amp;"*",[1]PCRs!A:A,0))="Positivo",
      "✅ Positivo",
      IF(INDEX([1]PCRs!B:B,MATCH(LEFT($A1062,6)&amp;"*",[1]PCRs!A:A,0))="Negativo",
         "❌ Negativo",
         "⏳ No realizado")),
   "⏳ No realizado"
)</f>
        <v>❌ Negativo</v>
      </c>
      <c r="D1062" s="255" t="str">
        <f>IFERROR(
   CHOOSE(
      MATCH(VLOOKUP(LEFT(A1109,6)&amp;"*",'Identificación genética'!A:C,2,FALSE),
               {"En proceso";"Finalizado"},0),
      "🔬 En proceso",
      "🎯 Finalizado"
   ),
"❌ NA")</f>
        <v>❌ NA</v>
      </c>
      <c r="E1062" t="s">
        <v>85</v>
      </c>
      <c r="G1062" t="str">
        <f>_xlfn.XLOOKUP(A1062, Extraídas!A:A, Extraídas!G:G, "")</f>
        <v/>
      </c>
    </row>
    <row r="1063" spans="1:7" x14ac:dyDescent="0.3">
      <c r="A1063" s="352" t="s">
        <v>1198</v>
      </c>
      <c r="B1063" t="str">
        <f t="array" ref="B1063">IFERROR(
   IF(INDEX([1]Extraídas!B:B,MATCH(LEFT($A1063,6)&amp;"*",[1]Extraídas!A:A,0))="Extraídas",
      "✅ En proceso",
      IF(INDEX([1]Extraídas!B:B,MATCH(LEFT($A1063,6)&amp;"*",[1]Extraídas!A:A,0))="Recibidas",
         "⏳ Pendiente","❌ No ingresada")),
   "❌ No ingresada"
)</f>
        <v>❌ No ingresada</v>
      </c>
      <c r="C1063" s="255" t="str">
        <f t="array" ref="C1063">IFERROR(
   IF(INDEX([1]PCRs!B:B,MATCH(LEFT($A1063,6)&amp;"*",[1]PCRs!A:A,0))="Positivo",
      "✅ Positivo",
      IF(INDEX([1]PCRs!B:B,MATCH(LEFT($A1063,6)&amp;"*",[1]PCRs!A:A,0))="Negativo",
         "❌ Negativo",
         "⏳ No realizado")),
   "⏳ No realizado"
)</f>
        <v>❌ Negativo</v>
      </c>
      <c r="D1063" s="255" t="str">
        <f>IFERROR(
   CHOOSE(
      MATCH(VLOOKUP(LEFT(A1110,6)&amp;"*",'Identificación genética'!A:C,2,FALSE),
               {"En proceso";"Finalizado"},0),
      "🔬 En proceso",
      "🎯 Finalizado"
   ),
"❌ NA")</f>
        <v>❌ NA</v>
      </c>
      <c r="E1063" t="s">
        <v>24</v>
      </c>
      <c r="G1063" t="str">
        <f>_xlfn.XLOOKUP(A1063, Extraídas!A:A, Extraídas!G:G, "")</f>
        <v/>
      </c>
    </row>
    <row r="1064" spans="1:7" x14ac:dyDescent="0.3">
      <c r="A1064" s="352" t="s">
        <v>1199</v>
      </c>
      <c r="B1064" t="str">
        <f t="array" ref="B1064">IFERROR(
   IF(INDEX([1]Extraídas!B:B,MATCH(LEFT($A1064,6)&amp;"*",[1]Extraídas!A:A,0))="Extraídas",
      "✅ En proceso",
      IF(INDEX([1]Extraídas!B:B,MATCH(LEFT($A1064,6)&amp;"*",[1]Extraídas!A:A,0))="Recibidas",
         "⏳ Pendiente","❌ No ingresada")),
   "❌ No ingresada"
)</f>
        <v>❌ No ingresada</v>
      </c>
      <c r="C1064" s="255" t="str">
        <f t="array" ref="C1064">IFERROR(
   IF(INDEX([1]PCRs!B:B,MATCH(LEFT($A1064,6)&amp;"*",[1]PCRs!A:A,0))="Positivo",
      "✅ Positivo",
      IF(INDEX([1]PCRs!B:B,MATCH(LEFT($A1064,6)&amp;"*",[1]PCRs!A:A,0))="Negativo",
         "❌ Negativo",
         "⏳ No realizado")),
   "⏳ No realizado"
)</f>
        <v>❌ Negativo</v>
      </c>
      <c r="D1064" s="255" t="str">
        <f>IFERROR(
   CHOOSE(
      MATCH(VLOOKUP(LEFT(A1111,6)&amp;"*",'Identificación genética'!A:C,2,FALSE),
               {"En proceso";"Finalizado"},0),
      "🔬 En proceso",
      "🎯 Finalizado"
   ),
"❌ NA")</f>
        <v>❌ NA</v>
      </c>
      <c r="E1064" t="s">
        <v>24</v>
      </c>
      <c r="G1064" t="str">
        <f>_xlfn.XLOOKUP(A1064, Extraídas!A:A, Extraídas!G:G, "")</f>
        <v/>
      </c>
    </row>
    <row r="1065" spans="1:7" x14ac:dyDescent="0.3">
      <c r="A1065" s="481" t="s">
        <v>1201</v>
      </c>
      <c r="B1065" s="255" t="str">
        <f>IFERROR(
   IF(INDEX(Extraídas!B:B,MATCH(LEFT($A1065,6)&amp;"*",Extraídas!A:A,0))="Extraídas",
      "✅ En proceso",
      IF(INDEX(Extraídas!B:B,MATCH(LEFT($A1065,6)&amp;"*",Extraídas!A:A,0))="Recibidas",
         "⏳ Pendiente","❌ No ingresada")),
   "❌ No ingresada"
)</f>
        <v>❌ No ingresada</v>
      </c>
      <c r="C1065" s="255" t="str">
        <f t="array" ref="C1065">IFERROR(
   IF(INDEX([1]PCRs!B:B,MATCH(LEFT($A1065,6)&amp;"*",[1]PCRs!A:A,0))="Positivo",
      "✅ Positivo",
      IF(INDEX([1]PCRs!B:B,MATCH(LEFT($A1065,6)&amp;"*",[1]PCRs!A:A,0))="Negativo",
         "❌ Negativo",
         "⏳ No realizado")),
   "⏳ No realizado"
)</f>
        <v>❌ Negativo</v>
      </c>
      <c r="D1065" s="255" t="str">
        <f>IFERROR(
   CHOOSE(
      MATCH(VLOOKUP(LEFT(A1112,6)&amp;"*",'Identificación genética'!A:C,2,FALSE),
               {"En proceso";"Finalizado"},0),
      "🔬 En proceso",
      "🎯 Finalizado"
   ),
"❌ NA")</f>
        <v>❌ NA</v>
      </c>
      <c r="E1065" t="s">
        <v>85</v>
      </c>
      <c r="G1065" t="str">
        <f>_xlfn.XLOOKUP(A1065, Extraídas!A:A, Extraídas!G:G, "")</f>
        <v/>
      </c>
    </row>
    <row r="1066" spans="1:7" x14ac:dyDescent="0.3">
      <c r="A1066" s="352" t="s">
        <v>2319</v>
      </c>
      <c r="B1066" t="str">
        <f t="array" ref="B1066">IFERROR(
   IF(INDEX([1]Extraídas!B:B,MATCH(LEFT($A1066,6)&amp;"*",[1]Extraídas!A:A,0))="Extraídas",
      "✅ En proceso",
      IF(INDEX([1]Extraídas!B:B,MATCH(LEFT($A1066,6)&amp;"*",[1]Extraídas!A:A,0))="Recibidas",
         "⏳ Pendiente","❌ No ingresada")),
   "❌ No ingresada"
)</f>
        <v>❌ No ingresada</v>
      </c>
      <c r="C1066" s="255" t="str">
        <f t="array" ref="C1066">IFERROR(
   IF(INDEX([1]PCRs!B:B,MATCH(LEFT($A1066,6)&amp;"*",[1]PCRs!A:A,0))="Positivo",
      "✅ Positivo",
      IF(INDEX([1]PCRs!B:B,MATCH(LEFT($A1066,6)&amp;"*",[1]PCRs!A:A,0))="Negativo",
         "❌ Negativo",
         "⏳ No realizado")),
   "⏳ No realizado"
)</f>
        <v>⏳ No realizado</v>
      </c>
      <c r="D1066" s="255" t="str">
        <f>IFERROR(
   CHOOSE(
      MATCH(VLOOKUP(LEFT(A1113,6)&amp;"*",'Identificación genética'!A:C,2,FALSE),
               {"En proceso";"Finalizado"},0),
      "🔬 En proceso",
      "🎯 Finalizado"
   ),
"❌ NA")</f>
        <v>❌ NA</v>
      </c>
      <c r="E1066" t="s">
        <v>24</v>
      </c>
      <c r="G1066" t="str">
        <f>_xlfn.XLOOKUP(A1066, Extraídas!A:A, Extraídas!G:G, "")</f>
        <v/>
      </c>
    </row>
    <row r="1067" spans="1:7" x14ac:dyDescent="0.3">
      <c r="A1067" s="352" t="s">
        <v>2321</v>
      </c>
      <c r="B1067" t="str">
        <f t="array" ref="B1067">IFERROR(
   IF(INDEX([1]Extraídas!B:B,MATCH(LEFT($A1067,6)&amp;"*",[1]Extraídas!A:A,0))="Extraídas",
      "✅ En proceso",
      IF(INDEX([1]Extraídas!B:B,MATCH(LEFT($A1067,6)&amp;"*",[1]Extraídas!A:A,0))="Recibidas",
         "⏳ Pendiente","❌ No ingresada")),
   "❌ No ingresada"
)</f>
        <v>❌ No ingresada</v>
      </c>
      <c r="C1067" s="255" t="str">
        <f t="array" ref="C1067">IFERROR(
   IF(INDEX([1]PCRs!B:B,MATCH(LEFT($A1067,6)&amp;"*",[1]PCRs!A:A,0))="Positivo",
      "✅ Positivo",
      IF(INDEX([1]PCRs!B:B,MATCH(LEFT($A1067,6)&amp;"*",[1]PCRs!A:A,0))="Negativo",
         "❌ Negativo",
         "⏳ No realizado")),
   "⏳ No realizado"
)</f>
        <v>⏳ No realizado</v>
      </c>
      <c r="D1067" s="255" t="str">
        <f>IFERROR(
   CHOOSE(
      MATCH(VLOOKUP(LEFT(A1114,6)&amp;"*",'Identificación genética'!A:C,2,FALSE),
               {"En proceso";"Finalizado"},0),
      "🔬 En proceso",
      "🎯 Finalizado"
   ),
"❌ NA")</f>
        <v>❌ NA</v>
      </c>
      <c r="E1067" t="s">
        <v>24</v>
      </c>
      <c r="G1067" t="str">
        <f>_xlfn.XLOOKUP(A1067, Extraídas!A:A, Extraídas!G:G, "")</f>
        <v/>
      </c>
    </row>
    <row r="1068" spans="1:7" x14ac:dyDescent="0.3">
      <c r="A1068" s="502" t="s">
        <v>2320</v>
      </c>
      <c r="B1068" t="str">
        <f t="array" ref="B1068">IFERROR(
   IF(INDEX([1]Extraídas!B:B,MATCH(LEFT($A1068,6)&amp;"*",[1]Extraídas!A:A,0))="Extraídas",
      "✅ En proceso",
      IF(INDEX([1]Extraídas!B:B,MATCH(LEFT($A1068,6)&amp;"*",[1]Extraídas!A:A,0))="Recibidas",
         "⏳ Pendiente","❌ No ingresada")),
   "❌ No ingresada"
)</f>
        <v>❌ No ingresada</v>
      </c>
      <c r="C1068" s="255" t="str">
        <f t="array" ref="C1068">IFERROR(
   IF(INDEX([1]PCRs!B:B,MATCH(LEFT($A1068,6)&amp;"*",[1]PCRs!A:A,0))="Positivo",
      "✅ Positivo",
      IF(INDEX([1]PCRs!B:B,MATCH(LEFT($A1068,6)&amp;"*",[1]PCRs!A:A,0))="Negativo",
         "❌ Negativo",
         "⏳ No realizado")),
   "⏳ No realizado"
)</f>
        <v>⏳ No realizado</v>
      </c>
      <c r="D1068" s="255" t="str">
        <f>IFERROR(
   CHOOSE(
      MATCH(VLOOKUP(LEFT(A1115,6)&amp;"*",'Identificación genética'!A:C,2,FALSE),
               {"En proceso";"Finalizado"},0),
      "🔬 En proceso",
      "🎯 Finalizado"
   ),
"❌ NA")</f>
        <v>❌ NA</v>
      </c>
      <c r="E1068" t="s">
        <v>24</v>
      </c>
      <c r="G1068" t="str">
        <f>_xlfn.XLOOKUP(A1068, Extraídas!A:A, Extraídas!G:G, "")</f>
        <v/>
      </c>
    </row>
    <row r="1069" spans="1:7" x14ac:dyDescent="0.3">
      <c r="A1069" s="489" t="s">
        <v>2322</v>
      </c>
      <c r="B1069" t="str">
        <f t="array" ref="B1069">IFERROR(
   IF(INDEX([1]Extraídas!B:B,MATCH(LEFT($A1069,6)&amp;"*",[1]Extraídas!A:A,0))="Extraídas",
      "✅ En proceso",
      IF(INDEX([1]Extraídas!B:B,MATCH(LEFT($A1069,6)&amp;"*",[1]Extraídas!A:A,0))="Recibidas",
         "⏳ Pendiente","❌ No ingresada")),
   "❌ No ingresada"
)</f>
        <v>❌ No ingresada</v>
      </c>
      <c r="C1069" s="255" t="str">
        <f t="array" ref="C1069">IFERROR(
   IF(INDEX([1]PCRs!B:B,MATCH(LEFT($A1069,6)&amp;"*",[1]PCRs!A:A,0))="Positivo",
      "✅ Positivo",
      IF(INDEX([1]PCRs!B:B,MATCH(LEFT($A1069,6)&amp;"*",[1]PCRs!A:A,0))="Negativo",
         "❌ Negativo",
         "⏳ No realizado")),
   "⏳ No realizado"
)</f>
        <v>⏳ No realizado</v>
      </c>
      <c r="D1069" s="255" t="str">
        <f>IFERROR(
   CHOOSE(
      MATCH(VLOOKUP(LEFT(A1116,6)&amp;"*",'Identificación genética'!A:C,2,FALSE),
               {"En proceso";"Finalizado"},0),
      "🔬 En proceso",
      "🎯 Finalizado"
   ),
"❌ NA")</f>
        <v>❌ NA</v>
      </c>
      <c r="E1069" t="s">
        <v>24</v>
      </c>
      <c r="G1069" t="str">
        <f>_xlfn.XLOOKUP(A1069, Extraídas!A:A, Extraídas!G:G, "")</f>
        <v/>
      </c>
    </row>
    <row r="1070" spans="1:7" x14ac:dyDescent="0.3">
      <c r="A1070" s="352" t="s">
        <v>2323</v>
      </c>
      <c r="B1070" t="str">
        <f t="array" ref="B1070">IFERROR(
   IF(INDEX([1]Extraídas!B:B,MATCH(LEFT($A1070,6)&amp;"*",[1]Extraídas!A:A,0))="Extraídas",
      "✅ En proceso",
      IF(INDEX([1]Extraídas!B:B,MATCH(LEFT($A1070,6)&amp;"*",[1]Extraídas!A:A,0))="Recibidas",
         "⏳ Pendiente","❌ No ingresada")),
   "❌ No ingresada"
)</f>
        <v>❌ No ingresada</v>
      </c>
      <c r="C1070" s="255" t="str">
        <f t="array" ref="C1070">IFERROR(
   IF(INDEX([1]PCRs!B:B,MATCH(LEFT($A1070,6)&amp;"*",[1]PCRs!A:A,0))="Positivo",
      "✅ Positivo",
      IF(INDEX([1]PCRs!B:B,MATCH(LEFT($A1070,6)&amp;"*",[1]PCRs!A:A,0))="Negativo",
         "❌ Negativo",
         "⏳ No realizado")),
   "⏳ No realizado"
)</f>
        <v>⏳ No realizado</v>
      </c>
      <c r="D1070" s="255" t="str">
        <f>IFERROR(
   CHOOSE(
      MATCH(VLOOKUP(LEFT(A1117,6)&amp;"*",'Identificación genética'!A:C,2,FALSE),
               {"En proceso";"Finalizado"},0),
      "🔬 En proceso",
      "🎯 Finalizado"
   ),
"❌ NA")</f>
        <v>❌ NA</v>
      </c>
      <c r="E1070" t="s">
        <v>24</v>
      </c>
      <c r="G1070" t="str">
        <f>_xlfn.XLOOKUP(A1070, Extraídas!A:A, Extraídas!G:G, "")</f>
        <v/>
      </c>
    </row>
    <row r="1071" spans="1:7" x14ac:dyDescent="0.3">
      <c r="A1071" s="475" t="s">
        <v>2324</v>
      </c>
      <c r="B1071" t="str">
        <f t="array" ref="B1071">IFERROR(
   IF(INDEX([1]Extraídas!B:B,MATCH(LEFT($A1071,6)&amp;"*",[1]Extraídas!A:A,0))="Extraídas",
      "✅ En proceso",
      IF(INDEX([1]Extraídas!B:B,MATCH(LEFT($A1071,6)&amp;"*",[1]Extraídas!A:A,0))="Recibidas",
         "⏳ Pendiente","❌ No ingresada")),
   "❌ No ingresada"
)</f>
        <v>❌ No ingresada</v>
      </c>
      <c r="C1071" s="255" t="str">
        <f t="array" ref="C1071">IFERROR(
   IF(INDEX([1]PCRs!B:B,MATCH(LEFT($A1071,6)&amp;"*",[1]PCRs!A:A,0))="Positivo",
      "✅ Positivo",
      IF(INDEX([1]PCRs!B:B,MATCH(LEFT($A1071,6)&amp;"*",[1]PCRs!A:A,0))="Negativo",
         "❌ Negativo",
         "⏳ No realizado")),
   "⏳ No realizado"
)</f>
        <v>⏳ No realizado</v>
      </c>
      <c r="D1071" s="255" t="str">
        <f>IFERROR(
   CHOOSE(
      MATCH(VLOOKUP(LEFT(A1118,6)&amp;"*",'Identificación genética'!A:C,2,FALSE),
               {"En proceso";"Finalizado"},0),
      "🔬 En proceso",
      "🎯 Finalizado"
   ),
"❌ NA")</f>
        <v>❌ NA</v>
      </c>
      <c r="E1071" t="s">
        <v>24</v>
      </c>
      <c r="G1071" t="str">
        <f>_xlfn.XLOOKUP(A1071, Extraídas!A:A, Extraídas!G:G, "")</f>
        <v/>
      </c>
    </row>
    <row r="1072" spans="1:7" x14ac:dyDescent="0.3">
      <c r="A1072" s="475" t="s">
        <v>2326</v>
      </c>
      <c r="B1072" t="str">
        <f t="array" ref="B1072">IFERROR(
   IF(INDEX([1]Extraídas!B:B,MATCH(LEFT($A1072,6)&amp;"*",[1]Extraídas!A:A,0))="Extraídas",
      "✅ En proceso",
      IF(INDEX([1]Extraídas!B:B,MATCH(LEFT($A1072,6)&amp;"*",[1]Extraídas!A:A,0))="Recibidas",
         "⏳ Pendiente","❌ No ingresada")),
   "❌ No ingresada"
)</f>
        <v>❌ No ingresada</v>
      </c>
      <c r="C1072" s="255" t="str">
        <f t="array" ref="C1072">IFERROR(
   IF(INDEX([1]PCRs!B:B,MATCH(LEFT($A1072,6)&amp;"*",[1]PCRs!A:A,0))="Positivo",
      "✅ Positivo",
      IF(INDEX([1]PCRs!B:B,MATCH(LEFT($A1072,6)&amp;"*",[1]PCRs!A:A,0))="Negativo",
         "❌ Negativo",
         "⏳ No realizado")),
   "⏳ No realizado"
)</f>
        <v>⏳ No realizado</v>
      </c>
      <c r="D1072" s="255" t="str">
        <f>IFERROR(
   CHOOSE(
      MATCH(VLOOKUP(LEFT(A1119,6)&amp;"*",'Identificación genética'!A:C,2,FALSE),
               {"En proceso";"Finalizado"},0),
      "🔬 En proceso",
      "🎯 Finalizado"
   ),
"❌ NA")</f>
        <v>❌ NA</v>
      </c>
      <c r="E1072" t="s">
        <v>24</v>
      </c>
      <c r="G1072" t="str">
        <f>_xlfn.XLOOKUP(A1072, Extraídas!A:A, Extraídas!G:G, "")</f>
        <v/>
      </c>
    </row>
    <row r="1073" spans="1:7" x14ac:dyDescent="0.3">
      <c r="A1073" s="352" t="s">
        <v>2327</v>
      </c>
      <c r="B1073" t="str">
        <f t="array" ref="B1073">IFERROR(
   IF(INDEX([1]Extraídas!B:B,MATCH(LEFT($A1073,6)&amp;"*",[1]Extraídas!A:A,0))="Extraídas",
      "✅ En proceso",
      IF(INDEX([1]Extraídas!B:B,MATCH(LEFT($A1073,6)&amp;"*",[1]Extraídas!A:A,0))="Recibidas",
         "⏳ Pendiente","❌ No ingresada")),
   "❌ No ingresada"
)</f>
        <v>❌ No ingresada</v>
      </c>
      <c r="C1073" s="255" t="str">
        <f t="array" ref="C1073">IFERROR(
   IF(INDEX([1]PCRs!B:B,MATCH(LEFT($A1073,6)&amp;"*",[1]PCRs!A:A,0))="Positivo",
      "✅ Positivo",
      IF(INDEX([1]PCRs!B:B,MATCH(LEFT($A1073,6)&amp;"*",[1]PCRs!A:A,0))="Negativo",
         "❌ Negativo",
         "⏳ No realizado")),
   "⏳ No realizado"
)</f>
        <v>⏳ No realizado</v>
      </c>
      <c r="D1073" s="255" t="str">
        <f>IFERROR(
   CHOOSE(
      MATCH(VLOOKUP(LEFT(A1120,6)&amp;"*",'Identificación genética'!A:C,2,FALSE),
               {"En proceso";"Finalizado"},0),
      "🔬 En proceso",
      "🎯 Finalizado"
   ),
"❌ NA")</f>
        <v>❌ NA</v>
      </c>
      <c r="E1073" t="s">
        <v>24</v>
      </c>
      <c r="G1073" t="str">
        <f>_xlfn.XLOOKUP(A1073, Extraídas!A:A, Extraídas!G:G, "")</f>
        <v/>
      </c>
    </row>
    <row r="1074" spans="1:7" x14ac:dyDescent="0.3">
      <c r="A1074" s="352" t="s">
        <v>2328</v>
      </c>
      <c r="B1074" t="str">
        <f t="array" ref="B1074">IFERROR(
   IF(INDEX([1]Extraídas!B:B,MATCH(LEFT($A1074,6)&amp;"*",[1]Extraídas!A:A,0))="Extraídas",
      "✅ En proceso",
      IF(INDEX([1]Extraídas!B:B,MATCH(LEFT($A1074,6)&amp;"*",[1]Extraídas!A:A,0))="Recibidas",
         "⏳ Pendiente","❌ No ingresada")),
   "❌ No ingresada"
)</f>
        <v>❌ No ingresada</v>
      </c>
      <c r="C1074" s="255" t="str">
        <f t="array" ref="C1074">IFERROR(
   IF(INDEX([1]PCRs!B:B,MATCH(LEFT($A1074,6)&amp;"*",[1]PCRs!A:A,0))="Positivo",
      "✅ Positivo",
      IF(INDEX([1]PCRs!B:B,MATCH(LEFT($A1074,6)&amp;"*",[1]PCRs!A:A,0))="Negativo",
         "❌ Negativo",
         "⏳ No realizado")),
   "⏳ No realizado"
)</f>
        <v>⏳ No realizado</v>
      </c>
      <c r="D1074" s="255" t="str">
        <f>IFERROR(
   CHOOSE(
      MATCH(VLOOKUP(LEFT(A1121,6)&amp;"*",'Identificación genética'!A:C,2,FALSE),
               {"En proceso";"Finalizado"},0),
      "🔬 En proceso",
      "🎯 Finalizado"
   ),
"❌ NA")</f>
        <v>❌ NA</v>
      </c>
      <c r="E1074" t="s">
        <v>24</v>
      </c>
      <c r="G1074" t="str">
        <f>_xlfn.XLOOKUP(A1074, Extraídas!A:A, Extraídas!G:G, "")</f>
        <v/>
      </c>
    </row>
    <row r="1075" spans="1:7" x14ac:dyDescent="0.3">
      <c r="A1075" s="352" t="s">
        <v>2329</v>
      </c>
      <c r="B1075" t="str">
        <f t="array" ref="B1075">IFERROR(
   IF(INDEX([1]Extraídas!B:B,MATCH(LEFT($A1075,6)&amp;"*",[1]Extraídas!A:A,0))="Extraídas",
      "✅ En proceso",
      IF(INDEX([1]Extraídas!B:B,MATCH(LEFT($A1075,6)&amp;"*",[1]Extraídas!A:A,0))="Recibidas",
         "⏳ Pendiente","❌ No ingresada")),
   "❌ No ingresada"
)</f>
        <v>❌ No ingresada</v>
      </c>
      <c r="C1075" s="255" t="str">
        <f t="array" ref="C1075">IFERROR(
   IF(INDEX([1]PCRs!B:B,MATCH(LEFT($A1075,6)&amp;"*",[1]PCRs!A:A,0))="Positivo",
      "✅ Positivo",
      IF(INDEX([1]PCRs!B:B,MATCH(LEFT($A1075,6)&amp;"*",[1]PCRs!A:A,0))="Negativo",
         "❌ Negativo",
         "⏳ No realizado")),
   "⏳ No realizado"
)</f>
        <v>⏳ No realizado</v>
      </c>
      <c r="D1075" s="255" t="str">
        <f>IFERROR(
   CHOOSE(
      MATCH(VLOOKUP(LEFT(A1122,6)&amp;"*",'Identificación genética'!A:C,2,FALSE),
               {"En proceso";"Finalizado"},0),
      "🔬 En proceso",
      "🎯 Finalizado"
   ),
"❌ NA")</f>
        <v>❌ NA</v>
      </c>
      <c r="E1075" t="s">
        <v>24</v>
      </c>
      <c r="G1075" t="str">
        <f>_xlfn.XLOOKUP(A1075, Extraídas!A:A, Extraídas!G:G, "")</f>
        <v/>
      </c>
    </row>
    <row r="1076" spans="1:7" x14ac:dyDescent="0.3">
      <c r="A1076" s="352" t="s">
        <v>2330</v>
      </c>
      <c r="B1076" t="str">
        <f t="array" ref="B1076">IFERROR(
   IF(INDEX([1]Extraídas!B:B,MATCH(LEFT($A1076,6)&amp;"*",[1]Extraídas!A:A,0))="Extraídas",
      "✅ En proceso",
      IF(INDEX([1]Extraídas!B:B,MATCH(LEFT($A1076,6)&amp;"*",[1]Extraídas!A:A,0))="Recibidas",
         "⏳ Pendiente","❌ No ingresada")),
   "❌ No ingresada"
)</f>
        <v>❌ No ingresada</v>
      </c>
      <c r="C1076" s="255" t="str">
        <f t="array" ref="C1076">IFERROR(
   IF(INDEX([1]PCRs!B:B,MATCH(LEFT($A1076,6)&amp;"*",[1]PCRs!A:A,0))="Positivo",
      "✅ Positivo",
      IF(INDEX([1]PCRs!B:B,MATCH(LEFT($A1076,6)&amp;"*",[1]PCRs!A:A,0))="Negativo",
         "❌ Negativo",
         "⏳ No realizado")),
   "⏳ No realizado"
)</f>
        <v>⏳ No realizado</v>
      </c>
      <c r="D1076" s="255" t="str">
        <f>IFERROR(
   CHOOSE(
      MATCH(VLOOKUP(LEFT(A1123,6)&amp;"*",'Identificación genética'!A:C,2,FALSE),
               {"En proceso";"Finalizado"},0),
      "🔬 En proceso",
      "🎯 Finalizado"
   ),
"❌ NA")</f>
        <v>❌ NA</v>
      </c>
      <c r="E1076" t="s">
        <v>24</v>
      </c>
      <c r="G1076" t="str">
        <f>_xlfn.XLOOKUP(A1076, Extraídas!A:A, Extraídas!G:G, "")</f>
        <v/>
      </c>
    </row>
    <row r="1077" spans="1:7" x14ac:dyDescent="0.3">
      <c r="A1077" s="352" t="s">
        <v>2331</v>
      </c>
      <c r="B1077" t="str">
        <f t="array" ref="B1077">IFERROR(
   IF(INDEX([1]Extraídas!B:B,MATCH(LEFT($A1077,6)&amp;"*",[1]Extraídas!A:A,0))="Extraídas",
      "✅ En proceso",
      IF(INDEX([1]Extraídas!B:B,MATCH(LEFT($A1077,6)&amp;"*",[1]Extraídas!A:A,0))="Recibidas",
         "⏳ Pendiente","❌ No ingresada")),
   "❌ No ingresada"
)</f>
        <v>❌ No ingresada</v>
      </c>
      <c r="C1077" s="255" t="str">
        <f t="array" ref="C1077">IFERROR(
   IF(INDEX([1]PCRs!B:B,MATCH(LEFT($A1077,6)&amp;"*",[1]PCRs!A:A,0))="Positivo",
      "✅ Positivo",
      IF(INDEX([1]PCRs!B:B,MATCH(LEFT($A1077,6)&amp;"*",[1]PCRs!A:A,0))="Negativo",
         "❌ Negativo",
         "⏳ No realizado")),
   "⏳ No realizado"
)</f>
        <v>⏳ No realizado</v>
      </c>
      <c r="D1077" s="255" t="str">
        <f>IFERROR(
   CHOOSE(
      MATCH(VLOOKUP(LEFT(A1124,6)&amp;"*",'Identificación genética'!A:C,2,FALSE),
               {"En proceso";"Finalizado"},0),
      "🔬 En proceso",
      "🎯 Finalizado"
   ),
"❌ NA")</f>
        <v>❌ NA</v>
      </c>
      <c r="E1077" t="s">
        <v>24</v>
      </c>
      <c r="G1077" t="str">
        <f>_xlfn.XLOOKUP(A1077, Extraídas!A:A, Extraídas!G:G, "")</f>
        <v/>
      </c>
    </row>
    <row r="1078" spans="1:7" x14ac:dyDescent="0.3">
      <c r="A1078" s="352" t="s">
        <v>2332</v>
      </c>
      <c r="B1078" t="str">
        <f t="array" ref="B1078">IFERROR(
   IF(INDEX([1]Extraídas!B:B,MATCH(LEFT($A1078,6)&amp;"*",[1]Extraídas!A:A,0))="Extraídas",
      "✅ En proceso",
      IF(INDEX([1]Extraídas!B:B,MATCH(LEFT($A1078,6)&amp;"*",[1]Extraídas!A:A,0))="Recibidas",
         "⏳ Pendiente","❌ No ingresada")),
   "❌ No ingresada"
)</f>
        <v>❌ No ingresada</v>
      </c>
      <c r="C1078" s="255" t="str">
        <f t="array" ref="C1078">IFERROR(
   IF(INDEX([1]PCRs!B:B,MATCH(LEFT($A1078,6)&amp;"*",[1]PCRs!A:A,0))="Positivo",
      "✅ Positivo",
      IF(INDEX([1]PCRs!B:B,MATCH(LEFT($A1078,6)&amp;"*",[1]PCRs!A:A,0))="Negativo",
         "❌ Negativo",
         "⏳ No realizado")),
   "⏳ No realizado"
)</f>
        <v>⏳ No realizado</v>
      </c>
      <c r="D1078" s="255" t="str">
        <f>IFERROR(
   CHOOSE(
      MATCH(VLOOKUP(LEFT(A1125,6)&amp;"*",'Identificación genética'!A:C,2,FALSE),
               {"En proceso";"Finalizado"},0),
      "🔬 En proceso",
      "🎯 Finalizado"
   ),
"❌ NA")</f>
        <v>❌ NA</v>
      </c>
      <c r="E1078" t="s">
        <v>24</v>
      </c>
      <c r="G1078" t="str">
        <f>_xlfn.XLOOKUP(A1078, Extraídas!A:A, Extraídas!G:G, "")</f>
        <v/>
      </c>
    </row>
    <row r="1079" spans="1:7" x14ac:dyDescent="0.3">
      <c r="A1079" s="475" t="s">
        <v>2333</v>
      </c>
      <c r="B1079" t="str">
        <f t="array" ref="B1079">IFERROR(
   IF(INDEX([1]Extraídas!B:B,MATCH(LEFT($A1079,6)&amp;"*",[1]Extraídas!A:A,0))="Extraídas",
      "✅ En proceso",
      IF(INDEX([1]Extraídas!B:B,MATCH(LEFT($A1079,6)&amp;"*",[1]Extraídas!A:A,0))="Recibidas",
         "⏳ Pendiente","❌ No ingresada")),
   "❌ No ingresada"
)</f>
        <v>❌ No ingresada</v>
      </c>
      <c r="C1079" s="255" t="str">
        <f t="array" ref="C1079">IFERROR(
   IF(INDEX([1]PCRs!B:B,MATCH(LEFT($A1079,6)&amp;"*",[1]PCRs!A:A,0))="Positivo",
      "✅ Positivo",
      IF(INDEX([1]PCRs!B:B,MATCH(LEFT($A1079,6)&amp;"*",[1]PCRs!A:A,0))="Negativo",
         "❌ Negativo",
         "⏳ No realizado")),
   "⏳ No realizado"
)</f>
        <v>⏳ No realizado</v>
      </c>
      <c r="D1079" s="255" t="str">
        <f>IFERROR(
   CHOOSE(
      MATCH(VLOOKUP(LEFT(A1126,6)&amp;"*",'Identificación genética'!A:C,2,FALSE),
               {"En proceso";"Finalizado"},0),
      "🔬 En proceso",
      "🎯 Finalizado"
   ),
"❌ NA")</f>
        <v>❌ NA</v>
      </c>
      <c r="E1079" t="s">
        <v>24</v>
      </c>
      <c r="G1079" t="str">
        <f>_xlfn.XLOOKUP(A1079, Extraídas!A:A, Extraídas!G:G, "")</f>
        <v/>
      </c>
    </row>
    <row r="1080" spans="1:7" x14ac:dyDescent="0.3">
      <c r="A1080" s="475" t="s">
        <v>2334</v>
      </c>
      <c r="B1080" t="str">
        <f t="array" ref="B1080">IFERROR(
   IF(INDEX([1]Extraídas!B:B,MATCH(LEFT($A1080,6)&amp;"*",[1]Extraídas!A:A,0))="Extraídas",
      "✅ En proceso",
      IF(INDEX([1]Extraídas!B:B,MATCH(LEFT($A1080,6)&amp;"*",[1]Extraídas!A:A,0))="Recibidas",
         "⏳ Pendiente","❌ No ingresada")),
   "❌ No ingresada"
)</f>
        <v>❌ No ingresada</v>
      </c>
      <c r="C1080" s="255" t="str">
        <f t="array" ref="C1080">IFERROR(
   IF(INDEX([1]PCRs!B:B,MATCH(LEFT($A1080,6)&amp;"*",[1]PCRs!A:A,0))="Positivo",
      "✅ Positivo",
      IF(INDEX([1]PCRs!B:B,MATCH(LEFT($A1080,6)&amp;"*",[1]PCRs!A:A,0))="Negativo",
         "❌ Negativo",
         "⏳ No realizado")),
   "⏳ No realizado"
)</f>
        <v>⏳ No realizado</v>
      </c>
      <c r="D1080" s="255" t="str">
        <f>IFERROR(
   CHOOSE(
      MATCH(VLOOKUP(LEFT(A1127,6)&amp;"*",'Identificación genética'!A:C,2,FALSE),
               {"En proceso";"Finalizado"},0),
      "🔬 En proceso",
      "🎯 Finalizado"
   ),
"❌ NA")</f>
        <v>❌ NA</v>
      </c>
      <c r="E1080" t="s">
        <v>24</v>
      </c>
      <c r="G1080" t="str">
        <f>_xlfn.XLOOKUP(A1080, Extraídas!A:A, Extraídas!G:G, "")</f>
        <v/>
      </c>
    </row>
    <row r="1081" spans="1:7" x14ac:dyDescent="0.3">
      <c r="A1081" s="352" t="s">
        <v>2336</v>
      </c>
      <c r="B1081" t="str">
        <f t="array" ref="B1081">IFERROR(
   IF(INDEX([1]Extraídas!B:B,MATCH(LEFT($A1081,6)&amp;"*",[1]Extraídas!A:A,0))="Extraídas",
      "✅ En proceso",
      IF(INDEX([1]Extraídas!B:B,MATCH(LEFT($A1081,6)&amp;"*",[1]Extraídas!A:A,0))="Recibidas",
         "⏳ Pendiente","❌ No ingresada")),
   "❌ No ingresada"
)</f>
        <v>❌ No ingresada</v>
      </c>
      <c r="C1081" s="255" t="str">
        <f t="array" ref="C1081">IFERROR(
   IF(INDEX([1]PCRs!B:B,MATCH(LEFT($A1081,6)&amp;"*",[1]PCRs!A:A,0))="Positivo",
      "✅ Positivo",
      IF(INDEX([1]PCRs!B:B,MATCH(LEFT($A1081,6)&amp;"*",[1]PCRs!A:A,0))="Negativo",
         "❌ Negativo",
         "⏳ No realizado")),
   "⏳ No realizado"
)</f>
        <v>⏳ No realizado</v>
      </c>
      <c r="D1081" s="255" t="str">
        <f>IFERROR(
   CHOOSE(
      MATCH(VLOOKUP(LEFT(A1128,6)&amp;"*",'Identificación genética'!A:C,2,FALSE),
               {"En proceso";"Finalizado"},0),
      "🔬 En proceso",
      "🎯 Finalizado"
   ),
"❌ NA")</f>
        <v>❌ NA</v>
      </c>
      <c r="E1081" t="s">
        <v>24</v>
      </c>
      <c r="G1081" t="str">
        <f>_xlfn.XLOOKUP(A1081, Extraídas!A:A, Extraídas!G:G, "")</f>
        <v/>
      </c>
    </row>
    <row r="1082" spans="1:7" x14ac:dyDescent="0.3">
      <c r="A1082" s="352" t="s">
        <v>2337</v>
      </c>
      <c r="B1082" t="str">
        <f t="array" ref="B1082">IFERROR(
   IF(INDEX([1]Extraídas!B:B,MATCH(LEFT($A1082,6)&amp;"*",[1]Extraídas!A:A,0))="Extraídas",
      "✅ En proceso",
      IF(INDEX([1]Extraídas!B:B,MATCH(LEFT($A1082,6)&amp;"*",[1]Extraídas!A:A,0))="Recibidas",
         "⏳ Pendiente","❌ No ingresada")),
   "❌ No ingresada"
)</f>
        <v>❌ No ingresada</v>
      </c>
      <c r="C1082" s="255" t="str">
        <f t="array" ref="C1082">IFERROR(
   IF(INDEX([1]PCRs!B:B,MATCH(LEFT($A1082,6)&amp;"*",[1]PCRs!A:A,0))="Positivo",
      "✅ Positivo",
      IF(INDEX([1]PCRs!B:B,MATCH(LEFT($A1082,6)&amp;"*",[1]PCRs!A:A,0))="Negativo",
         "❌ Negativo",
         "⏳ No realizado")),
   "⏳ No realizado"
)</f>
        <v>⏳ No realizado</v>
      </c>
      <c r="D1082" s="255" t="str">
        <f>IFERROR(
   CHOOSE(
      MATCH(VLOOKUP(LEFT(A1129,6)&amp;"*",'Identificación genética'!A:C,2,FALSE),
               {"En proceso";"Finalizado"},0),
      "🔬 En proceso",
      "🎯 Finalizado"
   ),
"❌ NA")</f>
        <v>❌ NA</v>
      </c>
      <c r="E1082" t="s">
        <v>24</v>
      </c>
      <c r="G1082" t="str">
        <f>_xlfn.XLOOKUP(A1082, Extraídas!A:A, Extraídas!G:G, "")</f>
        <v/>
      </c>
    </row>
    <row r="1083" spans="1:7" x14ac:dyDescent="0.3">
      <c r="A1083" s="657" t="s">
        <v>1030</v>
      </c>
      <c r="B1083" s="255" t="str">
        <f t="array" ref="B1083">IFERROR(
   IF(INDEX([1]Extraídas!B:B,MATCH(LEFT($A1083,6)&amp;"*",[1]Extraídas!A:A,0))="Extraídas",
      "✅ En proceso",
      IF(INDEX([1]Extraídas!B:B,MATCH(LEFT($A1083,6)&amp;"*",[1]Extraídas!A:A,0))="Recibidas",
         "⏳ Pendiente","❌ No ingresada")),
   "❌ No ingresada"
)</f>
        <v>✅ En proceso</v>
      </c>
      <c r="C1083" s="255" t="str">
        <f t="array" ref="C1083">IFERROR(
   IF(INDEX([1]PCRs!B:B,MATCH(LEFT($A1083,6)&amp;"*",[1]PCRs!A:A,0))="Positivo",
      "✅ Positivo",
      IF(INDEX([1]PCRs!B:B,MATCH(LEFT($A1083,6)&amp;"*",[1]PCRs!A:A,0))="Negativo",
         "❌ Negativo",
         "⏳ No realizado")),
   "⏳ No realizado"
)</f>
        <v>⏳ No realizado</v>
      </c>
      <c r="D1083" s="255" t="str">
        <f>IFERROR(
   CHOOSE(
      MATCH(VLOOKUP(LEFT(A1130,6)&amp;"*",'Identificación genética'!A:C,2,FALSE),
               {"En proceso";"Finalizado"},0),
      "🔬 En proceso",
      "🎯 Finalizado"
   ),
"❌ NA")</f>
        <v>❌ NA</v>
      </c>
      <c r="E1083" t="s">
        <v>24</v>
      </c>
      <c r="F1083" s="54">
        <v>45952</v>
      </c>
      <c r="G1083" t="str">
        <f>_xlfn.XLOOKUP(A1083, Extraídas!A:A, Extraídas!G:G, "")</f>
        <v>MACROALGAS</v>
      </c>
    </row>
    <row r="1084" spans="1:7" x14ac:dyDescent="0.3">
      <c r="A1084" s="656" t="s">
        <v>1031</v>
      </c>
      <c r="B1084" s="255" t="str">
        <f t="array" ref="B1084">IFERROR(
   IF(INDEX([1]Extraídas!B:B,MATCH(LEFT($A1084,6)&amp;"*",[1]Extraídas!A:A,0))="Extraídas",
      "✅ En proceso",
      IF(INDEX([1]Extraídas!B:B,MATCH(LEFT($A1084,6)&amp;"*",[1]Extraídas!A:A,0))="Recibidas",
         "⏳ Pendiente","❌ No ingresada")),
   "❌ No ingresada"
)</f>
        <v>✅ En proceso</v>
      </c>
      <c r="C1084" s="255" t="str">
        <f t="array" ref="C1084">IFERROR(
   IF(INDEX([1]PCRs!B:B,MATCH(LEFT($A1084,6)&amp;"*",[1]PCRs!A:A,0))="Positivo",
      "✅ Positivo",
      IF(INDEX([1]PCRs!B:B,MATCH(LEFT($A1084,6)&amp;"*",[1]PCRs!A:A,0))="Negativo",
         "❌ Negativo",
         "⏳ No realizado")),
   "⏳ No realizado"
)</f>
        <v>⏳ No realizado</v>
      </c>
      <c r="D1084" s="255" t="str">
        <f>IFERROR(
   CHOOSE(
      MATCH(VLOOKUP(LEFT(A1131,6)&amp;"*",'Identificación genética'!A:C,2,FALSE),
               {"En proceso";"Finalizado"},0),
      "🔬 En proceso",
      "🎯 Finalizado"
   ),
"❌ NA")</f>
        <v>❌ NA</v>
      </c>
      <c r="E1084" t="s">
        <v>24</v>
      </c>
      <c r="F1084" s="54">
        <v>45952</v>
      </c>
      <c r="G1084" t="str">
        <f>_xlfn.XLOOKUP(A1084, Extraídas!A:A, Extraídas!G:G, "")</f>
        <v>MACROALGAS</v>
      </c>
    </row>
    <row r="1085" spans="1:7" x14ac:dyDescent="0.3">
      <c r="A1085" s="498" t="s">
        <v>1218</v>
      </c>
      <c r="B1085" t="str">
        <f t="array" ref="B1085">IFERROR(
   IF(INDEX([1]Extraídas!B:B,MATCH(LEFT($A1085,6)&amp;"*",[1]Extraídas!A:A,0))="Extraídas",
      "✅ En proceso",
      IF(INDEX([1]Extraídas!B:B,MATCH(LEFT($A1085,6)&amp;"*",[1]Extraídas!A:A,0))="Recibidas",
         "⏳ Pendiente","❌ No ingresada")),
   "❌ No ingresada"
)</f>
        <v>❌ No ingresada</v>
      </c>
      <c r="C1085" s="255" t="str">
        <f t="array" ref="C1085">IFERROR(
   IF(INDEX([1]PCRs!B:B,MATCH(LEFT($A1085,6)&amp;"*",[1]PCRs!A:A,0))="Positivo",
      "✅ Positivo",
      IF(INDEX([1]PCRs!B:B,MATCH(LEFT($A1085,6)&amp;"*",[1]PCRs!A:A,0))="Negativo",
         "❌ Negativo",
         "⏳ No realizado")),
   "⏳ No realizado"
)</f>
        <v>✅ Positivo</v>
      </c>
      <c r="D1085" s="255" t="str">
        <f>IFERROR(
   CHOOSE(
      MATCH(VLOOKUP(LEFT(A1132,6)&amp;"*",'Identificación genética'!A:C,2,FALSE),
               {"En proceso";"Finalizado"},0),
      "🔬 En proceso",
      "🎯 Finalizado"
   ),
"❌ NA")</f>
        <v>❌ NA</v>
      </c>
      <c r="E1085" t="s">
        <v>24</v>
      </c>
      <c r="G1085" t="str">
        <f>_xlfn.XLOOKUP(A1085, Extraídas!A:A, Extraídas!G:G, "")</f>
        <v/>
      </c>
    </row>
    <row r="1086" spans="1:7" x14ac:dyDescent="0.3">
      <c r="A1086" s="498" t="s">
        <v>1219</v>
      </c>
      <c r="B1086" t="str">
        <f t="array" ref="B1086">IFERROR(
   IF(INDEX([1]Extraídas!B:B,MATCH(LEFT($A1086,6)&amp;"*",[1]Extraídas!A:A,0))="Extraídas",
      "✅ En proceso",
      IF(INDEX([1]Extraídas!B:B,MATCH(LEFT($A1086,6)&amp;"*",[1]Extraídas!A:A,0))="Recibidas",
         "⏳ Pendiente","❌ No ingresada")),
   "❌ No ingresada"
)</f>
        <v>❌ No ingresada</v>
      </c>
      <c r="C1086" s="255" t="str">
        <f t="array" ref="C1086">IFERROR(
   IF(INDEX([1]PCRs!B:B,MATCH(LEFT($A1086,6)&amp;"*",[1]PCRs!A:A,0))="Positivo",
      "✅ Positivo",
      IF(INDEX([1]PCRs!B:B,MATCH(LEFT($A1086,6)&amp;"*",[1]PCRs!A:A,0))="Negativo",
         "❌ Negativo",
         "⏳ No realizado")),
   "⏳ No realizado"
)</f>
        <v>✅ Positivo</v>
      </c>
      <c r="D1086" s="255" t="str">
        <f>IFERROR(
   CHOOSE(
      MATCH(VLOOKUP(LEFT(A1133,6)&amp;"*",'Identificación genética'!A:C,2,FALSE),
               {"En proceso";"Finalizado"},0),
      "🔬 En proceso",
      "🎯 Finalizado"
   ),
"❌ NA")</f>
        <v>❌ NA</v>
      </c>
      <c r="E1086" t="s">
        <v>24</v>
      </c>
      <c r="G1086" t="str">
        <f>_xlfn.XLOOKUP(A1086, Extraídas!A:A, Extraídas!G:G, "")</f>
        <v/>
      </c>
    </row>
    <row r="1087" spans="1:7" x14ac:dyDescent="0.3">
      <c r="A1087" s="475" t="s">
        <v>2338</v>
      </c>
      <c r="B1087" t="str">
        <f t="array" ref="B1087">IFERROR(
   IF(INDEX([1]Extraídas!B:B,MATCH(LEFT($A1087,6)&amp;"*",[1]Extraídas!A:A,0))="Extraídas",
      "✅ En proceso",
      IF(INDEX([1]Extraídas!B:B,MATCH(LEFT($A1087,6)&amp;"*",[1]Extraídas!A:A,0))="Recibidas",
         "⏳ Pendiente","❌ No ingresada")),
   "❌ No ingresada"
)</f>
        <v>❌ No ingresada</v>
      </c>
      <c r="C1087" s="255" t="str">
        <f t="array" ref="C1087">IFERROR(
   IF(INDEX([1]PCRs!B:B,MATCH(LEFT($A1087,6)&amp;"*",[1]PCRs!A:A,0))="Positivo",
      "✅ Positivo",
      IF(INDEX([1]PCRs!B:B,MATCH(LEFT($A1087,6)&amp;"*",[1]PCRs!A:A,0))="Negativo",
         "❌ Negativo",
         "⏳ No realizado")),
   "⏳ No realizado"
)</f>
        <v>⏳ No realizado</v>
      </c>
      <c r="D1087" s="255" t="str">
        <f>IFERROR(
   CHOOSE(
      MATCH(VLOOKUP(LEFT(A1134,6)&amp;"*",'Identificación genética'!A:C,2,FALSE),
               {"En proceso";"Finalizado"},0),
      "🔬 En proceso",
      "🎯 Finalizado"
   ),
"❌ NA")</f>
        <v>❌ NA</v>
      </c>
      <c r="E1087" t="s">
        <v>24</v>
      </c>
      <c r="G1087" t="str">
        <f>_xlfn.XLOOKUP(A1087, Extraídas!A:A, Extraídas!G:G, "")</f>
        <v/>
      </c>
    </row>
    <row r="1088" spans="1:7" x14ac:dyDescent="0.3">
      <c r="A1088" s="497" t="s">
        <v>2339</v>
      </c>
      <c r="B1088" t="str">
        <f t="array" ref="B1088">IFERROR(
   IF(INDEX([1]Extraídas!B:B,MATCH(LEFT($A1088,6)&amp;"*",[1]Extraídas!A:A,0))="Extraídas",
      "✅ En proceso",
      IF(INDEX([1]Extraídas!B:B,MATCH(LEFT($A1088,6)&amp;"*",[1]Extraídas!A:A,0))="Recibidas",
         "⏳ Pendiente","❌ No ingresada")),
   "❌ No ingresada"
)</f>
        <v>❌ No ingresada</v>
      </c>
      <c r="C1088" s="255" t="str">
        <f t="array" ref="C1088">IFERROR(
   IF(INDEX([1]PCRs!B:B,MATCH(LEFT($A1088,6)&amp;"*",[1]PCRs!A:A,0))="Positivo",
      "✅ Positivo",
      IF(INDEX([1]PCRs!B:B,MATCH(LEFT($A1088,6)&amp;"*",[1]PCRs!A:A,0))="Negativo",
         "❌ Negativo",
         "⏳ No realizado")),
   "⏳ No realizado"
)</f>
        <v>⏳ No realizado</v>
      </c>
      <c r="D1088" s="255" t="str">
        <f>IFERROR(
   CHOOSE(
      MATCH(VLOOKUP(LEFT(A1135,6)&amp;"*",'Identificación genética'!A:C,2,FALSE),
               {"En proceso";"Finalizado"},0),
      "🔬 En proceso",
      "🎯 Finalizado"
   ),
"❌ NA")</f>
        <v>❌ NA</v>
      </c>
      <c r="E1088" t="s">
        <v>24</v>
      </c>
      <c r="G1088" t="str">
        <f>_xlfn.XLOOKUP(A1088, Extraídas!A:A, Extraídas!G:G, "")</f>
        <v/>
      </c>
    </row>
    <row r="1089" spans="1:7" x14ac:dyDescent="0.3">
      <c r="A1089" s="497" t="s">
        <v>2340</v>
      </c>
      <c r="B1089" t="str">
        <f t="array" ref="B1089">IFERROR(
   IF(INDEX([1]Extraídas!B:B,MATCH(LEFT($A1089,6)&amp;"*",[1]Extraídas!A:A,0))="Extraídas",
      "✅ En proceso",
      IF(INDEX([1]Extraídas!B:B,MATCH(LEFT($A1089,6)&amp;"*",[1]Extraídas!A:A,0))="Recibidas",
         "⏳ Pendiente","❌ No ingresada")),
   "❌ No ingresada"
)</f>
        <v>❌ No ingresada</v>
      </c>
      <c r="C1089" s="255" t="str">
        <f t="array" ref="C1089">IFERROR(
   IF(INDEX([1]PCRs!B:B,MATCH(LEFT($A1089,6)&amp;"*",[1]PCRs!A:A,0))="Positivo",
      "✅ Positivo",
      IF(INDEX([1]PCRs!B:B,MATCH(LEFT($A1089,6)&amp;"*",[1]PCRs!A:A,0))="Negativo",
         "❌ Negativo",
         "⏳ No realizado")),
   "⏳ No realizado"
)</f>
        <v>⏳ No realizado</v>
      </c>
      <c r="D1089" s="255" t="str">
        <f>IFERROR(
   CHOOSE(
      MATCH(VLOOKUP(LEFT(A1136,6)&amp;"*",'Identificación genética'!A:C,2,FALSE),
               {"En proceso";"Finalizado"},0),
      "🔬 En proceso",
      "🎯 Finalizado"
   ),
"❌ NA")</f>
        <v>❌ NA</v>
      </c>
      <c r="E1089" t="s">
        <v>24</v>
      </c>
      <c r="G1089" t="str">
        <f>_xlfn.XLOOKUP(A1089, Extraídas!A:A, Extraídas!G:G, "")</f>
        <v/>
      </c>
    </row>
    <row r="1090" spans="1:7" x14ac:dyDescent="0.3">
      <c r="A1090" s="476" t="s">
        <v>2341</v>
      </c>
      <c r="B1090" t="str">
        <f t="array" ref="B1090">IFERROR(
   IF(INDEX([1]Extraídas!B:B,MATCH(LEFT($A1090,6)&amp;"*",[1]Extraídas!A:A,0))="Extraídas",
      "✅ En proceso",
      IF(INDEX([1]Extraídas!B:B,MATCH(LEFT($A1090,6)&amp;"*",[1]Extraídas!A:A,0))="Recibidas",
         "⏳ Pendiente","❌ No ingresada")),
   "❌ No ingresada"
)</f>
        <v>❌ No ingresada</v>
      </c>
      <c r="C1090" s="255" t="str">
        <f t="array" ref="C1090">IFERROR(
   IF(INDEX([1]PCRs!B:B,MATCH(LEFT($A1090,6)&amp;"*",[1]PCRs!A:A,0))="Positivo",
      "✅ Positivo",
      IF(INDEX([1]PCRs!B:B,MATCH(LEFT($A1090,6)&amp;"*",[1]PCRs!A:A,0))="Negativo",
         "❌ Negativo",
         "⏳ No realizado")),
   "⏳ No realizado"
)</f>
        <v>⏳ No realizado</v>
      </c>
      <c r="D1090" s="255" t="str">
        <f>IFERROR(
   CHOOSE(
      MATCH(VLOOKUP(LEFT(A1137,6)&amp;"*",'Identificación genética'!A:C,2,FALSE),
               {"En proceso";"Finalizado"},0),
      "🔬 En proceso",
      "🎯 Finalizado"
   ),
"❌ NA")</f>
        <v>❌ NA</v>
      </c>
      <c r="E1090" t="s">
        <v>24</v>
      </c>
      <c r="G1090" t="str">
        <f>_xlfn.XLOOKUP(A1090, Extraídas!A:A, Extraídas!G:G, "")</f>
        <v/>
      </c>
    </row>
    <row r="1091" spans="1:7" x14ac:dyDescent="0.3">
      <c r="A1091" s="485" t="s">
        <v>2342</v>
      </c>
      <c r="B1091" t="str">
        <f t="array" ref="B1091">IFERROR(
   IF(INDEX([1]Extraídas!B:B,MATCH(LEFT($A1091,6)&amp;"*",[1]Extraídas!A:A,0))="Extraídas",
      "✅ En proceso",
      IF(INDEX([1]Extraídas!B:B,MATCH(LEFT($A1091,6)&amp;"*",[1]Extraídas!A:A,0))="Recibidas",
         "⏳ Pendiente","❌ No ingresada")),
   "❌ No ingresada"
)</f>
        <v>❌ No ingresada</v>
      </c>
      <c r="C1091" s="255" t="str">
        <f t="array" ref="C1091">IFERROR(
   IF(INDEX([1]PCRs!B:B,MATCH(LEFT($A1091,6)&amp;"*",[1]PCRs!A:A,0))="Positivo",
      "✅ Positivo",
      IF(INDEX([1]PCRs!B:B,MATCH(LEFT($A1091,6)&amp;"*",[1]PCRs!A:A,0))="Negativo",
         "❌ Negativo",
         "⏳ No realizado")),
   "⏳ No realizado"
)</f>
        <v>⏳ No realizado</v>
      </c>
      <c r="D1091" s="255" t="str">
        <f>IFERROR(
   CHOOSE(
      MATCH(VLOOKUP(LEFT(A1138,6)&amp;"*",'Identificación genética'!A:C,2,FALSE),
               {"En proceso";"Finalizado"},0),
      "🔬 En proceso",
      "🎯 Finalizado"
   ),
"❌ NA")</f>
        <v>❌ NA</v>
      </c>
      <c r="E1091" t="s">
        <v>24</v>
      </c>
      <c r="G1091" t="str">
        <f>_xlfn.XLOOKUP(A1091, Extraídas!A:A, Extraídas!G:G, "")</f>
        <v/>
      </c>
    </row>
    <row r="1092" spans="1:7" x14ac:dyDescent="0.3">
      <c r="A1092" s="507" t="s">
        <v>2343</v>
      </c>
      <c r="B1092" t="str">
        <f t="array" ref="B1092">IFERROR(
   IF(INDEX([1]Extraídas!B:B,MATCH(LEFT($A1092,6)&amp;"*",[1]Extraídas!A:A,0))="Extraídas",
      "✅ En proceso",
      IF(INDEX([1]Extraídas!B:B,MATCH(LEFT($A1092,6)&amp;"*",[1]Extraídas!A:A,0))="Recibidas",
         "⏳ Pendiente","❌ No ingresada")),
   "❌ No ingresada"
)</f>
        <v>❌ No ingresada</v>
      </c>
      <c r="C1092" s="255" t="str">
        <f t="array" ref="C1092">IFERROR(
   IF(INDEX([1]PCRs!B:B,MATCH(LEFT($A1092,6)&amp;"*",[1]PCRs!A:A,0))="Positivo",
      "✅ Positivo",
      IF(INDEX([1]PCRs!B:B,MATCH(LEFT($A1092,6)&amp;"*",[1]PCRs!A:A,0))="Negativo",
         "❌ Negativo",
         "⏳ No realizado")),
   "⏳ No realizado"
)</f>
        <v>⏳ No realizado</v>
      </c>
      <c r="D1092" s="255" t="str">
        <f>IFERROR(
   CHOOSE(
      MATCH(VLOOKUP(LEFT(A1139,6)&amp;"*",'Identificación genética'!A:C,2,FALSE),
               {"En proceso";"Finalizado"},0),
      "🔬 En proceso",
      "🎯 Finalizado"
   ),
"❌ NA")</f>
        <v>❌ NA</v>
      </c>
      <c r="E1092" t="s">
        <v>24</v>
      </c>
      <c r="G1092" t="str">
        <f>_xlfn.XLOOKUP(A1092, Extraídas!A:A, Extraídas!G:G, "")</f>
        <v/>
      </c>
    </row>
    <row r="1093" spans="1:7" x14ac:dyDescent="0.3">
      <c r="A1093" s="475" t="s">
        <v>2344</v>
      </c>
      <c r="B1093" t="str">
        <f t="array" ref="B1093">IFERROR(
   IF(INDEX([1]Extraídas!B:B,MATCH(LEFT($A1093,6)&amp;"*",[1]Extraídas!A:A,0))="Extraídas",
      "✅ En proceso",
      IF(INDEX([1]Extraídas!B:B,MATCH(LEFT($A1093,6)&amp;"*",[1]Extraídas!A:A,0))="Recibidas",
         "⏳ Pendiente","❌ No ingresada")),
   "❌ No ingresada"
)</f>
        <v>❌ No ingresada</v>
      </c>
      <c r="C1093" s="255" t="str">
        <f t="array" ref="C1093">IFERROR(
   IF(INDEX([1]PCRs!B:B,MATCH(LEFT($A1093,6)&amp;"*",[1]PCRs!A:A,0))="Positivo",
      "✅ Positivo",
      IF(INDEX([1]PCRs!B:B,MATCH(LEFT($A1093,6)&amp;"*",[1]PCRs!A:A,0))="Negativo",
         "❌ Negativo",
         "⏳ No realizado")),
   "⏳ No realizado"
)</f>
        <v>⏳ No realizado</v>
      </c>
      <c r="D1093" s="255" t="str">
        <f>IFERROR(
   CHOOSE(
      MATCH(VLOOKUP(LEFT(A1140,6)&amp;"*",'Identificación genética'!A:C,2,FALSE),
               {"En proceso";"Finalizado"},0),
      "🔬 En proceso",
      "🎯 Finalizado"
   ),
"❌ NA")</f>
        <v>❌ NA</v>
      </c>
      <c r="E1093" t="s">
        <v>24</v>
      </c>
      <c r="G1093" t="str">
        <f>_xlfn.XLOOKUP(A1093, Extraídas!A:A, Extraídas!G:G, "")</f>
        <v/>
      </c>
    </row>
    <row r="1094" spans="1:7" x14ac:dyDescent="0.3">
      <c r="A1094" s="485" t="s">
        <v>2345</v>
      </c>
      <c r="B1094" t="str">
        <f t="array" ref="B1094">IFERROR(
   IF(INDEX([1]Extraídas!B:B,MATCH(LEFT($A1094,6)&amp;"*",[1]Extraídas!A:A,0))="Extraídas",
      "✅ En proceso",
      IF(INDEX([1]Extraídas!B:B,MATCH(LEFT($A1094,6)&amp;"*",[1]Extraídas!A:A,0))="Recibidas",
         "⏳ Pendiente","❌ No ingresada")),
   "❌ No ingresada"
)</f>
        <v>❌ No ingresada</v>
      </c>
      <c r="C1094" s="255" t="str">
        <f t="array" ref="C1094">IFERROR(
   IF(INDEX([1]PCRs!B:B,MATCH(LEFT($A1094,6)&amp;"*",[1]PCRs!A:A,0))="Positivo",
      "✅ Positivo",
      IF(INDEX([1]PCRs!B:B,MATCH(LEFT($A1094,6)&amp;"*",[1]PCRs!A:A,0))="Negativo",
         "❌ Negativo",
         "⏳ No realizado")),
   "⏳ No realizado"
)</f>
        <v>⏳ No realizado</v>
      </c>
      <c r="D1094" s="255" t="str">
        <f>IFERROR(
   CHOOSE(
      MATCH(VLOOKUP(LEFT(A1141,6)&amp;"*",'Identificación genética'!A:C,2,FALSE),
               {"En proceso";"Finalizado"},0),
      "🔬 En proceso",
      "🎯 Finalizado"
   ),
"❌ NA")</f>
        <v>❌ NA</v>
      </c>
      <c r="E1094" t="s">
        <v>24</v>
      </c>
      <c r="G1094" t="str">
        <f>_xlfn.XLOOKUP(A1094, Extraídas!A:A, Extraídas!G:G, "")</f>
        <v/>
      </c>
    </row>
    <row r="1095" spans="1:7" x14ac:dyDescent="0.3">
      <c r="A1095" s="486" t="s">
        <v>2346</v>
      </c>
      <c r="B1095" t="str">
        <f t="array" ref="B1095">IFERROR(
   IF(INDEX([1]Extraídas!B:B,MATCH(LEFT($A1095,6)&amp;"*",[1]Extraídas!A:A,0))="Extraídas",
      "✅ En proceso",
      IF(INDEX([1]Extraídas!B:B,MATCH(LEFT($A1095,6)&amp;"*",[1]Extraídas!A:A,0))="Recibidas",
         "⏳ Pendiente","❌ No ingresada")),
   "❌ No ingresada"
)</f>
        <v>❌ No ingresada</v>
      </c>
      <c r="C1095" s="255" t="str">
        <f t="array" ref="C1095">IFERROR(
   IF(INDEX([1]PCRs!B:B,MATCH(LEFT($A1095,6)&amp;"*",[1]PCRs!A:A,0))="Positivo",
      "✅ Positivo",
      IF(INDEX([1]PCRs!B:B,MATCH(LEFT($A1095,6)&amp;"*",[1]PCRs!A:A,0))="Negativo",
         "❌ Negativo",
         "⏳ No realizado")),
   "⏳ No realizado"
)</f>
        <v>⏳ No realizado</v>
      </c>
      <c r="D1095" s="255" t="str">
        <f>IFERROR(
   CHOOSE(
      MATCH(VLOOKUP(LEFT(A1142,6)&amp;"*",'Identificación genética'!A:C,2,FALSE),
               {"En proceso";"Finalizado"},0),
      "🔬 En proceso",
      "🎯 Finalizado"
   ),
"❌ NA")</f>
        <v>❌ NA</v>
      </c>
      <c r="E1095" t="s">
        <v>24</v>
      </c>
      <c r="G1095" t="str">
        <f>_xlfn.XLOOKUP(A1095, Extraídas!A:A, Extraídas!G:G, "")</f>
        <v/>
      </c>
    </row>
    <row r="1096" spans="1:7" x14ac:dyDescent="0.3">
      <c r="A1096" s="485" t="s">
        <v>2347</v>
      </c>
      <c r="B1096" t="str">
        <f t="array" ref="B1096">IFERROR(
   IF(INDEX([1]Extraídas!B:B,MATCH(LEFT($A1096,6)&amp;"*",[1]Extraídas!A:A,0))="Extraídas",
      "✅ En proceso",
      IF(INDEX([1]Extraídas!B:B,MATCH(LEFT($A1096,6)&amp;"*",[1]Extraídas!A:A,0))="Recibidas",
         "⏳ Pendiente","❌ No ingresada")),
   "❌ No ingresada"
)</f>
        <v>❌ No ingresada</v>
      </c>
      <c r="C1096" s="255" t="str">
        <f t="array" ref="C1096">IFERROR(
   IF(INDEX([1]PCRs!B:B,MATCH(LEFT($A1096,6)&amp;"*",[1]PCRs!A:A,0))="Positivo",
      "✅ Positivo",
      IF(INDEX([1]PCRs!B:B,MATCH(LEFT($A1096,6)&amp;"*",[1]PCRs!A:A,0))="Negativo",
         "❌ Negativo",
         "⏳ No realizado")),
   "⏳ No realizado"
)</f>
        <v>⏳ No realizado</v>
      </c>
      <c r="D1096" s="255" t="str">
        <f>IFERROR(
   CHOOSE(
      MATCH(VLOOKUP(LEFT(A1143,6)&amp;"*",'Identificación genética'!A:C,2,FALSE),
               {"En proceso";"Finalizado"},0),
      "🔬 En proceso",
      "🎯 Finalizado"
   ),
"❌ NA")</f>
        <v>❌ NA</v>
      </c>
      <c r="E1096" t="s">
        <v>24</v>
      </c>
      <c r="G1096" t="str">
        <f>_xlfn.XLOOKUP(A1096, Extraídas!A:A, Extraídas!G:G, "")</f>
        <v/>
      </c>
    </row>
    <row r="1097" spans="1:7" x14ac:dyDescent="0.3">
      <c r="A1097" s="475" t="s">
        <v>2348</v>
      </c>
      <c r="B1097" t="str">
        <f t="array" ref="B1097">IFERROR(
   IF(INDEX([1]Extraídas!B:B,MATCH(LEFT($A1097,6)&amp;"*",[1]Extraídas!A:A,0))="Extraídas",
      "✅ En proceso",
      IF(INDEX([1]Extraídas!B:B,MATCH(LEFT($A1097,6)&amp;"*",[1]Extraídas!A:A,0))="Recibidas",
         "⏳ Pendiente","❌ No ingresada")),
   "❌ No ingresada"
)</f>
        <v>❌ No ingresada</v>
      </c>
      <c r="C1097" s="255" t="str">
        <f t="array" ref="C1097">IFERROR(
   IF(INDEX([1]PCRs!B:B,MATCH(LEFT($A1097,6)&amp;"*",[1]PCRs!A:A,0))="Positivo",
      "✅ Positivo",
      IF(INDEX([1]PCRs!B:B,MATCH(LEFT($A1097,6)&amp;"*",[1]PCRs!A:A,0))="Negativo",
         "❌ Negativo",
         "⏳ No realizado")),
   "⏳ No realizado"
)</f>
        <v>⏳ No realizado</v>
      </c>
      <c r="D1097" s="255" t="str">
        <f>IFERROR(
   CHOOSE(
      MATCH(VLOOKUP(LEFT(A1144,6)&amp;"*",'Identificación genética'!A:C,2,FALSE),
               {"En proceso";"Finalizado"},0),
      "🔬 En proceso",
      "🎯 Finalizado"
   ),
"❌ NA")</f>
        <v>❌ NA</v>
      </c>
      <c r="E1097" t="s">
        <v>24</v>
      </c>
      <c r="G1097" t="str">
        <f>_xlfn.XLOOKUP(A1097, Extraídas!A:A, Extraídas!G:G, "")</f>
        <v/>
      </c>
    </row>
    <row r="1098" spans="1:7" x14ac:dyDescent="0.3">
      <c r="A1098" s="416" t="s">
        <v>2281</v>
      </c>
      <c r="B1098" s="255" t="str">
        <f>IFERROR(
   IF(INDEX(Extraídas!B:B,MATCH(LEFT($A1098,6)&amp;"*",Extraídas!A:A,0))="Extraídas",
      "✅ En proceso",
      IF(INDEX(Extraídas!B:B,MATCH(LEFT($A1098,6)&amp;"*",Extraídas!A:A,0))="Recibidas",
         "⏳ Pendiente","❌ No ingresada")),
   "❌ No ingresada"
)</f>
        <v>❌ No ingresada</v>
      </c>
      <c r="C1098" s="255" t="str">
        <f t="array" ref="C1098">IFERROR(
   IF(INDEX([1]PCRs!B:B,MATCH(LEFT($A1098,6)&amp;"*",[1]PCRs!A:A,0))="Positivo",
      "✅ Positivo",
      IF(INDEX([1]PCRs!B:B,MATCH(LEFT($A1098,6)&amp;"*",[1]PCRs!A:A,0))="Negativo",
         "❌ Negativo",
         "⏳ No realizado")),
   "⏳ No realizado"
)</f>
        <v>✅ Positivo</v>
      </c>
      <c r="D1098" s="255" t="str">
        <f>IFERROR(
   CHOOSE(
      MATCH(VLOOKUP(LEFT(A1145,6)&amp;"*",'Identificación genética'!A:C,2,FALSE),
               {"En proceso";"Finalizado"},0),
      "🔬 En proceso",
      "🎯 Finalizado"
   ),
"❌ NA")</f>
        <v>❌ NA</v>
      </c>
      <c r="E1098" t="s">
        <v>85</v>
      </c>
      <c r="G1098" t="str">
        <f>_xlfn.XLOOKUP(A1098, Extraídas!A:A, Extraídas!G:G, "")</f>
        <v/>
      </c>
    </row>
    <row r="1099" spans="1:7" x14ac:dyDescent="0.3">
      <c r="A1099" s="352" t="s">
        <v>1202</v>
      </c>
      <c r="B1099" s="255" t="str">
        <f>IFERROR(
   IF(INDEX(Extraídas!B:B,MATCH(LEFT($A1099,6)&amp;"*",Extraídas!A:A,0))="Extraídas",
      "✅ En proceso",
      IF(INDEX(Extraídas!B:B,MATCH(LEFT($A1099,6)&amp;"*",Extraídas!A:A,0))="Recibidas",
         "⏳ Pendiente","❌ No ingresada")),
   "❌ No ingresada"
)</f>
        <v>❌ No ingresada</v>
      </c>
      <c r="C1099" s="255" t="str">
        <f t="array" ref="C1099">IFERROR(
   IF(INDEX([1]PCRs!B:B,MATCH(LEFT($A1099,6)&amp;"*",[1]PCRs!A:A,0))="Positivo",
      "✅ Positivo",
      IF(INDEX([1]PCRs!B:B,MATCH(LEFT($A1099,6)&amp;"*",[1]PCRs!A:A,0))="Negativo",
         "❌ Negativo",
         "⏳ No realizado")),
   "⏳ No realizado"
)</f>
        <v>✅ Positivo</v>
      </c>
      <c r="D1099" s="255" t="str">
        <f>IFERROR(
   CHOOSE(
      MATCH(VLOOKUP(LEFT(A1146,6)&amp;"*",'Identificación genética'!A:C,2,FALSE),
               {"En proceso";"Finalizado"},0),
      "🔬 En proceso",
      "🎯 Finalizado"
   ),
"❌ NA")</f>
        <v>❌ NA</v>
      </c>
      <c r="E1099" t="s">
        <v>85</v>
      </c>
      <c r="G1099" t="str">
        <f>_xlfn.XLOOKUP(A1099, Extraídas!A:A, Extraídas!G:G, "")</f>
        <v/>
      </c>
    </row>
    <row r="1100" spans="1:7" x14ac:dyDescent="0.3">
      <c r="A1100" s="352" t="s">
        <v>2282</v>
      </c>
      <c r="B1100" t="str">
        <f t="array" ref="B1100">IFERROR(
   IF(INDEX([1]Extraídas!B:B,MATCH(LEFT($A1100,6)&amp;"*",[1]Extraídas!A:A,0))="Extraídas",
      "✅ En proceso",
      IF(INDEX([1]Extraídas!B:B,MATCH(LEFT($A1100,6)&amp;"*",[1]Extraídas!A:A,0))="Recibidas",
         "⏳ Pendiente","❌ No ingresada")),
   "❌ No ingresada"
)</f>
        <v>❌ No ingresada</v>
      </c>
      <c r="C1100" s="255" t="str">
        <f t="array" ref="C1100">IFERROR(
   IF(INDEX([1]PCRs!B:B,MATCH(LEFT($A1100,6)&amp;"*",[1]PCRs!A:A,0))="Positivo",
      "✅ Positivo",
      IF(INDEX([1]PCRs!B:B,MATCH(LEFT($A1100,6)&amp;"*",[1]PCRs!A:A,0))="Negativo",
         "❌ Negativo",
         "⏳ No realizado")),
   "⏳ No realizado"
)</f>
        <v>⏳ No realizado</v>
      </c>
      <c r="D1100" s="255" t="str">
        <f>IFERROR(
   CHOOSE(
      MATCH(VLOOKUP(LEFT(A1147,6)&amp;"*",'Identificación genética'!A:C,2,FALSE),
               {"En proceso";"Finalizado"},0),
      "🔬 En proceso",
      "🎯 Finalizado"
   ),
"❌ NA")</f>
        <v>❌ NA</v>
      </c>
      <c r="E1100" t="s">
        <v>24</v>
      </c>
      <c r="G1100" t="str">
        <f>_xlfn.XLOOKUP(A1100, Extraídas!A:A, Extraídas!G:G, "")</f>
        <v/>
      </c>
    </row>
    <row r="1101" spans="1:7" x14ac:dyDescent="0.3">
      <c r="A1101" s="352" t="s">
        <v>1203</v>
      </c>
      <c r="B1101" s="255" t="str">
        <f>IFERROR(
   IF(INDEX(Extraídas!B:B,MATCH(LEFT($A1101,6)&amp;"*",Extraídas!A:A,0))="Extraídas",
      "✅ En proceso",
      IF(INDEX(Extraídas!B:B,MATCH(LEFT($A1101,6)&amp;"*",Extraídas!A:A,0))="Recibidas",
         "⏳ Pendiente","❌ No ingresada")),
   "❌ No ingresada"
)</f>
        <v>❌ No ingresada</v>
      </c>
      <c r="C1101" s="255" t="str">
        <f t="array" ref="C1101">IFERROR(
   IF(INDEX([1]PCRs!B:B,MATCH(LEFT($A1101,6)&amp;"*",[1]PCRs!A:A,0))="Positivo",
      "✅ Positivo",
      IF(INDEX([1]PCRs!B:B,MATCH(LEFT($A1101,6)&amp;"*",[1]PCRs!A:A,0))="Negativo",
         "❌ Negativo",
         "⏳ No realizado")),
   "⏳ No realizado"
)</f>
        <v>✅ Positivo</v>
      </c>
      <c r="D1101" s="255" t="str">
        <f>IFERROR(
   CHOOSE(
      MATCH(VLOOKUP(LEFT(A1148,6)&amp;"*",'Identificación genética'!A:C,2,FALSE),
               {"En proceso";"Finalizado"},0),
      "🔬 En proceso",
      "🎯 Finalizado"
   ),
"❌ NA")</f>
        <v>❌ NA</v>
      </c>
      <c r="E1101" t="s">
        <v>85</v>
      </c>
      <c r="G1101" t="str">
        <f>_xlfn.XLOOKUP(A1101, Extraídas!A:A, Extraídas!G:G, "")</f>
        <v/>
      </c>
    </row>
    <row r="1102" spans="1:7" x14ac:dyDescent="0.3">
      <c r="A1102" s="352" t="s">
        <v>1204</v>
      </c>
      <c r="B1102" t="str">
        <f t="array" ref="B1102">IFERROR(
   IF(INDEX([1]Extraídas!B:B,MATCH(LEFT($A1102,6)&amp;"*",[1]Extraídas!A:A,0))="Extraídas",
      "✅ En proceso",
      IF(INDEX([1]Extraídas!B:B,MATCH(LEFT($A1102,6)&amp;"*",[1]Extraídas!A:A,0))="Recibidas",
         "⏳ Pendiente","❌ No ingresada")),
   "❌ No ingresada"
)</f>
        <v>❌ No ingresada</v>
      </c>
      <c r="C1102" s="255" t="str">
        <f t="array" ref="C1102">IFERROR(
   IF(INDEX([1]PCRs!B:B,MATCH(LEFT($A1102,6)&amp;"*",[1]PCRs!A:A,0))="Positivo",
      "✅ Positivo",
      IF(INDEX([1]PCRs!B:B,MATCH(LEFT($A1102,6)&amp;"*",[1]PCRs!A:A,0))="Negativo",
         "❌ Negativo",
         "⏳ No realizado")),
   "⏳ No realizado"
)</f>
        <v>✅ Positivo</v>
      </c>
      <c r="D1102" s="255" t="str">
        <f>IFERROR(
   CHOOSE(
      MATCH(VLOOKUP(LEFT(A1149,6)&amp;"*",'Identificación genética'!A:C,2,FALSE),
               {"En proceso";"Finalizado"},0),
      "🔬 En proceso",
      "🎯 Finalizado"
   ),
"❌ NA")</f>
        <v>❌ NA</v>
      </c>
      <c r="E1102" t="s">
        <v>24</v>
      </c>
      <c r="G1102" t="str">
        <f>_xlfn.XLOOKUP(A1102, Extraídas!A:A, Extraídas!G:G, "")</f>
        <v/>
      </c>
    </row>
    <row r="1103" spans="1:7" x14ac:dyDescent="0.3">
      <c r="A1103" s="657" t="s">
        <v>1032</v>
      </c>
      <c r="B1103" s="255" t="str">
        <f t="array" ref="B1103">IFERROR(
   IF(INDEX([1]Extraídas!B:B,MATCH(LEFT($A1103,6)&amp;"*",[1]Extraídas!A:A,0))="Extraídas",
      "✅ En proceso",
      IF(INDEX([1]Extraídas!B:B,MATCH(LEFT($A1103,6)&amp;"*",[1]Extraídas!A:A,0))="Recibidas",
         "⏳ Pendiente","❌ No ingresada")),
   "❌ No ingresada"
)</f>
        <v>✅ En proceso</v>
      </c>
      <c r="C1103" s="255" t="str">
        <f t="array" ref="C1103">IFERROR(
   IF(INDEX([1]PCRs!B:B,MATCH(LEFT($A1103,6)&amp;"*",[1]PCRs!A:A,0))="Positivo",
      "✅ Positivo",
      IF(INDEX([1]PCRs!B:B,MATCH(LEFT($A1103,6)&amp;"*",[1]PCRs!A:A,0))="Negativo",
         "❌ Negativo",
         "⏳ No realizado")),
   "⏳ No realizado"
)</f>
        <v>⏳ No realizado</v>
      </c>
      <c r="D1103" s="255" t="str">
        <f>IFERROR(
   CHOOSE(
      MATCH(VLOOKUP(LEFT(A1150,6)&amp;"*",'Identificación genética'!A:C,2,FALSE),
               {"En proceso";"Finalizado"},0),
      "🔬 En proceso",
      "🎯 Finalizado"
   ),
"❌ NA")</f>
        <v>❌ NA</v>
      </c>
      <c r="E1103" t="s">
        <v>24</v>
      </c>
      <c r="F1103" s="54">
        <v>45947</v>
      </c>
      <c r="G1103" t="str">
        <f>_xlfn.XLOOKUP(A1103, Extraídas!A:A, Extraídas!G:G, "")</f>
        <v>ambiental</v>
      </c>
    </row>
    <row r="1104" spans="1:7" x14ac:dyDescent="0.3">
      <c r="A1104" s="656" t="s">
        <v>1033</v>
      </c>
      <c r="B1104" s="255" t="str">
        <f t="array" ref="B1104">IFERROR(
   IF(INDEX([1]Extraídas!B:B,MATCH(LEFT($A1104,6)&amp;"*",[1]Extraídas!A:A,0))="Extraídas",
      "✅ En proceso",
      IF(INDEX([1]Extraídas!B:B,MATCH(LEFT($A1104,6)&amp;"*",[1]Extraídas!A:A,0))="Recibidas",
         "⏳ Pendiente","❌ No ingresada")),
   "❌ No ingresada"
)</f>
        <v>✅ En proceso</v>
      </c>
      <c r="C1104" s="255" t="str">
        <f t="array" ref="C1104">IFERROR(
   IF(INDEX([1]PCRs!B:B,MATCH(LEFT($A1104,6)&amp;"*",[1]PCRs!A:A,0))="Positivo",
      "✅ Positivo",
      IF(INDEX([1]PCRs!B:B,MATCH(LEFT($A1104,6)&amp;"*",[1]PCRs!A:A,0))="Negativo",
         "❌ Negativo",
         "⏳ No realizado")),
   "⏳ No realizado"
)</f>
        <v>⏳ No realizado</v>
      </c>
      <c r="D1104" s="255" t="str">
        <f>IFERROR(
   CHOOSE(
      MATCH(VLOOKUP(LEFT(A1151,6)&amp;"*",'Identificación genética'!A:C,2,FALSE),
               {"En proceso";"Finalizado"},0),
      "🔬 En proceso",
      "🎯 Finalizado"
   ),
"❌ NA")</f>
        <v>❌ NA</v>
      </c>
      <c r="E1104" t="s">
        <v>24</v>
      </c>
      <c r="F1104" s="54">
        <v>45947</v>
      </c>
      <c r="G1104" t="str">
        <f>_xlfn.XLOOKUP(A1104, Extraídas!A:A, Extraídas!G:G, "")</f>
        <v>ambiental</v>
      </c>
    </row>
    <row r="1105" spans="1:7" x14ac:dyDescent="0.3">
      <c r="A1105" s="657" t="s">
        <v>1034</v>
      </c>
      <c r="B1105" s="255" t="str">
        <f t="array" ref="B1105">IFERROR(
   IF(INDEX([1]Extraídas!B:B,MATCH(LEFT($A1105,6)&amp;"*",[1]Extraídas!A:A,0))="Extraídas",
      "✅ En proceso",
      IF(INDEX([1]Extraídas!B:B,MATCH(LEFT($A1105,6)&amp;"*",[1]Extraídas!A:A,0))="Recibidas",
         "⏳ Pendiente","❌ No ingresada")),
   "❌ No ingresada"
)</f>
        <v>✅ En proceso</v>
      </c>
      <c r="C1105" s="255" t="str">
        <f t="array" ref="C1105">IFERROR(
   IF(INDEX([1]PCRs!B:B,MATCH(LEFT($A1105,6)&amp;"*",[1]PCRs!A:A,0))="Positivo",
      "✅ Positivo",
      IF(INDEX([1]PCRs!B:B,MATCH(LEFT($A1105,6)&amp;"*",[1]PCRs!A:A,0))="Negativo",
         "❌ Negativo",
         "⏳ No realizado")),
   "⏳ No realizado"
)</f>
        <v>⏳ No realizado</v>
      </c>
      <c r="D1105" s="255" t="str">
        <f>IFERROR(
   CHOOSE(
      MATCH(VLOOKUP(LEFT(A1152,6)&amp;"*",'Identificación genética'!A:C,2,FALSE),
               {"En proceso";"Finalizado"},0),
      "🔬 En proceso",
      "🎯 Finalizado"
   ),
"❌ NA")</f>
        <v>❌ NA</v>
      </c>
      <c r="E1105" t="s">
        <v>24</v>
      </c>
      <c r="F1105" s="54">
        <v>45947</v>
      </c>
      <c r="G1105" t="str">
        <f>_xlfn.XLOOKUP(A1105, Extraídas!A:A, Extraídas!G:G, "")</f>
        <v>ambiental</v>
      </c>
    </row>
    <row r="1106" spans="1:7" x14ac:dyDescent="0.3">
      <c r="A1106" s="654" t="s">
        <v>1035</v>
      </c>
      <c r="B1106" s="255" t="str">
        <f t="array" ref="B1106">IFERROR(
   IF(INDEX([1]Extraídas!B:B,MATCH(LEFT($A1106,6)&amp;"*",[1]Extraídas!A:A,0))="Extraídas",
      "✅ En proceso",
      IF(INDEX([1]Extraídas!B:B,MATCH(LEFT($A1106,6)&amp;"*",[1]Extraídas!A:A,0))="Recibidas",
         "⏳ Pendiente","❌ No ingresada")),
   "❌ No ingresada"
)</f>
        <v>✅ En proceso</v>
      </c>
      <c r="C1106" s="255" t="str">
        <f t="array" ref="C1106">IFERROR(
   IF(INDEX([1]PCRs!B:B,MATCH(LEFT($A1106,6)&amp;"*",[1]PCRs!A:A,0))="Positivo",
      "✅ Positivo",
      IF(INDEX([1]PCRs!B:B,MATCH(LEFT($A1106,6)&amp;"*",[1]PCRs!A:A,0))="Negativo",
         "❌ Negativo",
         "⏳ No realizado")),
   "⏳ No realizado"
)</f>
        <v>⏳ No realizado</v>
      </c>
      <c r="D1106" s="255" t="str">
        <f>IFERROR(
   CHOOSE(
      MATCH(VLOOKUP(LEFT(A1153,6)&amp;"*",'Identificación genética'!A:C,2,FALSE),
               {"En proceso";"Finalizado"},0),
      "🔬 En proceso",
      "🎯 Finalizado"
   ),
"❌ NA")</f>
        <v>❌ NA</v>
      </c>
      <c r="E1106" t="s">
        <v>24</v>
      </c>
      <c r="F1106" s="586">
        <v>45848</v>
      </c>
      <c r="G1106" t="str">
        <f>_xlfn.XLOOKUP(A1106, Extraídas!A:A, Extraídas!G:G, "")</f>
        <v>Macroalgas</v>
      </c>
    </row>
    <row r="1107" spans="1:7" x14ac:dyDescent="0.3">
      <c r="A1107" s="654" t="s">
        <v>1036</v>
      </c>
      <c r="B1107" s="255" t="str">
        <f t="array" ref="B1107">IFERROR(
   IF(INDEX([1]Extraídas!B:B,MATCH(LEFT($A1107,6)&amp;"*",[1]Extraídas!A:A,0))="Extraídas",
      "✅ En proceso",
      IF(INDEX([1]Extraídas!B:B,MATCH(LEFT($A1107,6)&amp;"*",[1]Extraídas!A:A,0))="Recibidas",
         "⏳ Pendiente","❌ No ingresada")),
   "❌ No ingresada"
)</f>
        <v>✅ En proceso</v>
      </c>
      <c r="C1107" s="255" t="str">
        <f t="array" ref="C1107">IFERROR(
   IF(INDEX([1]PCRs!B:B,MATCH(LEFT($A1107,6)&amp;"*",[1]PCRs!A:A,0))="Positivo",
      "✅ Positivo",
      IF(INDEX([1]PCRs!B:B,MATCH(LEFT($A1107,6)&amp;"*",[1]PCRs!A:A,0))="Negativo",
         "❌ Negativo",
         "⏳ No realizado")),
   "⏳ No realizado"
)</f>
        <v>⏳ No realizado</v>
      </c>
      <c r="D1107" s="255" t="str">
        <f>IFERROR(
   CHOOSE(
      MATCH(VLOOKUP(LEFT(A1154,6)&amp;"*",'Identificación genética'!A:C,2,FALSE),
               {"En proceso";"Finalizado"},0),
      "🔬 En proceso",
      "🎯 Finalizado"
   ),
"❌ NA")</f>
        <v>❌ NA</v>
      </c>
      <c r="E1107" t="s">
        <v>24</v>
      </c>
      <c r="F1107" s="586">
        <v>45848</v>
      </c>
      <c r="G1107" t="str">
        <f>_xlfn.XLOOKUP(A1107, Extraídas!A:A, Extraídas!G:G, "")</f>
        <v>Macroalgas</v>
      </c>
    </row>
    <row r="1108" spans="1:7" x14ac:dyDescent="0.3">
      <c r="A1108" s="654" t="s">
        <v>1037</v>
      </c>
      <c r="B1108" s="255" t="str">
        <f t="array" ref="B1108">IFERROR(
   IF(INDEX([1]Extraídas!B:B,MATCH(LEFT($A1108,6)&amp;"*",[1]Extraídas!A:A,0))="Extraídas",
      "✅ En proceso",
      IF(INDEX([1]Extraídas!B:B,MATCH(LEFT($A1108,6)&amp;"*",[1]Extraídas!A:A,0))="Recibidas",
         "⏳ Pendiente","❌ No ingresada")),
   "❌ No ingresada"
)</f>
        <v>✅ En proceso</v>
      </c>
      <c r="C1108" s="255" t="str">
        <f t="array" ref="C1108">IFERROR(
   IF(INDEX([1]PCRs!B:B,MATCH(LEFT($A1108,6)&amp;"*",[1]PCRs!A:A,0))="Positivo",
      "✅ Positivo",
      IF(INDEX([1]PCRs!B:B,MATCH(LEFT($A1108,6)&amp;"*",[1]PCRs!A:A,0))="Negativo",
         "❌ Negativo",
         "⏳ No realizado")),
   "⏳ No realizado"
)</f>
        <v>⏳ No realizado</v>
      </c>
      <c r="D1108" s="255" t="str">
        <f>IFERROR(
   CHOOSE(
      MATCH(VLOOKUP(LEFT(A1155,6)&amp;"*",'Identificación genética'!A:C,2,FALSE),
               {"En proceso";"Finalizado"},0),
      "🔬 En proceso",
      "🎯 Finalizado"
   ),
"❌ NA")</f>
        <v>❌ NA</v>
      </c>
      <c r="E1108" t="s">
        <v>24</v>
      </c>
      <c r="F1108" s="586">
        <v>45848</v>
      </c>
      <c r="G1108" t="str">
        <f>_xlfn.XLOOKUP(A1108, Extraídas!A:A, Extraídas!G:G, "")</f>
        <v>Macroalgas</v>
      </c>
    </row>
    <row r="1109" spans="1:7" x14ac:dyDescent="0.3">
      <c r="A1109" s="656" t="s">
        <v>1038</v>
      </c>
      <c r="B1109" s="255" t="str">
        <f t="array" ref="B1109">IFERROR(
   IF(INDEX([1]Extraídas!B:B,MATCH(LEFT($A1109,6)&amp;"*",[1]Extraídas!A:A,0))="Extraídas",
      "✅ En proceso",
      IF(INDEX([1]Extraídas!B:B,MATCH(LEFT($A1109,6)&amp;"*",[1]Extraídas!A:A,0))="Recibidas",
         "⏳ Pendiente","❌ No ingresada")),
   "❌ No ingresada"
)</f>
        <v>✅ En proceso</v>
      </c>
      <c r="C1109" s="255" t="str">
        <f t="array" ref="C1109">IFERROR(
   IF(INDEX([1]PCRs!B:B,MATCH(LEFT($A1109,6)&amp;"*",[1]PCRs!A:A,0))="Positivo",
      "✅ Positivo",
      IF(INDEX([1]PCRs!B:B,MATCH(LEFT($A1109,6)&amp;"*",[1]PCRs!A:A,0))="Negativo",
         "❌ Negativo",
         "⏳ No realizado")),
   "⏳ No realizado"
)</f>
        <v>⏳ No realizado</v>
      </c>
      <c r="D1109" s="255" t="str">
        <f>IFERROR(
   CHOOSE(
      MATCH(VLOOKUP(LEFT(A1156,6)&amp;"*",'Identificación genética'!A:C,2,FALSE),
               {"En proceso";"Finalizado"},0),
      "🔬 En proceso",
      "🎯 Finalizado"
   ),
"❌ NA")</f>
        <v>❌ NA</v>
      </c>
      <c r="E1109" t="s">
        <v>24</v>
      </c>
      <c r="F1109" s="55">
        <v>45978</v>
      </c>
      <c r="G1109" t="str">
        <f>_xlfn.XLOOKUP(A1109, Extraídas!A:A, Extraídas!G:G, "")</f>
        <v>Ulvophyceae</v>
      </c>
    </row>
    <row r="1110" spans="1:7" x14ac:dyDescent="0.3">
      <c r="A1110" s="656" t="s">
        <v>1039</v>
      </c>
      <c r="B1110" s="255" t="str">
        <f t="array" ref="B1110">IFERROR(
   IF(INDEX([1]Extraídas!B:B,MATCH(LEFT($A1110,6)&amp;"*",[1]Extraídas!A:A,0))="Extraídas",
      "✅ En proceso",
      IF(INDEX([1]Extraídas!B:B,MATCH(LEFT($A1110,6)&amp;"*",[1]Extraídas!A:A,0))="Recibidas",
         "⏳ Pendiente","❌ No ingresada")),
   "❌ No ingresada"
)</f>
        <v>✅ En proceso</v>
      </c>
      <c r="C1110" s="255" t="str">
        <f t="array" ref="C1110">IFERROR(
   IF(INDEX([1]PCRs!B:B,MATCH(LEFT($A1110,6)&amp;"*",[1]PCRs!A:A,0))="Positivo",
      "✅ Positivo",
      IF(INDEX([1]PCRs!B:B,MATCH(LEFT($A1110,6)&amp;"*",[1]PCRs!A:A,0))="Negativo",
         "❌ Negativo",
         "⏳ No realizado")),
   "⏳ No realizado"
)</f>
        <v>⏳ No realizado</v>
      </c>
      <c r="D1110" s="255" t="str">
        <f>IFERROR(
   CHOOSE(
      MATCH(VLOOKUP(LEFT(A1157,6)&amp;"*",'Identificación genética'!A:C,2,FALSE),
               {"En proceso";"Finalizado"},0),
      "🔬 En proceso",
      "🎯 Finalizado"
   ),
"❌ NA")</f>
        <v>❌ NA</v>
      </c>
      <c r="E1110" t="s">
        <v>24</v>
      </c>
      <c r="F1110" s="55">
        <v>45958</v>
      </c>
      <c r="G1110" t="str">
        <f>_xlfn.XLOOKUP(A1110, Extraídas!A:A, Extraídas!G:G, "")</f>
        <v>Ulvophyceae</v>
      </c>
    </row>
    <row r="1111" spans="1:7" x14ac:dyDescent="0.3">
      <c r="A1111" s="657" t="s">
        <v>1040</v>
      </c>
      <c r="B1111" s="255" t="str">
        <f t="array" ref="B1111">IFERROR(
   IF(INDEX([1]Extraídas!B:B,MATCH(LEFT($A1111,6)&amp;"*",[1]Extraídas!A:A,0))="Extraídas",
      "✅ En proceso",
      IF(INDEX([1]Extraídas!B:B,MATCH(LEFT($A1111,6)&amp;"*",[1]Extraídas!A:A,0))="Recibidas",
         "⏳ Pendiente","❌ No ingresada")),
   "❌ No ingresada"
)</f>
        <v>✅ En proceso</v>
      </c>
      <c r="C1111" s="255" t="str">
        <f t="array" ref="C1111">IFERROR(
   IF(INDEX([1]PCRs!B:B,MATCH(LEFT($A1111,6)&amp;"*",[1]PCRs!A:A,0))="Positivo",
      "✅ Positivo",
      IF(INDEX([1]PCRs!B:B,MATCH(LEFT($A1111,6)&amp;"*",[1]PCRs!A:A,0))="Negativo",
         "❌ Negativo",
         "⏳ No realizado")),
   "⏳ No realizado"
)</f>
        <v>⏳ No realizado</v>
      </c>
      <c r="D1111" s="255" t="str">
        <f>IFERROR(
   CHOOSE(
      MATCH(VLOOKUP(LEFT(A1158,6)&amp;"*",'Identificación genética'!A:C,2,FALSE),
               {"En proceso";"Finalizado"},0),
      "🔬 En proceso",
      "🎯 Finalizado"
   ),
"❌ NA")</f>
        <v>❌ NA</v>
      </c>
      <c r="E1111" t="s">
        <v>24</v>
      </c>
      <c r="F1111" s="53">
        <v>45958</v>
      </c>
      <c r="G1111" t="str">
        <f>_xlfn.XLOOKUP(A1111, Extraídas!A:A, Extraídas!G:G, "")</f>
        <v>Ulvophyceae</v>
      </c>
    </row>
    <row r="1112" spans="1:7" x14ac:dyDescent="0.3">
      <c r="A1112" s="654" t="s">
        <v>1041</v>
      </c>
      <c r="B1112" s="255" t="str">
        <f t="array" ref="B1112">IFERROR(
   IF(INDEX([1]Extraídas!B:B,MATCH(LEFT($A1112,6)&amp;"*",[1]Extraídas!A:A,0))="Extraídas",
      "✅ En proceso",
      IF(INDEX([1]Extraídas!B:B,MATCH(LEFT($A1112,6)&amp;"*",[1]Extraídas!A:A,0))="Recibidas",
         "⏳ Pendiente","❌ No ingresada")),
   "❌ No ingresada"
)</f>
        <v>✅ En proceso</v>
      </c>
      <c r="C1112" s="255" t="str">
        <f t="array" ref="C1112">IFERROR(
   IF(INDEX([1]PCRs!B:B,MATCH(LEFT($A1112,6)&amp;"*",[1]PCRs!A:A,0))="Positivo",
      "✅ Positivo",
      IF(INDEX([1]PCRs!B:B,MATCH(LEFT($A1112,6)&amp;"*",[1]PCRs!A:A,0))="Negativo",
         "❌ Negativo",
         "⏳ No realizado")),
   "⏳ No realizado"
)</f>
        <v>⏳ No realizado</v>
      </c>
      <c r="D1112" s="255" t="str">
        <f>IFERROR(
   CHOOSE(
      MATCH(VLOOKUP(LEFT(A1159,6)&amp;"*",'Identificación genética'!A:C,2,FALSE),
               {"En proceso";"Finalizado"},0),
      "🔬 En proceso",
      "🎯 Finalizado"
   ),
"❌ NA")</f>
        <v>❌ NA</v>
      </c>
      <c r="E1112" t="s">
        <v>24</v>
      </c>
      <c r="F1112" s="586">
        <v>45848</v>
      </c>
      <c r="G1112" t="str">
        <f>_xlfn.XLOOKUP(A1112, Extraídas!A:A, Extraídas!G:G, "")</f>
        <v>Macroalgas</v>
      </c>
    </row>
    <row r="1113" spans="1:7" x14ac:dyDescent="0.3">
      <c r="A1113" s="654" t="s">
        <v>1042</v>
      </c>
      <c r="B1113" s="255" t="str">
        <f t="array" ref="B1113">IFERROR(
   IF(INDEX([1]Extraídas!B:B,MATCH(LEFT($A1113,6)&amp;"*",[1]Extraídas!A:A,0))="Extraídas",
      "✅ En proceso",
      IF(INDEX([1]Extraídas!B:B,MATCH(LEFT($A1113,6)&amp;"*",[1]Extraídas!A:A,0))="Recibidas",
         "⏳ Pendiente","❌ No ingresada")),
   "❌ No ingresada"
)</f>
        <v>✅ En proceso</v>
      </c>
      <c r="C1113" s="255" t="str">
        <f t="array" ref="C1113">IFERROR(
   IF(INDEX([1]PCRs!B:B,MATCH(LEFT($A1113,6)&amp;"*",[1]PCRs!A:A,0))="Positivo",
      "✅ Positivo",
      IF(INDEX([1]PCRs!B:B,MATCH(LEFT($A1113,6)&amp;"*",[1]PCRs!A:A,0))="Negativo",
         "❌ Negativo",
         "⏳ No realizado")),
   "⏳ No realizado"
)</f>
        <v>⏳ No realizado</v>
      </c>
      <c r="D1113" s="255" t="str">
        <f>IFERROR(
   CHOOSE(
      MATCH(VLOOKUP(LEFT(A1160,6)&amp;"*",'Identificación genética'!A:C,2,FALSE),
               {"En proceso";"Finalizado"},0),
      "🔬 En proceso",
      "🎯 Finalizado"
   ),
"❌ NA")</f>
        <v>❌ NA</v>
      </c>
      <c r="E1113" t="s">
        <v>24</v>
      </c>
      <c r="F1113" s="586">
        <v>45848</v>
      </c>
      <c r="G1113" t="str">
        <f>_xlfn.XLOOKUP(A1113, Extraídas!A:A, Extraídas!G:G, "")</f>
        <v>Macroalgas</v>
      </c>
    </row>
    <row r="1114" spans="1:7" x14ac:dyDescent="0.3">
      <c r="A1114" s="654" t="s">
        <v>1043</v>
      </c>
      <c r="B1114" s="255" t="str">
        <f t="array" ref="B1114">IFERROR(
   IF(INDEX([1]Extraídas!B:B,MATCH(LEFT($A1114,6)&amp;"*",[1]Extraídas!A:A,0))="Extraídas",
      "✅ En proceso",
      IF(INDEX([1]Extraídas!B:B,MATCH(LEFT($A1114,6)&amp;"*",[1]Extraídas!A:A,0))="Recibidas",
         "⏳ Pendiente","❌ No ingresada")),
   "❌ No ingresada"
)</f>
        <v>✅ En proceso</v>
      </c>
      <c r="C1114" s="255" t="str">
        <f t="array" ref="C1114">IFERROR(
   IF(INDEX([1]PCRs!B:B,MATCH(LEFT($A1114,6)&amp;"*",[1]PCRs!A:A,0))="Positivo",
      "✅ Positivo",
      IF(INDEX([1]PCRs!B:B,MATCH(LEFT($A1114,6)&amp;"*",[1]PCRs!A:A,0))="Negativo",
         "❌ Negativo",
         "⏳ No realizado")),
   "⏳ No realizado"
)</f>
        <v>⏳ No realizado</v>
      </c>
      <c r="D1114" s="255" t="str">
        <f>IFERROR(
   CHOOSE(
      MATCH(VLOOKUP(LEFT(A1161,6)&amp;"*",'Identificación genética'!A:C,2,FALSE),
               {"En proceso";"Finalizado"},0),
      "🔬 En proceso",
      "🎯 Finalizado"
   ),
"❌ NA")</f>
        <v>❌ NA</v>
      </c>
      <c r="E1114" t="s">
        <v>24</v>
      </c>
      <c r="F1114" s="111">
        <v>45756</v>
      </c>
      <c r="G1114" t="str">
        <f>_xlfn.XLOOKUP(A1114, Extraídas!A:A, Extraídas!G:G, "")</f>
        <v>Macroalgas</v>
      </c>
    </row>
    <row r="1115" spans="1:7" x14ac:dyDescent="0.3">
      <c r="A1115" s="491" t="s">
        <v>2349</v>
      </c>
      <c r="B1115" t="str">
        <f t="array" ref="B1115">IFERROR(
   IF(INDEX([1]Extraídas!B:B,MATCH(LEFT($A1115,6)&amp;"*",[1]Extraídas!A:A,0))="Extraídas",
      "✅ En proceso",
      IF(INDEX([1]Extraídas!B:B,MATCH(LEFT($A1115,6)&amp;"*",[1]Extraídas!A:A,0))="Recibidas",
         "⏳ Pendiente","❌ No ingresada")),
   "❌ No ingresada"
)</f>
        <v>❌ No ingresada</v>
      </c>
      <c r="C1115" s="255" t="str">
        <f t="array" ref="C1115">IFERROR(
   IF(INDEX([1]PCRs!B:B,MATCH(LEFT($A1115,6)&amp;"*",[1]PCRs!A:A,0))="Positivo",
      "✅ Positivo",
      IF(INDEX([1]PCRs!B:B,MATCH(LEFT($A1115,6)&amp;"*",[1]PCRs!A:A,0))="Negativo",
         "❌ Negativo",
         "⏳ No realizado")),
   "⏳ No realizado"
)</f>
        <v>⏳ No realizado</v>
      </c>
      <c r="D1115" s="255" t="str">
        <f>IFERROR(
   CHOOSE(
      MATCH(VLOOKUP(LEFT(A1162,6)&amp;"*",'Identificación genética'!A:C,2,FALSE),
               {"En proceso";"Finalizado"},0),
      "🔬 En proceso",
      "🎯 Finalizado"
   ),
"❌ NA")</f>
        <v>❌ NA</v>
      </c>
      <c r="E1115" t="s">
        <v>24</v>
      </c>
      <c r="G1115" t="str">
        <f>_xlfn.XLOOKUP(A1115, Extraídas!A:A, Extraídas!G:G, "")</f>
        <v/>
      </c>
    </row>
    <row r="1116" spans="1:7" x14ac:dyDescent="0.3">
      <c r="A1116" s="500" t="s">
        <v>2350</v>
      </c>
      <c r="B1116" t="str">
        <f t="array" ref="B1116">IFERROR(
   IF(INDEX([1]Extraídas!B:B,MATCH(LEFT($A1116,6)&amp;"*",[1]Extraídas!A:A,0))="Extraídas",
      "✅ En proceso",
      IF(INDEX([1]Extraídas!B:B,MATCH(LEFT($A1116,6)&amp;"*",[1]Extraídas!A:A,0))="Recibidas",
         "⏳ Pendiente","❌ No ingresada")),
   "❌ No ingresada"
)</f>
        <v>❌ No ingresada</v>
      </c>
      <c r="C1116" s="255" t="str">
        <f t="array" ref="C1116">IFERROR(
   IF(INDEX([1]PCRs!B:B,MATCH(LEFT($A1116,6)&amp;"*",[1]PCRs!A:A,0))="Positivo",
      "✅ Positivo",
      IF(INDEX([1]PCRs!B:B,MATCH(LEFT($A1116,6)&amp;"*",[1]PCRs!A:A,0))="Negativo",
         "❌ Negativo",
         "⏳ No realizado")),
   "⏳ No realizado"
)</f>
        <v>⏳ No realizado</v>
      </c>
      <c r="D1116" s="255" t="str">
        <f>IFERROR(
   CHOOSE(
      MATCH(VLOOKUP(LEFT(A1163,6)&amp;"*",'Identificación genética'!A:C,2,FALSE),
               {"En proceso";"Finalizado"},0),
      "🔬 En proceso",
      "🎯 Finalizado"
   ),
"❌ NA")</f>
        <v>❌ NA</v>
      </c>
      <c r="E1116" t="s">
        <v>24</v>
      </c>
      <c r="G1116" t="str">
        <f>_xlfn.XLOOKUP(A1116, Extraídas!A:A, Extraídas!G:G, "")</f>
        <v/>
      </c>
    </row>
    <row r="1117" spans="1:7" x14ac:dyDescent="0.3">
      <c r="A1117" s="475" t="s">
        <v>2351</v>
      </c>
      <c r="B1117" t="str">
        <f t="array" ref="B1117">IFERROR(
   IF(INDEX([1]Extraídas!B:B,MATCH(LEFT($A1117,6)&amp;"*",[1]Extraídas!A:A,0))="Extraídas",
      "✅ En proceso",
      IF(INDEX([1]Extraídas!B:B,MATCH(LEFT($A1117,6)&amp;"*",[1]Extraídas!A:A,0))="Recibidas",
         "⏳ Pendiente","❌ No ingresada")),
   "❌ No ingresada"
)</f>
        <v>❌ No ingresada</v>
      </c>
      <c r="C1117" s="255" t="str">
        <f t="array" ref="C1117">IFERROR(
   IF(INDEX([1]PCRs!B:B,MATCH(LEFT($A1117,6)&amp;"*",[1]PCRs!A:A,0))="Positivo",
      "✅ Positivo",
      IF(INDEX([1]PCRs!B:B,MATCH(LEFT($A1117,6)&amp;"*",[1]PCRs!A:A,0))="Negativo",
         "❌ Negativo",
         "⏳ No realizado")),
   "⏳ No realizado"
)</f>
        <v>❌ Negativo</v>
      </c>
      <c r="D1117" s="255" t="str">
        <f>IFERROR(
   CHOOSE(
      MATCH(VLOOKUP(LEFT(A1164,6)&amp;"*",'Identificación genética'!A:C,2,FALSE),
               {"En proceso";"Finalizado"},0),
      "🔬 En proceso",
      "🎯 Finalizado"
   ),
"❌ NA")</f>
        <v>❌ NA</v>
      </c>
      <c r="E1117" t="s">
        <v>24</v>
      </c>
      <c r="G1117" t="str">
        <f>_xlfn.XLOOKUP(A1117, Extraídas!A:A, Extraídas!G:G, "")</f>
        <v/>
      </c>
    </row>
    <row r="1118" spans="1:7" x14ac:dyDescent="0.3">
      <c r="A1118" s="475" t="s">
        <v>2352</v>
      </c>
      <c r="B1118" t="str">
        <f t="array" ref="B1118">IFERROR(
   IF(INDEX([1]Extraídas!B:B,MATCH(LEFT($A1118,6)&amp;"*",[1]Extraídas!A:A,0))="Extraídas",
      "✅ En proceso",
      IF(INDEX([1]Extraídas!B:B,MATCH(LEFT($A1118,6)&amp;"*",[1]Extraídas!A:A,0))="Recibidas",
         "⏳ Pendiente","❌ No ingresada")),
   "❌ No ingresada"
)</f>
        <v>❌ No ingresada</v>
      </c>
      <c r="C1118" s="255" t="str">
        <f t="array" ref="C1118">IFERROR(
   IF(INDEX([1]PCRs!B:B,MATCH(LEFT($A1118,6)&amp;"*",[1]PCRs!A:A,0))="Positivo",
      "✅ Positivo",
      IF(INDEX([1]PCRs!B:B,MATCH(LEFT($A1118,6)&amp;"*",[1]PCRs!A:A,0))="Negativo",
         "❌ Negativo",
         "⏳ No realizado")),
   "⏳ No realizado"
)</f>
        <v>❌ Negativo</v>
      </c>
      <c r="D1118" s="255" t="str">
        <f>IFERROR(
   CHOOSE(
      MATCH(VLOOKUP(LEFT(A1165,6)&amp;"*",'Identificación genética'!A:C,2,FALSE),
               {"En proceso";"Finalizado"},0),
      "🔬 En proceso",
      "🎯 Finalizado"
   ),
"❌ NA")</f>
        <v>❌ NA</v>
      </c>
      <c r="E1118" t="s">
        <v>24</v>
      </c>
      <c r="G1118" t="str">
        <f>_xlfn.XLOOKUP(A1118, Extraídas!A:A, Extraídas!G:G, "")</f>
        <v/>
      </c>
    </row>
    <row r="1119" spans="1:7" x14ac:dyDescent="0.3">
      <c r="A1119" s="352" t="s">
        <v>1206</v>
      </c>
      <c r="B1119" t="str">
        <f t="array" ref="B1119">IFERROR(
   IF(INDEX([1]Extraídas!B:B,MATCH(LEFT($A1119,6)&amp;"*",[1]Extraídas!A:A,0))="Extraídas",
      "✅ En proceso",
      IF(INDEX([1]Extraídas!B:B,MATCH(LEFT($A1119,6)&amp;"*",[1]Extraídas!A:A,0))="Recibidas",
         "⏳ Pendiente","❌ No ingresada")),
   "❌ No ingresada"
)</f>
        <v>❌ No ingresada</v>
      </c>
      <c r="C1119" s="255" t="str">
        <f t="array" ref="C1119">IFERROR(
   IF(INDEX([1]PCRs!B:B,MATCH(LEFT($A1119,6)&amp;"*",[1]PCRs!A:A,0))="Positivo",
      "✅ Positivo",
      IF(INDEX([1]PCRs!B:B,MATCH(LEFT($A1119,6)&amp;"*",[1]PCRs!A:A,0))="Negativo",
         "❌ Negativo",
         "⏳ No realizado")),
   "⏳ No realizado"
)</f>
        <v>❌ Negativo</v>
      </c>
      <c r="D1119" s="255" t="str">
        <f>IFERROR(
   CHOOSE(
      MATCH(VLOOKUP(LEFT(A1166,6)&amp;"*",'Identificación genética'!A:C,2,FALSE),
               {"En proceso";"Finalizado"},0),
      "🔬 En proceso",
      "🎯 Finalizado"
   ),
"❌ NA")</f>
        <v>❌ NA</v>
      </c>
      <c r="E1119" t="s">
        <v>24</v>
      </c>
      <c r="G1119" t="str">
        <f>_xlfn.XLOOKUP(A1119, Extraídas!A:A, Extraídas!G:G, "")</f>
        <v/>
      </c>
    </row>
    <row r="1120" spans="1:7" x14ac:dyDescent="0.3">
      <c r="A1120" s="490" t="s">
        <v>2353</v>
      </c>
      <c r="B1120" t="str">
        <f t="array" ref="B1120">IFERROR(
   IF(INDEX([1]Extraídas!B:B,MATCH(LEFT($A1120,6)&amp;"*",[1]Extraídas!A:A,0))="Extraídas",
      "✅ En proceso",
      IF(INDEX([1]Extraídas!B:B,MATCH(LEFT($A1120,6)&amp;"*",[1]Extraídas!A:A,0))="Recibidas",
         "⏳ Pendiente","❌ No ingresada")),
   "❌ No ingresada"
)</f>
        <v>❌ No ingresada</v>
      </c>
      <c r="C1120" s="255" t="str">
        <f t="array" ref="C1120">IFERROR(
   IF(INDEX([1]PCRs!B:B,MATCH(LEFT($A1120,6)&amp;"*",[1]PCRs!A:A,0))="Positivo",
      "✅ Positivo",
      IF(INDEX([1]PCRs!B:B,MATCH(LEFT($A1120,6)&amp;"*",[1]PCRs!A:A,0))="Negativo",
         "❌ Negativo",
         "⏳ No realizado")),
   "⏳ No realizado"
)</f>
        <v>⏳ No realizado</v>
      </c>
      <c r="D1120" s="255" t="str">
        <f>IFERROR(
   CHOOSE(
      MATCH(VLOOKUP(LEFT(A1167,6)&amp;"*",'Identificación genética'!A:C,2,FALSE),
               {"En proceso";"Finalizado"},0),
      "🔬 En proceso",
      "🎯 Finalizado"
   ),
"❌ NA")</f>
        <v>❌ NA</v>
      </c>
      <c r="E1120" t="s">
        <v>24</v>
      </c>
      <c r="G1120" t="str">
        <f>_xlfn.XLOOKUP(A1120, Extraídas!A:A, Extraídas!G:G, "")</f>
        <v/>
      </c>
    </row>
    <row r="1121" spans="1:7" x14ac:dyDescent="0.3">
      <c r="A1121" s="490" t="s">
        <v>2354</v>
      </c>
      <c r="B1121" t="str">
        <f t="array" ref="B1121">IFERROR(
   IF(INDEX([1]Extraídas!B:B,MATCH(LEFT($A1121,6)&amp;"*",[1]Extraídas!A:A,0))="Extraídas",
      "✅ En proceso",
      IF(INDEX([1]Extraídas!B:B,MATCH(LEFT($A1121,6)&amp;"*",[1]Extraídas!A:A,0))="Recibidas",
         "⏳ Pendiente","❌ No ingresada")),
   "❌ No ingresada"
)</f>
        <v>❌ No ingresada</v>
      </c>
      <c r="C1121" s="255" t="str">
        <f t="array" ref="C1121">IFERROR(
   IF(INDEX([1]PCRs!B:B,MATCH(LEFT($A1121,6)&amp;"*",[1]PCRs!A:A,0))="Positivo",
      "✅ Positivo",
      IF(INDEX([1]PCRs!B:B,MATCH(LEFT($A1121,6)&amp;"*",[1]PCRs!A:A,0))="Negativo",
         "❌ Negativo",
         "⏳ No realizado")),
   "⏳ No realizado"
)</f>
        <v>⏳ No realizado</v>
      </c>
      <c r="D1121" s="255" t="str">
        <f>IFERROR(
   CHOOSE(
      MATCH(VLOOKUP(LEFT(A1168,6)&amp;"*",'Identificación genética'!A:C,2,FALSE),
               {"En proceso";"Finalizado"},0),
      "🔬 En proceso",
      "🎯 Finalizado"
   ),
"❌ NA")</f>
        <v>❌ NA</v>
      </c>
      <c r="E1121" t="s">
        <v>24</v>
      </c>
      <c r="G1121" t="str">
        <f>_xlfn.XLOOKUP(A1121, Extraídas!A:A, Extraídas!G:G, "")</f>
        <v/>
      </c>
    </row>
    <row r="1122" spans="1:7" x14ac:dyDescent="0.3">
      <c r="A1122" s="656" t="s">
        <v>1044</v>
      </c>
      <c r="B1122" s="255" t="str">
        <f t="array" ref="B1122">IFERROR(
   IF(INDEX([1]Extraídas!B:B,MATCH(LEFT($A1122,6)&amp;"*",[1]Extraídas!A:A,0))="Extraídas",
      "✅ En proceso",
      IF(INDEX([1]Extraídas!B:B,MATCH(LEFT($A1122,6)&amp;"*",[1]Extraídas!A:A,0))="Recibidas",
         "⏳ Pendiente","❌ No ingresada")),
   "❌ No ingresada"
)</f>
        <v>✅ En proceso</v>
      </c>
      <c r="C1122" s="255" t="str">
        <f t="array" ref="C1122">IFERROR(
   IF(INDEX([1]PCRs!B:B,MATCH(LEFT($A1122,6)&amp;"*",[1]PCRs!A:A,0))="Positivo",
      "✅ Positivo",
      IF(INDEX([1]PCRs!B:B,MATCH(LEFT($A1122,6)&amp;"*",[1]PCRs!A:A,0))="Negativo",
         "❌ Negativo",
         "⏳ No realizado")),
   "⏳ No realizado"
)</f>
        <v>⏳ No realizado</v>
      </c>
      <c r="D1122" s="255" t="str">
        <f>IFERROR(
   CHOOSE(
      MATCH(VLOOKUP(LEFT(A1169,6)&amp;"*",'Identificación genética'!A:C,2,FALSE),
               {"En proceso";"Finalizado"},0),
      "🔬 En proceso",
      "🎯 Finalizado"
   ),
"❌ NA")</f>
        <v>❌ NA</v>
      </c>
      <c r="E1122" t="s">
        <v>24</v>
      </c>
      <c r="F1122" s="55">
        <v>45937</v>
      </c>
      <c r="G1122" t="str">
        <f>_xlfn.XLOOKUP(A1122, Extraídas!A:A, Extraídas!G:G, "")</f>
        <v>MACROALGAS</v>
      </c>
    </row>
    <row r="1123" spans="1:7" x14ac:dyDescent="0.3">
      <c r="A1123" s="475" t="s">
        <v>1207</v>
      </c>
      <c r="B1123" t="str">
        <f t="array" ref="B1123">IFERROR(
   IF(INDEX([1]Extraídas!B:B,MATCH(LEFT($A1123,6)&amp;"*",[1]Extraídas!A:A,0))="Extraídas",
      "✅ En proceso",
      IF(INDEX([1]Extraídas!B:B,MATCH(LEFT($A1123,6)&amp;"*",[1]Extraídas!A:A,0))="Recibidas",
         "⏳ Pendiente","❌ No ingresada")),
   "❌ No ingresada"
)</f>
        <v>❌ No ingresada</v>
      </c>
      <c r="C1123" s="255" t="str">
        <f t="array" ref="C1123">IFERROR(
   IF(INDEX([1]PCRs!B:B,MATCH(LEFT($A1123,6)&amp;"*",[1]PCRs!A:A,0))="Positivo",
      "✅ Positivo",
      IF(INDEX([1]PCRs!B:B,MATCH(LEFT($A1123,6)&amp;"*",[1]PCRs!A:A,0))="Negativo",
         "❌ Negativo",
         "⏳ No realizado")),
   "⏳ No realizado"
)</f>
        <v>❌ Negativo</v>
      </c>
      <c r="D1123" s="255" t="str">
        <f>IFERROR(
   CHOOSE(
      MATCH(VLOOKUP(LEFT(A1170,6)&amp;"*",'Identificación genética'!A:C,2,FALSE),
               {"En proceso";"Finalizado"},0),
      "🔬 En proceso",
      "🎯 Finalizado"
   ),
"❌ NA")</f>
        <v>❌ NA</v>
      </c>
      <c r="E1123" t="s">
        <v>24</v>
      </c>
      <c r="G1123" t="str">
        <f>_xlfn.XLOOKUP(A1123, Extraídas!A:A, Extraídas!G:G, "")</f>
        <v/>
      </c>
    </row>
    <row r="1124" spans="1:7" x14ac:dyDescent="0.3">
      <c r="A1124" s="654" t="s">
        <v>1045</v>
      </c>
      <c r="B1124" s="255" t="str">
        <f t="array" ref="B1124">IFERROR(
   IF(INDEX([1]Extraídas!B:B,MATCH(LEFT($A1124,6)&amp;"*",[1]Extraídas!A:A,0))="Extraídas",
      "✅ En proceso",
      IF(INDEX([1]Extraídas!B:B,MATCH(LEFT($A1124,6)&amp;"*",[1]Extraídas!A:A,0))="Recibidas",
         "⏳ Pendiente","❌ No ingresada")),
   "❌ No ingresada"
)</f>
        <v>✅ En proceso</v>
      </c>
      <c r="C1124" s="255" t="str">
        <f t="array" ref="C1124">IFERROR(
   IF(INDEX([1]PCRs!B:B,MATCH(LEFT($A1124,6)&amp;"*",[1]PCRs!A:A,0))="Positivo",
      "✅ Positivo",
      IF(INDEX([1]PCRs!B:B,MATCH(LEFT($A1124,6)&amp;"*",[1]PCRs!A:A,0))="Negativo",
         "❌ Negativo",
         "⏳ No realizado")),
   "⏳ No realizado"
)</f>
        <v>❌ Negativo</v>
      </c>
      <c r="D1124" s="255" t="str">
        <f>IFERROR(
   CHOOSE(
      MATCH(VLOOKUP(LEFT(A1171,6)&amp;"*",'Identificación genética'!A:C,2,FALSE),
               {"En proceso";"Finalizado"},0),
      "🔬 En proceso",
      "🎯 Finalizado"
   ),
"❌ NA")</f>
        <v>❌ NA</v>
      </c>
      <c r="E1124" t="s">
        <v>24</v>
      </c>
      <c r="F1124" s="111">
        <v>45848</v>
      </c>
      <c r="G1124" t="str">
        <f>_xlfn.XLOOKUP(A1124, Extraídas!A:A, Extraídas!G:G, "")</f>
        <v>Macroalgas</v>
      </c>
    </row>
    <row r="1125" spans="1:7" x14ac:dyDescent="0.3">
      <c r="A1125" s="485" t="s">
        <v>1221</v>
      </c>
      <c r="B1125" t="str">
        <f t="array" ref="B1125">IFERROR(
   IF(INDEX([1]Extraídas!B:B,MATCH(LEFT($A1125,6)&amp;"*",[1]Extraídas!A:A,0))="Extraídas",
      "✅ En proceso",
      IF(INDEX([1]Extraídas!B:B,MATCH(LEFT($A1125,6)&amp;"*",[1]Extraídas!A:A,0))="Recibidas",
         "⏳ Pendiente","❌ No ingresada")),
   "❌ No ingresada"
)</f>
        <v>❌ No ingresada</v>
      </c>
      <c r="C1125" s="255" t="str">
        <f t="array" ref="C1125">IFERROR(
   IF(INDEX([1]PCRs!B:B,MATCH(LEFT($A1125,6)&amp;"*",[1]PCRs!A:A,0))="Positivo",
      "✅ Positivo",
      IF(INDEX([1]PCRs!B:B,MATCH(LEFT($A1125,6)&amp;"*",[1]PCRs!A:A,0))="Negativo",
         "❌ Negativo",
         "⏳ No realizado")),
   "⏳ No realizado"
)</f>
        <v>❌ Negativo</v>
      </c>
      <c r="D1125" s="255" t="str">
        <f>IFERROR(
   CHOOSE(
      MATCH(VLOOKUP(LEFT(A1172,6)&amp;"*",'Identificación genética'!A:C,2,FALSE),
               {"En proceso";"Finalizado"},0),
      "🔬 En proceso",
      "🎯 Finalizado"
   ),
"❌ NA")</f>
        <v>❌ NA</v>
      </c>
      <c r="E1125" t="s">
        <v>24</v>
      </c>
      <c r="G1125" t="str">
        <f>_xlfn.XLOOKUP(A1125, Extraídas!A:A, Extraídas!G:G, "")</f>
        <v/>
      </c>
    </row>
    <row r="1126" spans="1:7" x14ac:dyDescent="0.3">
      <c r="A1126" s="423"/>
    </row>
    <row r="1127" spans="1:7" x14ac:dyDescent="0.3">
      <c r="B1127" s="255"/>
    </row>
  </sheetData>
  <sortState xmlns:xlrd2="http://schemas.microsoft.com/office/spreadsheetml/2017/richdata2" ref="A2:F1685">
    <sortCondition ref="A1:A1685"/>
  </sortState>
  <conditionalFormatting sqref="B1:B1127">
    <cfRule type="containsText" dxfId="8" priority="1" operator="containsText" text="Pendiente">
      <formula>NOT(ISERROR(SEARCH(("Pendiente"),(B1))))</formula>
    </cfRule>
    <cfRule type="containsText" dxfId="7" priority="2" operator="containsText" text="En proceso">
      <formula>NOT(ISERROR(SEARCH(("En proceso"),(B1))))</formula>
    </cfRule>
  </conditionalFormatting>
  <conditionalFormatting sqref="C1:C1126">
    <cfRule type="containsText" dxfId="6" priority="3" operator="containsText" text="Negativo">
      <formula>NOT(ISERROR(SEARCH(("Negativo"),(C1))))</formula>
    </cfRule>
    <cfRule type="containsText" dxfId="5" priority="4" operator="containsText" text="Positivo">
      <formula>NOT(ISERROR(SEARCH(("Positivo"),(C1))))</formula>
    </cfRule>
    <cfRule type="containsText" dxfId="4" priority="5" operator="containsText" text="No realizado">
      <formula>NOT(ISERROR(SEARCH(("No realizado"),(C1))))</formula>
    </cfRule>
  </conditionalFormatting>
  <conditionalFormatting sqref="C1:D1126 E1">
    <cfRule type="containsText" dxfId="3" priority="6" operator="containsText" text="En proceso">
      <formula>NOT(ISERROR(SEARCH(("En proceso"),(C1))))</formula>
    </cfRule>
  </conditionalFormatting>
  <conditionalFormatting sqref="E1 C1:D1126">
    <cfRule type="containsText" dxfId="2" priority="7" operator="containsText" text="No iniciado">
      <formula>NOT(ISERROR(SEARCH(("No iniciado"),(C1))))</formula>
    </cfRule>
    <cfRule type="containsText" dxfId="1" priority="8" operator="containsText" text="Completado">
      <formula>NOT(ISERROR(SEARCH(("Completado"),(C1))))</formula>
    </cfRule>
  </conditionalFormatting>
  <dataValidations count="1">
    <dataValidation type="list" allowBlank="1" showErrorMessage="1" sqref="B1" xr:uid="{0E9F539F-46FF-42C0-BD4B-BBF79467F503}">
      <formula1>#REF!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2B22D-A55A-423F-B89E-2901CDAD653B}">
  <dimension ref="A1:AA1030"/>
  <sheetViews>
    <sheetView zoomScale="85" zoomScaleNormal="40" workbookViewId="0">
      <selection activeCell="E887" sqref="E1:E1048576"/>
    </sheetView>
  </sheetViews>
  <sheetFormatPr baseColWidth="10" defaultColWidth="12.6640625" defaultRowHeight="15" customHeight="1" x14ac:dyDescent="0.3"/>
  <cols>
    <col min="1" max="1" width="35" style="4" customWidth="1"/>
    <col min="2" max="2" width="14.6640625" style="4" customWidth="1"/>
    <col min="3" max="3" width="14.33203125" style="4" customWidth="1"/>
    <col min="4" max="4" width="15" style="4" customWidth="1"/>
    <col min="5" max="5" width="18.88671875" style="4" customWidth="1"/>
    <col min="6" max="6" width="16.88671875" style="4" customWidth="1"/>
    <col min="7" max="7" width="12" style="4" customWidth="1"/>
    <col min="8" max="8" width="25.44140625" style="4" customWidth="1"/>
    <col min="9" max="9" width="12" style="4" customWidth="1"/>
    <col min="10" max="10" width="16.21875" style="4" customWidth="1"/>
    <col min="11" max="11" width="25.77734375" style="4" customWidth="1"/>
    <col min="12" max="12" width="16.21875" style="4" customWidth="1"/>
    <col min="13" max="13" width="16.6640625" style="4" customWidth="1"/>
    <col min="14" max="14" width="15.21875" style="4" customWidth="1"/>
    <col min="15" max="15" width="9.44140625" style="4" customWidth="1"/>
    <col min="16" max="17" width="12.88671875" style="4" customWidth="1"/>
    <col min="18" max="18" width="2" style="4" customWidth="1"/>
    <col min="19" max="27" width="12.88671875" style="4" customWidth="1"/>
    <col min="28" max="16384" width="12.6640625" style="4"/>
  </cols>
  <sheetData>
    <row r="1" spans="1:27" ht="14.25" customHeight="1" x14ac:dyDescent="0.3">
      <c r="A1" s="1" t="s">
        <v>3464</v>
      </c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1" t="s">
        <v>6</v>
      </c>
      <c r="I1" s="1" t="s">
        <v>7</v>
      </c>
      <c r="J1" s="1" t="s">
        <v>10</v>
      </c>
      <c r="K1" s="1" t="s">
        <v>9</v>
      </c>
      <c r="L1" s="1" t="s">
        <v>8</v>
      </c>
      <c r="M1" s="3" t="s">
        <v>11</v>
      </c>
      <c r="N1" s="1" t="s">
        <v>12</v>
      </c>
      <c r="O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25" customHeight="1" x14ac:dyDescent="0.3">
      <c r="A2" s="5" t="s">
        <v>13</v>
      </c>
      <c r="B2" s="6" t="s">
        <v>14</v>
      </c>
      <c r="D2" s="7">
        <v>45947</v>
      </c>
      <c r="E2" s="5" t="s">
        <v>15</v>
      </c>
      <c r="F2" s="8" t="s">
        <v>16</v>
      </c>
      <c r="G2" s="9" t="s">
        <v>17</v>
      </c>
      <c r="H2" s="6" t="s">
        <v>18</v>
      </c>
      <c r="I2" s="5">
        <v>50</v>
      </c>
      <c r="J2" s="5">
        <v>16.7</v>
      </c>
      <c r="K2" s="10">
        <v>1.51</v>
      </c>
      <c r="L2" s="10">
        <v>0.5</v>
      </c>
      <c r="M2" s="5">
        <v>0.33</v>
      </c>
      <c r="N2" s="11"/>
    </row>
    <row r="3" spans="1:27" ht="14.25" customHeight="1" x14ac:dyDescent="0.3">
      <c r="A3" s="12" t="s">
        <v>19</v>
      </c>
      <c r="B3" s="6" t="s">
        <v>14</v>
      </c>
      <c r="D3" s="7">
        <v>45947</v>
      </c>
      <c r="E3" s="12" t="s">
        <v>15</v>
      </c>
      <c r="F3" s="8" t="s">
        <v>16</v>
      </c>
      <c r="G3" s="9" t="s">
        <v>17</v>
      </c>
      <c r="H3" s="6" t="s">
        <v>18</v>
      </c>
      <c r="I3" s="12">
        <v>50</v>
      </c>
      <c r="J3" s="12">
        <v>13.1</v>
      </c>
      <c r="K3" s="10">
        <v>1.59</v>
      </c>
      <c r="L3" s="10">
        <v>0.56000000000000005</v>
      </c>
      <c r="M3" s="12">
        <v>0.26</v>
      </c>
      <c r="N3" s="13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4.25" customHeight="1" x14ac:dyDescent="0.3">
      <c r="A4" s="5" t="s">
        <v>20</v>
      </c>
      <c r="B4" s="6" t="s">
        <v>14</v>
      </c>
      <c r="D4" s="7">
        <v>45947</v>
      </c>
      <c r="E4" s="5" t="s">
        <v>15</v>
      </c>
      <c r="F4" s="8" t="s">
        <v>16</v>
      </c>
      <c r="G4" s="9" t="s">
        <v>17</v>
      </c>
      <c r="H4" s="6" t="s">
        <v>18</v>
      </c>
      <c r="I4" s="5">
        <v>50</v>
      </c>
      <c r="J4" s="5">
        <v>6.4</v>
      </c>
      <c r="K4" s="10">
        <v>1.37</v>
      </c>
      <c r="L4" s="10">
        <v>0.49</v>
      </c>
      <c r="M4" s="5">
        <v>0.13</v>
      </c>
      <c r="N4" s="9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4.25" customHeight="1" x14ac:dyDescent="0.3">
      <c r="A5" s="14" t="s">
        <v>21</v>
      </c>
      <c r="B5" s="14" t="s">
        <v>22</v>
      </c>
      <c r="D5" s="15">
        <v>45756</v>
      </c>
      <c r="E5" s="16" t="s">
        <v>23</v>
      </c>
      <c r="F5" s="15" t="s">
        <v>24</v>
      </c>
      <c r="G5" s="16" t="s">
        <v>25</v>
      </c>
      <c r="H5" s="17" t="s">
        <v>26</v>
      </c>
      <c r="I5" s="8">
        <v>50</v>
      </c>
      <c r="J5" s="8">
        <f>(11.5582467974799+13.3)/2</f>
        <v>12.42912339873995</v>
      </c>
      <c r="K5" s="8">
        <v>1.9194325255824563</v>
      </c>
      <c r="L5" s="8">
        <v>1.7755943869988502</v>
      </c>
      <c r="M5" s="18">
        <f>IF(E5="Procariota",
IF(J5&lt;=10,3,
IF(J5&lt;=30,2,
IF(J5&lt;=100,1,
IF(J5&lt;=200,"1:10",
IF(J5&lt;=400,"1:20","Fuera de rango")
)
)
)
),
IF(E5="Eucariota",
IF(J5&lt;=20,3,
IF(J5&lt;=60,2,
IF(J5&lt;=120,1,
IF(J5&lt;=200,"1:10",
IF(J5&gt;200,"1:20","Fuera de rango")
)
)
)
),
"Error: Tipo inválido")
)</f>
        <v>3</v>
      </c>
      <c r="N5" s="6"/>
      <c r="O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14.25" customHeight="1" x14ac:dyDescent="0.3">
      <c r="A6" s="19" t="s">
        <v>27</v>
      </c>
      <c r="B6" s="19" t="s">
        <v>22</v>
      </c>
      <c r="D6" s="20">
        <v>45922</v>
      </c>
      <c r="E6" s="16" t="s">
        <v>23</v>
      </c>
      <c r="F6" s="15" t="s">
        <v>24</v>
      </c>
      <c r="G6" s="16" t="s">
        <v>25</v>
      </c>
      <c r="H6" s="17" t="s">
        <v>26</v>
      </c>
      <c r="I6" s="8">
        <v>50</v>
      </c>
      <c r="J6" s="21">
        <v>58.9</v>
      </c>
      <c r="K6" s="19">
        <v>1.91</v>
      </c>
      <c r="L6" s="19">
        <v>1.26</v>
      </c>
      <c r="M6" s="18">
        <f>IF(E6="Procariota",
IF(J6&lt;=10,3,
IF(J6&lt;=30,2,
IF(J6&lt;=100,1,
IF(J6&lt;=200,"1:10",
IF(J6&lt;=400,"1:20","Fuera de rango")
)
)
)
),
IF(E6="Eucariota",
IF(J6&lt;=20,3,
IF(J6&lt;=60,2,
IF(J6&lt;=120,1,
IF(J6&lt;=200,"1:10",
IF(J6&gt;200,"1:20","Fuera de rango")
)
)
)
),
"Error: Tipo inválido")
)</f>
        <v>2</v>
      </c>
      <c r="N6" s="22"/>
      <c r="O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14.25" customHeight="1" x14ac:dyDescent="0.3">
      <c r="A7" s="14" t="s">
        <v>28</v>
      </c>
      <c r="B7" s="19" t="s">
        <v>22</v>
      </c>
      <c r="D7" s="15">
        <v>45756</v>
      </c>
      <c r="E7" s="16" t="s">
        <v>23</v>
      </c>
      <c r="F7" s="15" t="s">
        <v>24</v>
      </c>
      <c r="G7" s="16" t="s">
        <v>25</v>
      </c>
      <c r="H7" s="17" t="s">
        <v>26</v>
      </c>
      <c r="I7" s="8">
        <v>50</v>
      </c>
      <c r="J7" s="8">
        <v>82.806101924724146</v>
      </c>
      <c r="K7" s="8">
        <v>2.0541252367059046</v>
      </c>
      <c r="L7" s="8">
        <v>2.228373193101191</v>
      </c>
      <c r="M7" s="18">
        <f>IF(E7="Procariota",
IF(J7&lt;=10,3,
IF(J7&lt;=30,2,
IF(J7&lt;=100,1,
IF(J7&lt;=200,"1:10",
IF(J7&lt;=400,"1:20","Fuera de rango")
)
)
)
),
IF(E7="Eucariota",
IF(J7&lt;=20,3,
IF(J7&lt;=60,2,
IF(J7&lt;=120,1,
IF(J7&lt;=200,"1:10",
IF(J7&gt;200,"1:20","Fuera de rango")
)
)
)
),
"Error: Tipo inválido")
)</f>
        <v>1</v>
      </c>
      <c r="N7" s="17"/>
      <c r="O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14.25" customHeight="1" x14ac:dyDescent="0.3">
      <c r="A8" s="14" t="s">
        <v>29</v>
      </c>
      <c r="B8" s="19" t="s">
        <v>22</v>
      </c>
      <c r="D8" s="15">
        <v>45756</v>
      </c>
      <c r="E8" s="16" t="s">
        <v>23</v>
      </c>
      <c r="F8" s="15" t="s">
        <v>24</v>
      </c>
      <c r="G8" s="16" t="s">
        <v>25</v>
      </c>
      <c r="H8" s="17" t="s">
        <v>26</v>
      </c>
      <c r="I8" s="8">
        <v>50</v>
      </c>
      <c r="J8" s="8">
        <v>3.904937660684745</v>
      </c>
      <c r="K8" s="8">
        <v>3.2059486469503975</v>
      </c>
      <c r="L8" s="8">
        <v>0.85636544258124481</v>
      </c>
      <c r="M8" s="18">
        <f>IF(E8="Procariota",
IF(J8&lt;=10,3,
IF(J8&lt;=30,2,
IF(J8&lt;=100,1,
IF(J8&lt;=200,"1:10",
IF(J8&lt;=400,"1:20","Fuera de rango")
)
)
)
),
IF(E8="Eucariota",
IF(J8&lt;=20,3,
IF(J8&lt;=60,2,
IF(J8&lt;=120,1,
IF(J8&lt;=200,"1:10",
IF(J8&gt;200,"1:20","Fuera de rango")
)
)
)
),
"Error: Tipo inválido")
)</f>
        <v>3</v>
      </c>
      <c r="N8" s="17"/>
      <c r="O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14.25" customHeight="1" x14ac:dyDescent="0.3">
      <c r="A9" s="12" t="s">
        <v>30</v>
      </c>
      <c r="B9" s="6" t="s">
        <v>14</v>
      </c>
      <c r="D9" s="7">
        <v>45947</v>
      </c>
      <c r="E9" s="12" t="s">
        <v>15</v>
      </c>
      <c r="F9" s="8" t="s">
        <v>16</v>
      </c>
      <c r="G9" s="9" t="s">
        <v>17</v>
      </c>
      <c r="H9" s="6" t="s">
        <v>18</v>
      </c>
      <c r="I9" s="12">
        <v>50</v>
      </c>
      <c r="J9" s="10">
        <v>0.66</v>
      </c>
      <c r="K9" s="23">
        <v>1.63</v>
      </c>
      <c r="L9" s="12">
        <v>137.9</v>
      </c>
      <c r="M9" s="12">
        <v>2.76</v>
      </c>
      <c r="N9" s="13"/>
      <c r="O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14.25" customHeight="1" x14ac:dyDescent="0.3">
      <c r="A10" s="5" t="s">
        <v>31</v>
      </c>
      <c r="B10" s="6" t="s">
        <v>14</v>
      </c>
      <c r="D10" s="7">
        <v>45947</v>
      </c>
      <c r="E10" s="5" t="s">
        <v>15</v>
      </c>
      <c r="F10" s="8" t="s">
        <v>16</v>
      </c>
      <c r="G10" s="9" t="s">
        <v>17</v>
      </c>
      <c r="H10" s="6" t="s">
        <v>18</v>
      </c>
      <c r="I10" s="5">
        <v>50</v>
      </c>
      <c r="J10" s="10">
        <v>0.75</v>
      </c>
      <c r="K10" s="10">
        <v>1.59</v>
      </c>
      <c r="L10" s="5">
        <v>18.600000000000001</v>
      </c>
      <c r="M10" s="5">
        <v>0.37</v>
      </c>
      <c r="N10" s="9"/>
      <c r="O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14.25" customHeight="1" x14ac:dyDescent="0.3">
      <c r="A11" s="12" t="s">
        <v>32</v>
      </c>
      <c r="B11" s="6" t="s">
        <v>14</v>
      </c>
      <c r="D11" s="7">
        <v>45947</v>
      </c>
      <c r="E11" s="12" t="s">
        <v>15</v>
      </c>
      <c r="F11" s="8" t="s">
        <v>16</v>
      </c>
      <c r="G11" s="9" t="s">
        <v>17</v>
      </c>
      <c r="H11" s="6" t="s">
        <v>18</v>
      </c>
      <c r="I11" s="12">
        <v>50</v>
      </c>
      <c r="J11" s="10">
        <v>0.57999999999999996</v>
      </c>
      <c r="K11" s="23">
        <v>1.65</v>
      </c>
      <c r="L11" s="12">
        <v>13.1</v>
      </c>
      <c r="M11" s="12">
        <v>0.26</v>
      </c>
      <c r="N11" s="13"/>
      <c r="O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14.25" customHeight="1" x14ac:dyDescent="0.3">
      <c r="A12" s="5" t="s">
        <v>33</v>
      </c>
      <c r="B12" s="6" t="s">
        <v>14</v>
      </c>
      <c r="D12" s="7">
        <v>45946</v>
      </c>
      <c r="E12" s="5" t="s">
        <v>15</v>
      </c>
      <c r="F12" s="5" t="s">
        <v>34</v>
      </c>
      <c r="G12" s="9" t="s">
        <v>35</v>
      </c>
      <c r="H12" s="6" t="s">
        <v>18</v>
      </c>
      <c r="I12" s="5">
        <v>100</v>
      </c>
      <c r="J12" s="10">
        <v>0.93</v>
      </c>
      <c r="K12" s="10">
        <v>1.31</v>
      </c>
      <c r="L12" s="5">
        <v>6</v>
      </c>
      <c r="M12" s="5">
        <v>0.06</v>
      </c>
      <c r="N12" s="9"/>
      <c r="O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14.25" customHeight="1" x14ac:dyDescent="0.3">
      <c r="A13" s="14" t="s">
        <v>36</v>
      </c>
      <c r="B13" s="19" t="s">
        <v>22</v>
      </c>
      <c r="D13" s="15">
        <v>45756</v>
      </c>
      <c r="E13" s="16" t="s">
        <v>23</v>
      </c>
      <c r="F13" s="15" t="s">
        <v>24</v>
      </c>
      <c r="G13" s="16" t="s">
        <v>25</v>
      </c>
      <c r="H13" s="17" t="s">
        <v>26</v>
      </c>
      <c r="I13" s="8">
        <v>50</v>
      </c>
      <c r="J13" s="8">
        <v>187.95426292178945</v>
      </c>
      <c r="K13" s="8">
        <v>1.8993801898084695</v>
      </c>
      <c r="L13" s="8">
        <v>1.8861313312171457</v>
      </c>
      <c r="M13" s="18" t="str">
        <f>IF(E13="Procariota",
IF(J13&lt;=10,3,
IF(J13&lt;=30,2,
IF(J13&lt;=100,1,
IF(J13&lt;=200,"1:10",
IF(J13&lt;=400,"1:20","Fuera de rango")
)
)
)
),
IF(E13="Eucariota",
IF(J13&lt;=20,3,
IF(J13&lt;=60,2,
IF(J13&lt;=120,1,
IF(J13&lt;=200,"1:10",
IF(J13&gt;200,"1:20","Fuera de rango")
)
)
)
),
"Error: Tipo inválido")
)</f>
        <v>1:10</v>
      </c>
      <c r="N13" s="17"/>
      <c r="O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14.25" customHeight="1" x14ac:dyDescent="0.3">
      <c r="A14" s="12" t="s">
        <v>37</v>
      </c>
      <c r="B14" s="6" t="s">
        <v>14</v>
      </c>
      <c r="D14" s="7">
        <v>45946</v>
      </c>
      <c r="E14" s="12" t="s">
        <v>15</v>
      </c>
      <c r="F14" s="12" t="s">
        <v>34</v>
      </c>
      <c r="G14" s="9" t="s">
        <v>35</v>
      </c>
      <c r="H14" s="6" t="s">
        <v>18</v>
      </c>
      <c r="I14" s="12">
        <v>100</v>
      </c>
      <c r="J14" s="10">
        <v>0.91</v>
      </c>
      <c r="K14" s="24">
        <v>1.92</v>
      </c>
      <c r="L14" s="12">
        <v>16.399999999999999</v>
      </c>
      <c r="M14" s="12">
        <v>0.16</v>
      </c>
      <c r="N14" s="13"/>
      <c r="O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14.25" customHeight="1" x14ac:dyDescent="0.3">
      <c r="A15" s="14" t="s">
        <v>38</v>
      </c>
      <c r="B15" s="19" t="s">
        <v>22</v>
      </c>
      <c r="D15" s="15">
        <v>45756</v>
      </c>
      <c r="E15" s="16" t="s">
        <v>23</v>
      </c>
      <c r="F15" s="15" t="s">
        <v>24</v>
      </c>
      <c r="G15" s="16" t="s">
        <v>25</v>
      </c>
      <c r="H15" s="17" t="s">
        <v>26</v>
      </c>
      <c r="I15" s="17">
        <v>50</v>
      </c>
      <c r="J15" s="8">
        <v>2.8391351154088227</v>
      </c>
      <c r="K15" s="8">
        <v>1.4034528950930631</v>
      </c>
      <c r="L15" s="8">
        <v>2.2156290457125944</v>
      </c>
      <c r="M15" s="18">
        <f>IF(E15="Procariota",
IF(J15&lt;=10,3,
IF(J15&lt;=30,2,
IF(J15&lt;=100,1,
IF(J15&lt;=200,"1:10",
IF(J15&lt;=400,"1:20","Fuera de rango")
)
)
)
),
IF(E15="Eucariota",
IF(J15&lt;=20,3,
IF(J15&lt;=60,2,
IF(J15&lt;=120,1,
IF(J15&lt;=200,"1:10",
IF(J15&gt;200,"1:20","Fuera de rango")
)
)
)
),
"Error: Tipo inválido")
)</f>
        <v>3</v>
      </c>
      <c r="N15" s="17"/>
      <c r="O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14.25" customHeight="1" x14ac:dyDescent="0.3">
      <c r="A16" s="19" t="s">
        <v>39</v>
      </c>
      <c r="B16" s="19" t="s">
        <v>22</v>
      </c>
      <c r="D16" s="20">
        <v>45922</v>
      </c>
      <c r="E16" s="16" t="s">
        <v>23</v>
      </c>
      <c r="F16" s="15" t="s">
        <v>24</v>
      </c>
      <c r="G16" s="16" t="s">
        <v>25</v>
      </c>
      <c r="H16" s="17" t="s">
        <v>26</v>
      </c>
      <c r="I16" s="17">
        <v>50</v>
      </c>
      <c r="J16" s="21">
        <f>(183.8+127.9)/2</f>
        <v>155.85000000000002</v>
      </c>
      <c r="K16" s="19">
        <v>2</v>
      </c>
      <c r="L16" s="19">
        <v>1.51</v>
      </c>
      <c r="M16" s="18" t="str">
        <f>IF(E16="Procariota",
IF(J16&lt;=10,3,
IF(J16&lt;=30,2,
IF(J16&lt;=100,1,
IF(J16&lt;=200,"1:10",
IF(J16&lt;=400,"1:20","Fuera de rango")
)
)
)
),
IF(E16="Eucariota",
IF(J16&lt;=20,3,
IF(J16&lt;=60,2,
IF(J16&lt;=120,1,
IF(J16&lt;=200,"1:10",
IF(J16&gt;200,"1:20","Fuera de rango")
)
)
)
),
"Error: Tipo inválido")
)</f>
        <v>1:10</v>
      </c>
      <c r="N16" s="25"/>
      <c r="O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14.25" customHeight="1" x14ac:dyDescent="0.3">
      <c r="A17" s="5" t="s">
        <v>40</v>
      </c>
      <c r="B17" s="6" t="s">
        <v>14</v>
      </c>
      <c r="D17" s="7">
        <v>45946</v>
      </c>
      <c r="E17" s="5" t="s">
        <v>15</v>
      </c>
      <c r="F17" s="5" t="s">
        <v>34</v>
      </c>
      <c r="G17" s="9" t="s">
        <v>35</v>
      </c>
      <c r="H17" s="6" t="s">
        <v>18</v>
      </c>
      <c r="I17" s="5">
        <v>200</v>
      </c>
      <c r="J17" s="10">
        <v>1.06</v>
      </c>
      <c r="K17" s="24">
        <v>1.92</v>
      </c>
      <c r="L17" s="5">
        <v>253.4</v>
      </c>
      <c r="M17" s="5">
        <v>1.27</v>
      </c>
      <c r="N17" s="9"/>
      <c r="O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14.25" customHeight="1" x14ac:dyDescent="0.3">
      <c r="A18" s="14" t="s">
        <v>41</v>
      </c>
      <c r="B18" s="19" t="s">
        <v>22</v>
      </c>
      <c r="D18" s="15">
        <v>45756</v>
      </c>
      <c r="E18" s="16" t="s">
        <v>23</v>
      </c>
      <c r="F18" s="15" t="s">
        <v>24</v>
      </c>
      <c r="G18" s="16" t="s">
        <v>25</v>
      </c>
      <c r="H18" s="17" t="s">
        <v>26</v>
      </c>
      <c r="I18" s="17">
        <v>50</v>
      </c>
      <c r="J18" s="8">
        <v>4.1322533059547073</v>
      </c>
      <c r="K18" s="8">
        <v>1.9463400117535017</v>
      </c>
      <c r="L18" s="8">
        <v>3.09</v>
      </c>
      <c r="M18" s="18">
        <f>IF(E18="Procariota",
IF(J18&lt;=10,3,
IF(J18&lt;=30,2,
IF(J18&lt;=100,1,
IF(J18&lt;=200,"1:10",
IF(J18&lt;=400,"1:20","Fuera de rango")
)
)
)
),
IF(E18="Eucariota",
IF(J18&lt;=20,3,
IF(J18&lt;=60,2,
IF(J18&lt;=120,1,
IF(J18&lt;=200,"1:10",
IF(J18&gt;200,"1:20","Fuera de rango")
)
)
)
),
"Error: Tipo inválido")
)</f>
        <v>3</v>
      </c>
      <c r="N18" s="17"/>
      <c r="O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ht="14.25" customHeight="1" x14ac:dyDescent="0.3">
      <c r="A19" s="19" t="s">
        <v>42</v>
      </c>
      <c r="B19" s="19" t="s">
        <v>22</v>
      </c>
      <c r="D19" s="20">
        <v>45922</v>
      </c>
      <c r="E19" s="16" t="s">
        <v>23</v>
      </c>
      <c r="F19" s="15" t="s">
        <v>24</v>
      </c>
      <c r="G19" s="16" t="s">
        <v>25</v>
      </c>
      <c r="H19" s="17" t="s">
        <v>26</v>
      </c>
      <c r="I19" s="8">
        <v>50</v>
      </c>
      <c r="J19" s="21">
        <v>117.3</v>
      </c>
      <c r="K19" s="21">
        <v>1.45</v>
      </c>
      <c r="L19" s="21">
        <v>2.059300379160605</v>
      </c>
      <c r="M19" s="18">
        <f>IF(E19="Procariota",
IF(J19&lt;=10,3,
IF(J19&lt;=30,2,
IF(J19&lt;=100,1,
IF(J19&lt;=200,"1:10",
IF(J19&lt;=400,"1:20","Fuera de rango")
)
)
)
),
IF(E19="Eucariota",
IF(J19&lt;=20,3,
IF(J19&lt;=60,2,
IF(J19&lt;=120,1,
IF(J19&lt;=200,"1:10",
IF(J19&gt;200,"1:20","Fuera de rango")
)
)
)
),
"Error: Tipo inválido")
)</f>
        <v>1</v>
      </c>
      <c r="N19" s="25"/>
      <c r="O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ht="14.25" customHeight="1" x14ac:dyDescent="0.3">
      <c r="A20" s="12" t="s">
        <v>43</v>
      </c>
      <c r="B20" s="6" t="s">
        <v>14</v>
      </c>
      <c r="D20" s="7">
        <v>45946</v>
      </c>
      <c r="E20" s="12" t="s">
        <v>15</v>
      </c>
      <c r="F20" s="12" t="s">
        <v>34</v>
      </c>
      <c r="G20" s="9" t="s">
        <v>35</v>
      </c>
      <c r="H20" s="6" t="s">
        <v>18</v>
      </c>
      <c r="I20" s="12">
        <v>200</v>
      </c>
      <c r="J20" s="10">
        <v>1.49</v>
      </c>
      <c r="K20" s="24">
        <v>2.02</v>
      </c>
      <c r="L20" s="12">
        <v>159.80000000000001</v>
      </c>
      <c r="M20" s="12">
        <v>0.8</v>
      </c>
      <c r="N20" s="13"/>
      <c r="O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ht="14.25" customHeight="1" x14ac:dyDescent="0.3">
      <c r="A21" s="19" t="s">
        <v>44</v>
      </c>
      <c r="B21" s="19" t="s">
        <v>22</v>
      </c>
      <c r="D21" s="20">
        <v>45922</v>
      </c>
      <c r="E21" s="16" t="s">
        <v>23</v>
      </c>
      <c r="F21" s="15" t="s">
        <v>24</v>
      </c>
      <c r="G21" s="16" t="s">
        <v>25</v>
      </c>
      <c r="H21" s="17" t="s">
        <v>26</v>
      </c>
      <c r="I21" s="8">
        <v>50</v>
      </c>
      <c r="J21" s="21">
        <v>24.6</v>
      </c>
      <c r="K21" s="21">
        <v>1.48</v>
      </c>
      <c r="L21" s="21">
        <v>0.28999999999999998</v>
      </c>
      <c r="M21" s="18">
        <f>IF(E21="Procariota",
IF(J21&lt;=10,3,
IF(J21&lt;=30,2,
IF(J21&lt;=100,1,
IF(J21&lt;=200,"1:10",
IF(J21&lt;=400,"1:20","Fuera de rango")
)
)
)
),
IF(E21="Eucariota",
IF(J21&lt;=20,3,
IF(J21&lt;=60,2,
IF(J21&lt;=120,1,
IF(J21&lt;=200,"1:10",
IF(J21&gt;200,"1:20","Fuera de rango")
)
)
)
),
"Error: Tipo inválido")
)</f>
        <v>2</v>
      </c>
      <c r="N21" s="22"/>
      <c r="O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ht="14.25" customHeight="1" x14ac:dyDescent="0.3">
      <c r="A22" s="19" t="s">
        <v>45</v>
      </c>
      <c r="B22" s="19" t="s">
        <v>22</v>
      </c>
      <c r="D22" s="20">
        <v>45922</v>
      </c>
      <c r="E22" s="16" t="s">
        <v>23</v>
      </c>
      <c r="F22" s="15" t="s">
        <v>24</v>
      </c>
      <c r="G22" s="16" t="s">
        <v>25</v>
      </c>
      <c r="H22" s="17" t="s">
        <v>26</v>
      </c>
      <c r="I22" s="8">
        <v>50</v>
      </c>
      <c r="J22" s="21">
        <v>54.3</v>
      </c>
      <c r="K22" s="21">
        <v>1.8</v>
      </c>
      <c r="L22" s="21">
        <v>0.76</v>
      </c>
      <c r="M22" s="18">
        <f>IF(E22="Procariota",
IF(J22&lt;=10,3,
IF(J22&lt;=30,2,
IF(J22&lt;=100,1,
IF(J22&lt;=200,"1:10",
IF(J22&lt;=400,"1:20","Fuera de rango")
)
)
)
),
IF(E22="Eucariota",
IF(J22&lt;=20,3,
IF(J22&lt;=60,2,
IF(J22&lt;=120,1,
IF(J22&lt;=200,"1:10",
IF(J22&gt;200,"1:20","Fuera de rango")
)
)
)
),
"Error: Tipo inválido")
)</f>
        <v>2</v>
      </c>
      <c r="N22" s="25"/>
      <c r="O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ht="14.25" customHeight="1" x14ac:dyDescent="0.3">
      <c r="A23" s="5" t="s">
        <v>46</v>
      </c>
      <c r="B23" s="6" t="s">
        <v>14</v>
      </c>
      <c r="D23" s="7">
        <v>45946</v>
      </c>
      <c r="E23" s="5" t="s">
        <v>15</v>
      </c>
      <c r="F23" s="5" t="s">
        <v>34</v>
      </c>
      <c r="G23" s="9" t="s">
        <v>35</v>
      </c>
      <c r="H23" s="6" t="s">
        <v>18</v>
      </c>
      <c r="I23" s="5">
        <v>200</v>
      </c>
      <c r="J23" s="10">
        <v>1.19</v>
      </c>
      <c r="K23" s="24">
        <v>1.96</v>
      </c>
      <c r="L23" s="5">
        <v>269.89999999999998</v>
      </c>
      <c r="M23" s="5">
        <v>1.35</v>
      </c>
      <c r="N23" s="9"/>
      <c r="O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ht="14.25" customHeight="1" x14ac:dyDescent="0.3">
      <c r="A24" s="14" t="s">
        <v>47</v>
      </c>
      <c r="B24" s="19" t="s">
        <v>22</v>
      </c>
      <c r="D24" s="15">
        <v>45756</v>
      </c>
      <c r="E24" s="16" t="s">
        <v>23</v>
      </c>
      <c r="F24" s="15" t="s">
        <v>24</v>
      </c>
      <c r="G24" s="16" t="s">
        <v>25</v>
      </c>
      <c r="H24" s="17" t="s">
        <v>26</v>
      </c>
      <c r="I24" s="17">
        <v>50</v>
      </c>
      <c r="J24" s="26">
        <v>15.955772667449164</v>
      </c>
      <c r="K24" s="8">
        <v>1.4521331303024205</v>
      </c>
      <c r="L24" s="8">
        <v>0.80196456709822783</v>
      </c>
      <c r="M24" s="18">
        <f>IF(E24="Procariota",
IF(J24&lt;=10,3,
IF(J24&lt;=30,2,
IF(J24&lt;=100,1,
IF(J24&lt;=200,"1:10",
IF(J24&lt;=400,"1:20","Fuera de rango")
)
)
)
),
IF(E24="Eucariota",
IF(J24&lt;=20,3,
IF(J24&lt;=60,2,
IF(J24&lt;=120,1,
IF(J24&lt;=200,"1:10",
IF(J24&gt;200,"1:20","Fuera de rango")
)
)
)
),
"Error: Tipo inválido")
)</f>
        <v>3</v>
      </c>
      <c r="N24" s="17"/>
      <c r="O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ht="14.25" customHeight="1" x14ac:dyDescent="0.3">
      <c r="A25" s="12" t="s">
        <v>48</v>
      </c>
      <c r="B25" s="6" t="s">
        <v>14</v>
      </c>
      <c r="D25" s="7">
        <v>45946</v>
      </c>
      <c r="E25" s="12" t="s">
        <v>15</v>
      </c>
      <c r="F25" s="12" t="s">
        <v>34</v>
      </c>
      <c r="G25" s="9" t="s">
        <v>35</v>
      </c>
      <c r="H25" s="6" t="s">
        <v>18</v>
      </c>
      <c r="I25" s="12">
        <v>200</v>
      </c>
      <c r="J25" s="10">
        <v>0.69</v>
      </c>
      <c r="K25" s="24">
        <v>1.83</v>
      </c>
      <c r="L25" s="12">
        <v>242.7</v>
      </c>
      <c r="M25" s="12">
        <v>1.21</v>
      </c>
      <c r="N25" s="13"/>
      <c r="O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ht="14.25" customHeight="1" x14ac:dyDescent="0.3">
      <c r="A26" s="14" t="s">
        <v>49</v>
      </c>
      <c r="B26" s="19" t="s">
        <v>22</v>
      </c>
      <c r="D26" s="15">
        <v>45756</v>
      </c>
      <c r="E26" s="16" t="s">
        <v>23</v>
      </c>
      <c r="F26" s="15" t="s">
        <v>24</v>
      </c>
      <c r="G26" s="16" t="s">
        <v>25</v>
      </c>
      <c r="H26" s="17" t="s">
        <v>26</v>
      </c>
      <c r="I26" s="17">
        <v>50</v>
      </c>
      <c r="J26" s="26">
        <v>68.314875586301582</v>
      </c>
      <c r="K26" s="8">
        <v>2.0435050962341612</v>
      </c>
      <c r="L26" s="8">
        <v>1.7536485018219929</v>
      </c>
      <c r="M26" s="18">
        <f>IF(E26="Procariota",
IF(J26&lt;=10,3,
IF(J26&lt;=30,2,
IF(J26&lt;=100,1,
IF(J26&lt;=200,"1:10",
IF(J26&lt;=400,"1:20","Fuera de rango")
)
)
)
),
IF(E26="Eucariota",
IF(J26&lt;=20,3,
IF(J26&lt;=60,2,
IF(J26&lt;=120,1,
IF(J26&lt;=200,"1:10",
IF(J26&gt;200,"1:20","Fuera de rango")
)
)
)
),
"Error: Tipo inválido")
)</f>
        <v>1</v>
      </c>
      <c r="N26" s="17"/>
      <c r="O26" s="6"/>
      <c r="Q26" s="6"/>
      <c r="R26" s="6">
        <v>5</v>
      </c>
      <c r="S26" s="6"/>
      <c r="T26" s="6"/>
      <c r="U26" s="27"/>
      <c r="V26" s="27"/>
      <c r="W26" s="27"/>
      <c r="X26" s="27"/>
      <c r="Y26" s="27"/>
      <c r="Z26" s="27"/>
      <c r="AA26" s="27"/>
    </row>
    <row r="27" spans="1:27" ht="14.25" customHeight="1" x14ac:dyDescent="0.3">
      <c r="A27" s="19" t="s">
        <v>50</v>
      </c>
      <c r="B27" s="19" t="s">
        <v>22</v>
      </c>
      <c r="D27" s="20">
        <v>45922</v>
      </c>
      <c r="E27" s="16" t="s">
        <v>23</v>
      </c>
      <c r="F27" s="15" t="s">
        <v>24</v>
      </c>
      <c r="G27" s="16" t="s">
        <v>25</v>
      </c>
      <c r="H27" s="17" t="s">
        <v>26</v>
      </c>
      <c r="I27" s="17">
        <v>50</v>
      </c>
      <c r="J27" s="19">
        <v>349.2</v>
      </c>
      <c r="K27" s="19">
        <v>2.0299999999999998</v>
      </c>
      <c r="L27" s="19">
        <v>1.96</v>
      </c>
      <c r="M27" s="18" t="str">
        <f>IF(E27="Procariota",
IF(J27&lt;=10,3,
IF(J27&lt;=30,2,
IF(J27&lt;=100,1,
IF(J27&lt;=200,"1:10",
IF(J27&lt;=400,"1:20","Fuera de rango")
)
)
)
),
IF(E27="Eucariota",
IF(J27&lt;=20,3,
IF(J27&lt;=60,2,
IF(J27&lt;=120,1,
IF(J27&lt;=200,"1:10",
IF(J27&gt;200,"1:20","Fuera de rango")
)
)
)
),
"Error: Tipo inválido")
)</f>
        <v>1:20</v>
      </c>
      <c r="N27" s="22"/>
      <c r="O27" s="6"/>
      <c r="Q27" s="6"/>
      <c r="R27" s="6"/>
      <c r="S27" s="6"/>
      <c r="T27" s="6"/>
      <c r="U27" s="27"/>
      <c r="V27" s="27"/>
      <c r="W27" s="27"/>
      <c r="X27" s="27"/>
      <c r="Y27" s="27"/>
      <c r="Z27" s="27"/>
      <c r="AA27" s="27"/>
    </row>
    <row r="28" spans="1:27" ht="14.25" customHeight="1" x14ac:dyDescent="0.3">
      <c r="A28" s="5" t="s">
        <v>51</v>
      </c>
      <c r="B28" s="6" t="s">
        <v>14</v>
      </c>
      <c r="D28" s="7">
        <v>45946</v>
      </c>
      <c r="E28" s="5" t="s">
        <v>15</v>
      </c>
      <c r="F28" s="5" t="s">
        <v>34</v>
      </c>
      <c r="G28" s="9" t="s">
        <v>35</v>
      </c>
      <c r="H28" s="6" t="s">
        <v>18</v>
      </c>
      <c r="I28" s="5">
        <v>200</v>
      </c>
      <c r="J28" s="10">
        <v>0.98</v>
      </c>
      <c r="K28" s="24">
        <v>1.9</v>
      </c>
      <c r="L28" s="5">
        <v>175.2</v>
      </c>
      <c r="M28" s="5">
        <v>0.88</v>
      </c>
      <c r="N28" s="9"/>
      <c r="O28" s="6"/>
      <c r="Q28" s="6"/>
      <c r="R28" s="6">
        <v>5</v>
      </c>
      <c r="S28" s="6"/>
      <c r="T28" s="6"/>
      <c r="U28" s="6"/>
      <c r="V28" s="6"/>
      <c r="W28" s="6"/>
      <c r="X28" s="6"/>
      <c r="Y28" s="6"/>
      <c r="Z28" s="6"/>
      <c r="AA28" s="6"/>
    </row>
    <row r="29" spans="1:27" ht="14.25" customHeight="1" x14ac:dyDescent="0.3">
      <c r="A29" s="12" t="s">
        <v>52</v>
      </c>
      <c r="B29" s="6" t="s">
        <v>14</v>
      </c>
      <c r="D29" s="7">
        <v>45946</v>
      </c>
      <c r="E29" s="12" t="s">
        <v>15</v>
      </c>
      <c r="F29" s="12" t="s">
        <v>34</v>
      </c>
      <c r="G29" s="9" t="s">
        <v>35</v>
      </c>
      <c r="H29" s="6" t="s">
        <v>18</v>
      </c>
      <c r="I29" s="12">
        <v>200</v>
      </c>
      <c r="J29" s="10">
        <v>1.72</v>
      </c>
      <c r="K29" s="24">
        <v>1.9</v>
      </c>
      <c r="L29" s="12">
        <v>125.1</v>
      </c>
      <c r="M29" s="12">
        <v>0.63</v>
      </c>
      <c r="N29" s="13"/>
      <c r="O29" s="6"/>
      <c r="Q29" s="6"/>
      <c r="R29" s="6">
        <v>5</v>
      </c>
      <c r="S29" s="6"/>
      <c r="T29" s="6"/>
      <c r="U29" s="6"/>
      <c r="V29" s="6"/>
      <c r="W29" s="6"/>
      <c r="X29" s="6"/>
      <c r="Y29" s="6"/>
      <c r="Z29" s="6"/>
      <c r="AA29" s="6"/>
    </row>
    <row r="30" spans="1:27" ht="14.25" customHeight="1" x14ac:dyDescent="0.3">
      <c r="A30" s="5" t="s">
        <v>53</v>
      </c>
      <c r="B30" s="6" t="s">
        <v>14</v>
      </c>
      <c r="D30" s="7">
        <v>45946</v>
      </c>
      <c r="E30" s="5" t="s">
        <v>15</v>
      </c>
      <c r="F30" s="5" t="s">
        <v>34</v>
      </c>
      <c r="G30" s="9" t="s">
        <v>35</v>
      </c>
      <c r="H30" s="6" t="s">
        <v>18</v>
      </c>
      <c r="I30" s="5">
        <v>200</v>
      </c>
      <c r="J30" s="10">
        <v>1.1299999999999999</v>
      </c>
      <c r="K30" s="24">
        <v>1.93</v>
      </c>
      <c r="L30" s="5">
        <v>206.4</v>
      </c>
      <c r="M30" s="5">
        <v>1.03</v>
      </c>
      <c r="N30" s="9"/>
      <c r="O30" s="6"/>
      <c r="Q30" s="6"/>
      <c r="R30" s="6"/>
      <c r="S30" s="6"/>
      <c r="T30" s="6"/>
      <c r="U30" s="28"/>
      <c r="V30" s="28"/>
      <c r="W30" s="28"/>
      <c r="X30" s="28"/>
      <c r="Y30" s="28"/>
      <c r="Z30" s="28"/>
      <c r="AA30" s="28"/>
    </row>
    <row r="31" spans="1:27" ht="18" customHeight="1" x14ac:dyDescent="0.3">
      <c r="A31" s="12" t="s">
        <v>54</v>
      </c>
      <c r="B31" s="6" t="s">
        <v>14</v>
      </c>
      <c r="D31" s="7">
        <v>45946</v>
      </c>
      <c r="E31" s="12" t="s">
        <v>15</v>
      </c>
      <c r="F31" s="12" t="s">
        <v>34</v>
      </c>
      <c r="G31" s="9" t="s">
        <v>35</v>
      </c>
      <c r="H31" s="6" t="s">
        <v>18</v>
      </c>
      <c r="I31" s="12">
        <v>200</v>
      </c>
      <c r="J31" s="10">
        <v>1.63</v>
      </c>
      <c r="K31" s="24">
        <v>2.0299999999999998</v>
      </c>
      <c r="L31" s="12">
        <v>346.1</v>
      </c>
      <c r="M31" s="12">
        <v>1.73</v>
      </c>
      <c r="N31" s="13"/>
      <c r="O31" s="6"/>
      <c r="Q31" s="6"/>
      <c r="R31" s="6"/>
      <c r="S31" s="6"/>
      <c r="T31" s="6"/>
      <c r="U31" s="28"/>
      <c r="V31" s="28"/>
      <c r="W31" s="28"/>
      <c r="X31" s="28"/>
      <c r="Y31" s="28"/>
      <c r="Z31" s="28"/>
      <c r="AA31" s="28"/>
    </row>
    <row r="32" spans="1:27" ht="20.25" customHeight="1" x14ac:dyDescent="0.3">
      <c r="A32" s="19" t="s">
        <v>55</v>
      </c>
      <c r="B32" s="19" t="s">
        <v>22</v>
      </c>
      <c r="D32" s="20">
        <v>45922</v>
      </c>
      <c r="E32" s="16" t="s">
        <v>23</v>
      </c>
      <c r="F32" s="15" t="s">
        <v>24</v>
      </c>
      <c r="G32" s="16" t="s">
        <v>25</v>
      </c>
      <c r="H32" s="17" t="s">
        <v>26</v>
      </c>
      <c r="I32" s="17">
        <v>50</v>
      </c>
      <c r="J32" s="19">
        <v>0.64</v>
      </c>
      <c r="K32" s="19">
        <v>1.61</v>
      </c>
      <c r="L32" s="19">
        <v>89.4</v>
      </c>
      <c r="M32" s="18">
        <f>IF(E32="Procariota",
IF(L32&lt;=10,3,
IF(L32&lt;=30,2,
IF(L32&lt;=100,1,
IF(L32&lt;=200,"1:10",
IF(L32&lt;=400,"1:20","Fuera de rango")
)
)
)
),
IF(E32="Eucariota",
IF(L32&lt;=20,3,
IF(L32&lt;=60,2,
IF(L32&lt;=120,1,
IF(L32&lt;=200,"1:10",
IF(L32&gt;200,"1:20","Fuera de rango")
)
)
)
),
"Error: Tipo inválido")
)</f>
        <v>1</v>
      </c>
      <c r="N32" s="25"/>
      <c r="O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14.25" customHeight="1" x14ac:dyDescent="0.3">
      <c r="A33" s="17" t="s">
        <v>56</v>
      </c>
      <c r="B33" s="19" t="s">
        <v>22</v>
      </c>
      <c r="D33" s="15">
        <v>45756</v>
      </c>
      <c r="E33" s="16" t="s">
        <v>23</v>
      </c>
      <c r="F33" s="15" t="s">
        <v>24</v>
      </c>
      <c r="G33" s="16" t="s">
        <v>25</v>
      </c>
      <c r="H33" s="17" t="s">
        <v>26</v>
      </c>
      <c r="I33" s="17">
        <v>50</v>
      </c>
      <c r="J33" s="26">
        <f>(11.5582467974799+13.3)/2</f>
        <v>12.42912339873995</v>
      </c>
      <c r="K33" s="8">
        <v>1.9194325255824563</v>
      </c>
      <c r="L33" s="8">
        <v>1.7755943869988502</v>
      </c>
      <c r="M33" s="18">
        <f>IF(E33="Procariota",
IF(J33&lt;=10,3,
IF(J33&lt;=30,2,
IF(J33&lt;=100,1,
IF(J33&lt;=200,"1:10",
IF(J33&lt;=400,"1:20","Fuera de rango")
)
)
)
),
IF(E33="Eucariota",
IF(J33&lt;=20,3,
IF(J33&lt;=60,2,
IF(J33&lt;=120,1,
IF(J33&lt;=200,"1:10",
IF(J33&gt;200,"1:20","Fuera de rango")
)
)
)
),
"Error: Tipo inválido")
)</f>
        <v>3</v>
      </c>
      <c r="N33" s="17"/>
      <c r="O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ht="14.25" customHeight="1" x14ac:dyDescent="0.3">
      <c r="A34" s="17" t="s">
        <v>57</v>
      </c>
      <c r="B34" s="19" t="s">
        <v>22</v>
      </c>
      <c r="D34" s="15">
        <v>45756</v>
      </c>
      <c r="E34" s="16" t="s">
        <v>23</v>
      </c>
      <c r="F34" s="15" t="s">
        <v>24</v>
      </c>
      <c r="G34" s="16" t="s">
        <v>25</v>
      </c>
      <c r="H34" s="17" t="s">
        <v>26</v>
      </c>
      <c r="I34" s="17">
        <v>50</v>
      </c>
      <c r="J34" s="26">
        <v>82.806101924724146</v>
      </c>
      <c r="K34" s="8">
        <v>2.0541252367059046</v>
      </c>
      <c r="L34" s="8">
        <v>2.228373193101191</v>
      </c>
      <c r="M34" s="18" t="str">
        <f>IF(E34="Procariota", IF(J34&lt;=10, 3, IF(J34&lt;=50, 2, IF(J34&lt;=100, 2, IF(J34&lt;=200, 2, 2)))), IF(E34="eucariotas", IF(J34&lt;=10, 3, IF(J34&lt;=50, 2, IF(J34&lt;=100, 2, IF(J34&lt;=200, 1, 1)))), "Error: Tipo inválido"))</f>
        <v>Error: Tipo inválido</v>
      </c>
      <c r="N34" s="17"/>
      <c r="O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14.25" customHeight="1" x14ac:dyDescent="0.3">
      <c r="A35" s="17" t="s">
        <v>58</v>
      </c>
      <c r="B35" s="19" t="s">
        <v>22</v>
      </c>
      <c r="D35" s="15">
        <v>45756</v>
      </c>
      <c r="E35" s="16" t="s">
        <v>23</v>
      </c>
      <c r="F35" s="15" t="s">
        <v>24</v>
      </c>
      <c r="G35" s="16" t="s">
        <v>25</v>
      </c>
      <c r="H35" s="17" t="s">
        <v>26</v>
      </c>
      <c r="I35" s="17">
        <v>50</v>
      </c>
      <c r="J35" s="26">
        <v>3.904937660684745</v>
      </c>
      <c r="K35" s="8">
        <v>3.2059486469503975</v>
      </c>
      <c r="L35" s="8">
        <v>0.85636544258124481</v>
      </c>
      <c r="M35" s="18" t="str">
        <f>IF(E35="Procariota", IF(J35&lt;=10, 3, IF(J35&lt;=50, 2, IF(J35&lt;=100, 2, IF(J35&lt;=200, 2, 2)))), IF(E35="eucariotas", IF(J35&lt;=10, 3, IF(J35&lt;=50, 2, IF(J35&lt;=100, 2, IF(J35&lt;=200, 1, 1)))), "Error: Tipo inválido"))</f>
        <v>Error: Tipo inválido</v>
      </c>
      <c r="N35" s="17"/>
      <c r="O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ht="14.25" customHeight="1" x14ac:dyDescent="0.3">
      <c r="A36" s="17" t="s">
        <v>59</v>
      </c>
      <c r="B36" s="19" t="s">
        <v>22</v>
      </c>
      <c r="D36" s="15">
        <v>45756</v>
      </c>
      <c r="E36" s="16" t="s">
        <v>23</v>
      </c>
      <c r="F36" s="15" t="s">
        <v>24</v>
      </c>
      <c r="G36" s="16" t="s">
        <v>25</v>
      </c>
      <c r="H36" s="17" t="s">
        <v>26</v>
      </c>
      <c r="I36" s="17">
        <v>50</v>
      </c>
      <c r="J36" s="26">
        <v>187.95426292178945</v>
      </c>
      <c r="K36" s="8">
        <v>1.8993801898084695</v>
      </c>
      <c r="L36" s="8">
        <v>1.8861313312171457</v>
      </c>
      <c r="M36" s="18" t="str">
        <f>IF(E36="Procariota", IF(J36&lt;=10, 3, IF(J36&lt;=50, 2, IF(J36&lt;=100, 2, IF(J36&lt;=200, 2, 2)))), IF(E36="eucariotas", IF(J36&lt;=10, 3, IF(J36&lt;=50, 2, IF(J36&lt;=100, 2, IF(J36&lt;=200, 1, 1)))), "Error: Tipo inválido"))</f>
        <v>Error: Tipo inválido</v>
      </c>
      <c r="N36" s="17"/>
      <c r="O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ht="14.25" customHeight="1" x14ac:dyDescent="0.3">
      <c r="A37" s="17" t="s">
        <v>60</v>
      </c>
      <c r="B37" s="19" t="s">
        <v>22</v>
      </c>
      <c r="D37" s="15">
        <v>45756</v>
      </c>
      <c r="E37" s="16" t="s">
        <v>23</v>
      </c>
      <c r="F37" s="15" t="s">
        <v>24</v>
      </c>
      <c r="G37" s="16" t="s">
        <v>25</v>
      </c>
      <c r="H37" s="17" t="s">
        <v>26</v>
      </c>
      <c r="I37" s="17">
        <v>50</v>
      </c>
      <c r="J37" s="26">
        <v>2.8391351154088227</v>
      </c>
      <c r="K37" s="8"/>
      <c r="L37" s="8">
        <v>2.2156290457125944</v>
      </c>
      <c r="M37" s="18" t="str">
        <f>IF(E37="Procariota", IF(J37&lt;=10, 3, IF(J37&lt;=50, 2, IF(J37&lt;=100, 2, IF(J37&lt;=200, 2, 2)))), IF(E37="eucariotas", IF(J37&lt;=10, 3, IF(J37&lt;=50, 2, IF(J37&lt;=100, 2, IF(J37&lt;=200, 1, 1)))), "Error: Tipo inválido"))</f>
        <v>Error: Tipo inválido</v>
      </c>
      <c r="N37" s="17"/>
      <c r="O37" s="6"/>
      <c r="Q37" s="17"/>
      <c r="R37" s="17"/>
      <c r="S37" s="17"/>
      <c r="T37" s="17"/>
      <c r="U37" s="6"/>
      <c r="V37" s="6"/>
      <c r="W37" s="6"/>
      <c r="X37" s="6"/>
      <c r="Y37" s="6"/>
      <c r="Z37" s="6"/>
      <c r="AA37" s="6"/>
    </row>
    <row r="38" spans="1:27" ht="14.25" customHeight="1" x14ac:dyDescent="0.3">
      <c r="A38" s="17" t="s">
        <v>61</v>
      </c>
      <c r="B38" s="19" t="s">
        <v>22</v>
      </c>
      <c r="D38" s="15">
        <v>45756</v>
      </c>
      <c r="E38" s="16" t="s">
        <v>23</v>
      </c>
      <c r="F38" s="15" t="s">
        <v>24</v>
      </c>
      <c r="G38" s="16" t="s">
        <v>25</v>
      </c>
      <c r="H38" s="17" t="s">
        <v>26</v>
      </c>
      <c r="I38" s="17">
        <v>50</v>
      </c>
      <c r="J38" s="26">
        <v>4.1322533059547073</v>
      </c>
      <c r="K38" s="8">
        <v>1.9463400117535017</v>
      </c>
      <c r="L38" s="8">
        <v>2.059300379160605</v>
      </c>
      <c r="M38" s="18"/>
      <c r="N38" s="17"/>
      <c r="O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ht="14.25" customHeight="1" x14ac:dyDescent="0.3">
      <c r="A39" s="17" t="s">
        <v>62</v>
      </c>
      <c r="B39" s="19" t="s">
        <v>22</v>
      </c>
      <c r="D39" s="15">
        <v>45756</v>
      </c>
      <c r="E39" s="16" t="s">
        <v>23</v>
      </c>
      <c r="F39" s="15" t="s">
        <v>24</v>
      </c>
      <c r="G39" s="16" t="s">
        <v>25</v>
      </c>
      <c r="H39" s="17" t="s">
        <v>26</v>
      </c>
      <c r="I39" s="17">
        <v>50</v>
      </c>
      <c r="J39" s="26">
        <v>15.955772667449164</v>
      </c>
      <c r="K39" s="8">
        <v>1.4521331303024205</v>
      </c>
      <c r="L39" s="8">
        <v>0.80196456709822783</v>
      </c>
      <c r="M39" s="18"/>
      <c r="N39" s="17"/>
      <c r="O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ht="14.25" customHeight="1" x14ac:dyDescent="0.3">
      <c r="A40" s="5" t="s">
        <v>63</v>
      </c>
      <c r="B40" s="6" t="s">
        <v>14</v>
      </c>
      <c r="D40" s="7">
        <v>45947</v>
      </c>
      <c r="E40" s="5" t="s">
        <v>15</v>
      </c>
      <c r="F40" s="8" t="s">
        <v>16</v>
      </c>
      <c r="G40" s="9" t="s">
        <v>17</v>
      </c>
      <c r="H40" s="6" t="s">
        <v>18</v>
      </c>
      <c r="I40" s="5">
        <v>100</v>
      </c>
      <c r="J40" s="10">
        <v>0.52</v>
      </c>
      <c r="K40" s="10">
        <v>1.5</v>
      </c>
      <c r="L40" s="5">
        <v>9.8000000000000007</v>
      </c>
      <c r="M40" s="5">
        <v>0.1</v>
      </c>
      <c r="N40" s="9"/>
      <c r="O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ht="14.25" customHeight="1" x14ac:dyDescent="0.3">
      <c r="A41" s="12" t="s">
        <v>64</v>
      </c>
      <c r="B41" s="6" t="s">
        <v>14</v>
      </c>
      <c r="D41" s="7">
        <v>45947</v>
      </c>
      <c r="E41" s="12" t="s">
        <v>15</v>
      </c>
      <c r="F41" s="8" t="s">
        <v>16</v>
      </c>
      <c r="G41" s="9" t="s">
        <v>17</v>
      </c>
      <c r="H41" s="6" t="s">
        <v>18</v>
      </c>
      <c r="I41" s="12">
        <v>100</v>
      </c>
      <c r="J41" s="10">
        <v>0.62</v>
      </c>
      <c r="K41" s="10">
        <v>1.55</v>
      </c>
      <c r="L41" s="12">
        <v>28.9</v>
      </c>
      <c r="M41" s="12">
        <v>0.28999999999999998</v>
      </c>
      <c r="N41" s="13"/>
      <c r="O41" s="6"/>
      <c r="Q41" s="17"/>
      <c r="R41" s="17"/>
      <c r="S41" s="17"/>
      <c r="T41" s="17"/>
      <c r="U41" s="6"/>
      <c r="V41" s="6"/>
      <c r="W41" s="6"/>
      <c r="X41" s="6"/>
      <c r="Y41" s="6"/>
      <c r="Z41" s="6"/>
      <c r="AA41" s="6"/>
    </row>
    <row r="42" spans="1:27" ht="14.25" customHeight="1" x14ac:dyDescent="0.3">
      <c r="A42" s="5" t="s">
        <v>65</v>
      </c>
      <c r="B42" s="6" t="s">
        <v>14</v>
      </c>
      <c r="D42" s="7">
        <v>45947</v>
      </c>
      <c r="E42" s="5" t="s">
        <v>15</v>
      </c>
      <c r="F42" s="8" t="s">
        <v>16</v>
      </c>
      <c r="G42" s="9" t="s">
        <v>17</v>
      </c>
      <c r="H42" s="6" t="s">
        <v>18</v>
      </c>
      <c r="I42" s="5">
        <v>100</v>
      </c>
      <c r="J42" s="10">
        <v>0.61</v>
      </c>
      <c r="K42" s="10">
        <v>1.56</v>
      </c>
      <c r="L42" s="5">
        <v>52.2</v>
      </c>
      <c r="M42" s="5">
        <v>0.52</v>
      </c>
      <c r="N42" s="9"/>
      <c r="O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ht="14.25" customHeight="1" x14ac:dyDescent="0.3">
      <c r="A43" s="14" t="s">
        <v>66</v>
      </c>
      <c r="B43" s="19" t="s">
        <v>22</v>
      </c>
      <c r="D43" s="15">
        <v>45756</v>
      </c>
      <c r="E43" s="16" t="s">
        <v>23</v>
      </c>
      <c r="F43" s="15" t="s">
        <v>24</v>
      </c>
      <c r="G43" s="16" t="s">
        <v>67</v>
      </c>
      <c r="H43" s="17" t="s">
        <v>26</v>
      </c>
      <c r="I43" s="17">
        <v>50</v>
      </c>
      <c r="J43" s="26">
        <v>68.314875586301582</v>
      </c>
      <c r="K43" s="8">
        <v>2.0435050962341612</v>
      </c>
      <c r="L43" s="8">
        <v>1.7536485018219929</v>
      </c>
      <c r="M43" s="18"/>
      <c r="N43" s="17"/>
      <c r="O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ht="14.25" customHeight="1" x14ac:dyDescent="0.3">
      <c r="A44" s="17" t="s">
        <v>68</v>
      </c>
      <c r="B44" s="19" t="s">
        <v>22</v>
      </c>
      <c r="D44" s="15">
        <v>45756</v>
      </c>
      <c r="E44" s="16" t="s">
        <v>23</v>
      </c>
      <c r="F44" s="15" t="s">
        <v>24</v>
      </c>
      <c r="G44" s="16" t="s">
        <v>67</v>
      </c>
      <c r="H44" s="17" t="s">
        <v>26</v>
      </c>
      <c r="I44" s="17">
        <v>50</v>
      </c>
      <c r="J44" s="26">
        <v>61.505677969785545</v>
      </c>
      <c r="K44" s="8">
        <v>1.8913726210373902</v>
      </c>
      <c r="L44" s="8">
        <v>1.7512908368750004</v>
      </c>
      <c r="M44" s="18"/>
      <c r="N44" s="17"/>
      <c r="O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ht="14.25" customHeight="1" x14ac:dyDescent="0.3">
      <c r="A45" s="14" t="s">
        <v>69</v>
      </c>
      <c r="B45" s="19" t="s">
        <v>22</v>
      </c>
      <c r="D45" s="667">
        <v>45756</v>
      </c>
      <c r="E45" s="16" t="s">
        <v>23</v>
      </c>
      <c r="F45" s="15" t="s">
        <v>24</v>
      </c>
      <c r="G45" s="16" t="s">
        <v>25</v>
      </c>
      <c r="H45" s="17" t="s">
        <v>26</v>
      </c>
      <c r="I45" s="17">
        <v>50</v>
      </c>
      <c r="J45" s="26">
        <v>87.123963357466153</v>
      </c>
      <c r="K45" s="8">
        <v>2.0611017614676199</v>
      </c>
      <c r="L45" s="671">
        <v>1.9351585124959458</v>
      </c>
      <c r="M45" s="18"/>
      <c r="N45" s="17"/>
      <c r="O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ht="14.25" customHeight="1" x14ac:dyDescent="0.3">
      <c r="A46" s="17" t="s">
        <v>70</v>
      </c>
      <c r="B46" s="19" t="s">
        <v>22</v>
      </c>
      <c r="D46" s="15">
        <v>45756</v>
      </c>
      <c r="E46" s="16" t="s">
        <v>23</v>
      </c>
      <c r="F46" s="15" t="s">
        <v>24</v>
      </c>
      <c r="G46" s="16" t="s">
        <v>25</v>
      </c>
      <c r="H46" s="17" t="s">
        <v>26</v>
      </c>
      <c r="I46" s="17">
        <v>50</v>
      </c>
      <c r="J46" s="26">
        <v>33.763076072508547</v>
      </c>
      <c r="K46" s="8">
        <v>2.064730303680919</v>
      </c>
      <c r="L46" s="671">
        <v>1.6315115877988942</v>
      </c>
      <c r="M46" s="18"/>
      <c r="N46" s="17"/>
      <c r="O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14.25" customHeight="1" x14ac:dyDescent="0.3">
      <c r="A47" s="17" t="s">
        <v>71</v>
      </c>
      <c r="B47" s="19" t="s">
        <v>22</v>
      </c>
      <c r="D47" s="15">
        <v>45756</v>
      </c>
      <c r="E47" s="16" t="s">
        <v>23</v>
      </c>
      <c r="F47" s="15" t="s">
        <v>24</v>
      </c>
      <c r="G47" s="16" t="s">
        <v>25</v>
      </c>
      <c r="H47" s="17" t="s">
        <v>26</v>
      </c>
      <c r="I47" s="17">
        <v>50</v>
      </c>
      <c r="J47" s="26">
        <v>41.363837289516248</v>
      </c>
      <c r="K47" s="8">
        <v>2.0537531922093231</v>
      </c>
      <c r="L47" s="671">
        <v>1.6904715614210126</v>
      </c>
      <c r="M47" s="18"/>
      <c r="N47" s="17"/>
      <c r="O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ht="14.25" customHeight="1" x14ac:dyDescent="0.3">
      <c r="A48" s="17" t="s">
        <v>72</v>
      </c>
      <c r="B48" s="19" t="s">
        <v>22</v>
      </c>
      <c r="D48" s="15">
        <v>45756</v>
      </c>
      <c r="E48" s="16" t="s">
        <v>23</v>
      </c>
      <c r="F48" s="15" t="s">
        <v>24</v>
      </c>
      <c r="G48" s="16" t="s">
        <v>25</v>
      </c>
      <c r="H48" s="17" t="s">
        <v>26</v>
      </c>
      <c r="I48" s="17">
        <v>50</v>
      </c>
      <c r="J48" s="26">
        <v>220.51062335914918</v>
      </c>
      <c r="K48" s="8">
        <v>1.8741782337838753</v>
      </c>
      <c r="L48" s="671">
        <v>1.7617238598253722</v>
      </c>
      <c r="M48" s="18"/>
      <c r="N48" s="17"/>
      <c r="O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 ht="14.25" customHeight="1" x14ac:dyDescent="0.3">
      <c r="A49" s="17" t="s">
        <v>73</v>
      </c>
      <c r="B49" s="19" t="s">
        <v>22</v>
      </c>
      <c r="D49" s="15">
        <v>45756</v>
      </c>
      <c r="E49" s="16" t="s">
        <v>23</v>
      </c>
      <c r="F49" s="15" t="s">
        <v>24</v>
      </c>
      <c r="G49" s="16" t="s">
        <v>25</v>
      </c>
      <c r="H49" s="17" t="s">
        <v>26</v>
      </c>
      <c r="I49" s="17">
        <v>50</v>
      </c>
      <c r="J49" s="26">
        <v>230.15983834308722</v>
      </c>
      <c r="K49" s="8">
        <v>1.865777669738905</v>
      </c>
      <c r="L49" s="671">
        <v>2.0348683742072193</v>
      </c>
      <c r="M49" s="18"/>
      <c r="N49" s="17"/>
      <c r="O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 ht="14.25" customHeight="1" x14ac:dyDescent="0.3">
      <c r="A50" s="14" t="s">
        <v>74</v>
      </c>
      <c r="B50" s="19" t="s">
        <v>22</v>
      </c>
      <c r="D50" s="15">
        <v>45756</v>
      </c>
      <c r="E50" s="16" t="s">
        <v>23</v>
      </c>
      <c r="F50" s="15" t="s">
        <v>24</v>
      </c>
      <c r="G50" s="16" t="s">
        <v>25</v>
      </c>
      <c r="H50" s="17" t="s">
        <v>26</v>
      </c>
      <c r="I50" s="17">
        <v>50</v>
      </c>
      <c r="J50" s="26">
        <v>230.15983834308722</v>
      </c>
      <c r="K50" s="8">
        <v>1.865777669738905</v>
      </c>
      <c r="L50" s="671">
        <v>2.0348683742072193</v>
      </c>
      <c r="M50" s="18"/>
      <c r="N50" s="30" t="s">
        <v>75</v>
      </c>
      <c r="O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ht="14.25" customHeight="1" x14ac:dyDescent="0.3">
      <c r="A51" s="14" t="s">
        <v>76</v>
      </c>
      <c r="B51" s="19" t="s">
        <v>22</v>
      </c>
      <c r="D51" s="15">
        <v>45756</v>
      </c>
      <c r="E51" s="16" t="s">
        <v>23</v>
      </c>
      <c r="F51" s="15" t="s">
        <v>24</v>
      </c>
      <c r="G51" s="16" t="s">
        <v>25</v>
      </c>
      <c r="H51" s="17" t="s">
        <v>26</v>
      </c>
      <c r="I51" s="17">
        <v>50</v>
      </c>
      <c r="J51" s="26">
        <v>33.763076072508547</v>
      </c>
      <c r="K51" s="8">
        <v>2.064730303680919</v>
      </c>
      <c r="L51" s="671">
        <v>1.6315115877988942</v>
      </c>
      <c r="M51" s="18"/>
      <c r="N51" s="30" t="s">
        <v>77</v>
      </c>
      <c r="O51" s="30" t="s">
        <v>78</v>
      </c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 ht="14.25" customHeight="1" x14ac:dyDescent="0.3">
      <c r="A52" s="14" t="s">
        <v>79</v>
      </c>
      <c r="B52" s="19" t="s">
        <v>22</v>
      </c>
      <c r="D52" s="15">
        <v>45756</v>
      </c>
      <c r="E52" s="16" t="s">
        <v>23</v>
      </c>
      <c r="F52" s="15" t="s">
        <v>24</v>
      </c>
      <c r="G52" s="16" t="s">
        <v>25</v>
      </c>
      <c r="H52" s="17" t="s">
        <v>26</v>
      </c>
      <c r="I52" s="17">
        <v>50</v>
      </c>
      <c r="J52" s="26">
        <v>41.363837289516248</v>
      </c>
      <c r="K52" s="8">
        <v>2.0537531922093231</v>
      </c>
      <c r="L52" s="671">
        <v>1.6904715614210126</v>
      </c>
      <c r="M52" s="18"/>
      <c r="N52" s="703" t="s">
        <v>80</v>
      </c>
      <c r="O52" s="669"/>
    </row>
    <row r="53" spans="1:27" ht="14.25" customHeight="1" x14ac:dyDescent="0.3">
      <c r="A53" s="12" t="s">
        <v>81</v>
      </c>
      <c r="B53" s="6" t="s">
        <v>14</v>
      </c>
      <c r="D53" s="32">
        <v>45966</v>
      </c>
      <c r="E53" s="12" t="s">
        <v>15</v>
      </c>
      <c r="F53" s="12" t="s">
        <v>34</v>
      </c>
      <c r="G53" s="13" t="s">
        <v>67</v>
      </c>
      <c r="H53" s="6" t="s">
        <v>18</v>
      </c>
      <c r="I53" s="12">
        <v>50</v>
      </c>
      <c r="J53" s="34">
        <v>2.1</v>
      </c>
      <c r="K53" s="24">
        <v>2.04</v>
      </c>
      <c r="L53" s="33">
        <v>341.2</v>
      </c>
      <c r="M53" s="12">
        <v>6.82</v>
      </c>
      <c r="N53" s="35"/>
    </row>
    <row r="54" spans="1:27" ht="14.25" customHeight="1" x14ac:dyDescent="0.3">
      <c r="A54" s="12" t="s">
        <v>82</v>
      </c>
      <c r="B54" s="6" t="s">
        <v>14</v>
      </c>
      <c r="D54" s="7">
        <v>45947</v>
      </c>
      <c r="E54" s="12" t="s">
        <v>15</v>
      </c>
      <c r="F54" s="8" t="s">
        <v>83</v>
      </c>
      <c r="G54" s="9" t="s">
        <v>17</v>
      </c>
      <c r="H54" s="6" t="s">
        <v>18</v>
      </c>
      <c r="I54" s="12">
        <v>100</v>
      </c>
      <c r="J54" s="10">
        <v>0.55000000000000004</v>
      </c>
      <c r="K54" s="24">
        <v>1.84</v>
      </c>
      <c r="L54" s="33">
        <v>6.6</v>
      </c>
      <c r="M54" s="12">
        <v>7.0000000000000007E-2</v>
      </c>
      <c r="N54" s="13"/>
      <c r="O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 ht="14.25" customHeight="1" x14ac:dyDescent="0.3">
      <c r="A55" s="5" t="s">
        <v>84</v>
      </c>
      <c r="B55" s="6" t="s">
        <v>14</v>
      </c>
      <c r="D55" s="7">
        <v>45957</v>
      </c>
      <c r="E55" s="36" t="s">
        <v>23</v>
      </c>
      <c r="F55" s="8" t="s">
        <v>85</v>
      </c>
      <c r="G55" s="5" t="s">
        <v>86</v>
      </c>
      <c r="H55" s="6" t="s">
        <v>18</v>
      </c>
      <c r="I55" s="5">
        <v>100</v>
      </c>
      <c r="J55" s="10">
        <v>0.86</v>
      </c>
      <c r="K55" s="10">
        <v>23.06</v>
      </c>
      <c r="L55" s="37">
        <v>1.5</v>
      </c>
      <c r="M55" s="5">
        <v>0.02</v>
      </c>
      <c r="N55" s="9"/>
      <c r="O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 ht="14.25" customHeight="1" x14ac:dyDescent="0.3">
      <c r="A56" s="38" t="s">
        <v>87</v>
      </c>
      <c r="B56" s="38" t="s">
        <v>22</v>
      </c>
      <c r="D56" s="17">
        <v>2024</v>
      </c>
      <c r="E56" s="39" t="s">
        <v>88</v>
      </c>
      <c r="F56" s="8" t="s">
        <v>85</v>
      </c>
      <c r="G56" s="40" t="s">
        <v>89</v>
      </c>
      <c r="H56" s="6"/>
      <c r="I56" s="17">
        <v>50</v>
      </c>
      <c r="J56" s="42">
        <v>0.90639163076630436</v>
      </c>
      <c r="K56" s="42">
        <v>1.869121405911266</v>
      </c>
      <c r="L56" s="709">
        <v>31.52874443302046</v>
      </c>
      <c r="M56" s="3"/>
      <c r="N56" s="6"/>
      <c r="O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 ht="14.25" customHeight="1" x14ac:dyDescent="0.3">
      <c r="A57" s="43" t="s">
        <v>90</v>
      </c>
      <c r="B57" s="38" t="s">
        <v>22</v>
      </c>
      <c r="D57" s="663">
        <v>2024</v>
      </c>
      <c r="E57" s="39" t="s">
        <v>88</v>
      </c>
      <c r="F57" s="8" t="s">
        <v>85</v>
      </c>
      <c r="G57" s="40" t="s">
        <v>89</v>
      </c>
      <c r="I57" s="17">
        <v>50</v>
      </c>
      <c r="J57" s="46">
        <v>1.7749198333911393</v>
      </c>
      <c r="K57" s="46">
        <v>1.9868827985869448</v>
      </c>
      <c r="L57" s="45">
        <v>808.56784751725831</v>
      </c>
      <c r="M57" s="3"/>
      <c r="N57" s="6"/>
    </row>
    <row r="58" spans="1:27" ht="14.25" customHeight="1" x14ac:dyDescent="0.3">
      <c r="A58" s="43" t="s">
        <v>91</v>
      </c>
      <c r="B58" s="679" t="s">
        <v>22</v>
      </c>
      <c r="D58" s="17">
        <v>2024</v>
      </c>
      <c r="E58" s="39" t="s">
        <v>88</v>
      </c>
      <c r="F58" s="8" t="s">
        <v>85</v>
      </c>
      <c r="G58" s="40" t="s">
        <v>89</v>
      </c>
      <c r="I58" s="17">
        <v>50</v>
      </c>
      <c r="J58" s="46">
        <v>0.68992360109522166</v>
      </c>
      <c r="K58" s="46">
        <v>1.8444430648364571</v>
      </c>
      <c r="L58" s="699">
        <v>85.886959843953889</v>
      </c>
      <c r="M58" s="3"/>
    </row>
    <row r="59" spans="1:27" ht="14.25" customHeight="1" x14ac:dyDescent="0.3">
      <c r="A59" s="12" t="s">
        <v>92</v>
      </c>
      <c r="B59" s="669" t="s">
        <v>93</v>
      </c>
      <c r="D59" s="32">
        <v>46000</v>
      </c>
      <c r="E59" s="36" t="s">
        <v>23</v>
      </c>
      <c r="F59" s="8" t="s">
        <v>85</v>
      </c>
      <c r="G59" s="12" t="s">
        <v>94</v>
      </c>
      <c r="H59" s="6"/>
      <c r="I59" s="13"/>
      <c r="J59" s="13"/>
      <c r="K59" s="49"/>
      <c r="L59" s="669"/>
      <c r="M59" s="12" t="e">
        <v>#DIV/0!</v>
      </c>
      <c r="N59" s="13"/>
      <c r="O59" s="33" t="s">
        <v>95</v>
      </c>
    </row>
    <row r="60" spans="1:27" ht="14.25" customHeight="1" x14ac:dyDescent="0.3">
      <c r="A60" s="5" t="s">
        <v>96</v>
      </c>
      <c r="B60" s="669" t="s">
        <v>93</v>
      </c>
      <c r="D60" s="50">
        <v>46000</v>
      </c>
      <c r="E60" s="36" t="s">
        <v>23</v>
      </c>
      <c r="F60" s="8" t="s">
        <v>85</v>
      </c>
      <c r="G60" s="5" t="s">
        <v>86</v>
      </c>
      <c r="H60" s="6"/>
      <c r="I60" s="9"/>
      <c r="J60" s="9"/>
      <c r="K60" s="49"/>
      <c r="L60" s="669"/>
      <c r="M60" s="5" t="e">
        <v>#DIV/0!</v>
      </c>
      <c r="N60" s="9"/>
      <c r="O60" s="37" t="s">
        <v>95</v>
      </c>
    </row>
    <row r="61" spans="1:27" ht="14.25" customHeight="1" x14ac:dyDescent="0.3">
      <c r="A61" s="38" t="s">
        <v>97</v>
      </c>
      <c r="B61" s="679" t="s">
        <v>22</v>
      </c>
      <c r="D61" s="17">
        <v>2024</v>
      </c>
      <c r="E61" s="39" t="s">
        <v>88</v>
      </c>
      <c r="F61" s="8" t="s">
        <v>85</v>
      </c>
      <c r="G61" s="40" t="s">
        <v>89</v>
      </c>
      <c r="H61" s="669"/>
      <c r="I61" s="17">
        <v>50</v>
      </c>
      <c r="J61" s="42">
        <v>0.108609104716789</v>
      </c>
      <c r="K61" s="42">
        <v>1.6303777489075932</v>
      </c>
      <c r="L61" s="709">
        <v>8.6331007393573831</v>
      </c>
      <c r="M61" s="3"/>
      <c r="N61" s="6"/>
    </row>
    <row r="62" spans="1:27" ht="14.25" customHeight="1" x14ac:dyDescent="0.3">
      <c r="A62" s="12" t="s">
        <v>98</v>
      </c>
      <c r="B62" s="669" t="s">
        <v>14</v>
      </c>
      <c r="D62" s="7">
        <v>45957</v>
      </c>
      <c r="E62" s="36" t="s">
        <v>23</v>
      </c>
      <c r="F62" s="8" t="s">
        <v>85</v>
      </c>
      <c r="G62" s="12" t="s">
        <v>94</v>
      </c>
      <c r="H62" s="6" t="s">
        <v>18</v>
      </c>
      <c r="I62" s="12">
        <v>100</v>
      </c>
      <c r="J62" s="10">
        <v>0.55000000000000004</v>
      </c>
      <c r="K62" s="10">
        <v>1.21</v>
      </c>
      <c r="L62" s="670">
        <v>0</v>
      </c>
      <c r="M62" s="12">
        <v>0</v>
      </c>
      <c r="N62" s="13"/>
    </row>
    <row r="63" spans="1:27" ht="14.25" customHeight="1" x14ac:dyDescent="0.3">
      <c r="A63" s="3" t="s">
        <v>99</v>
      </c>
      <c r="B63" s="679" t="s">
        <v>22</v>
      </c>
      <c r="D63" s="17">
        <v>2024</v>
      </c>
      <c r="E63" s="39" t="s">
        <v>88</v>
      </c>
      <c r="F63" s="8" t="s">
        <v>85</v>
      </c>
      <c r="G63" s="40" t="s">
        <v>89</v>
      </c>
      <c r="H63" s="669"/>
      <c r="I63" s="17">
        <v>50</v>
      </c>
      <c r="J63" s="52">
        <v>1.4140925715392734</v>
      </c>
      <c r="K63" s="52">
        <v>1.850948299410708</v>
      </c>
      <c r="L63" s="708">
        <v>183.63880468254564</v>
      </c>
      <c r="M63" s="3"/>
      <c r="N63" s="6"/>
    </row>
    <row r="64" spans="1:27" ht="14.25" customHeight="1" x14ac:dyDescent="0.3">
      <c r="A64" s="12" t="s">
        <v>100</v>
      </c>
      <c r="B64" s="669" t="s">
        <v>14</v>
      </c>
      <c r="D64" s="7">
        <v>45947</v>
      </c>
      <c r="E64" s="39" t="s">
        <v>88</v>
      </c>
      <c r="F64" s="8" t="s">
        <v>85</v>
      </c>
      <c r="G64" s="12" t="s">
        <v>101</v>
      </c>
      <c r="H64" s="6" t="s">
        <v>18</v>
      </c>
      <c r="I64" s="12">
        <v>100</v>
      </c>
      <c r="J64" s="10">
        <v>1.4</v>
      </c>
      <c r="K64" s="24">
        <v>1.86</v>
      </c>
      <c r="L64" s="670">
        <v>368.3</v>
      </c>
      <c r="M64" s="12">
        <v>3.68</v>
      </c>
      <c r="N64" s="13"/>
    </row>
    <row r="65" spans="1:27" ht="14.25" customHeight="1" x14ac:dyDescent="0.3">
      <c r="A65" s="12" t="s">
        <v>102</v>
      </c>
      <c r="B65" s="669" t="s">
        <v>93</v>
      </c>
      <c r="D65" s="32">
        <v>46000</v>
      </c>
      <c r="E65" s="36" t="s">
        <v>23</v>
      </c>
      <c r="F65" s="8" t="s">
        <v>85</v>
      </c>
      <c r="G65" s="12" t="s">
        <v>94</v>
      </c>
      <c r="H65" s="6"/>
      <c r="I65" s="13"/>
      <c r="J65" s="13"/>
      <c r="K65" s="49"/>
      <c r="L65" s="669"/>
      <c r="M65" s="12" t="e">
        <v>#DIV/0!</v>
      </c>
      <c r="N65" s="13"/>
      <c r="O65" s="33" t="s">
        <v>95</v>
      </c>
    </row>
    <row r="66" spans="1:27" ht="14.25" customHeight="1" x14ac:dyDescent="0.3">
      <c r="A66" s="5" t="s">
        <v>103</v>
      </c>
      <c r="B66" s="669" t="s">
        <v>93</v>
      </c>
      <c r="D66" s="50">
        <v>46000</v>
      </c>
      <c r="E66" s="36" t="s">
        <v>23</v>
      </c>
      <c r="F66" s="8" t="s">
        <v>85</v>
      </c>
      <c r="G66" s="5" t="s">
        <v>86</v>
      </c>
      <c r="H66" s="6"/>
      <c r="I66" s="9"/>
      <c r="J66" s="9"/>
      <c r="K66" s="49"/>
      <c r="L66" s="669"/>
      <c r="M66" s="5" t="e">
        <v>#DIV/0!</v>
      </c>
      <c r="N66" s="9"/>
      <c r="O66" s="37" t="s">
        <v>95</v>
      </c>
    </row>
    <row r="67" spans="1:27" ht="14.25" customHeight="1" x14ac:dyDescent="0.3">
      <c r="A67" s="12" t="s">
        <v>104</v>
      </c>
      <c r="B67" s="669" t="s">
        <v>93</v>
      </c>
      <c r="D67" s="32">
        <v>46000</v>
      </c>
      <c r="E67" s="36" t="s">
        <v>23</v>
      </c>
      <c r="F67" s="8" t="s">
        <v>85</v>
      </c>
      <c r="G67" s="12" t="s">
        <v>94</v>
      </c>
      <c r="H67" s="6"/>
      <c r="I67" s="13"/>
      <c r="J67" s="13"/>
      <c r="K67" s="49"/>
      <c r="L67" s="669"/>
      <c r="M67" s="12" t="e">
        <v>#DIV/0!</v>
      </c>
      <c r="N67" s="13"/>
      <c r="O67" s="33" t="s">
        <v>95</v>
      </c>
    </row>
    <row r="68" spans="1:27" ht="14.25" customHeight="1" x14ac:dyDescent="0.3">
      <c r="A68" s="5" t="s">
        <v>105</v>
      </c>
      <c r="B68" s="6" t="s">
        <v>14</v>
      </c>
      <c r="D68" s="7">
        <v>45957</v>
      </c>
      <c r="E68" s="36" t="s">
        <v>23</v>
      </c>
      <c r="F68" s="8" t="s">
        <v>85</v>
      </c>
      <c r="G68" s="5" t="s">
        <v>94</v>
      </c>
      <c r="H68" s="6" t="s">
        <v>18</v>
      </c>
      <c r="I68" s="5">
        <v>100</v>
      </c>
      <c r="J68" s="10">
        <v>0.1</v>
      </c>
      <c r="K68" s="10">
        <v>0.16</v>
      </c>
      <c r="L68" s="665">
        <v>0</v>
      </c>
      <c r="M68" s="5">
        <v>0</v>
      </c>
      <c r="N68" s="9"/>
    </row>
    <row r="69" spans="1:27" ht="14.25" customHeight="1" x14ac:dyDescent="0.3">
      <c r="A69" s="5" t="s">
        <v>106</v>
      </c>
      <c r="B69" s="6" t="s">
        <v>93</v>
      </c>
      <c r="D69" s="50">
        <v>46000</v>
      </c>
      <c r="E69" s="36" t="s">
        <v>23</v>
      </c>
      <c r="F69" s="8" t="s">
        <v>85</v>
      </c>
      <c r="G69" s="5" t="s">
        <v>94</v>
      </c>
      <c r="H69" s="6"/>
      <c r="I69" s="9"/>
      <c r="J69" s="9"/>
      <c r="K69" s="49"/>
      <c r="L69" s="669"/>
      <c r="M69" s="5" t="e">
        <v>#DIV/0!</v>
      </c>
      <c r="N69" s="9"/>
      <c r="O69" s="5" t="s">
        <v>95</v>
      </c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ht="14.25" customHeight="1" x14ac:dyDescent="0.3">
      <c r="A70" s="12" t="s">
        <v>107</v>
      </c>
      <c r="B70" s="669" t="s">
        <v>93</v>
      </c>
      <c r="D70" s="690">
        <v>46000</v>
      </c>
      <c r="E70" s="36" t="s">
        <v>23</v>
      </c>
      <c r="F70" s="8" t="s">
        <v>85</v>
      </c>
      <c r="G70" s="12" t="s">
        <v>94</v>
      </c>
      <c r="H70" s="6"/>
      <c r="I70" s="35"/>
      <c r="J70" s="692"/>
      <c r="K70" s="706"/>
      <c r="L70" s="669"/>
      <c r="M70" s="33" t="e">
        <v>#DIV/0!</v>
      </c>
      <c r="N70" s="35"/>
      <c r="O70" s="33" t="s">
        <v>95</v>
      </c>
    </row>
    <row r="71" spans="1:27" ht="14.25" customHeight="1" x14ac:dyDescent="0.3">
      <c r="A71" s="5" t="s">
        <v>108</v>
      </c>
      <c r="B71" s="6" t="s">
        <v>93</v>
      </c>
      <c r="D71" s="50">
        <v>46000</v>
      </c>
      <c r="E71" s="36" t="s">
        <v>23</v>
      </c>
      <c r="F71" s="8" t="s">
        <v>85</v>
      </c>
      <c r="G71" s="5" t="s">
        <v>94</v>
      </c>
      <c r="H71" s="6"/>
      <c r="I71" s="9"/>
      <c r="J71" s="9"/>
      <c r="K71" s="49"/>
      <c r="L71" s="669"/>
      <c r="M71" s="5" t="e">
        <v>#DIV/0!</v>
      </c>
      <c r="N71" s="9"/>
      <c r="O71" s="5" t="s">
        <v>95</v>
      </c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ht="14.25" customHeight="1" x14ac:dyDescent="0.3">
      <c r="A72" s="12" t="s">
        <v>109</v>
      </c>
      <c r="B72" s="6" t="s">
        <v>14</v>
      </c>
      <c r="D72" s="7">
        <v>45957</v>
      </c>
      <c r="E72" s="36" t="s">
        <v>23</v>
      </c>
      <c r="F72" s="8" t="s">
        <v>85</v>
      </c>
      <c r="G72" s="12" t="s">
        <v>86</v>
      </c>
      <c r="H72" s="6" t="s">
        <v>18</v>
      </c>
      <c r="I72" s="12">
        <v>100</v>
      </c>
      <c r="J72" s="10">
        <v>0.52</v>
      </c>
      <c r="K72" s="24">
        <v>1.89</v>
      </c>
      <c r="L72" s="670">
        <v>10.9</v>
      </c>
      <c r="M72" s="12">
        <v>0.11</v>
      </c>
      <c r="N72" s="13"/>
      <c r="O72" s="6"/>
      <c r="Q72" s="17"/>
      <c r="R72" s="17"/>
      <c r="S72" s="17"/>
      <c r="T72" s="17"/>
      <c r="U72" s="6"/>
      <c r="V72" s="6"/>
      <c r="W72" s="6"/>
      <c r="X72" s="6"/>
      <c r="Y72" s="6"/>
      <c r="Z72" s="6"/>
      <c r="AA72" s="6"/>
    </row>
    <row r="73" spans="1:27" ht="14.25" customHeight="1" x14ac:dyDescent="0.3">
      <c r="A73" s="5" t="s">
        <v>110</v>
      </c>
      <c r="B73" s="669" t="s">
        <v>14</v>
      </c>
      <c r="D73" s="7">
        <v>45957</v>
      </c>
      <c r="E73" s="36" t="s">
        <v>23</v>
      </c>
      <c r="F73" s="8" t="s">
        <v>85</v>
      </c>
      <c r="G73" s="5" t="s">
        <v>86</v>
      </c>
      <c r="H73" s="6" t="s">
        <v>18</v>
      </c>
      <c r="I73" s="5">
        <v>100</v>
      </c>
      <c r="J73" s="10">
        <v>0.4</v>
      </c>
      <c r="K73" s="10">
        <v>5.88</v>
      </c>
      <c r="L73" s="37">
        <v>2.7</v>
      </c>
      <c r="M73" s="5">
        <v>0.03</v>
      </c>
      <c r="N73" s="9"/>
      <c r="O73" s="6"/>
      <c r="Q73" s="17"/>
      <c r="R73" s="17"/>
      <c r="S73" s="17"/>
      <c r="T73" s="17"/>
      <c r="U73" s="6"/>
      <c r="V73" s="6"/>
      <c r="W73" s="6"/>
      <c r="X73" s="6"/>
      <c r="Y73" s="6"/>
      <c r="Z73" s="6"/>
      <c r="AA73" s="6"/>
    </row>
    <row r="74" spans="1:27" ht="14.25" customHeight="1" x14ac:dyDescent="0.3">
      <c r="A74" s="12" t="s">
        <v>111</v>
      </c>
      <c r="B74" s="669" t="s">
        <v>14</v>
      </c>
      <c r="D74" s="7">
        <v>45957</v>
      </c>
      <c r="E74" s="36" t="s">
        <v>23</v>
      </c>
      <c r="F74" s="8" t="s">
        <v>85</v>
      </c>
      <c r="G74" s="12" t="s">
        <v>86</v>
      </c>
      <c r="H74" s="6" t="s">
        <v>18</v>
      </c>
      <c r="I74" s="12">
        <v>100</v>
      </c>
      <c r="J74" s="10">
        <v>0.75</v>
      </c>
      <c r="K74" s="10">
        <v>3.52</v>
      </c>
      <c r="L74" s="33">
        <v>4.0999999999999996</v>
      </c>
      <c r="M74" s="12">
        <v>0.04</v>
      </c>
      <c r="N74" s="13"/>
      <c r="O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 ht="14.25" customHeight="1" x14ac:dyDescent="0.3">
      <c r="A75" s="5" t="s">
        <v>112</v>
      </c>
      <c r="B75" s="669" t="s">
        <v>14</v>
      </c>
      <c r="D75" s="7">
        <v>45957</v>
      </c>
      <c r="E75" s="36" t="s">
        <v>23</v>
      </c>
      <c r="F75" s="8" t="s">
        <v>85</v>
      </c>
      <c r="G75" s="5" t="s">
        <v>86</v>
      </c>
      <c r="H75" s="6" t="s">
        <v>18</v>
      </c>
      <c r="I75" s="5">
        <v>100</v>
      </c>
      <c r="J75" s="10">
        <v>0.42</v>
      </c>
      <c r="K75" s="10">
        <v>2.37</v>
      </c>
      <c r="L75" s="37">
        <v>5.5</v>
      </c>
      <c r="M75" s="5">
        <v>0.06</v>
      </c>
      <c r="N75" s="5" t="s">
        <v>113</v>
      </c>
      <c r="O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 ht="14.25" customHeight="1" x14ac:dyDescent="0.3">
      <c r="A76" s="12" t="s">
        <v>114</v>
      </c>
      <c r="B76" s="6" t="s">
        <v>14</v>
      </c>
      <c r="D76" s="688">
        <v>45957</v>
      </c>
      <c r="E76" s="36" t="s">
        <v>23</v>
      </c>
      <c r="F76" s="8" t="s">
        <v>85</v>
      </c>
      <c r="G76" s="12" t="s">
        <v>86</v>
      </c>
      <c r="H76" s="6" t="s">
        <v>18</v>
      </c>
      <c r="I76" s="12">
        <v>100</v>
      </c>
      <c r="J76" s="10">
        <v>0.37</v>
      </c>
      <c r="K76" s="10">
        <v>2.36</v>
      </c>
      <c r="L76" s="33">
        <v>4.5</v>
      </c>
      <c r="M76" s="12">
        <v>0.05</v>
      </c>
      <c r="N76" s="13"/>
    </row>
    <row r="77" spans="1:27" ht="14.25" customHeight="1" x14ac:dyDescent="0.3">
      <c r="A77" s="12" t="s">
        <v>115</v>
      </c>
      <c r="B77" s="669" t="s">
        <v>93</v>
      </c>
      <c r="D77" s="32">
        <v>46000</v>
      </c>
      <c r="E77" s="36" t="s">
        <v>23</v>
      </c>
      <c r="F77" s="8" t="s">
        <v>85</v>
      </c>
      <c r="G77" s="12" t="s">
        <v>86</v>
      </c>
      <c r="H77" s="6"/>
      <c r="I77" s="13"/>
      <c r="J77" s="13"/>
      <c r="K77" s="49"/>
      <c r="L77" s="669"/>
      <c r="M77" s="12" t="e">
        <v>#DIV/0!</v>
      </c>
      <c r="N77" s="35"/>
      <c r="O77" s="33" t="s">
        <v>95</v>
      </c>
    </row>
    <row r="78" spans="1:27" ht="14.25" customHeight="1" x14ac:dyDescent="0.3">
      <c r="A78" s="5" t="s">
        <v>116</v>
      </c>
      <c r="B78" s="6" t="s">
        <v>14</v>
      </c>
      <c r="D78" s="688">
        <v>45947</v>
      </c>
      <c r="E78" s="39" t="s">
        <v>88</v>
      </c>
      <c r="F78" s="8" t="s">
        <v>85</v>
      </c>
      <c r="G78" s="5" t="s">
        <v>101</v>
      </c>
      <c r="H78" s="6" t="s">
        <v>18</v>
      </c>
      <c r="I78" s="5">
        <v>50</v>
      </c>
      <c r="J78" s="10">
        <v>2.3199999999999998</v>
      </c>
      <c r="K78" s="24">
        <v>1.92</v>
      </c>
      <c r="L78" s="37">
        <v>103.4</v>
      </c>
      <c r="M78" s="5">
        <v>2.0699999999999998</v>
      </c>
      <c r="N78" s="9"/>
    </row>
    <row r="79" spans="1:27" ht="14.25" customHeight="1" x14ac:dyDescent="0.3">
      <c r="A79" s="5" t="s">
        <v>117</v>
      </c>
      <c r="B79" s="6" t="s">
        <v>93</v>
      </c>
      <c r="D79" s="50">
        <v>46000</v>
      </c>
      <c r="E79" s="36" t="s">
        <v>23</v>
      </c>
      <c r="F79" s="8" t="s">
        <v>85</v>
      </c>
      <c r="G79" s="5" t="s">
        <v>94</v>
      </c>
      <c r="H79" s="6"/>
      <c r="I79" s="9"/>
      <c r="J79" s="9"/>
      <c r="K79" s="49"/>
      <c r="L79" s="669"/>
      <c r="M79" s="5" t="e">
        <v>#DIV/0!</v>
      </c>
      <c r="N79" s="678"/>
      <c r="O79" s="37" t="s">
        <v>95</v>
      </c>
    </row>
    <row r="80" spans="1:27" ht="14.25" customHeight="1" x14ac:dyDescent="0.3">
      <c r="A80" s="12" t="s">
        <v>118</v>
      </c>
      <c r="B80" s="4" t="s">
        <v>93</v>
      </c>
      <c r="D80" s="32">
        <v>46000</v>
      </c>
      <c r="E80" s="36" t="s">
        <v>23</v>
      </c>
      <c r="F80" s="8" t="s">
        <v>85</v>
      </c>
      <c r="G80" s="12" t="s">
        <v>94</v>
      </c>
      <c r="H80" s="6"/>
      <c r="I80" s="13"/>
      <c r="J80" s="13"/>
      <c r="K80" s="49"/>
      <c r="L80" s="669"/>
      <c r="M80" s="12" t="e">
        <v>#DIV/0!</v>
      </c>
      <c r="N80" s="692"/>
      <c r="O80" s="33" t="s">
        <v>95</v>
      </c>
    </row>
    <row r="81" spans="1:27" ht="14.25" customHeight="1" x14ac:dyDescent="0.3">
      <c r="A81" s="5" t="s">
        <v>119</v>
      </c>
      <c r="B81" s="4" t="s">
        <v>93</v>
      </c>
      <c r="D81" s="50">
        <v>46000</v>
      </c>
      <c r="E81" s="36" t="s">
        <v>23</v>
      </c>
      <c r="F81" s="8" t="s">
        <v>85</v>
      </c>
      <c r="G81" s="5" t="s">
        <v>94</v>
      </c>
      <c r="H81" s="6"/>
      <c r="I81" s="9"/>
      <c r="J81" s="9"/>
      <c r="K81" s="49"/>
      <c r="L81" s="669"/>
      <c r="M81" s="5" t="e">
        <v>#DIV/0!</v>
      </c>
      <c r="N81" s="678"/>
      <c r="O81" s="37" t="s">
        <v>95</v>
      </c>
    </row>
    <row r="82" spans="1:27" ht="14.25" customHeight="1" x14ac:dyDescent="0.3">
      <c r="A82" s="12" t="s">
        <v>120</v>
      </c>
      <c r="B82" s="6" t="s">
        <v>93</v>
      </c>
      <c r="D82" s="32">
        <v>46000</v>
      </c>
      <c r="E82" s="36" t="s">
        <v>23</v>
      </c>
      <c r="F82" s="8" t="s">
        <v>85</v>
      </c>
      <c r="G82" s="12" t="s">
        <v>94</v>
      </c>
      <c r="H82" s="6"/>
      <c r="I82" s="13"/>
      <c r="J82" s="13"/>
      <c r="K82" s="49"/>
      <c r="L82" s="669"/>
      <c r="M82" s="12" t="e">
        <v>#DIV/0!</v>
      </c>
      <c r="N82" s="692"/>
      <c r="O82" s="33" t="s">
        <v>95</v>
      </c>
    </row>
    <row r="83" spans="1:27" ht="14.25" customHeight="1" x14ac:dyDescent="0.3">
      <c r="A83" s="5" t="s">
        <v>121</v>
      </c>
      <c r="B83" s="669" t="s">
        <v>14</v>
      </c>
      <c r="D83" s="7">
        <v>45957</v>
      </c>
      <c r="E83" s="36" t="s">
        <v>23</v>
      </c>
      <c r="F83" s="8" t="s">
        <v>85</v>
      </c>
      <c r="G83" s="5" t="s">
        <v>86</v>
      </c>
      <c r="H83" s="6" t="s">
        <v>18</v>
      </c>
      <c r="I83" s="5">
        <v>100</v>
      </c>
      <c r="J83" s="10">
        <v>0.51</v>
      </c>
      <c r="K83" s="10">
        <v>3.29</v>
      </c>
      <c r="L83" s="37">
        <v>1.8</v>
      </c>
      <c r="M83" s="5">
        <v>0.02</v>
      </c>
      <c r="N83" s="678"/>
    </row>
    <row r="84" spans="1:27" ht="14.25" customHeight="1" x14ac:dyDescent="0.3">
      <c r="A84" s="12" t="s">
        <v>122</v>
      </c>
      <c r="B84" s="669" t="s">
        <v>14</v>
      </c>
      <c r="D84" s="53">
        <v>45979</v>
      </c>
      <c r="E84" s="36" t="s">
        <v>23</v>
      </c>
      <c r="F84" s="8" t="s">
        <v>85</v>
      </c>
      <c r="G84" s="12" t="s">
        <v>86</v>
      </c>
      <c r="H84" s="6" t="s">
        <v>18</v>
      </c>
      <c r="I84" s="12">
        <v>50</v>
      </c>
      <c r="J84" s="10">
        <v>1.43</v>
      </c>
      <c r="K84" s="24">
        <v>1.85</v>
      </c>
      <c r="L84" s="670">
        <v>133.6</v>
      </c>
      <c r="M84" s="12">
        <v>2.67</v>
      </c>
      <c r="N84" s="13"/>
      <c r="O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 ht="14.25" customHeight="1" x14ac:dyDescent="0.3">
      <c r="A85" s="5" t="s">
        <v>123</v>
      </c>
      <c r="B85" s="669" t="s">
        <v>14</v>
      </c>
      <c r="D85" s="55">
        <v>45979</v>
      </c>
      <c r="E85" s="36" t="s">
        <v>23</v>
      </c>
      <c r="F85" s="8" t="s">
        <v>85</v>
      </c>
      <c r="G85" s="5" t="s">
        <v>86</v>
      </c>
      <c r="H85" s="6" t="s">
        <v>18</v>
      </c>
      <c r="I85" s="665">
        <v>50</v>
      </c>
      <c r="J85" s="701">
        <v>1.8</v>
      </c>
      <c r="K85" s="698">
        <v>1.87</v>
      </c>
      <c r="L85" s="665">
        <v>69.099999999999994</v>
      </c>
      <c r="M85" s="37">
        <v>1.38</v>
      </c>
      <c r="N85" s="11"/>
    </row>
    <row r="86" spans="1:27" ht="14.25" customHeight="1" x14ac:dyDescent="0.3">
      <c r="A86" s="12" t="s">
        <v>124</v>
      </c>
      <c r="B86" s="669" t="s">
        <v>14</v>
      </c>
      <c r="D86" s="54">
        <v>45968</v>
      </c>
      <c r="E86" s="36" t="s">
        <v>23</v>
      </c>
      <c r="F86" s="8" t="s">
        <v>85</v>
      </c>
      <c r="G86" s="12" t="s">
        <v>86</v>
      </c>
      <c r="H86" s="6" t="s">
        <v>18</v>
      </c>
      <c r="I86" s="670">
        <v>50</v>
      </c>
      <c r="J86" s="694">
        <v>1.06</v>
      </c>
      <c r="K86" s="694">
        <v>2.17</v>
      </c>
      <c r="L86" s="33">
        <v>14.4</v>
      </c>
      <c r="M86" s="670">
        <v>0.28999999999999998</v>
      </c>
      <c r="N86" s="692"/>
    </row>
    <row r="87" spans="1:27" ht="14.25" customHeight="1" x14ac:dyDescent="0.3">
      <c r="A87" s="12" t="s">
        <v>125</v>
      </c>
      <c r="B87" s="669" t="s">
        <v>14</v>
      </c>
      <c r="D87" s="54">
        <v>45957</v>
      </c>
      <c r="E87" s="36" t="s">
        <v>23</v>
      </c>
      <c r="F87" s="8" t="s">
        <v>85</v>
      </c>
      <c r="G87" s="12" t="s">
        <v>94</v>
      </c>
      <c r="H87" s="6" t="s">
        <v>18</v>
      </c>
      <c r="I87" s="33">
        <v>100</v>
      </c>
      <c r="J87" s="694">
        <v>-0.17</v>
      </c>
      <c r="K87" s="694">
        <v>0.33</v>
      </c>
      <c r="L87" s="670">
        <v>0</v>
      </c>
      <c r="M87" s="33">
        <v>0</v>
      </c>
      <c r="N87" s="35"/>
    </row>
    <row r="88" spans="1:27" ht="14.25" customHeight="1" x14ac:dyDescent="0.3">
      <c r="A88" s="5" t="s">
        <v>126</v>
      </c>
      <c r="B88" s="4" t="s">
        <v>93</v>
      </c>
      <c r="D88" s="687">
        <v>46000</v>
      </c>
      <c r="E88" s="36" t="s">
        <v>23</v>
      </c>
      <c r="F88" s="8" t="s">
        <v>85</v>
      </c>
      <c r="G88" s="5" t="s">
        <v>94</v>
      </c>
      <c r="H88" s="6"/>
      <c r="I88" s="678"/>
      <c r="J88" s="678"/>
      <c r="K88" s="706"/>
      <c r="L88" s="669"/>
      <c r="M88" s="665" t="e">
        <v>#DIV/0!</v>
      </c>
      <c r="N88" s="678"/>
      <c r="O88" s="37" t="s">
        <v>95</v>
      </c>
    </row>
    <row r="89" spans="1:27" ht="14.25" customHeight="1" x14ac:dyDescent="0.3">
      <c r="A89" s="12" t="s">
        <v>127</v>
      </c>
      <c r="B89" s="4" t="s">
        <v>93</v>
      </c>
      <c r="D89" s="690">
        <v>46000</v>
      </c>
      <c r="E89" s="36" t="s">
        <v>23</v>
      </c>
      <c r="F89" s="8" t="s">
        <v>85</v>
      </c>
      <c r="G89" s="12" t="s">
        <v>94</v>
      </c>
      <c r="H89" s="6"/>
      <c r="I89" s="692"/>
      <c r="J89" s="692"/>
      <c r="K89" s="706"/>
      <c r="L89" s="669"/>
      <c r="M89" s="670" t="e">
        <v>#DIV/0!</v>
      </c>
      <c r="N89" s="692"/>
      <c r="O89" s="33" t="s">
        <v>95</v>
      </c>
    </row>
    <row r="90" spans="1:27" ht="14.25" customHeight="1" x14ac:dyDescent="0.3">
      <c r="A90" s="5" t="s">
        <v>128</v>
      </c>
      <c r="B90" s="669" t="s">
        <v>14</v>
      </c>
      <c r="D90" s="688">
        <v>45968</v>
      </c>
      <c r="E90" s="36" t="s">
        <v>23</v>
      </c>
      <c r="F90" s="8" t="s">
        <v>85</v>
      </c>
      <c r="G90" s="5" t="s">
        <v>94</v>
      </c>
      <c r="H90" s="6" t="s">
        <v>18</v>
      </c>
      <c r="I90" s="665">
        <v>50</v>
      </c>
      <c r="J90" s="694">
        <v>0.67</v>
      </c>
      <c r="K90" s="701">
        <v>1.67</v>
      </c>
      <c r="L90" s="665">
        <v>2.5</v>
      </c>
      <c r="M90" s="37">
        <v>0.05</v>
      </c>
      <c r="N90" s="11"/>
    </row>
    <row r="91" spans="1:27" ht="14.25" customHeight="1" x14ac:dyDescent="0.3">
      <c r="A91" s="5" t="s">
        <v>129</v>
      </c>
      <c r="B91" s="669" t="s">
        <v>14</v>
      </c>
      <c r="D91" s="688">
        <v>45957</v>
      </c>
      <c r="E91" s="36" t="s">
        <v>23</v>
      </c>
      <c r="F91" s="8" t="s">
        <v>85</v>
      </c>
      <c r="G91" s="5" t="s">
        <v>94</v>
      </c>
      <c r="H91" s="6" t="s">
        <v>18</v>
      </c>
      <c r="I91" s="665">
        <v>100</v>
      </c>
      <c r="J91" s="694">
        <v>3.55</v>
      </c>
      <c r="K91" s="694">
        <v>2.9</v>
      </c>
      <c r="L91" s="665">
        <v>4.9000000000000004</v>
      </c>
      <c r="M91" s="665">
        <v>0.05</v>
      </c>
      <c r="N91" s="678"/>
      <c r="O91" s="669"/>
    </row>
    <row r="92" spans="1:27" ht="14.25" customHeight="1" x14ac:dyDescent="0.3">
      <c r="A92" s="5" t="s">
        <v>130</v>
      </c>
      <c r="B92" s="4" t="s">
        <v>93</v>
      </c>
      <c r="D92" s="687">
        <v>46000</v>
      </c>
      <c r="E92" s="36" t="s">
        <v>23</v>
      </c>
      <c r="F92" s="8" t="s">
        <v>85</v>
      </c>
      <c r="G92" s="5" t="s">
        <v>94</v>
      </c>
      <c r="H92" s="6"/>
      <c r="I92" s="678"/>
      <c r="J92" s="678"/>
      <c r="K92" s="706"/>
      <c r="L92" s="669"/>
      <c r="M92" s="665" t="e">
        <v>#DIV/0!</v>
      </c>
      <c r="N92" s="678"/>
      <c r="O92" s="37" t="s">
        <v>95</v>
      </c>
    </row>
    <row r="93" spans="1:27" ht="14.25" customHeight="1" x14ac:dyDescent="0.3">
      <c r="A93" s="12" t="s">
        <v>131</v>
      </c>
      <c r="B93" s="669" t="s">
        <v>14</v>
      </c>
      <c r="D93" s="688">
        <v>45957</v>
      </c>
      <c r="E93" s="36" t="s">
        <v>23</v>
      </c>
      <c r="F93" s="8" t="s">
        <v>85</v>
      </c>
      <c r="G93" s="12" t="s">
        <v>94</v>
      </c>
      <c r="H93" s="6" t="s">
        <v>18</v>
      </c>
      <c r="I93" s="670">
        <v>100</v>
      </c>
      <c r="J93" s="696">
        <v>2.17</v>
      </c>
      <c r="K93" s="694">
        <v>4.91</v>
      </c>
      <c r="L93" s="670">
        <v>2.5</v>
      </c>
      <c r="M93" s="670">
        <v>0.03</v>
      </c>
      <c r="N93" s="692"/>
      <c r="O93" s="669"/>
    </row>
    <row r="94" spans="1:27" ht="13.8" customHeight="1" x14ac:dyDescent="0.3">
      <c r="A94" s="12" t="s">
        <v>131</v>
      </c>
      <c r="B94" s="4" t="s">
        <v>93</v>
      </c>
      <c r="D94" s="690">
        <v>46000</v>
      </c>
      <c r="E94" s="36" t="s">
        <v>23</v>
      </c>
      <c r="F94" s="8" t="s">
        <v>85</v>
      </c>
      <c r="G94" s="12" t="s">
        <v>94</v>
      </c>
      <c r="H94" s="6"/>
      <c r="I94" s="692"/>
      <c r="J94" s="692"/>
      <c r="K94" s="706"/>
      <c r="L94" s="669"/>
      <c r="M94" s="670" t="e">
        <v>#DIV/0!</v>
      </c>
      <c r="N94" s="692"/>
      <c r="O94" s="33" t="s">
        <v>95</v>
      </c>
    </row>
    <row r="95" spans="1:27" ht="14.25" customHeight="1" x14ac:dyDescent="0.3">
      <c r="A95" s="5" t="s">
        <v>132</v>
      </c>
      <c r="B95" s="4" t="s">
        <v>93</v>
      </c>
      <c r="D95" s="687">
        <v>46000</v>
      </c>
      <c r="E95" s="36" t="s">
        <v>23</v>
      </c>
      <c r="F95" s="8" t="s">
        <v>85</v>
      </c>
      <c r="G95" s="5" t="s">
        <v>86</v>
      </c>
      <c r="H95" s="6"/>
      <c r="I95" s="678"/>
      <c r="J95" s="678"/>
      <c r="K95" s="706"/>
      <c r="L95" s="669"/>
      <c r="M95" s="665" t="e">
        <v>#DIV/0!</v>
      </c>
      <c r="N95" s="678"/>
      <c r="O95" s="37" t="s">
        <v>95</v>
      </c>
    </row>
    <row r="96" spans="1:27" ht="14.25" customHeight="1" x14ac:dyDescent="0.3">
      <c r="A96" s="5" t="s">
        <v>133</v>
      </c>
      <c r="B96" s="669" t="s">
        <v>14</v>
      </c>
      <c r="D96" s="54">
        <v>45957</v>
      </c>
      <c r="E96" s="36" t="s">
        <v>23</v>
      </c>
      <c r="F96" s="8" t="s">
        <v>85</v>
      </c>
      <c r="G96" s="5" t="s">
        <v>94</v>
      </c>
      <c r="H96" s="6" t="s">
        <v>18</v>
      </c>
      <c r="I96" s="665">
        <v>100</v>
      </c>
      <c r="J96" s="694">
        <v>1</v>
      </c>
      <c r="K96" s="694">
        <v>2.94</v>
      </c>
      <c r="L96" s="37">
        <v>3.3</v>
      </c>
      <c r="M96" s="665">
        <v>0.03</v>
      </c>
      <c r="N96" s="678"/>
    </row>
    <row r="97" spans="1:15" ht="14.25" customHeight="1" x14ac:dyDescent="0.3">
      <c r="A97" s="12" t="s">
        <v>134</v>
      </c>
      <c r="B97" s="4" t="s">
        <v>93</v>
      </c>
      <c r="D97" s="690">
        <v>46000</v>
      </c>
      <c r="E97" s="36" t="s">
        <v>23</v>
      </c>
      <c r="F97" s="8" t="s">
        <v>85</v>
      </c>
      <c r="G97" s="12" t="s">
        <v>94</v>
      </c>
      <c r="H97" s="6"/>
      <c r="I97" s="692"/>
      <c r="J97" s="692"/>
      <c r="K97" s="706"/>
      <c r="L97" s="669"/>
      <c r="M97" s="670" t="e">
        <v>#DIV/0!</v>
      </c>
      <c r="N97" s="692"/>
      <c r="O97" s="33" t="s">
        <v>95</v>
      </c>
    </row>
    <row r="98" spans="1:15" ht="14.25" customHeight="1" x14ac:dyDescent="0.3">
      <c r="A98" s="38" t="s">
        <v>135</v>
      </c>
      <c r="B98" s="679" t="s">
        <v>22</v>
      </c>
      <c r="D98" s="44">
        <v>2024</v>
      </c>
      <c r="E98" s="39" t="s">
        <v>88</v>
      </c>
      <c r="F98" s="8" t="s">
        <v>85</v>
      </c>
      <c r="G98" s="40" t="s">
        <v>89</v>
      </c>
      <c r="H98" s="669"/>
      <c r="I98" s="17">
        <v>50</v>
      </c>
      <c r="J98" s="52">
        <v>1.0531982863150033</v>
      </c>
      <c r="K98" s="52">
        <v>1.8536725422773495</v>
      </c>
      <c r="L98" s="709">
        <v>133.15620262235143</v>
      </c>
      <c r="M98" s="3"/>
      <c r="N98" s="6"/>
    </row>
    <row r="99" spans="1:15" ht="14.25" customHeight="1" x14ac:dyDescent="0.3">
      <c r="A99" s="5" t="s">
        <v>136</v>
      </c>
      <c r="B99" s="6" t="s">
        <v>93</v>
      </c>
      <c r="D99" s="55">
        <v>46000</v>
      </c>
      <c r="E99" s="36" t="s">
        <v>23</v>
      </c>
      <c r="F99" s="8" t="s">
        <v>85</v>
      </c>
      <c r="G99" s="5" t="s">
        <v>94</v>
      </c>
      <c r="H99" s="6"/>
      <c r="I99" s="9"/>
      <c r="J99" s="9"/>
      <c r="K99" s="49"/>
      <c r="L99" s="669"/>
      <c r="M99" s="5" t="e">
        <v>#DIV/0!</v>
      </c>
      <c r="N99" s="9"/>
      <c r="O99" s="37" t="s">
        <v>95</v>
      </c>
    </row>
    <row r="100" spans="1:15" ht="14.25" customHeight="1" x14ac:dyDescent="0.3">
      <c r="A100" s="12" t="s">
        <v>137</v>
      </c>
      <c r="B100" s="6" t="s">
        <v>93</v>
      </c>
      <c r="D100" s="53">
        <v>46000</v>
      </c>
      <c r="E100" s="36" t="s">
        <v>23</v>
      </c>
      <c r="F100" s="8" t="s">
        <v>85</v>
      </c>
      <c r="G100" s="12" t="s">
        <v>94</v>
      </c>
      <c r="H100" s="6"/>
      <c r="I100" s="13"/>
      <c r="J100" s="13"/>
      <c r="K100" s="49"/>
      <c r="L100" s="669"/>
      <c r="M100" s="12" t="e">
        <v>#DIV/0!</v>
      </c>
      <c r="N100" s="13"/>
      <c r="O100" s="33" t="s">
        <v>95</v>
      </c>
    </row>
    <row r="101" spans="1:15" ht="14.25" customHeight="1" x14ac:dyDescent="0.3">
      <c r="A101" s="12" t="s">
        <v>138</v>
      </c>
      <c r="B101" s="6" t="s">
        <v>14</v>
      </c>
      <c r="D101" s="54">
        <v>45957</v>
      </c>
      <c r="E101" s="36" t="s">
        <v>23</v>
      </c>
      <c r="F101" s="8" t="s">
        <v>85</v>
      </c>
      <c r="G101" s="12" t="s">
        <v>94</v>
      </c>
      <c r="H101" s="6" t="s">
        <v>18</v>
      </c>
      <c r="I101" s="12">
        <v>100</v>
      </c>
      <c r="J101" s="10">
        <v>1.04</v>
      </c>
      <c r="K101" s="10">
        <v>2.4700000000000002</v>
      </c>
      <c r="L101" s="33">
        <v>5</v>
      </c>
      <c r="M101" s="12">
        <v>0.05</v>
      </c>
      <c r="N101" s="13"/>
    </row>
    <row r="102" spans="1:15" ht="14.25" customHeight="1" x14ac:dyDescent="0.3">
      <c r="A102" s="5" t="s">
        <v>139</v>
      </c>
      <c r="B102" s="6" t="s">
        <v>93</v>
      </c>
      <c r="D102" s="55">
        <v>46000</v>
      </c>
      <c r="E102" s="36" t="s">
        <v>23</v>
      </c>
      <c r="F102" s="8" t="s">
        <v>85</v>
      </c>
      <c r="G102" s="5" t="s">
        <v>94</v>
      </c>
      <c r="H102" s="6"/>
      <c r="I102" s="9"/>
      <c r="J102" s="9"/>
      <c r="K102" s="49"/>
      <c r="L102" s="669"/>
      <c r="M102" s="5" t="e">
        <v>#DIV/0!</v>
      </c>
      <c r="N102" s="9"/>
      <c r="O102" s="37" t="s">
        <v>95</v>
      </c>
    </row>
    <row r="103" spans="1:15" ht="14.25" customHeight="1" x14ac:dyDescent="0.3">
      <c r="A103" s="5" t="s">
        <v>140</v>
      </c>
      <c r="B103" s="6" t="s">
        <v>14</v>
      </c>
      <c r="D103" s="688">
        <v>45957</v>
      </c>
      <c r="E103" s="36" t="s">
        <v>23</v>
      </c>
      <c r="F103" s="8" t="s">
        <v>85</v>
      </c>
      <c r="G103" s="5" t="s">
        <v>141</v>
      </c>
      <c r="H103" s="6" t="s">
        <v>18</v>
      </c>
      <c r="I103" s="5">
        <v>100</v>
      </c>
      <c r="J103" s="10">
        <v>0.81</v>
      </c>
      <c r="K103" s="24">
        <v>1.93</v>
      </c>
      <c r="L103" s="37">
        <v>33.6</v>
      </c>
      <c r="M103" s="5">
        <v>0.34</v>
      </c>
      <c r="N103" s="9"/>
      <c r="O103" s="669"/>
    </row>
    <row r="104" spans="1:15" ht="14.25" customHeight="1" x14ac:dyDescent="0.3">
      <c r="A104" s="12" t="s">
        <v>142</v>
      </c>
      <c r="B104" s="6" t="s">
        <v>14</v>
      </c>
      <c r="D104" s="53">
        <v>45979</v>
      </c>
      <c r="E104" s="36" t="s">
        <v>23</v>
      </c>
      <c r="F104" s="8" t="s">
        <v>85</v>
      </c>
      <c r="G104" s="12" t="s">
        <v>94</v>
      </c>
      <c r="H104" s="6" t="s">
        <v>18</v>
      </c>
      <c r="I104" s="12">
        <v>50</v>
      </c>
      <c r="J104" s="10">
        <v>1.74</v>
      </c>
      <c r="K104" s="23">
        <v>1.71</v>
      </c>
      <c r="L104" s="670">
        <v>31.7</v>
      </c>
      <c r="M104" s="12">
        <v>0.63</v>
      </c>
      <c r="N104" s="13"/>
    </row>
    <row r="105" spans="1:15" ht="14.25" customHeight="1" x14ac:dyDescent="0.3">
      <c r="A105" s="670" t="s">
        <v>143</v>
      </c>
      <c r="B105" s="6" t="s">
        <v>14</v>
      </c>
      <c r="D105" s="688">
        <v>45968</v>
      </c>
      <c r="E105" s="36" t="s">
        <v>23</v>
      </c>
      <c r="F105" s="8" t="s">
        <v>85</v>
      </c>
      <c r="G105" s="670" t="s">
        <v>94</v>
      </c>
      <c r="H105" s="6" t="s">
        <v>18</v>
      </c>
      <c r="I105" s="12">
        <v>50</v>
      </c>
      <c r="J105" s="10">
        <v>1.05</v>
      </c>
      <c r="K105" s="23">
        <v>1.74</v>
      </c>
      <c r="L105" s="670">
        <v>113.3</v>
      </c>
      <c r="M105" s="12">
        <v>2.27</v>
      </c>
      <c r="N105" s="13"/>
    </row>
    <row r="106" spans="1:15" ht="14.25" customHeight="1" x14ac:dyDescent="0.3">
      <c r="A106" s="670" t="s">
        <v>144</v>
      </c>
      <c r="B106" s="6" t="s">
        <v>93</v>
      </c>
      <c r="D106" s="53">
        <v>45986</v>
      </c>
      <c r="E106" s="39" t="s">
        <v>88</v>
      </c>
      <c r="F106" s="8" t="s">
        <v>85</v>
      </c>
      <c r="G106" s="670" t="s">
        <v>101</v>
      </c>
      <c r="H106" s="6"/>
      <c r="I106" s="13"/>
      <c r="J106" s="13"/>
      <c r="K106" s="49"/>
      <c r="L106" s="669"/>
      <c r="M106" s="12" t="e">
        <v>#DIV/0!</v>
      </c>
      <c r="N106" s="13"/>
    </row>
    <row r="107" spans="1:15" ht="14.25" customHeight="1" x14ac:dyDescent="0.3">
      <c r="A107" s="59" t="s">
        <v>145</v>
      </c>
      <c r="B107" s="38" t="s">
        <v>22</v>
      </c>
      <c r="D107" s="44">
        <v>2024</v>
      </c>
      <c r="E107" s="39" t="s">
        <v>88</v>
      </c>
      <c r="F107" s="8" t="s">
        <v>85</v>
      </c>
      <c r="G107" s="705" t="s">
        <v>89</v>
      </c>
      <c r="H107" s="669"/>
      <c r="I107" s="17">
        <v>50</v>
      </c>
      <c r="J107" s="52">
        <v>1.0531982863150033</v>
      </c>
      <c r="K107" s="52">
        <v>1.8536725422773495</v>
      </c>
      <c r="L107" s="708">
        <v>143.45021853888096</v>
      </c>
      <c r="M107" s="3"/>
      <c r="N107" s="6"/>
    </row>
    <row r="108" spans="1:15" ht="14.25" customHeight="1" x14ac:dyDescent="0.3">
      <c r="A108" s="681" t="s">
        <v>146</v>
      </c>
      <c r="B108" s="38" t="s">
        <v>22</v>
      </c>
      <c r="D108" s="663">
        <v>2024</v>
      </c>
      <c r="E108" s="39" t="s">
        <v>88</v>
      </c>
      <c r="F108" s="8" t="s">
        <v>85</v>
      </c>
      <c r="G108" s="705" t="s">
        <v>89</v>
      </c>
      <c r="H108" s="669"/>
      <c r="I108" s="17">
        <v>50</v>
      </c>
      <c r="J108" s="46">
        <v>0.40182880938366089</v>
      </c>
      <c r="K108" s="46">
        <v>1.5918014125367164</v>
      </c>
      <c r="L108" s="699">
        <v>38.534786014554612</v>
      </c>
      <c r="M108" s="3"/>
      <c r="N108" s="6"/>
    </row>
    <row r="109" spans="1:15" ht="14.25" customHeight="1" x14ac:dyDescent="0.3">
      <c r="A109" s="59" t="s">
        <v>147</v>
      </c>
      <c r="B109" s="38" t="s">
        <v>22</v>
      </c>
      <c r="D109" s="663">
        <v>2024</v>
      </c>
      <c r="E109" s="39" t="s">
        <v>88</v>
      </c>
      <c r="F109" s="8" t="s">
        <v>85</v>
      </c>
      <c r="G109" s="705" t="s">
        <v>89</v>
      </c>
      <c r="H109" s="669"/>
      <c r="I109" s="17">
        <v>50</v>
      </c>
      <c r="J109" s="52">
        <v>1.7936261135614482</v>
      </c>
      <c r="K109" s="52">
        <v>2.0116643992839629</v>
      </c>
      <c r="L109" s="51">
        <v>221.44046614007803</v>
      </c>
      <c r="M109" s="3"/>
      <c r="N109" s="6"/>
    </row>
    <row r="110" spans="1:15" ht="14.25" customHeight="1" x14ac:dyDescent="0.3">
      <c r="A110" s="665" t="s">
        <v>148</v>
      </c>
      <c r="B110" s="6" t="s">
        <v>14</v>
      </c>
      <c r="D110" s="55">
        <v>45960</v>
      </c>
      <c r="E110" s="39" t="s">
        <v>88</v>
      </c>
      <c r="F110" s="8" t="s">
        <v>85</v>
      </c>
      <c r="G110" s="665" t="s">
        <v>101</v>
      </c>
      <c r="H110" s="6" t="s">
        <v>18</v>
      </c>
      <c r="I110" s="5">
        <v>150</v>
      </c>
      <c r="J110" s="10">
        <v>0.54</v>
      </c>
      <c r="K110" s="23">
        <v>1.65</v>
      </c>
      <c r="L110" s="665">
        <v>466.6</v>
      </c>
      <c r="M110" s="5">
        <v>3.11</v>
      </c>
      <c r="N110" s="9"/>
    </row>
    <row r="111" spans="1:15" ht="14.25" customHeight="1" x14ac:dyDescent="0.3">
      <c r="A111" s="681" t="s">
        <v>149</v>
      </c>
      <c r="B111" s="38" t="s">
        <v>22</v>
      </c>
      <c r="D111" s="663">
        <v>2024</v>
      </c>
      <c r="E111" s="39" t="s">
        <v>88</v>
      </c>
      <c r="F111" s="8" t="s">
        <v>85</v>
      </c>
      <c r="G111" s="40" t="s">
        <v>89</v>
      </c>
      <c r="I111" s="17">
        <v>50</v>
      </c>
      <c r="J111" s="46">
        <v>1.2857544439006472</v>
      </c>
      <c r="K111" s="46">
        <v>1.9963342160874544</v>
      </c>
      <c r="L111" s="48">
        <v>156.46744840548993</v>
      </c>
      <c r="M111" s="3"/>
      <c r="N111" s="6"/>
    </row>
    <row r="112" spans="1:15" ht="14.25" customHeight="1" x14ac:dyDescent="0.3">
      <c r="A112" s="681" t="s">
        <v>150</v>
      </c>
      <c r="B112" s="38" t="s">
        <v>22</v>
      </c>
      <c r="D112" s="663">
        <v>2024</v>
      </c>
      <c r="E112" s="39" t="s">
        <v>88</v>
      </c>
      <c r="F112" s="8" t="s">
        <v>85</v>
      </c>
      <c r="G112" s="40" t="s">
        <v>89</v>
      </c>
      <c r="I112" s="17">
        <v>50</v>
      </c>
      <c r="J112" s="46">
        <v>1.9267652159207207</v>
      </c>
      <c r="K112" s="46">
        <v>1.7774626354426983</v>
      </c>
      <c r="L112" s="700">
        <v>1286.3667197110597</v>
      </c>
      <c r="M112" s="3"/>
      <c r="N112" s="6"/>
    </row>
    <row r="113" spans="1:15" ht="14.25" customHeight="1" x14ac:dyDescent="0.3">
      <c r="A113" s="33" t="s">
        <v>151</v>
      </c>
      <c r="B113" s="6" t="s">
        <v>14</v>
      </c>
      <c r="D113" s="53">
        <v>45960</v>
      </c>
      <c r="E113" s="39" t="s">
        <v>88</v>
      </c>
      <c r="F113" s="8" t="s">
        <v>85</v>
      </c>
      <c r="G113" s="12" t="s">
        <v>101</v>
      </c>
      <c r="H113" s="6" t="s">
        <v>18</v>
      </c>
      <c r="I113" s="12">
        <v>150</v>
      </c>
      <c r="J113" s="10">
        <v>1.68</v>
      </c>
      <c r="K113" s="24">
        <v>1.85</v>
      </c>
      <c r="L113" s="670">
        <v>277.8</v>
      </c>
      <c r="M113" s="12">
        <v>1.85</v>
      </c>
      <c r="N113" s="13"/>
    </row>
    <row r="114" spans="1:15" ht="14.25" customHeight="1" x14ac:dyDescent="0.3">
      <c r="A114" s="47" t="s">
        <v>152</v>
      </c>
      <c r="B114" s="38" t="s">
        <v>22</v>
      </c>
      <c r="D114" s="663">
        <v>2024</v>
      </c>
      <c r="E114" s="39" t="s">
        <v>88</v>
      </c>
      <c r="F114" s="8" t="s">
        <v>85</v>
      </c>
      <c r="G114" s="40" t="s">
        <v>89</v>
      </c>
      <c r="I114" s="17">
        <v>50</v>
      </c>
      <c r="J114" s="52">
        <v>1.7936261135614482</v>
      </c>
      <c r="K114" s="52">
        <v>2.0116643992839629</v>
      </c>
      <c r="L114" s="41">
        <v>271.48581163918027</v>
      </c>
      <c r="M114" s="3"/>
      <c r="N114" s="6"/>
    </row>
    <row r="115" spans="1:15" ht="14.25" customHeight="1" x14ac:dyDescent="0.3">
      <c r="A115" s="47" t="s">
        <v>153</v>
      </c>
      <c r="B115" s="38" t="s">
        <v>22</v>
      </c>
      <c r="D115" s="663">
        <v>2024</v>
      </c>
      <c r="E115" s="39" t="s">
        <v>88</v>
      </c>
      <c r="F115" s="8" t="s">
        <v>85</v>
      </c>
      <c r="G115" s="40" t="s">
        <v>89</v>
      </c>
      <c r="I115" s="17">
        <v>50</v>
      </c>
      <c r="J115" s="52">
        <v>1.7936261135614482</v>
      </c>
      <c r="K115" s="52">
        <v>2.0116643992839629</v>
      </c>
      <c r="L115" s="41">
        <v>328.47771627642203</v>
      </c>
      <c r="M115" s="3"/>
      <c r="N115" s="6"/>
    </row>
    <row r="116" spans="1:15" ht="14.25" customHeight="1" x14ac:dyDescent="0.3">
      <c r="A116" s="681" t="s">
        <v>154</v>
      </c>
      <c r="B116" s="38" t="s">
        <v>22</v>
      </c>
      <c r="D116" s="663">
        <v>2024</v>
      </c>
      <c r="E116" s="39" t="s">
        <v>88</v>
      </c>
      <c r="F116" s="8" t="s">
        <v>85</v>
      </c>
      <c r="G116" s="40" t="s">
        <v>89</v>
      </c>
      <c r="I116" s="17">
        <v>50</v>
      </c>
      <c r="J116" s="46">
        <v>1.2949286211180699</v>
      </c>
      <c r="K116" s="46">
        <v>1.9918129602991623</v>
      </c>
      <c r="L116" s="48">
        <v>843.39593934079437</v>
      </c>
      <c r="M116" s="3"/>
      <c r="N116" s="6"/>
    </row>
    <row r="117" spans="1:15" ht="14.25" customHeight="1" x14ac:dyDescent="0.3">
      <c r="A117" s="59" t="s">
        <v>155</v>
      </c>
      <c r="B117" s="38" t="s">
        <v>22</v>
      </c>
      <c r="D117" s="663">
        <v>2024</v>
      </c>
      <c r="E117" s="39" t="s">
        <v>88</v>
      </c>
      <c r="F117" s="8" t="s">
        <v>85</v>
      </c>
      <c r="G117" s="40" t="s">
        <v>89</v>
      </c>
      <c r="H117" s="669"/>
      <c r="I117" s="17">
        <v>50</v>
      </c>
      <c r="J117" s="52">
        <v>0.22225556615471542</v>
      </c>
      <c r="K117" s="52">
        <v>1.2311000186126499</v>
      </c>
      <c r="L117" s="708">
        <v>8.3260594540188606</v>
      </c>
      <c r="M117" s="3"/>
      <c r="N117" s="6"/>
    </row>
    <row r="118" spans="1:15" ht="14.25" customHeight="1" x14ac:dyDescent="0.3">
      <c r="A118" s="37" t="s">
        <v>156</v>
      </c>
      <c r="B118" s="6" t="s">
        <v>14</v>
      </c>
      <c r="D118" s="687">
        <v>45960</v>
      </c>
      <c r="E118" s="39" t="s">
        <v>88</v>
      </c>
      <c r="F118" s="8" t="s">
        <v>85</v>
      </c>
      <c r="G118" s="5" t="s">
        <v>101</v>
      </c>
      <c r="H118" s="6" t="s">
        <v>18</v>
      </c>
      <c r="I118" s="5">
        <v>150</v>
      </c>
      <c r="J118" s="10">
        <v>0.31</v>
      </c>
      <c r="K118" s="10">
        <v>1.23</v>
      </c>
      <c r="L118" s="665">
        <v>42.5</v>
      </c>
      <c r="M118" s="5">
        <v>0.28000000000000003</v>
      </c>
      <c r="N118" s="9"/>
    </row>
    <row r="119" spans="1:15" ht="14.25" customHeight="1" x14ac:dyDescent="0.3">
      <c r="A119" s="679" t="s">
        <v>157</v>
      </c>
      <c r="B119" s="38" t="s">
        <v>22</v>
      </c>
      <c r="D119" s="663">
        <v>2024</v>
      </c>
      <c r="E119" s="39" t="s">
        <v>88</v>
      </c>
      <c r="F119" s="8" t="s">
        <v>85</v>
      </c>
      <c r="G119" s="40" t="s">
        <v>89</v>
      </c>
      <c r="H119" s="669"/>
      <c r="I119" s="17">
        <v>50</v>
      </c>
      <c r="J119" s="42">
        <v>1.114600801458927</v>
      </c>
      <c r="K119" s="42">
        <v>1.6448867675784276</v>
      </c>
      <c r="L119" s="709">
        <v>185.29512152231109</v>
      </c>
      <c r="M119" s="3"/>
      <c r="N119" s="6"/>
    </row>
    <row r="120" spans="1:15" ht="14.25" customHeight="1" x14ac:dyDescent="0.3">
      <c r="A120" s="670" t="s">
        <v>158</v>
      </c>
      <c r="B120" s="6" t="s">
        <v>93</v>
      </c>
      <c r="D120" s="53">
        <v>46000</v>
      </c>
      <c r="E120" s="36" t="s">
        <v>23</v>
      </c>
      <c r="F120" s="8" t="s">
        <v>85</v>
      </c>
      <c r="G120" s="12" t="s">
        <v>159</v>
      </c>
      <c r="H120" s="6"/>
      <c r="I120" s="13"/>
      <c r="J120" s="13"/>
      <c r="K120" s="49"/>
      <c r="L120" s="669"/>
      <c r="M120" s="12" t="e">
        <v>#DIV/0!</v>
      </c>
      <c r="N120" s="13"/>
      <c r="O120" s="33" t="s">
        <v>160</v>
      </c>
    </row>
    <row r="121" spans="1:15" ht="14.25" customHeight="1" x14ac:dyDescent="0.3">
      <c r="A121" s="60" t="s">
        <v>161</v>
      </c>
      <c r="B121" s="38" t="s">
        <v>22</v>
      </c>
      <c r="D121" s="44">
        <v>2024</v>
      </c>
      <c r="E121" s="39" t="s">
        <v>88</v>
      </c>
      <c r="F121" s="8" t="s">
        <v>85</v>
      </c>
      <c r="G121" s="40" t="s">
        <v>89</v>
      </c>
      <c r="I121" s="17">
        <v>50</v>
      </c>
      <c r="J121" s="46">
        <v>1.519307551444371</v>
      </c>
      <c r="K121" s="46">
        <v>1.8480888817135992</v>
      </c>
      <c r="L121" s="699">
        <v>811.80993804617469</v>
      </c>
      <c r="M121" s="3"/>
      <c r="N121" s="6"/>
    </row>
    <row r="122" spans="1:15" ht="14.25" customHeight="1" x14ac:dyDescent="0.3">
      <c r="A122" s="33" t="s">
        <v>162</v>
      </c>
      <c r="B122" s="6" t="s">
        <v>14</v>
      </c>
      <c r="D122" s="53">
        <v>45975</v>
      </c>
      <c r="E122" s="39" t="s">
        <v>88</v>
      </c>
      <c r="F122" s="8" t="s">
        <v>85</v>
      </c>
      <c r="G122" s="12" t="s">
        <v>101</v>
      </c>
      <c r="H122" s="6" t="s">
        <v>18</v>
      </c>
      <c r="I122" s="12">
        <v>150</v>
      </c>
      <c r="J122" s="10">
        <v>0.3</v>
      </c>
      <c r="K122" s="10">
        <v>1.29</v>
      </c>
      <c r="L122" s="670">
        <v>147.5</v>
      </c>
      <c r="M122" s="12">
        <v>0.98</v>
      </c>
      <c r="N122" s="13"/>
    </row>
    <row r="123" spans="1:15" ht="14.25" customHeight="1" thickBot="1" x14ac:dyDescent="0.35">
      <c r="A123" s="679" t="s">
        <v>163</v>
      </c>
      <c r="B123" s="38" t="s">
        <v>22</v>
      </c>
      <c r="D123" s="663">
        <v>2024</v>
      </c>
      <c r="E123" s="39" t="s">
        <v>88</v>
      </c>
      <c r="F123" s="8" t="s">
        <v>85</v>
      </c>
      <c r="G123" s="40" t="s">
        <v>89</v>
      </c>
      <c r="I123" s="17">
        <v>50</v>
      </c>
      <c r="J123" s="42">
        <v>0.48187537396120833</v>
      </c>
      <c r="K123" s="42">
        <v>1.7859063235218924</v>
      </c>
      <c r="L123" s="709">
        <v>14.825522993273365</v>
      </c>
      <c r="M123" s="3"/>
      <c r="N123" s="6"/>
    </row>
    <row r="124" spans="1:15" ht="14.25" customHeight="1" thickBot="1" x14ac:dyDescent="0.35">
      <c r="A124" s="61" t="s">
        <v>164</v>
      </c>
      <c r="B124" s="38" t="s">
        <v>22</v>
      </c>
      <c r="D124" s="663">
        <v>2024</v>
      </c>
      <c r="E124" s="39" t="s">
        <v>88</v>
      </c>
      <c r="F124" s="8" t="s">
        <v>85</v>
      </c>
      <c r="G124" s="40" t="s">
        <v>89</v>
      </c>
      <c r="I124" s="17">
        <v>50</v>
      </c>
      <c r="J124" s="42">
        <v>1.8150046802210291</v>
      </c>
      <c r="K124" s="42">
        <v>1.93100677794586</v>
      </c>
      <c r="L124" s="41">
        <v>141.77311827681726</v>
      </c>
      <c r="M124" s="3"/>
      <c r="N124" s="6"/>
    </row>
    <row r="125" spans="1:15" ht="14.25" customHeight="1" thickBot="1" x14ac:dyDescent="0.35">
      <c r="A125" s="61" t="s">
        <v>164</v>
      </c>
      <c r="B125" s="38" t="s">
        <v>22</v>
      </c>
      <c r="D125" s="44">
        <v>2024</v>
      </c>
      <c r="E125" s="39" t="s">
        <v>88</v>
      </c>
      <c r="F125" s="8" t="s">
        <v>85</v>
      </c>
      <c r="G125" s="40" t="s">
        <v>89</v>
      </c>
      <c r="H125" s="669"/>
      <c r="I125" s="17">
        <v>50</v>
      </c>
      <c r="J125" s="42">
        <v>1.8101022122655261</v>
      </c>
      <c r="K125" s="42">
        <v>1.8577762576372818</v>
      </c>
      <c r="L125" s="709">
        <v>230.2443226678287</v>
      </c>
      <c r="M125" s="3"/>
      <c r="N125" s="6"/>
    </row>
    <row r="126" spans="1:15" ht="14.25" customHeight="1" thickBot="1" x14ac:dyDescent="0.35">
      <c r="A126" s="62" t="s">
        <v>165</v>
      </c>
      <c r="B126" s="38" t="s">
        <v>22</v>
      </c>
      <c r="D126" s="663">
        <v>2024</v>
      </c>
      <c r="E126" s="39" t="s">
        <v>88</v>
      </c>
      <c r="F126" s="8" t="s">
        <v>85</v>
      </c>
      <c r="G126" s="40" t="s">
        <v>89</v>
      </c>
      <c r="H126" s="669"/>
      <c r="I126" s="17">
        <v>50</v>
      </c>
      <c r="J126" s="42">
        <v>0.66995486961317441</v>
      </c>
      <c r="K126" s="42">
        <v>1.7647180523799821</v>
      </c>
      <c r="L126" s="709">
        <v>135.02630166922057</v>
      </c>
      <c r="M126" s="3"/>
      <c r="N126" s="6"/>
    </row>
    <row r="127" spans="1:15" ht="14.25" customHeight="1" thickBot="1" x14ac:dyDescent="0.35">
      <c r="A127" s="63" t="s">
        <v>166</v>
      </c>
      <c r="B127" s="38" t="s">
        <v>22</v>
      </c>
      <c r="D127" s="663">
        <v>2024</v>
      </c>
      <c r="E127" s="39" t="s">
        <v>88</v>
      </c>
      <c r="F127" s="8" t="s">
        <v>85</v>
      </c>
      <c r="G127" s="40" t="s">
        <v>89</v>
      </c>
      <c r="H127" s="669"/>
      <c r="I127" s="17">
        <v>50</v>
      </c>
      <c r="J127" s="46">
        <v>1.813489995552493</v>
      </c>
      <c r="K127" s="46">
        <v>2.0180683619495352</v>
      </c>
      <c r="L127" s="45">
        <v>661.89635263651496</v>
      </c>
      <c r="M127" s="3"/>
      <c r="N127" s="6"/>
    </row>
    <row r="128" spans="1:15" ht="14.25" customHeight="1" thickBot="1" x14ac:dyDescent="0.35">
      <c r="A128" s="64" t="s">
        <v>167</v>
      </c>
      <c r="B128" s="38" t="s">
        <v>22</v>
      </c>
      <c r="D128" s="44">
        <v>2024</v>
      </c>
      <c r="E128" s="39" t="s">
        <v>88</v>
      </c>
      <c r="F128" s="8" t="s">
        <v>85</v>
      </c>
      <c r="G128" s="40" t="s">
        <v>89</v>
      </c>
      <c r="H128" s="669"/>
      <c r="I128" s="17">
        <v>50</v>
      </c>
      <c r="J128" s="52">
        <v>1.1866972413568664</v>
      </c>
      <c r="K128" s="52">
        <v>1.8789292558342665</v>
      </c>
      <c r="L128" s="708">
        <v>1142.6956316788171</v>
      </c>
      <c r="M128" s="3"/>
      <c r="N128" s="6"/>
    </row>
    <row r="129" spans="1:14" ht="14.25" customHeight="1" thickBot="1" x14ac:dyDescent="0.35">
      <c r="A129" s="64" t="s">
        <v>168</v>
      </c>
      <c r="B129" s="38" t="s">
        <v>22</v>
      </c>
      <c r="D129" s="44">
        <v>2024</v>
      </c>
      <c r="E129" s="39" t="s">
        <v>88</v>
      </c>
      <c r="F129" s="8" t="s">
        <v>85</v>
      </c>
      <c r="G129" s="40" t="s">
        <v>89</v>
      </c>
      <c r="H129" s="669"/>
      <c r="I129" s="17">
        <v>50</v>
      </c>
      <c r="J129" s="52">
        <v>1.5273028736797309</v>
      </c>
      <c r="K129" s="52">
        <v>1.8841344553439483</v>
      </c>
      <c r="L129" s="708">
        <v>916.95718995424477</v>
      </c>
      <c r="M129" s="3"/>
      <c r="N129" s="6"/>
    </row>
    <row r="130" spans="1:14" ht="14.25" customHeight="1" thickBot="1" x14ac:dyDescent="0.35">
      <c r="A130" s="61" t="s">
        <v>169</v>
      </c>
      <c r="B130" s="38" t="s">
        <v>22</v>
      </c>
      <c r="D130" s="663">
        <v>2024</v>
      </c>
      <c r="E130" s="39" t="s">
        <v>88</v>
      </c>
      <c r="F130" s="8" t="s">
        <v>85</v>
      </c>
      <c r="G130" s="40" t="s">
        <v>89</v>
      </c>
      <c r="I130" s="17">
        <v>50</v>
      </c>
      <c r="J130" s="42">
        <v>0.87006086855574538</v>
      </c>
      <c r="K130" s="42">
        <v>1.9797351675354007</v>
      </c>
      <c r="L130" s="41">
        <v>30.403431593005585</v>
      </c>
      <c r="M130" s="3"/>
      <c r="N130" s="6"/>
    </row>
    <row r="131" spans="1:14" ht="14.25" customHeight="1" thickBot="1" x14ac:dyDescent="0.35">
      <c r="A131" s="62" t="s">
        <v>170</v>
      </c>
      <c r="B131" s="38" t="s">
        <v>22</v>
      </c>
      <c r="D131" s="663">
        <v>2024</v>
      </c>
      <c r="E131" s="39" t="s">
        <v>88</v>
      </c>
      <c r="F131" s="8" t="s">
        <v>85</v>
      </c>
      <c r="G131" s="40" t="s">
        <v>89</v>
      </c>
      <c r="I131" s="17">
        <v>50</v>
      </c>
      <c r="J131" s="42">
        <v>1.7304439034780332</v>
      </c>
      <c r="K131" s="42">
        <v>1.9983229028568938</v>
      </c>
      <c r="L131" s="41">
        <v>240.67117887351225</v>
      </c>
      <c r="M131" s="3"/>
      <c r="N131" s="6"/>
    </row>
    <row r="132" spans="1:14" ht="14.25" customHeight="1" thickBot="1" x14ac:dyDescent="0.35">
      <c r="A132" s="61" t="s">
        <v>171</v>
      </c>
      <c r="B132" s="38" t="s">
        <v>22</v>
      </c>
      <c r="D132" s="663">
        <v>2024</v>
      </c>
      <c r="E132" s="39" t="s">
        <v>88</v>
      </c>
      <c r="F132" s="8" t="s">
        <v>85</v>
      </c>
      <c r="G132" s="40" t="s">
        <v>89</v>
      </c>
      <c r="I132" s="17">
        <v>50</v>
      </c>
      <c r="J132" s="42">
        <v>1.0772177557574114</v>
      </c>
      <c r="K132" s="42">
        <v>1.977007888291582</v>
      </c>
      <c r="L132" s="41">
        <v>142.53846927172714</v>
      </c>
      <c r="M132" s="3"/>
      <c r="N132" s="6"/>
    </row>
    <row r="133" spans="1:14" ht="14.25" customHeight="1" thickBot="1" x14ac:dyDescent="0.35">
      <c r="A133" s="63" t="s">
        <v>172</v>
      </c>
      <c r="B133" s="38" t="s">
        <v>22</v>
      </c>
      <c r="D133" s="663">
        <v>2024</v>
      </c>
      <c r="E133" s="39" t="s">
        <v>88</v>
      </c>
      <c r="F133" s="8" t="s">
        <v>85</v>
      </c>
      <c r="G133" s="40" t="s">
        <v>89</v>
      </c>
      <c r="H133" s="669"/>
      <c r="I133" s="17">
        <v>50</v>
      </c>
      <c r="J133" s="46">
        <v>1.2111944368032803</v>
      </c>
      <c r="K133" s="46">
        <v>1.7334186720555935</v>
      </c>
      <c r="L133" s="700">
        <v>692.27067076516335</v>
      </c>
      <c r="M133" s="3"/>
      <c r="N133" s="6"/>
    </row>
    <row r="134" spans="1:14" ht="14.25" customHeight="1" thickBot="1" x14ac:dyDescent="0.35">
      <c r="A134" s="62" t="s">
        <v>173</v>
      </c>
      <c r="B134" s="38" t="s">
        <v>22</v>
      </c>
      <c r="D134" s="663">
        <v>2024</v>
      </c>
      <c r="E134" s="39" t="s">
        <v>88</v>
      </c>
      <c r="F134" s="8" t="s">
        <v>85</v>
      </c>
      <c r="G134" s="40" t="s">
        <v>89</v>
      </c>
      <c r="H134" s="669"/>
      <c r="I134" s="17">
        <v>50</v>
      </c>
      <c r="J134" s="42">
        <v>1.7259025020058938</v>
      </c>
      <c r="K134" s="42">
        <v>2.0170347606424031</v>
      </c>
      <c r="L134" s="41">
        <v>521.56000487484414</v>
      </c>
      <c r="M134" s="3"/>
      <c r="N134" s="6"/>
    </row>
    <row r="135" spans="1:14" ht="14.25" customHeight="1" thickBot="1" x14ac:dyDescent="0.35">
      <c r="A135" s="63" t="s">
        <v>174</v>
      </c>
      <c r="B135" s="38" t="s">
        <v>22</v>
      </c>
      <c r="D135" s="663">
        <v>2024</v>
      </c>
      <c r="E135" s="39" t="s">
        <v>88</v>
      </c>
      <c r="F135" s="8" t="s">
        <v>85</v>
      </c>
      <c r="G135" s="40" t="s">
        <v>89</v>
      </c>
      <c r="I135" s="17">
        <v>50</v>
      </c>
      <c r="J135" s="46">
        <v>0.20046557426280373</v>
      </c>
      <c r="K135" s="46">
        <v>2.0349859678745372</v>
      </c>
      <c r="L135" s="48">
        <v>14.503545936945198</v>
      </c>
      <c r="M135" s="3"/>
      <c r="N135" s="6"/>
    </row>
    <row r="136" spans="1:14" ht="14.25" customHeight="1" thickBot="1" x14ac:dyDescent="0.35">
      <c r="A136" s="65" t="s">
        <v>175</v>
      </c>
      <c r="B136" s="6" t="s">
        <v>14</v>
      </c>
      <c r="D136" s="688">
        <v>45947</v>
      </c>
      <c r="E136" s="39" t="s">
        <v>88</v>
      </c>
      <c r="F136" s="8" t="s">
        <v>85</v>
      </c>
      <c r="G136" s="12" t="s">
        <v>101</v>
      </c>
      <c r="H136" s="6" t="s">
        <v>18</v>
      </c>
      <c r="I136" s="12">
        <v>100</v>
      </c>
      <c r="J136" s="10">
        <v>0.28999999999999998</v>
      </c>
      <c r="K136" s="10">
        <v>1.23</v>
      </c>
      <c r="L136" s="670">
        <v>30.2</v>
      </c>
      <c r="M136" s="12">
        <v>0.3</v>
      </c>
      <c r="N136" s="13"/>
    </row>
    <row r="137" spans="1:14" ht="14.25" customHeight="1" thickBot="1" x14ac:dyDescent="0.35">
      <c r="A137" s="66" t="s">
        <v>176</v>
      </c>
      <c r="B137" s="6" t="s">
        <v>14</v>
      </c>
      <c r="D137" s="54">
        <v>45947</v>
      </c>
      <c r="E137" s="39" t="s">
        <v>88</v>
      </c>
      <c r="F137" s="8" t="s">
        <v>85</v>
      </c>
      <c r="G137" s="5" t="s">
        <v>101</v>
      </c>
      <c r="H137" s="6" t="s">
        <v>18</v>
      </c>
      <c r="I137" s="5">
        <v>100</v>
      </c>
      <c r="J137" s="10">
        <v>0</v>
      </c>
      <c r="K137" s="10">
        <v>1.1499999999999999</v>
      </c>
      <c r="L137" s="665">
        <v>259.7</v>
      </c>
      <c r="M137" s="5">
        <v>2.6</v>
      </c>
      <c r="N137" s="9"/>
    </row>
    <row r="138" spans="1:14" ht="14.25" customHeight="1" thickBot="1" x14ac:dyDescent="0.35">
      <c r="A138" s="67" t="s">
        <v>177</v>
      </c>
      <c r="B138" s="38" t="s">
        <v>22</v>
      </c>
      <c r="D138" s="663">
        <v>2024</v>
      </c>
      <c r="E138" s="39" t="s">
        <v>88</v>
      </c>
      <c r="F138" s="8" t="s">
        <v>85</v>
      </c>
      <c r="G138" s="40" t="s">
        <v>89</v>
      </c>
      <c r="H138" s="669"/>
      <c r="I138" s="17">
        <v>50</v>
      </c>
      <c r="J138" s="52">
        <v>0.5467023936540355</v>
      </c>
      <c r="K138" s="52">
        <v>1.7245209735767704</v>
      </c>
      <c r="L138" s="708">
        <v>81.967450390821966</v>
      </c>
      <c r="M138" s="3"/>
      <c r="N138" s="6"/>
    </row>
    <row r="139" spans="1:14" ht="14.25" customHeight="1" thickBot="1" x14ac:dyDescent="0.35">
      <c r="A139" s="63" t="s">
        <v>178</v>
      </c>
      <c r="B139" s="38" t="s">
        <v>22</v>
      </c>
      <c r="D139" s="44">
        <v>2024</v>
      </c>
      <c r="E139" s="39" t="s">
        <v>88</v>
      </c>
      <c r="F139" s="8" t="s">
        <v>85</v>
      </c>
      <c r="G139" s="40" t="s">
        <v>89</v>
      </c>
      <c r="I139" s="17">
        <v>50</v>
      </c>
      <c r="J139" s="46">
        <v>1.1430730254195995</v>
      </c>
      <c r="K139" s="46">
        <v>1.8242729188034772</v>
      </c>
      <c r="L139" s="700">
        <v>1166.6301846796398</v>
      </c>
      <c r="M139" s="3"/>
      <c r="N139" s="6"/>
    </row>
    <row r="140" spans="1:14" ht="14.25" customHeight="1" thickBot="1" x14ac:dyDescent="0.35">
      <c r="A140" s="66" t="s">
        <v>179</v>
      </c>
      <c r="B140" s="6" t="s">
        <v>14</v>
      </c>
      <c r="D140" s="54">
        <v>45968</v>
      </c>
      <c r="E140" s="36" t="s">
        <v>23</v>
      </c>
      <c r="F140" s="8" t="s">
        <v>85</v>
      </c>
      <c r="G140" s="5" t="s">
        <v>180</v>
      </c>
      <c r="H140" s="6" t="s">
        <v>18</v>
      </c>
      <c r="I140" s="5">
        <v>50</v>
      </c>
      <c r="J140" s="10">
        <v>0.92</v>
      </c>
      <c r="K140" s="24">
        <v>1.8</v>
      </c>
      <c r="L140" s="665">
        <v>29.1</v>
      </c>
      <c r="M140" s="5">
        <v>0.57999999999999996</v>
      </c>
      <c r="N140" s="9"/>
    </row>
    <row r="141" spans="1:14" ht="14.25" customHeight="1" thickBot="1" x14ac:dyDescent="0.35">
      <c r="A141" s="65" t="s">
        <v>181</v>
      </c>
      <c r="B141" s="6" t="s">
        <v>14</v>
      </c>
      <c r="D141" s="688">
        <v>45957</v>
      </c>
      <c r="E141" s="36" t="s">
        <v>23</v>
      </c>
      <c r="F141" s="8" t="s">
        <v>85</v>
      </c>
      <c r="G141" s="12" t="s">
        <v>180</v>
      </c>
      <c r="H141" s="6" t="s">
        <v>18</v>
      </c>
      <c r="I141" s="12">
        <v>100</v>
      </c>
      <c r="J141" s="10">
        <v>0.82</v>
      </c>
      <c r="K141" s="10">
        <v>2.37</v>
      </c>
      <c r="L141" s="33">
        <v>11.1</v>
      </c>
      <c r="M141" s="12">
        <v>0.11</v>
      </c>
      <c r="N141" s="13"/>
    </row>
    <row r="142" spans="1:14" ht="14.25" customHeight="1" thickBot="1" x14ac:dyDescent="0.35">
      <c r="A142" s="66" t="s">
        <v>181</v>
      </c>
      <c r="B142" s="6" t="s">
        <v>93</v>
      </c>
      <c r="D142" s="55">
        <v>45986</v>
      </c>
      <c r="E142" s="36" t="s">
        <v>23</v>
      </c>
      <c r="F142" s="8" t="s">
        <v>85</v>
      </c>
      <c r="G142" s="5" t="s">
        <v>180</v>
      </c>
      <c r="H142" s="6"/>
      <c r="I142" s="9"/>
      <c r="J142" s="9"/>
      <c r="K142" s="49"/>
      <c r="L142" s="669"/>
      <c r="M142" s="5" t="e">
        <v>#DIV/0!</v>
      </c>
      <c r="N142" s="9"/>
    </row>
    <row r="143" spans="1:14" ht="14.25" customHeight="1" thickBot="1" x14ac:dyDescent="0.35">
      <c r="A143" s="66" t="s">
        <v>182</v>
      </c>
      <c r="B143" s="6" t="s">
        <v>14</v>
      </c>
      <c r="D143" s="687">
        <v>45958</v>
      </c>
      <c r="E143" s="36" t="s">
        <v>23</v>
      </c>
      <c r="F143" s="8" t="s">
        <v>85</v>
      </c>
      <c r="G143" s="5" t="s">
        <v>183</v>
      </c>
      <c r="H143" s="6" t="s">
        <v>18</v>
      </c>
      <c r="I143" s="5">
        <v>50</v>
      </c>
      <c r="J143" s="10">
        <v>0</v>
      </c>
      <c r="K143" s="10">
        <v>0</v>
      </c>
      <c r="L143" s="665">
        <v>0</v>
      </c>
      <c r="M143" s="5">
        <v>0</v>
      </c>
      <c r="N143" s="9"/>
    </row>
    <row r="144" spans="1:14" ht="14.25" customHeight="1" thickBot="1" x14ac:dyDescent="0.35">
      <c r="A144" s="65" t="s">
        <v>184</v>
      </c>
      <c r="B144" s="6" t="s">
        <v>14</v>
      </c>
      <c r="D144" s="53">
        <v>45958</v>
      </c>
      <c r="E144" s="36" t="s">
        <v>23</v>
      </c>
      <c r="F144" s="8" t="s">
        <v>85</v>
      </c>
      <c r="G144" s="12" t="s">
        <v>94</v>
      </c>
      <c r="H144" s="6" t="s">
        <v>18</v>
      </c>
      <c r="I144" s="12">
        <v>50</v>
      </c>
      <c r="J144" s="10">
        <v>0.39</v>
      </c>
      <c r="K144" s="24">
        <v>1.81</v>
      </c>
      <c r="L144" s="670">
        <v>3.7</v>
      </c>
      <c r="M144" s="12">
        <v>7.0000000000000007E-2</v>
      </c>
      <c r="N144" s="13"/>
    </row>
    <row r="145" spans="1:14" ht="14.25" customHeight="1" thickBot="1" x14ac:dyDescent="0.35">
      <c r="A145" s="66" t="s">
        <v>185</v>
      </c>
      <c r="B145" s="6" t="s">
        <v>14</v>
      </c>
      <c r="D145" s="687">
        <v>45958</v>
      </c>
      <c r="E145" s="36" t="s">
        <v>23</v>
      </c>
      <c r="F145" s="8" t="s">
        <v>85</v>
      </c>
      <c r="G145" s="5" t="s">
        <v>94</v>
      </c>
      <c r="H145" s="6" t="s">
        <v>18</v>
      </c>
      <c r="I145" s="5">
        <v>50</v>
      </c>
      <c r="J145" s="10">
        <v>0.27</v>
      </c>
      <c r="K145" s="10">
        <v>1.34</v>
      </c>
      <c r="L145" s="665">
        <v>24</v>
      </c>
      <c r="M145" s="5">
        <v>0.48</v>
      </c>
      <c r="N145" s="9"/>
    </row>
    <row r="146" spans="1:14" ht="14.25" customHeight="1" thickBot="1" x14ac:dyDescent="0.35">
      <c r="A146" s="63" t="s">
        <v>186</v>
      </c>
      <c r="B146" s="38" t="s">
        <v>22</v>
      </c>
      <c r="D146" s="44">
        <v>2024</v>
      </c>
      <c r="E146" s="39" t="s">
        <v>88</v>
      </c>
      <c r="F146" s="8" t="s">
        <v>85</v>
      </c>
      <c r="G146" s="40" t="s">
        <v>89</v>
      </c>
      <c r="H146" s="669"/>
      <c r="I146" s="17">
        <v>50</v>
      </c>
      <c r="J146" s="46">
        <v>0.80693468229678345</v>
      </c>
      <c r="K146" s="46">
        <v>1.9073978853797711</v>
      </c>
      <c r="L146" s="699">
        <v>38.780613841194167</v>
      </c>
      <c r="M146" s="3"/>
      <c r="N146" s="6"/>
    </row>
    <row r="147" spans="1:14" ht="14.25" customHeight="1" thickBot="1" x14ac:dyDescent="0.35">
      <c r="A147" s="62" t="s">
        <v>187</v>
      </c>
      <c r="B147" s="38" t="s">
        <v>22</v>
      </c>
      <c r="D147" s="44">
        <v>2024</v>
      </c>
      <c r="E147" s="39" t="s">
        <v>88</v>
      </c>
      <c r="F147" s="8" t="s">
        <v>85</v>
      </c>
      <c r="G147" s="40" t="s">
        <v>89</v>
      </c>
      <c r="H147" s="669"/>
      <c r="I147" s="17">
        <v>50</v>
      </c>
      <c r="J147" s="42">
        <v>1.0093802586787404</v>
      </c>
      <c r="K147" s="42">
        <v>1.910057418207453</v>
      </c>
      <c r="L147" s="709">
        <v>479.05165738521885</v>
      </c>
      <c r="M147" s="3"/>
      <c r="N147" s="6"/>
    </row>
    <row r="148" spans="1:14" ht="14.25" customHeight="1" thickBot="1" x14ac:dyDescent="0.35">
      <c r="A148" s="62" t="s">
        <v>188</v>
      </c>
      <c r="B148" s="38" t="s">
        <v>22</v>
      </c>
      <c r="D148" s="663">
        <v>2024</v>
      </c>
      <c r="E148" s="39" t="s">
        <v>88</v>
      </c>
      <c r="F148" s="8" t="s">
        <v>85</v>
      </c>
      <c r="G148" s="40" t="s">
        <v>89</v>
      </c>
      <c r="I148" s="17">
        <v>50</v>
      </c>
      <c r="J148" s="42">
        <v>1.2995632994052839</v>
      </c>
      <c r="K148" s="42">
        <v>1.9805597772642702</v>
      </c>
      <c r="L148" s="41">
        <v>75.281842089676971</v>
      </c>
      <c r="M148" s="3"/>
      <c r="N148" s="6"/>
    </row>
    <row r="149" spans="1:14" ht="14.25" customHeight="1" thickBot="1" x14ac:dyDescent="0.35">
      <c r="A149" s="65" t="s">
        <v>189</v>
      </c>
      <c r="B149" s="6" t="s">
        <v>14</v>
      </c>
      <c r="D149" s="68">
        <v>45960</v>
      </c>
      <c r="E149" s="39" t="s">
        <v>88</v>
      </c>
      <c r="F149" s="8" t="s">
        <v>85</v>
      </c>
      <c r="G149" s="12" t="s">
        <v>101</v>
      </c>
      <c r="H149" s="6" t="s">
        <v>18</v>
      </c>
      <c r="I149" s="670">
        <v>150</v>
      </c>
      <c r="J149" s="694">
        <v>0.66</v>
      </c>
      <c r="K149" s="701">
        <v>1.6</v>
      </c>
      <c r="L149" s="670">
        <v>32</v>
      </c>
      <c r="M149" s="33">
        <v>0.21</v>
      </c>
      <c r="N149" s="35"/>
    </row>
    <row r="150" spans="1:14" ht="14.25" customHeight="1" thickBot="1" x14ac:dyDescent="0.35">
      <c r="A150" s="63" t="s">
        <v>190</v>
      </c>
      <c r="B150" s="38" t="s">
        <v>22</v>
      </c>
      <c r="D150" s="69">
        <v>2024</v>
      </c>
      <c r="E150" s="39" t="s">
        <v>88</v>
      </c>
      <c r="F150" s="8" t="s">
        <v>85</v>
      </c>
      <c r="G150" s="40" t="s">
        <v>89</v>
      </c>
      <c r="H150" s="669"/>
      <c r="I150" s="663">
        <v>50</v>
      </c>
      <c r="J150" s="693">
        <v>1.0260152782684613</v>
      </c>
      <c r="K150" s="693">
        <v>1.6733522248341068</v>
      </c>
      <c r="L150" s="699">
        <v>308.30960015736633</v>
      </c>
      <c r="M150" s="59"/>
    </row>
    <row r="151" spans="1:14" ht="14.25" customHeight="1" thickBot="1" x14ac:dyDescent="0.35">
      <c r="A151" s="71" t="s">
        <v>191</v>
      </c>
      <c r="B151" s="38" t="s">
        <v>22</v>
      </c>
      <c r="D151" s="69">
        <v>2024</v>
      </c>
      <c r="E151" s="39" t="s">
        <v>88</v>
      </c>
      <c r="F151" s="8" t="s">
        <v>85</v>
      </c>
      <c r="G151" s="40" t="s">
        <v>89</v>
      </c>
      <c r="H151" s="669"/>
      <c r="I151" s="663">
        <v>50</v>
      </c>
      <c r="J151" s="707">
        <v>1.0481602129107765</v>
      </c>
      <c r="K151" s="707">
        <v>1.9018444162005812</v>
      </c>
      <c r="L151" s="710">
        <v>73.21744763230646</v>
      </c>
      <c r="M151" s="59"/>
    </row>
    <row r="152" spans="1:14" ht="14.25" customHeight="1" thickBot="1" x14ac:dyDescent="0.35">
      <c r="A152" s="65" t="s">
        <v>192</v>
      </c>
      <c r="B152" s="6" t="s">
        <v>14</v>
      </c>
      <c r="D152" s="72">
        <v>45947</v>
      </c>
      <c r="E152" s="39" t="s">
        <v>88</v>
      </c>
      <c r="F152" s="8" t="s">
        <v>85</v>
      </c>
      <c r="G152" s="12" t="s">
        <v>101</v>
      </c>
      <c r="H152" s="6" t="s">
        <v>18</v>
      </c>
      <c r="I152" s="33">
        <v>100</v>
      </c>
      <c r="J152" s="694">
        <v>0</v>
      </c>
      <c r="K152" s="694">
        <v>0.92</v>
      </c>
      <c r="L152" s="670">
        <v>301.7</v>
      </c>
      <c r="M152" s="33">
        <v>3.02</v>
      </c>
      <c r="N152" s="35"/>
    </row>
    <row r="153" spans="1:14" ht="14.25" customHeight="1" thickBot="1" x14ac:dyDescent="0.35">
      <c r="A153" s="66" t="s">
        <v>193</v>
      </c>
      <c r="B153" s="6" t="s">
        <v>14</v>
      </c>
      <c r="D153" s="72">
        <v>45947</v>
      </c>
      <c r="E153" s="39" t="s">
        <v>88</v>
      </c>
      <c r="F153" s="8" t="s">
        <v>85</v>
      </c>
      <c r="G153" s="5" t="s">
        <v>101</v>
      </c>
      <c r="H153" s="6" t="s">
        <v>18</v>
      </c>
      <c r="I153" s="665">
        <v>100</v>
      </c>
      <c r="J153" s="694">
        <v>0</v>
      </c>
      <c r="K153" s="694">
        <v>1.1399999999999999</v>
      </c>
      <c r="L153" s="665">
        <v>119.5</v>
      </c>
      <c r="M153" s="37">
        <v>1.2</v>
      </c>
      <c r="N153" s="11"/>
    </row>
    <row r="154" spans="1:14" ht="14.25" customHeight="1" thickBot="1" x14ac:dyDescent="0.35">
      <c r="A154" s="67" t="s">
        <v>194</v>
      </c>
      <c r="B154" s="38" t="s">
        <v>22</v>
      </c>
      <c r="D154" s="69">
        <v>2024</v>
      </c>
      <c r="E154" s="39" t="s">
        <v>88</v>
      </c>
      <c r="F154" s="8" t="s">
        <v>85</v>
      </c>
      <c r="G154" s="40" t="s">
        <v>89</v>
      </c>
      <c r="H154" s="669"/>
      <c r="I154" s="44">
        <v>50</v>
      </c>
      <c r="J154" s="73">
        <v>0.36204038878890721</v>
      </c>
      <c r="K154" s="73">
        <v>2.3263661549964483</v>
      </c>
      <c r="L154" s="51">
        <v>7.9632228022618321</v>
      </c>
      <c r="M154" s="59"/>
    </row>
    <row r="155" spans="1:14" ht="14.25" customHeight="1" thickBot="1" x14ac:dyDescent="0.35">
      <c r="A155" s="63" t="s">
        <v>195</v>
      </c>
      <c r="B155" s="38" t="s">
        <v>22</v>
      </c>
      <c r="D155" s="69">
        <v>2024</v>
      </c>
      <c r="E155" s="39" t="s">
        <v>88</v>
      </c>
      <c r="F155" s="8" t="s">
        <v>85</v>
      </c>
      <c r="G155" s="40" t="s">
        <v>89</v>
      </c>
      <c r="I155" s="44">
        <v>50</v>
      </c>
      <c r="J155" s="70">
        <v>1.315972240426776</v>
      </c>
      <c r="K155" s="70">
        <v>1.9379439744066544</v>
      </c>
      <c r="L155" s="48">
        <v>22.666070615775265</v>
      </c>
      <c r="M155" s="59"/>
    </row>
    <row r="156" spans="1:14" ht="14.25" customHeight="1" thickBot="1" x14ac:dyDescent="0.35">
      <c r="A156" s="61" t="s">
        <v>196</v>
      </c>
      <c r="B156" s="38" t="s">
        <v>22</v>
      </c>
      <c r="D156" s="69">
        <v>2024</v>
      </c>
      <c r="E156" s="39" t="s">
        <v>88</v>
      </c>
      <c r="F156" s="8" t="s">
        <v>85</v>
      </c>
      <c r="G156" s="40" t="s">
        <v>89</v>
      </c>
      <c r="H156" s="669"/>
      <c r="I156" s="663">
        <v>50</v>
      </c>
      <c r="J156" s="695">
        <v>1.2436709541754589</v>
      </c>
      <c r="K156" s="695">
        <v>1.8520168887030868</v>
      </c>
      <c r="L156" s="709">
        <v>58.910412297342127</v>
      </c>
      <c r="M156" s="59"/>
    </row>
    <row r="157" spans="1:14" ht="14.25" customHeight="1" thickBot="1" x14ac:dyDescent="0.35">
      <c r="A157" s="75" t="s">
        <v>197</v>
      </c>
      <c r="B157" s="38" t="s">
        <v>22</v>
      </c>
      <c r="D157" s="69">
        <v>2024</v>
      </c>
      <c r="E157" s="39" t="s">
        <v>88</v>
      </c>
      <c r="F157" s="8" t="s">
        <v>85</v>
      </c>
      <c r="G157" s="40" t="s">
        <v>89</v>
      </c>
      <c r="I157" s="44">
        <v>50</v>
      </c>
      <c r="J157" s="73">
        <v>1.493342184785257</v>
      </c>
      <c r="K157" s="73">
        <v>2.0487918508936533</v>
      </c>
      <c r="L157" s="51">
        <v>156.97061427288318</v>
      </c>
      <c r="M157" s="59"/>
    </row>
    <row r="158" spans="1:14" ht="14.25" customHeight="1" thickBot="1" x14ac:dyDescent="0.35">
      <c r="A158" s="76" t="s">
        <v>198</v>
      </c>
      <c r="B158" s="38" t="s">
        <v>22</v>
      </c>
      <c r="D158" s="69">
        <v>2024</v>
      </c>
      <c r="E158" s="39" t="s">
        <v>88</v>
      </c>
      <c r="F158" s="8" t="s">
        <v>85</v>
      </c>
      <c r="G158" s="40" t="s">
        <v>89</v>
      </c>
      <c r="H158" s="669"/>
      <c r="I158" s="663">
        <v>50</v>
      </c>
      <c r="J158" s="697">
        <v>0.75241799334624915</v>
      </c>
      <c r="K158" s="697">
        <v>1.7909173423734612</v>
      </c>
      <c r="L158" s="708">
        <v>209.63817944449855</v>
      </c>
      <c r="M158" s="59"/>
    </row>
    <row r="159" spans="1:14" ht="14.25" customHeight="1" thickBot="1" x14ac:dyDescent="0.35">
      <c r="A159" s="65" t="s">
        <v>199</v>
      </c>
      <c r="B159" s="6" t="s">
        <v>14</v>
      </c>
      <c r="D159" s="53">
        <v>45958</v>
      </c>
      <c r="E159" s="36" t="s">
        <v>23</v>
      </c>
      <c r="F159" s="8" t="s">
        <v>85</v>
      </c>
      <c r="G159" s="12" t="s">
        <v>94</v>
      </c>
      <c r="H159" s="6" t="s">
        <v>18</v>
      </c>
      <c r="I159" s="12">
        <v>50</v>
      </c>
      <c r="J159" s="10">
        <v>0.4</v>
      </c>
      <c r="K159" s="10">
        <v>8.41</v>
      </c>
      <c r="L159" s="33">
        <v>2.2999999999999998</v>
      </c>
      <c r="M159" s="12">
        <v>0.05</v>
      </c>
      <c r="N159" s="13"/>
    </row>
    <row r="160" spans="1:14" ht="14.25" customHeight="1" thickBot="1" x14ac:dyDescent="0.35">
      <c r="A160" s="66" t="s">
        <v>200</v>
      </c>
      <c r="B160" s="6" t="s">
        <v>14</v>
      </c>
      <c r="D160" s="55">
        <v>45958</v>
      </c>
      <c r="E160" s="36" t="s">
        <v>23</v>
      </c>
      <c r="F160" s="8" t="s">
        <v>85</v>
      </c>
      <c r="G160" s="5" t="s">
        <v>94</v>
      </c>
      <c r="H160" s="6" t="s">
        <v>18</v>
      </c>
      <c r="I160" s="5">
        <v>50</v>
      </c>
      <c r="J160" s="10">
        <v>0.52</v>
      </c>
      <c r="K160" s="10">
        <v>2.84</v>
      </c>
      <c r="L160" s="37">
        <v>3.3</v>
      </c>
      <c r="M160" s="5">
        <v>7.0000000000000007E-2</v>
      </c>
      <c r="N160" s="9"/>
    </row>
    <row r="161" spans="1:15" ht="14.25" customHeight="1" thickBot="1" x14ac:dyDescent="0.35">
      <c r="A161" s="65" t="s">
        <v>201</v>
      </c>
      <c r="B161" s="6" t="s">
        <v>14</v>
      </c>
      <c r="D161" s="688">
        <v>45968</v>
      </c>
      <c r="E161" s="36" t="s">
        <v>23</v>
      </c>
      <c r="F161" s="8" t="s">
        <v>85</v>
      </c>
      <c r="G161" s="12" t="s">
        <v>86</v>
      </c>
      <c r="H161" s="6" t="s">
        <v>18</v>
      </c>
      <c r="I161" s="12">
        <v>50</v>
      </c>
      <c r="J161" s="10">
        <v>1.1599999999999999</v>
      </c>
      <c r="K161" s="23">
        <v>1.73</v>
      </c>
      <c r="L161" s="670">
        <v>8</v>
      </c>
      <c r="M161" s="12">
        <v>0.16</v>
      </c>
      <c r="N161" s="13"/>
    </row>
    <row r="162" spans="1:15" ht="14.25" customHeight="1" thickBot="1" x14ac:dyDescent="0.35">
      <c r="A162" s="66" t="s">
        <v>202</v>
      </c>
      <c r="B162" s="6" t="s">
        <v>14</v>
      </c>
      <c r="D162" s="688">
        <v>45957</v>
      </c>
      <c r="E162" s="36" t="s">
        <v>23</v>
      </c>
      <c r="F162" s="8" t="s">
        <v>85</v>
      </c>
      <c r="G162" s="5" t="s">
        <v>94</v>
      </c>
      <c r="H162" s="6" t="s">
        <v>18</v>
      </c>
      <c r="I162" s="5">
        <v>100</v>
      </c>
      <c r="J162" s="10">
        <v>0.4</v>
      </c>
      <c r="K162" s="10">
        <v>-0.84</v>
      </c>
      <c r="L162" s="665">
        <v>0.9</v>
      </c>
      <c r="M162" s="5">
        <v>0.01</v>
      </c>
      <c r="N162" s="9"/>
    </row>
    <row r="163" spans="1:15" ht="14.25" customHeight="1" thickBot="1" x14ac:dyDescent="0.35">
      <c r="A163" s="75" t="s">
        <v>203</v>
      </c>
      <c r="B163" s="38" t="s">
        <v>22</v>
      </c>
      <c r="D163" s="663">
        <v>2024</v>
      </c>
      <c r="E163" s="39" t="s">
        <v>88</v>
      </c>
      <c r="F163" s="8" t="s">
        <v>85</v>
      </c>
      <c r="G163" s="40" t="s">
        <v>89</v>
      </c>
      <c r="H163" s="669"/>
      <c r="I163" s="17">
        <v>50</v>
      </c>
      <c r="J163" s="52">
        <v>0.15947116269576253</v>
      </c>
      <c r="K163" s="52">
        <v>1.5046916425617243</v>
      </c>
      <c r="L163" s="708">
        <v>3.6730274132468628</v>
      </c>
      <c r="M163" s="3"/>
      <c r="N163" s="6"/>
    </row>
    <row r="164" spans="1:15" ht="14.25" customHeight="1" thickBot="1" x14ac:dyDescent="0.35">
      <c r="A164" s="61" t="s">
        <v>204</v>
      </c>
      <c r="B164" s="38" t="s">
        <v>22</v>
      </c>
      <c r="D164" s="663">
        <v>2024</v>
      </c>
      <c r="E164" s="39" t="s">
        <v>88</v>
      </c>
      <c r="F164" s="8" t="s">
        <v>85</v>
      </c>
      <c r="G164" s="40" t="s">
        <v>89</v>
      </c>
      <c r="H164" s="669"/>
      <c r="I164" s="17">
        <v>50</v>
      </c>
      <c r="J164" s="42">
        <v>0.94217800340114322</v>
      </c>
      <c r="K164" s="42">
        <v>1.6932293248686026</v>
      </c>
      <c r="L164" s="709">
        <v>230.70286104125356</v>
      </c>
      <c r="M164" s="3"/>
      <c r="N164" s="6"/>
    </row>
    <row r="165" spans="1:15" ht="14.25" customHeight="1" thickBot="1" x14ac:dyDescent="0.35">
      <c r="A165" s="65" t="s">
        <v>205</v>
      </c>
      <c r="B165" s="6" t="s">
        <v>14</v>
      </c>
      <c r="D165" s="54">
        <v>45957</v>
      </c>
      <c r="E165" s="36" t="s">
        <v>23</v>
      </c>
      <c r="F165" s="8" t="s">
        <v>85</v>
      </c>
      <c r="G165" s="12" t="s">
        <v>94</v>
      </c>
      <c r="H165" s="6" t="s">
        <v>18</v>
      </c>
      <c r="I165" s="12">
        <v>100</v>
      </c>
      <c r="J165" s="10">
        <v>0.78</v>
      </c>
      <c r="K165" s="10">
        <v>2.14</v>
      </c>
      <c r="L165" s="33">
        <v>7</v>
      </c>
      <c r="M165" s="12">
        <v>7.0000000000000007E-2</v>
      </c>
      <c r="N165" s="13"/>
    </row>
    <row r="166" spans="1:15" ht="14.25" customHeight="1" thickBot="1" x14ac:dyDescent="0.35">
      <c r="A166" s="66" t="s">
        <v>206</v>
      </c>
      <c r="B166" s="6" t="s">
        <v>14</v>
      </c>
      <c r="D166" s="54">
        <v>45957</v>
      </c>
      <c r="E166" s="36" t="s">
        <v>23</v>
      </c>
      <c r="F166" s="8" t="s">
        <v>85</v>
      </c>
      <c r="G166" s="5" t="s">
        <v>94</v>
      </c>
      <c r="H166" s="6" t="s">
        <v>18</v>
      </c>
      <c r="I166" s="5">
        <v>100</v>
      </c>
      <c r="J166" s="10">
        <v>0.41</v>
      </c>
      <c r="K166" s="24">
        <v>1.9</v>
      </c>
      <c r="L166" s="665">
        <v>8.6999999999999993</v>
      </c>
      <c r="M166" s="5">
        <v>0.09</v>
      </c>
      <c r="N166" s="9"/>
    </row>
    <row r="167" spans="1:15" ht="14.25" customHeight="1" thickBot="1" x14ac:dyDescent="0.35">
      <c r="A167" s="65" t="s">
        <v>207</v>
      </c>
      <c r="B167" s="6" t="s">
        <v>14</v>
      </c>
      <c r="D167" s="54">
        <v>45957</v>
      </c>
      <c r="E167" s="36" t="s">
        <v>23</v>
      </c>
      <c r="F167" s="8" t="s">
        <v>85</v>
      </c>
      <c r="G167" s="12" t="s">
        <v>94</v>
      </c>
      <c r="H167" s="6" t="s">
        <v>18</v>
      </c>
      <c r="I167" s="12">
        <v>100</v>
      </c>
      <c r="J167" s="10">
        <v>1.28</v>
      </c>
      <c r="K167" s="10">
        <v>2.4500000000000002</v>
      </c>
      <c r="L167" s="33">
        <v>4.7</v>
      </c>
      <c r="M167" s="12">
        <v>0.05</v>
      </c>
      <c r="N167" s="13"/>
    </row>
    <row r="168" spans="1:15" ht="14.25" customHeight="1" thickBot="1" x14ac:dyDescent="0.35">
      <c r="A168" s="66" t="s">
        <v>208</v>
      </c>
      <c r="B168" s="6" t="s">
        <v>14</v>
      </c>
      <c r="D168" s="54">
        <v>45957</v>
      </c>
      <c r="E168" s="36" t="s">
        <v>23</v>
      </c>
      <c r="F168" s="8" t="s">
        <v>85</v>
      </c>
      <c r="G168" s="5" t="s">
        <v>94</v>
      </c>
      <c r="H168" s="6" t="s">
        <v>18</v>
      </c>
      <c r="I168" s="5">
        <v>100</v>
      </c>
      <c r="J168" s="10">
        <v>1.07</v>
      </c>
      <c r="K168" s="10">
        <v>2.52</v>
      </c>
      <c r="L168" s="37">
        <v>8.5</v>
      </c>
      <c r="M168" s="5">
        <v>0.09</v>
      </c>
      <c r="N168" s="9"/>
    </row>
    <row r="169" spans="1:15" ht="14.25" customHeight="1" thickBot="1" x14ac:dyDescent="0.35">
      <c r="A169" s="65" t="s">
        <v>209</v>
      </c>
      <c r="B169" s="6" t="s">
        <v>14</v>
      </c>
      <c r="D169" s="54">
        <v>45957</v>
      </c>
      <c r="E169" s="36" t="s">
        <v>23</v>
      </c>
      <c r="F169" s="8" t="s">
        <v>85</v>
      </c>
      <c r="G169" s="12" t="s">
        <v>94</v>
      </c>
      <c r="H169" s="6" t="s">
        <v>18</v>
      </c>
      <c r="I169" s="12">
        <v>100</v>
      </c>
      <c r="J169" s="10">
        <v>0.44</v>
      </c>
      <c r="K169" s="24">
        <v>1.81</v>
      </c>
      <c r="L169" s="670">
        <v>39.4</v>
      </c>
      <c r="M169" s="12">
        <v>0.39</v>
      </c>
      <c r="N169" s="13"/>
    </row>
    <row r="170" spans="1:15" ht="14.25" customHeight="1" thickBot="1" x14ac:dyDescent="0.35">
      <c r="A170" s="66" t="s">
        <v>210</v>
      </c>
      <c r="B170" s="6" t="s">
        <v>14</v>
      </c>
      <c r="D170" s="54">
        <v>45957</v>
      </c>
      <c r="E170" s="36" t="s">
        <v>23</v>
      </c>
      <c r="F170" s="8" t="s">
        <v>85</v>
      </c>
      <c r="G170" s="5" t="s">
        <v>86</v>
      </c>
      <c r="H170" s="6" t="s">
        <v>18</v>
      </c>
      <c r="I170" s="5">
        <v>100</v>
      </c>
      <c r="J170" s="10">
        <v>0.75</v>
      </c>
      <c r="K170" s="10">
        <v>3.21</v>
      </c>
      <c r="L170" s="37">
        <v>5.4</v>
      </c>
      <c r="M170" s="5">
        <v>0.05</v>
      </c>
      <c r="N170" s="9"/>
    </row>
    <row r="171" spans="1:15" ht="14.25" customHeight="1" thickBot="1" x14ac:dyDescent="0.35">
      <c r="A171" s="75" t="s">
        <v>211</v>
      </c>
      <c r="B171" s="38" t="s">
        <v>22</v>
      </c>
      <c r="D171" s="663">
        <v>2024</v>
      </c>
      <c r="E171" s="39" t="s">
        <v>88</v>
      </c>
      <c r="F171" s="8" t="s">
        <v>85</v>
      </c>
      <c r="G171" s="40" t="s">
        <v>89</v>
      </c>
      <c r="H171" s="669"/>
      <c r="I171" s="17">
        <v>50</v>
      </c>
      <c r="J171" s="52">
        <v>0.32253725869827232</v>
      </c>
      <c r="K171" s="52">
        <v>1.5782049489156937</v>
      </c>
      <c r="L171" s="708">
        <v>45.188289490806895</v>
      </c>
      <c r="M171" s="3"/>
      <c r="N171" s="6"/>
    </row>
    <row r="172" spans="1:15" ht="14.25" customHeight="1" thickBot="1" x14ac:dyDescent="0.35">
      <c r="A172" s="61" t="s">
        <v>212</v>
      </c>
      <c r="B172" s="38" t="s">
        <v>22</v>
      </c>
      <c r="D172" s="44">
        <v>2024</v>
      </c>
      <c r="E172" s="39" t="s">
        <v>88</v>
      </c>
      <c r="F172" s="8" t="s">
        <v>85</v>
      </c>
      <c r="G172" s="40" t="s">
        <v>89</v>
      </c>
      <c r="H172" s="669"/>
      <c r="I172" s="17">
        <v>50</v>
      </c>
      <c r="J172" s="42">
        <v>0.43575530716803396</v>
      </c>
      <c r="K172" s="42">
        <v>-2.4380891917594711</v>
      </c>
      <c r="L172" s="709">
        <v>1.6315151840651736</v>
      </c>
      <c r="M172" s="3"/>
      <c r="N172" s="6"/>
    </row>
    <row r="173" spans="1:15" ht="14.25" customHeight="1" thickBot="1" x14ac:dyDescent="0.35">
      <c r="A173" s="66" t="s">
        <v>212</v>
      </c>
      <c r="B173" s="6" t="s">
        <v>93</v>
      </c>
      <c r="D173" s="55">
        <v>46000</v>
      </c>
      <c r="E173" s="39" t="s">
        <v>88</v>
      </c>
      <c r="F173" s="8" t="s">
        <v>85</v>
      </c>
      <c r="G173" s="5" t="s">
        <v>101</v>
      </c>
      <c r="H173" s="6"/>
      <c r="I173" s="9"/>
      <c r="J173" s="9"/>
      <c r="K173" s="49"/>
      <c r="L173" s="669"/>
      <c r="M173" s="5" t="e">
        <v>#DIV/0!</v>
      </c>
      <c r="N173" s="9"/>
      <c r="O173" s="37" t="s">
        <v>160</v>
      </c>
    </row>
    <row r="174" spans="1:15" ht="14.25" customHeight="1" thickBot="1" x14ac:dyDescent="0.35">
      <c r="A174" s="65" t="s">
        <v>213</v>
      </c>
      <c r="B174" s="6" t="s">
        <v>93</v>
      </c>
      <c r="D174" s="53">
        <v>46000</v>
      </c>
      <c r="E174" s="39" t="s">
        <v>88</v>
      </c>
      <c r="F174" s="8" t="s">
        <v>85</v>
      </c>
      <c r="G174" s="12" t="s">
        <v>101</v>
      </c>
      <c r="H174" s="6"/>
      <c r="I174" s="13"/>
      <c r="J174" s="13"/>
      <c r="K174" s="49"/>
      <c r="L174" s="669"/>
      <c r="M174" s="12" t="e">
        <v>#DIV/0!</v>
      </c>
      <c r="N174" s="13"/>
      <c r="O174" s="33" t="s">
        <v>160</v>
      </c>
    </row>
    <row r="175" spans="1:15" ht="14.25" customHeight="1" thickBot="1" x14ac:dyDescent="0.35">
      <c r="A175" s="62" t="s">
        <v>214</v>
      </c>
      <c r="B175" s="38" t="s">
        <v>22</v>
      </c>
      <c r="D175" s="44">
        <v>2024</v>
      </c>
      <c r="E175" s="39" t="s">
        <v>88</v>
      </c>
      <c r="F175" s="8" t="s">
        <v>85</v>
      </c>
      <c r="G175" s="40" t="s">
        <v>89</v>
      </c>
      <c r="I175" s="17">
        <v>50</v>
      </c>
      <c r="J175" s="42">
        <v>1.3570379034501936</v>
      </c>
      <c r="K175" s="42">
        <v>1.9144340408306388</v>
      </c>
      <c r="L175" s="709">
        <v>37.760292514001563</v>
      </c>
      <c r="M175" s="3"/>
      <c r="N175" s="6"/>
    </row>
    <row r="176" spans="1:15" ht="14.25" customHeight="1" thickBot="1" x14ac:dyDescent="0.35">
      <c r="A176" s="61" t="s">
        <v>215</v>
      </c>
      <c r="B176" s="38" t="s">
        <v>22</v>
      </c>
      <c r="D176" s="44">
        <v>2024</v>
      </c>
      <c r="E176" s="39" t="s">
        <v>88</v>
      </c>
      <c r="F176" s="8" t="s">
        <v>85</v>
      </c>
      <c r="G176" s="40" t="s">
        <v>89</v>
      </c>
      <c r="H176" s="669"/>
      <c r="I176" s="17">
        <v>50</v>
      </c>
      <c r="J176" s="42">
        <v>0.87560277513256046</v>
      </c>
      <c r="K176" s="42">
        <v>1.9164019484991079</v>
      </c>
      <c r="L176" s="709">
        <v>389.86306046647508</v>
      </c>
      <c r="M176" s="3"/>
      <c r="N176" s="6"/>
    </row>
    <row r="177" spans="1:15" ht="14.25" customHeight="1" thickBot="1" x14ac:dyDescent="0.35">
      <c r="A177" s="67" t="s">
        <v>216</v>
      </c>
      <c r="B177" s="38" t="s">
        <v>22</v>
      </c>
      <c r="D177" s="44">
        <v>2024</v>
      </c>
      <c r="E177" s="39" t="s">
        <v>88</v>
      </c>
      <c r="F177" s="8" t="s">
        <v>85</v>
      </c>
      <c r="G177" s="40" t="s">
        <v>89</v>
      </c>
      <c r="I177" s="17">
        <v>50</v>
      </c>
      <c r="J177" s="52">
        <v>1.1418963684932188</v>
      </c>
      <c r="K177" s="52">
        <v>1.8474487764145413</v>
      </c>
      <c r="L177" s="708">
        <v>65.320512636332936</v>
      </c>
      <c r="M177" s="3"/>
      <c r="N177" s="6"/>
    </row>
    <row r="178" spans="1:15" ht="14.25" customHeight="1" thickBot="1" x14ac:dyDescent="0.35">
      <c r="A178" s="67" t="s">
        <v>217</v>
      </c>
      <c r="B178" s="38" t="s">
        <v>22</v>
      </c>
      <c r="D178" s="663">
        <v>2024</v>
      </c>
      <c r="E178" s="39" t="s">
        <v>88</v>
      </c>
      <c r="F178" s="8" t="s">
        <v>85</v>
      </c>
      <c r="G178" s="40" t="s">
        <v>89</v>
      </c>
      <c r="H178" s="669"/>
      <c r="I178" s="17">
        <v>50</v>
      </c>
      <c r="J178" s="52">
        <v>0.84179385668499529</v>
      </c>
      <c r="K178" s="52">
        <v>1.8968488522182354</v>
      </c>
      <c r="L178" s="708">
        <v>70.924692988276277</v>
      </c>
      <c r="M178" s="3"/>
      <c r="N178" s="6"/>
    </row>
    <row r="179" spans="1:15" ht="14.25" customHeight="1" thickBot="1" x14ac:dyDescent="0.35">
      <c r="A179" s="61" t="s">
        <v>218</v>
      </c>
      <c r="B179" s="38" t="s">
        <v>22</v>
      </c>
      <c r="D179" s="44">
        <v>2024</v>
      </c>
      <c r="E179" s="39" t="s">
        <v>88</v>
      </c>
      <c r="F179" s="8" t="s">
        <v>85</v>
      </c>
      <c r="G179" s="40" t="s">
        <v>89</v>
      </c>
      <c r="H179" s="669"/>
      <c r="I179" s="17">
        <v>50</v>
      </c>
      <c r="J179" s="42">
        <v>0.42536849722824482</v>
      </c>
      <c r="K179" s="42">
        <v>-3.0313010790274113</v>
      </c>
      <c r="L179" s="709">
        <v>1.6441649741290518</v>
      </c>
      <c r="M179" s="3"/>
      <c r="N179" s="6"/>
    </row>
    <row r="180" spans="1:15" ht="14.25" customHeight="1" thickBot="1" x14ac:dyDescent="0.35">
      <c r="A180" s="66" t="s">
        <v>219</v>
      </c>
      <c r="B180" s="6" t="s">
        <v>93</v>
      </c>
      <c r="D180" s="55">
        <v>46000</v>
      </c>
      <c r="E180" s="39" t="s">
        <v>88</v>
      </c>
      <c r="F180" s="8" t="s">
        <v>85</v>
      </c>
      <c r="G180" s="5" t="s">
        <v>101</v>
      </c>
      <c r="H180" s="706"/>
      <c r="I180" s="9"/>
      <c r="J180" s="9"/>
      <c r="K180" s="49"/>
      <c r="L180" s="669"/>
      <c r="M180" s="5" t="e">
        <v>#DIV/0!</v>
      </c>
      <c r="N180" s="9"/>
      <c r="O180" s="37" t="s">
        <v>160</v>
      </c>
    </row>
    <row r="181" spans="1:15" ht="14.25" customHeight="1" thickBot="1" x14ac:dyDescent="0.35">
      <c r="A181" s="67" t="s">
        <v>220</v>
      </c>
      <c r="B181" s="38" t="s">
        <v>22</v>
      </c>
      <c r="D181" s="663">
        <v>2024</v>
      </c>
      <c r="E181" s="39" t="s">
        <v>88</v>
      </c>
      <c r="F181" s="8" t="s">
        <v>85</v>
      </c>
      <c r="G181" s="40" t="s">
        <v>89</v>
      </c>
      <c r="H181" s="669"/>
      <c r="I181" s="17">
        <v>50</v>
      </c>
      <c r="J181" s="52">
        <v>5.9954575353692127E-2</v>
      </c>
      <c r="K181" s="52">
        <v>1.0082859803828059</v>
      </c>
      <c r="L181" s="708">
        <v>0.95984596985864368</v>
      </c>
      <c r="M181" s="3"/>
      <c r="N181" s="6"/>
    </row>
    <row r="182" spans="1:15" ht="14.25" customHeight="1" thickBot="1" x14ac:dyDescent="0.35">
      <c r="A182" s="66" t="s">
        <v>221</v>
      </c>
      <c r="B182" s="6" t="s">
        <v>14</v>
      </c>
      <c r="D182" s="77">
        <v>45960</v>
      </c>
      <c r="E182" s="39" t="s">
        <v>88</v>
      </c>
      <c r="F182" s="8" t="s">
        <v>85</v>
      </c>
      <c r="G182" s="5" t="s">
        <v>101</v>
      </c>
      <c r="H182" s="6" t="s">
        <v>18</v>
      </c>
      <c r="I182" s="37">
        <v>150</v>
      </c>
      <c r="J182" s="694">
        <v>0.41</v>
      </c>
      <c r="K182" s="694">
        <v>0.72</v>
      </c>
      <c r="L182" s="665">
        <v>1.2</v>
      </c>
      <c r="M182" s="37">
        <v>0.01</v>
      </c>
      <c r="N182" s="11"/>
    </row>
    <row r="183" spans="1:15" ht="14.25" customHeight="1" thickBot="1" x14ac:dyDescent="0.35">
      <c r="A183" s="76" t="s">
        <v>222</v>
      </c>
      <c r="B183" s="38" t="s">
        <v>22</v>
      </c>
      <c r="D183" s="69">
        <v>2024</v>
      </c>
      <c r="E183" s="39" t="s">
        <v>88</v>
      </c>
      <c r="F183" s="8" t="s">
        <v>85</v>
      </c>
      <c r="G183" s="40" t="s">
        <v>89</v>
      </c>
      <c r="H183" s="669"/>
      <c r="I183" s="663">
        <v>50</v>
      </c>
      <c r="J183" s="697">
        <v>1.0328901829188577</v>
      </c>
      <c r="K183" s="697">
        <v>1.8891145438570751</v>
      </c>
      <c r="L183" s="708">
        <v>139.89894311734687</v>
      </c>
      <c r="M183" s="59"/>
    </row>
    <row r="184" spans="1:15" ht="14.25" customHeight="1" thickBot="1" x14ac:dyDescent="0.35">
      <c r="A184" s="75" t="s">
        <v>223</v>
      </c>
      <c r="B184" s="38" t="s">
        <v>22</v>
      </c>
      <c r="D184" s="69">
        <v>2024</v>
      </c>
      <c r="E184" s="39" t="s">
        <v>88</v>
      </c>
      <c r="F184" s="8" t="s">
        <v>85</v>
      </c>
      <c r="G184" s="40" t="s">
        <v>89</v>
      </c>
      <c r="I184" s="44">
        <v>50</v>
      </c>
      <c r="J184" s="73">
        <v>1.4000702302521313</v>
      </c>
      <c r="K184" s="73">
        <v>1.9455233672966865</v>
      </c>
      <c r="L184" s="51">
        <v>46.727661592875911</v>
      </c>
      <c r="M184" s="59"/>
    </row>
    <row r="185" spans="1:15" ht="14.25" customHeight="1" thickBot="1" x14ac:dyDescent="0.35">
      <c r="A185" s="67" t="s">
        <v>224</v>
      </c>
      <c r="B185" s="38" t="s">
        <v>22</v>
      </c>
      <c r="D185" s="69">
        <v>2024</v>
      </c>
      <c r="E185" s="39" t="s">
        <v>88</v>
      </c>
      <c r="F185" s="8" t="s">
        <v>85</v>
      </c>
      <c r="G185" s="40" t="s">
        <v>89</v>
      </c>
      <c r="H185" s="669"/>
      <c r="I185" s="663">
        <v>50</v>
      </c>
      <c r="J185" s="697">
        <v>0.5802208620633077</v>
      </c>
      <c r="K185" s="697">
        <v>1.7933833095811726</v>
      </c>
      <c r="L185" s="708">
        <v>114.63111521206777</v>
      </c>
      <c r="M185" s="59"/>
    </row>
    <row r="186" spans="1:15" ht="14.25" customHeight="1" thickBot="1" x14ac:dyDescent="0.35">
      <c r="A186" s="76" t="s">
        <v>225</v>
      </c>
      <c r="B186" s="38" t="s">
        <v>22</v>
      </c>
      <c r="D186" s="69">
        <v>2024</v>
      </c>
      <c r="E186" s="39" t="s">
        <v>88</v>
      </c>
      <c r="F186" s="8" t="s">
        <v>85</v>
      </c>
      <c r="G186" s="40" t="s">
        <v>89</v>
      </c>
      <c r="H186" s="669"/>
      <c r="I186" s="44">
        <v>50</v>
      </c>
      <c r="J186" s="73">
        <v>1.777560791488513</v>
      </c>
      <c r="K186" s="73">
        <v>1.953854613901973</v>
      </c>
      <c r="L186" s="51">
        <v>289.06301532599559</v>
      </c>
      <c r="M186" s="59"/>
    </row>
    <row r="187" spans="1:15" ht="14.25" customHeight="1" thickBot="1" x14ac:dyDescent="0.35">
      <c r="A187" s="65" t="s">
        <v>226</v>
      </c>
      <c r="B187" s="6" t="s">
        <v>14</v>
      </c>
      <c r="D187" s="72">
        <v>45957</v>
      </c>
      <c r="E187" s="39" t="s">
        <v>88</v>
      </c>
      <c r="F187" s="8" t="s">
        <v>85</v>
      </c>
      <c r="G187" s="12" t="s">
        <v>101</v>
      </c>
      <c r="H187" s="6" t="s">
        <v>18</v>
      </c>
      <c r="I187" s="670">
        <v>100</v>
      </c>
      <c r="J187" s="694">
        <v>0.66</v>
      </c>
      <c r="K187" s="698">
        <v>1.88</v>
      </c>
      <c r="L187" s="670">
        <v>9.4</v>
      </c>
      <c r="M187" s="33">
        <v>0.09</v>
      </c>
      <c r="N187" s="35"/>
    </row>
    <row r="188" spans="1:15" ht="14.25" customHeight="1" thickBot="1" x14ac:dyDescent="0.35">
      <c r="A188" s="67" t="s">
        <v>227</v>
      </c>
      <c r="B188" s="38" t="s">
        <v>22</v>
      </c>
      <c r="D188" s="69">
        <v>2024</v>
      </c>
      <c r="E188" s="39" t="s">
        <v>88</v>
      </c>
      <c r="F188" s="8" t="s">
        <v>85</v>
      </c>
      <c r="G188" s="40" t="s">
        <v>89</v>
      </c>
      <c r="I188" s="44">
        <v>50</v>
      </c>
      <c r="J188" s="73">
        <v>1.5493289022548049</v>
      </c>
      <c r="K188" s="73">
        <v>1.9348735766863421</v>
      </c>
      <c r="L188" s="51">
        <v>115.19189317725002</v>
      </c>
      <c r="M188" s="59"/>
    </row>
    <row r="189" spans="1:15" ht="14.25" customHeight="1" thickBot="1" x14ac:dyDescent="0.35">
      <c r="A189" s="76" t="s">
        <v>228</v>
      </c>
      <c r="B189" s="38" t="s">
        <v>22</v>
      </c>
      <c r="D189" s="69">
        <v>2024</v>
      </c>
      <c r="E189" s="39" t="s">
        <v>88</v>
      </c>
      <c r="F189" s="8" t="s">
        <v>85</v>
      </c>
      <c r="G189" s="40" t="s">
        <v>89</v>
      </c>
      <c r="H189" s="669"/>
      <c r="I189" s="663">
        <v>50</v>
      </c>
      <c r="J189" s="697">
        <v>1.5785425417411409</v>
      </c>
      <c r="K189" s="697">
        <v>1.7562093735663089</v>
      </c>
      <c r="L189" s="708">
        <v>23.996851294715853</v>
      </c>
      <c r="M189" s="59"/>
    </row>
    <row r="190" spans="1:15" ht="14.25" customHeight="1" thickBot="1" x14ac:dyDescent="0.35">
      <c r="A190" s="78" t="s">
        <v>229</v>
      </c>
      <c r="B190" s="38" t="s">
        <v>22</v>
      </c>
      <c r="D190" s="69">
        <v>2024</v>
      </c>
      <c r="E190" s="39" t="s">
        <v>88</v>
      </c>
      <c r="F190" s="8" t="s">
        <v>85</v>
      </c>
      <c r="G190" s="40" t="s">
        <v>89</v>
      </c>
      <c r="H190" s="669"/>
      <c r="I190" s="663">
        <v>50</v>
      </c>
      <c r="J190" s="669"/>
      <c r="K190" s="669"/>
      <c r="L190" s="663" t="s">
        <v>230</v>
      </c>
      <c r="M190" s="674"/>
      <c r="N190" s="669"/>
    </row>
    <row r="191" spans="1:15" ht="14.25" customHeight="1" thickBot="1" x14ac:dyDescent="0.35">
      <c r="A191" s="65" t="s">
        <v>231</v>
      </c>
      <c r="B191" s="6" t="s">
        <v>14</v>
      </c>
      <c r="D191" s="72">
        <v>45947</v>
      </c>
      <c r="E191" s="39" t="s">
        <v>88</v>
      </c>
      <c r="F191" s="8" t="s">
        <v>85</v>
      </c>
      <c r="G191" s="12" t="s">
        <v>101</v>
      </c>
      <c r="H191" s="6" t="s">
        <v>18</v>
      </c>
      <c r="I191" s="670">
        <v>50</v>
      </c>
      <c r="J191" s="694">
        <v>0.99</v>
      </c>
      <c r="K191" s="698">
        <v>1.88</v>
      </c>
      <c r="L191" s="670">
        <v>44.3</v>
      </c>
      <c r="M191" s="33">
        <v>0.89</v>
      </c>
      <c r="N191" s="35"/>
    </row>
    <row r="192" spans="1:15" ht="14.25" customHeight="1" thickBot="1" x14ac:dyDescent="0.35">
      <c r="A192" s="12" t="s">
        <v>231</v>
      </c>
      <c r="B192" s="6" t="s">
        <v>14</v>
      </c>
      <c r="D192" s="68">
        <v>45960</v>
      </c>
      <c r="E192" s="39" t="s">
        <v>88</v>
      </c>
      <c r="F192" s="8" t="s">
        <v>85</v>
      </c>
      <c r="G192" s="12" t="s">
        <v>101</v>
      </c>
      <c r="H192" s="6" t="s">
        <v>18</v>
      </c>
      <c r="I192" s="670">
        <v>50</v>
      </c>
      <c r="J192" s="694">
        <v>0.39</v>
      </c>
      <c r="K192" s="694">
        <v>1.53</v>
      </c>
      <c r="L192" s="670">
        <v>19.3</v>
      </c>
      <c r="M192" s="33">
        <v>0.39</v>
      </c>
      <c r="N192" s="35"/>
    </row>
    <row r="193" spans="1:15" ht="14.25" customHeight="1" thickBot="1" x14ac:dyDescent="0.35">
      <c r="A193" s="3" t="s">
        <v>232</v>
      </c>
      <c r="B193" s="38" t="s">
        <v>22</v>
      </c>
      <c r="D193" s="69">
        <v>2024</v>
      </c>
      <c r="E193" s="39" t="s">
        <v>88</v>
      </c>
      <c r="F193" s="8" t="s">
        <v>85</v>
      </c>
      <c r="G193" s="40" t="s">
        <v>89</v>
      </c>
      <c r="I193" s="663">
        <v>50</v>
      </c>
      <c r="J193" s="697">
        <v>0.11153549015292677</v>
      </c>
      <c r="K193" s="697">
        <v>13.126150698520719</v>
      </c>
      <c r="L193" s="51">
        <v>88.021909425052741</v>
      </c>
      <c r="M193" s="674"/>
      <c r="N193" s="669"/>
    </row>
    <row r="194" spans="1:15" ht="14.25" customHeight="1" thickBot="1" x14ac:dyDescent="0.35">
      <c r="A194" s="12" t="s">
        <v>233</v>
      </c>
      <c r="B194" s="6" t="s">
        <v>93</v>
      </c>
      <c r="D194" s="68">
        <v>46000</v>
      </c>
      <c r="E194" s="39" t="s">
        <v>88</v>
      </c>
      <c r="F194" s="8" t="s">
        <v>85</v>
      </c>
      <c r="G194" s="12" t="s">
        <v>101</v>
      </c>
      <c r="H194" s="706"/>
      <c r="I194" s="13"/>
      <c r="J194" s="13"/>
      <c r="K194" s="49"/>
      <c r="L194" s="669"/>
      <c r="M194" s="12" t="e">
        <v>#DIV/0!</v>
      </c>
      <c r="N194" s="13"/>
      <c r="O194" s="33" t="s">
        <v>160</v>
      </c>
    </row>
    <row r="195" spans="1:15" ht="14.25" customHeight="1" thickBot="1" x14ac:dyDescent="0.35">
      <c r="A195" s="3" t="s">
        <v>234</v>
      </c>
      <c r="B195" s="38" t="s">
        <v>22</v>
      </c>
      <c r="D195" s="69">
        <v>2024</v>
      </c>
      <c r="E195" s="39" t="s">
        <v>88</v>
      </c>
      <c r="F195" s="8" t="s">
        <v>85</v>
      </c>
      <c r="G195" s="40" t="s">
        <v>89</v>
      </c>
      <c r="I195" s="663">
        <v>50</v>
      </c>
      <c r="J195" s="697">
        <v>0.81597111670080558</v>
      </c>
      <c r="K195" s="697">
        <v>2.0431137460380522</v>
      </c>
      <c r="L195" s="51">
        <v>14.496032027789166</v>
      </c>
      <c r="M195" s="674"/>
      <c r="N195" s="669"/>
    </row>
    <row r="196" spans="1:15" ht="14.25" customHeight="1" thickBot="1" x14ac:dyDescent="0.35">
      <c r="A196" s="43" t="s">
        <v>235</v>
      </c>
      <c r="B196" s="38" t="s">
        <v>22</v>
      </c>
      <c r="D196" s="69">
        <v>2024</v>
      </c>
      <c r="E196" s="39" t="s">
        <v>88</v>
      </c>
      <c r="F196" s="8" t="s">
        <v>85</v>
      </c>
      <c r="G196" s="40" t="s">
        <v>89</v>
      </c>
      <c r="H196" s="669"/>
      <c r="I196" s="17">
        <v>50</v>
      </c>
      <c r="J196" s="46">
        <v>0.36821739336331577</v>
      </c>
      <c r="K196" s="46">
        <v>1.6044456091720769</v>
      </c>
      <c r="L196" s="699">
        <v>76.949922289944411</v>
      </c>
      <c r="M196" s="3"/>
      <c r="N196" s="6"/>
    </row>
    <row r="197" spans="1:15" ht="14.25" customHeight="1" x14ac:dyDescent="0.3">
      <c r="A197" s="5" t="s">
        <v>236</v>
      </c>
      <c r="B197" s="6" t="s">
        <v>14</v>
      </c>
      <c r="D197" s="7">
        <v>45968</v>
      </c>
      <c r="E197" s="36" t="s">
        <v>23</v>
      </c>
      <c r="F197" s="8" t="s">
        <v>85</v>
      </c>
      <c r="G197" s="5" t="s">
        <v>94</v>
      </c>
      <c r="H197" s="6" t="s">
        <v>18</v>
      </c>
      <c r="I197" s="665">
        <v>50</v>
      </c>
      <c r="J197" s="694">
        <v>1.26</v>
      </c>
      <c r="K197" s="698">
        <v>1.9</v>
      </c>
      <c r="L197" s="37">
        <v>100.5</v>
      </c>
      <c r="M197" s="37">
        <v>2.0099999999999998</v>
      </c>
      <c r="N197" s="11"/>
    </row>
    <row r="198" spans="1:15" ht="14.25" customHeight="1" x14ac:dyDescent="0.3">
      <c r="A198" s="680" t="s">
        <v>237</v>
      </c>
      <c r="B198" s="38" t="s">
        <v>22</v>
      </c>
      <c r="D198" s="17">
        <v>2024</v>
      </c>
      <c r="E198" s="39" t="s">
        <v>88</v>
      </c>
      <c r="F198" s="8" t="s">
        <v>85</v>
      </c>
      <c r="G198" s="40" t="s">
        <v>89</v>
      </c>
      <c r="H198" s="669"/>
      <c r="I198" s="17">
        <v>50</v>
      </c>
      <c r="J198" s="52">
        <v>0.15563124142242207</v>
      </c>
      <c r="K198" s="52">
        <v>1.0344534868549218</v>
      </c>
      <c r="L198" s="708">
        <v>1.4626221044347651</v>
      </c>
      <c r="M198" s="3"/>
      <c r="N198" s="6"/>
    </row>
    <row r="199" spans="1:15" ht="14.25" customHeight="1" x14ac:dyDescent="0.3">
      <c r="A199" s="79" t="s">
        <v>238</v>
      </c>
      <c r="B199" s="38" t="s">
        <v>22</v>
      </c>
      <c r="D199" s="17">
        <v>2024</v>
      </c>
      <c r="E199" s="39" t="s">
        <v>88</v>
      </c>
      <c r="F199" s="8" t="s">
        <v>85</v>
      </c>
      <c r="G199" s="40" t="s">
        <v>89</v>
      </c>
      <c r="I199" s="663">
        <v>50</v>
      </c>
      <c r="J199" s="697">
        <v>9.7694655551869375E-2</v>
      </c>
      <c r="K199" s="697">
        <v>3.9362784831402662</v>
      </c>
      <c r="L199" s="51">
        <v>0.48329053914102865</v>
      </c>
      <c r="M199" s="674"/>
      <c r="N199" s="669"/>
    </row>
    <row r="200" spans="1:15" ht="14.25" customHeight="1" x14ac:dyDescent="0.3">
      <c r="A200" s="670" t="s">
        <v>239</v>
      </c>
      <c r="B200" s="6" t="s">
        <v>14</v>
      </c>
      <c r="D200" s="7">
        <v>45968</v>
      </c>
      <c r="E200" s="36" t="s">
        <v>23</v>
      </c>
      <c r="F200" s="8" t="s">
        <v>85</v>
      </c>
      <c r="G200" s="12" t="s">
        <v>94</v>
      </c>
      <c r="H200" s="6" t="s">
        <v>18</v>
      </c>
      <c r="I200" s="670">
        <v>50</v>
      </c>
      <c r="J200" s="701">
        <v>1.83</v>
      </c>
      <c r="K200" s="701">
        <v>1.79</v>
      </c>
      <c r="L200" s="670">
        <v>62.9</v>
      </c>
      <c r="M200" s="33">
        <v>1.26</v>
      </c>
      <c r="N200" s="35"/>
    </row>
    <row r="201" spans="1:15" ht="14.25" customHeight="1" x14ac:dyDescent="0.3">
      <c r="A201" s="683" t="s">
        <v>240</v>
      </c>
      <c r="B201" s="38" t="s">
        <v>22</v>
      </c>
      <c r="D201" s="17">
        <v>2024</v>
      </c>
      <c r="E201" s="39" t="s">
        <v>88</v>
      </c>
      <c r="F201" s="8" t="s">
        <v>85</v>
      </c>
      <c r="G201" s="40" t="s">
        <v>89</v>
      </c>
      <c r="H201" s="669"/>
      <c r="I201" s="663">
        <v>50</v>
      </c>
      <c r="J201" s="697">
        <v>0.81597111670080558</v>
      </c>
      <c r="K201" s="697">
        <v>1.6311027163332232</v>
      </c>
      <c r="L201" s="708">
        <v>12.869696471526598</v>
      </c>
      <c r="M201" s="59"/>
    </row>
    <row r="202" spans="1:15" ht="14.25" customHeight="1" x14ac:dyDescent="0.3">
      <c r="A202" s="665" t="s">
        <v>241</v>
      </c>
      <c r="B202" s="6" t="s">
        <v>93</v>
      </c>
      <c r="D202" s="50">
        <v>46000</v>
      </c>
      <c r="E202" s="36" t="s">
        <v>23</v>
      </c>
      <c r="F202" s="8" t="s">
        <v>85</v>
      </c>
      <c r="G202" s="5" t="s">
        <v>242</v>
      </c>
      <c r="H202" s="706"/>
      <c r="I202" s="9"/>
      <c r="J202" s="9"/>
      <c r="K202" s="49"/>
      <c r="L202" s="669"/>
      <c r="M202" s="5" t="e">
        <v>#DIV/0!</v>
      </c>
      <c r="N202" s="9"/>
      <c r="O202" s="37" t="s">
        <v>160</v>
      </c>
    </row>
    <row r="203" spans="1:15" ht="14.25" customHeight="1" x14ac:dyDescent="0.3">
      <c r="A203" s="12" t="s">
        <v>243</v>
      </c>
      <c r="B203" s="6" t="s">
        <v>93</v>
      </c>
      <c r="D203" s="32">
        <v>45986</v>
      </c>
      <c r="E203" s="36" t="s">
        <v>23</v>
      </c>
      <c r="F203" s="8" t="s">
        <v>85</v>
      </c>
      <c r="G203" s="12" t="s">
        <v>180</v>
      </c>
      <c r="H203" s="706"/>
      <c r="I203" s="692"/>
      <c r="J203" s="692"/>
      <c r="K203" s="706"/>
      <c r="L203" s="669"/>
      <c r="M203" s="670" t="e">
        <v>#DIV/0!</v>
      </c>
      <c r="N203" s="692"/>
    </row>
    <row r="204" spans="1:15" ht="14.25" customHeight="1" x14ac:dyDescent="0.3">
      <c r="A204" s="674" t="s">
        <v>244</v>
      </c>
      <c r="B204" s="38" t="s">
        <v>22</v>
      </c>
      <c r="D204" s="17">
        <v>2024</v>
      </c>
      <c r="E204" s="39" t="s">
        <v>88</v>
      </c>
      <c r="F204" s="8" t="s">
        <v>85</v>
      </c>
      <c r="G204" s="40" t="s">
        <v>89</v>
      </c>
      <c r="H204" s="669"/>
      <c r="I204" s="663">
        <v>50</v>
      </c>
      <c r="J204" s="697">
        <v>0.56645625543442391</v>
      </c>
      <c r="K204" s="697">
        <v>2.0924470740549279</v>
      </c>
      <c r="L204" s="51">
        <v>5.3703957227398504</v>
      </c>
      <c r="M204" s="674"/>
      <c r="N204" s="669"/>
    </row>
    <row r="205" spans="1:15" ht="14.25" customHeight="1" x14ac:dyDescent="0.3">
      <c r="A205" s="683" t="s">
        <v>245</v>
      </c>
      <c r="B205" s="38" t="s">
        <v>22</v>
      </c>
      <c r="D205" s="17">
        <v>2024</v>
      </c>
      <c r="E205" s="39" t="s">
        <v>88</v>
      </c>
      <c r="F205" s="8" t="s">
        <v>85</v>
      </c>
      <c r="G205" s="40" t="s">
        <v>89</v>
      </c>
      <c r="H205" s="669"/>
      <c r="I205" s="17">
        <v>50</v>
      </c>
      <c r="J205" s="52">
        <v>0.85213901052787866</v>
      </c>
      <c r="K205" s="52">
        <v>1.6620465565746938</v>
      </c>
      <c r="L205" s="708">
        <v>45.796646921016091</v>
      </c>
      <c r="M205" s="3"/>
      <c r="N205" s="6"/>
    </row>
    <row r="206" spans="1:15" ht="14.25" customHeight="1" x14ac:dyDescent="0.3">
      <c r="A206" s="684" t="s">
        <v>246</v>
      </c>
      <c r="B206" s="38" t="s">
        <v>22</v>
      </c>
      <c r="D206" s="17">
        <v>2024</v>
      </c>
      <c r="E206" s="39" t="s">
        <v>88</v>
      </c>
      <c r="F206" s="8" t="s">
        <v>85</v>
      </c>
      <c r="G206" s="40" t="s">
        <v>89</v>
      </c>
      <c r="H206" s="669"/>
      <c r="I206" s="663">
        <v>50</v>
      </c>
      <c r="J206" s="693">
        <v>0.41411015375440091</v>
      </c>
      <c r="K206" s="693">
        <v>1.7015732401451342</v>
      </c>
      <c r="L206" s="699">
        <v>51.272386351789592</v>
      </c>
      <c r="M206" s="59"/>
    </row>
    <row r="207" spans="1:15" ht="14.25" customHeight="1" x14ac:dyDescent="0.3">
      <c r="A207" s="670" t="s">
        <v>247</v>
      </c>
      <c r="B207" s="6" t="s">
        <v>93</v>
      </c>
      <c r="D207" s="32">
        <v>46000</v>
      </c>
      <c r="E207" s="39" t="s">
        <v>88</v>
      </c>
      <c r="F207" s="8" t="s">
        <v>85</v>
      </c>
      <c r="G207" s="12" t="s">
        <v>101</v>
      </c>
      <c r="H207" s="706"/>
      <c r="I207" s="692"/>
      <c r="J207" s="692"/>
      <c r="K207" s="706"/>
      <c r="L207" s="669"/>
      <c r="M207" s="670" t="e">
        <v>#DIV/0!</v>
      </c>
      <c r="N207" s="692"/>
      <c r="O207" s="33" t="s">
        <v>160</v>
      </c>
    </row>
    <row r="208" spans="1:15" ht="14.25" customHeight="1" x14ac:dyDescent="0.3">
      <c r="A208" s="665" t="s">
        <v>248</v>
      </c>
      <c r="B208" s="6" t="s">
        <v>14</v>
      </c>
      <c r="D208" s="50">
        <v>45979</v>
      </c>
      <c r="E208" s="36" t="s">
        <v>23</v>
      </c>
      <c r="F208" s="8" t="s">
        <v>85</v>
      </c>
      <c r="G208" s="5" t="s">
        <v>94</v>
      </c>
      <c r="H208" s="6" t="s">
        <v>18</v>
      </c>
      <c r="I208" s="665">
        <v>50</v>
      </c>
      <c r="J208" s="694">
        <v>1.41</v>
      </c>
      <c r="K208" s="701">
        <v>1.77</v>
      </c>
      <c r="L208" s="665">
        <v>56.6</v>
      </c>
      <c r="M208" s="37">
        <v>1.1299999999999999</v>
      </c>
      <c r="N208" s="11"/>
    </row>
    <row r="209" spans="1:15" ht="14.25" customHeight="1" x14ac:dyDescent="0.3">
      <c r="A209" s="670" t="s">
        <v>249</v>
      </c>
      <c r="B209" s="6" t="s">
        <v>14</v>
      </c>
      <c r="D209" s="32">
        <v>45958</v>
      </c>
      <c r="E209" s="36" t="s">
        <v>23</v>
      </c>
      <c r="F209" s="8" t="s">
        <v>85</v>
      </c>
      <c r="G209" s="12" t="s">
        <v>94</v>
      </c>
      <c r="H209" s="6" t="s">
        <v>18</v>
      </c>
      <c r="I209" s="12">
        <v>50</v>
      </c>
      <c r="J209" s="10">
        <v>0.67</v>
      </c>
      <c r="K209" s="23">
        <v>1.72</v>
      </c>
      <c r="L209" s="670">
        <v>4.8</v>
      </c>
      <c r="M209" s="12">
        <v>0.1</v>
      </c>
      <c r="N209" s="13"/>
    </row>
    <row r="210" spans="1:15" ht="14.25" customHeight="1" x14ac:dyDescent="0.3">
      <c r="A210" s="33" t="s">
        <v>250</v>
      </c>
      <c r="B210" s="6" t="s">
        <v>14</v>
      </c>
      <c r="D210" s="32">
        <v>45979</v>
      </c>
      <c r="E210" s="36" t="s">
        <v>23</v>
      </c>
      <c r="F210" s="8" t="s">
        <v>85</v>
      </c>
      <c r="G210" s="12" t="s">
        <v>251</v>
      </c>
      <c r="H210" s="6" t="s">
        <v>18</v>
      </c>
      <c r="I210" s="33">
        <v>50</v>
      </c>
      <c r="J210" s="57">
        <v>0.74</v>
      </c>
      <c r="K210" s="56">
        <v>1.94</v>
      </c>
      <c r="L210" s="33">
        <v>159.4</v>
      </c>
      <c r="M210" s="33">
        <v>3.19</v>
      </c>
      <c r="N210" s="35"/>
    </row>
    <row r="211" spans="1:15" ht="14.25" customHeight="1" x14ac:dyDescent="0.3">
      <c r="A211" s="704" t="s">
        <v>252</v>
      </c>
      <c r="B211" s="38" t="s">
        <v>22</v>
      </c>
      <c r="D211" s="17">
        <v>2024</v>
      </c>
      <c r="E211" s="39" t="s">
        <v>88</v>
      </c>
      <c r="F211" s="8" t="s">
        <v>85</v>
      </c>
      <c r="G211" s="40" t="s">
        <v>89</v>
      </c>
      <c r="H211" s="669"/>
      <c r="I211" s="663">
        <v>50</v>
      </c>
      <c r="J211" s="669"/>
      <c r="K211" s="669"/>
      <c r="L211" s="663" t="s">
        <v>230</v>
      </c>
      <c r="M211" s="674"/>
      <c r="N211" s="669"/>
    </row>
    <row r="212" spans="1:15" ht="14.25" customHeight="1" x14ac:dyDescent="0.3">
      <c r="A212" s="685" t="s">
        <v>253</v>
      </c>
      <c r="B212" s="38" t="s">
        <v>22</v>
      </c>
      <c r="D212" s="17">
        <v>2024</v>
      </c>
      <c r="E212" s="39" t="s">
        <v>88</v>
      </c>
      <c r="F212" s="8" t="s">
        <v>85</v>
      </c>
      <c r="G212" s="40" t="s">
        <v>89</v>
      </c>
      <c r="H212" s="669"/>
      <c r="I212" s="663">
        <v>50</v>
      </c>
      <c r="J212" s="697">
        <v>0.7145735380595426</v>
      </c>
      <c r="K212" s="697">
        <v>1.6353740219319479</v>
      </c>
      <c r="L212" s="708">
        <v>66.415979330255809</v>
      </c>
      <c r="M212" s="59"/>
    </row>
    <row r="213" spans="1:15" ht="14.25" customHeight="1" x14ac:dyDescent="0.3">
      <c r="A213" s="685" t="s">
        <v>254</v>
      </c>
      <c r="B213" s="38" t="s">
        <v>22</v>
      </c>
      <c r="D213" s="17">
        <v>2024</v>
      </c>
      <c r="E213" s="39" t="s">
        <v>88</v>
      </c>
      <c r="F213" s="8" t="s">
        <v>85</v>
      </c>
      <c r="G213" s="40" t="s">
        <v>89</v>
      </c>
      <c r="H213" s="669"/>
      <c r="I213" s="663">
        <v>50</v>
      </c>
      <c r="J213" s="697">
        <v>0.66950700764563187</v>
      </c>
      <c r="K213" s="697">
        <v>1.503562757196429</v>
      </c>
      <c r="L213" s="708">
        <v>17.423186828096572</v>
      </c>
      <c r="M213" s="59"/>
    </row>
    <row r="214" spans="1:15" ht="14.25" customHeight="1" x14ac:dyDescent="0.3">
      <c r="A214" s="679" t="s">
        <v>255</v>
      </c>
      <c r="B214" s="38" t="s">
        <v>22</v>
      </c>
      <c r="D214" s="17">
        <v>2024</v>
      </c>
      <c r="E214" s="39" t="s">
        <v>88</v>
      </c>
      <c r="F214" s="8" t="s">
        <v>85</v>
      </c>
      <c r="G214" s="40" t="s">
        <v>89</v>
      </c>
      <c r="H214" s="669"/>
      <c r="I214" s="663">
        <v>50</v>
      </c>
      <c r="J214" s="695">
        <v>0.337332733296559</v>
      </c>
      <c r="K214" s="695">
        <v>1.6393056206788332</v>
      </c>
      <c r="L214" s="709">
        <v>9.9434189013744554</v>
      </c>
      <c r="M214" s="59"/>
    </row>
    <row r="215" spans="1:15" ht="14.25" customHeight="1" x14ac:dyDescent="0.3">
      <c r="A215" s="665" t="s">
        <v>256</v>
      </c>
      <c r="B215" s="6" t="s">
        <v>14</v>
      </c>
      <c r="D215" s="50">
        <v>45960</v>
      </c>
      <c r="E215" s="39" t="s">
        <v>88</v>
      </c>
      <c r="F215" s="8" t="s">
        <v>85</v>
      </c>
      <c r="G215" s="5" t="s">
        <v>101</v>
      </c>
      <c r="H215" s="6" t="s">
        <v>18</v>
      </c>
      <c r="I215" s="665">
        <v>150</v>
      </c>
      <c r="J215" s="694">
        <v>0.72</v>
      </c>
      <c r="K215" s="701">
        <v>1.7</v>
      </c>
      <c r="L215" s="665">
        <v>297.2</v>
      </c>
      <c r="M215" s="37">
        <v>1.98</v>
      </c>
      <c r="N215" s="11"/>
    </row>
    <row r="216" spans="1:15" ht="14.25" customHeight="1" x14ac:dyDescent="0.3">
      <c r="A216" s="79" t="s">
        <v>257</v>
      </c>
      <c r="B216" s="38" t="s">
        <v>22</v>
      </c>
      <c r="D216" s="17">
        <v>2024</v>
      </c>
      <c r="E216" s="39" t="s">
        <v>88</v>
      </c>
      <c r="F216" s="8" t="s">
        <v>85</v>
      </c>
      <c r="G216" s="40" t="s">
        <v>89</v>
      </c>
      <c r="H216" s="669"/>
      <c r="I216" s="17">
        <v>50</v>
      </c>
      <c r="J216" s="52">
        <v>1.8622406248430232</v>
      </c>
      <c r="K216" s="52">
        <v>1.8686381016184004</v>
      </c>
      <c r="L216" s="708">
        <v>46.510662870736056</v>
      </c>
      <c r="M216" s="3"/>
      <c r="N216" s="6"/>
    </row>
    <row r="217" spans="1:15" ht="14.25" customHeight="1" x14ac:dyDescent="0.3">
      <c r="A217" s="5" t="s">
        <v>257</v>
      </c>
      <c r="B217" s="6" t="s">
        <v>93</v>
      </c>
      <c r="D217" s="50">
        <v>46000</v>
      </c>
      <c r="E217" s="39" t="s">
        <v>88</v>
      </c>
      <c r="F217" s="8" t="s">
        <v>85</v>
      </c>
      <c r="G217" s="5" t="s">
        <v>101</v>
      </c>
      <c r="H217" s="706"/>
      <c r="I217" s="9"/>
      <c r="J217" s="9"/>
      <c r="K217" s="49"/>
      <c r="L217" s="669"/>
      <c r="M217" s="5" t="e">
        <v>#DIV/0!</v>
      </c>
      <c r="N217" s="9"/>
      <c r="O217" s="37" t="s">
        <v>160</v>
      </c>
    </row>
    <row r="218" spans="1:15" ht="14.25" customHeight="1" x14ac:dyDescent="0.3">
      <c r="A218" s="83" t="s">
        <v>258</v>
      </c>
      <c r="B218" s="38" t="s">
        <v>22</v>
      </c>
      <c r="D218" s="17">
        <v>2024</v>
      </c>
      <c r="E218" s="39" t="s">
        <v>88</v>
      </c>
      <c r="F218" s="8" t="s">
        <v>85</v>
      </c>
      <c r="G218" s="40" t="s">
        <v>89</v>
      </c>
      <c r="I218" s="44">
        <v>50</v>
      </c>
      <c r="J218" s="73">
        <v>1.7502455062312459</v>
      </c>
      <c r="K218" s="73">
        <v>1.9351531435398015</v>
      </c>
      <c r="L218" s="51">
        <v>916.77107484486737</v>
      </c>
      <c r="M218" s="59"/>
    </row>
    <row r="219" spans="1:15" ht="14.25" customHeight="1" x14ac:dyDescent="0.3">
      <c r="A219" s="84" t="s">
        <v>259</v>
      </c>
      <c r="B219" s="38" t="s">
        <v>22</v>
      </c>
      <c r="D219" s="17">
        <v>2024</v>
      </c>
      <c r="E219" s="39" t="s">
        <v>88</v>
      </c>
      <c r="F219" s="8" t="s">
        <v>85</v>
      </c>
      <c r="G219" s="40" t="s">
        <v>89</v>
      </c>
      <c r="H219" s="669"/>
      <c r="I219" s="663">
        <v>50</v>
      </c>
      <c r="J219" s="697">
        <v>1.2558217113670174</v>
      </c>
      <c r="K219" s="697">
        <v>1.8770116867750042</v>
      </c>
      <c r="L219" s="708">
        <v>38.346622386357005</v>
      </c>
      <c r="M219" s="59"/>
    </row>
    <row r="220" spans="1:15" ht="14.25" customHeight="1" x14ac:dyDescent="0.3">
      <c r="A220" s="84" t="s">
        <v>260</v>
      </c>
      <c r="B220" s="38" t="s">
        <v>22</v>
      </c>
      <c r="D220" s="17">
        <v>2024</v>
      </c>
      <c r="E220" s="39" t="s">
        <v>88</v>
      </c>
      <c r="F220" s="8" t="s">
        <v>85</v>
      </c>
      <c r="G220" s="40" t="s">
        <v>89</v>
      </c>
      <c r="H220" s="669"/>
      <c r="I220" s="663">
        <v>50</v>
      </c>
      <c r="J220" s="697">
        <v>0.21114202169070451</v>
      </c>
      <c r="K220" s="697">
        <v>1.2095744791634289</v>
      </c>
      <c r="L220" s="708">
        <v>7.7124806755965292</v>
      </c>
      <c r="M220" s="59"/>
    </row>
    <row r="221" spans="1:15" ht="14.25" customHeight="1" x14ac:dyDescent="0.3">
      <c r="A221" s="37" t="s">
        <v>261</v>
      </c>
      <c r="B221" s="6" t="s">
        <v>14</v>
      </c>
      <c r="D221" s="50">
        <v>45975</v>
      </c>
      <c r="E221" s="39" t="s">
        <v>88</v>
      </c>
      <c r="F221" s="8" t="s">
        <v>85</v>
      </c>
      <c r="G221" s="5" t="s">
        <v>101</v>
      </c>
      <c r="H221" s="6" t="s">
        <v>18</v>
      </c>
      <c r="I221" s="665">
        <v>300</v>
      </c>
      <c r="J221" s="694">
        <v>0.47</v>
      </c>
      <c r="K221" s="694">
        <v>1.42</v>
      </c>
      <c r="L221" s="665">
        <v>218.3</v>
      </c>
      <c r="M221" s="37">
        <v>0.73</v>
      </c>
      <c r="N221" s="11"/>
    </row>
    <row r="222" spans="1:15" ht="14.25" customHeight="1" x14ac:dyDescent="0.3">
      <c r="A222" s="84" t="s">
        <v>262</v>
      </c>
      <c r="B222" s="38" t="s">
        <v>22</v>
      </c>
      <c r="D222" s="17">
        <v>2024</v>
      </c>
      <c r="E222" s="39" t="s">
        <v>88</v>
      </c>
      <c r="F222" s="8" t="s">
        <v>85</v>
      </c>
      <c r="G222" s="40" t="s">
        <v>89</v>
      </c>
      <c r="I222" s="663">
        <v>50</v>
      </c>
      <c r="J222" s="697">
        <v>2.019279152483429</v>
      </c>
      <c r="K222" s="697">
        <v>1.8970651410382751</v>
      </c>
      <c r="L222" s="708">
        <v>195.74533018031761</v>
      </c>
      <c r="M222" s="59"/>
    </row>
    <row r="223" spans="1:15" ht="14.25" customHeight="1" x14ac:dyDescent="0.3">
      <c r="A223" s="12" t="s">
        <v>262</v>
      </c>
      <c r="B223" s="6" t="s">
        <v>93</v>
      </c>
      <c r="D223" s="32">
        <v>46000</v>
      </c>
      <c r="E223" s="39" t="s">
        <v>88</v>
      </c>
      <c r="F223" s="8" t="s">
        <v>85</v>
      </c>
      <c r="G223" s="12" t="s">
        <v>101</v>
      </c>
      <c r="H223" s="706"/>
      <c r="I223" s="692"/>
      <c r="J223" s="692"/>
      <c r="K223" s="706"/>
      <c r="L223" s="669"/>
      <c r="M223" s="670" t="e">
        <v>#DIV/0!</v>
      </c>
      <c r="N223" s="692"/>
      <c r="O223" s="33" t="s">
        <v>160</v>
      </c>
    </row>
    <row r="224" spans="1:15" ht="14.25" customHeight="1" x14ac:dyDescent="0.3">
      <c r="A224" s="3" t="s">
        <v>263</v>
      </c>
      <c r="B224" s="38" t="s">
        <v>22</v>
      </c>
      <c r="D224" s="17">
        <v>2024</v>
      </c>
      <c r="E224" s="39" t="s">
        <v>88</v>
      </c>
      <c r="F224" s="8" t="s">
        <v>85</v>
      </c>
      <c r="G224" s="40" t="s">
        <v>89</v>
      </c>
      <c r="H224" s="669"/>
      <c r="I224" s="663">
        <v>50</v>
      </c>
      <c r="J224" s="697">
        <v>0.23334686648176248</v>
      </c>
      <c r="K224" s="697">
        <v>1.2320775331682592</v>
      </c>
      <c r="L224" s="708">
        <v>9.7648425797386444</v>
      </c>
      <c r="M224" s="59"/>
    </row>
    <row r="225" spans="1:15" ht="14.25" customHeight="1" x14ac:dyDescent="0.3">
      <c r="A225" s="84" t="s">
        <v>264</v>
      </c>
      <c r="B225" s="38" t="s">
        <v>22</v>
      </c>
      <c r="D225" s="17">
        <v>2024</v>
      </c>
      <c r="E225" s="39" t="s">
        <v>88</v>
      </c>
      <c r="F225" s="8" t="s">
        <v>85</v>
      </c>
      <c r="G225" s="40" t="s">
        <v>89</v>
      </c>
      <c r="H225" s="669"/>
      <c r="I225" s="663">
        <v>50</v>
      </c>
      <c r="J225" s="697">
        <v>0.85741779660912298</v>
      </c>
      <c r="K225" s="697">
        <v>1.9028347175371301</v>
      </c>
      <c r="L225" s="708">
        <v>460.84844660859085</v>
      </c>
      <c r="M225" s="59"/>
    </row>
    <row r="226" spans="1:15" ht="14.25" customHeight="1" x14ac:dyDescent="0.3">
      <c r="A226" s="84" t="s">
        <v>265</v>
      </c>
      <c r="B226" s="38" t="s">
        <v>22</v>
      </c>
      <c r="D226" s="17">
        <v>2024</v>
      </c>
      <c r="E226" s="39" t="s">
        <v>88</v>
      </c>
      <c r="F226" s="8" t="s">
        <v>85</v>
      </c>
      <c r="G226" s="40" t="s">
        <v>89</v>
      </c>
      <c r="H226" s="669"/>
      <c r="I226" s="663">
        <v>50</v>
      </c>
      <c r="J226" s="697">
        <v>0.19814777453926471</v>
      </c>
      <c r="K226" s="697">
        <v>1.1974130474525948</v>
      </c>
      <c r="L226" s="708">
        <v>9.3019816774174018</v>
      </c>
      <c r="M226" s="59"/>
    </row>
    <row r="227" spans="1:15" ht="14.25" customHeight="1" x14ac:dyDescent="0.3">
      <c r="A227" s="85" t="s">
        <v>266</v>
      </c>
      <c r="B227" s="6" t="s">
        <v>14</v>
      </c>
      <c r="D227" s="32">
        <v>45975</v>
      </c>
      <c r="E227" s="39" t="s">
        <v>88</v>
      </c>
      <c r="F227" s="8" t="s">
        <v>85</v>
      </c>
      <c r="G227" s="12" t="s">
        <v>101</v>
      </c>
      <c r="H227" s="6" t="s">
        <v>18</v>
      </c>
      <c r="I227" s="670">
        <v>300</v>
      </c>
      <c r="J227" s="694">
        <v>0.45</v>
      </c>
      <c r="K227" s="694">
        <v>1.21</v>
      </c>
      <c r="L227" s="670">
        <v>135.5</v>
      </c>
      <c r="M227" s="33">
        <v>0.45</v>
      </c>
      <c r="N227" s="35"/>
    </row>
    <row r="228" spans="1:15" ht="14.25" customHeight="1" x14ac:dyDescent="0.3">
      <c r="A228" s="43" t="s">
        <v>267</v>
      </c>
      <c r="B228" s="38" t="s">
        <v>22</v>
      </c>
      <c r="D228" s="17">
        <v>2024</v>
      </c>
      <c r="E228" s="39" t="s">
        <v>88</v>
      </c>
      <c r="F228" s="8" t="s">
        <v>85</v>
      </c>
      <c r="G228" s="40" t="s">
        <v>89</v>
      </c>
      <c r="H228" s="669"/>
      <c r="I228" s="663">
        <v>50</v>
      </c>
      <c r="J228" s="693">
        <v>1.4703846698568193</v>
      </c>
      <c r="K228" s="693">
        <v>1.9412754226368378</v>
      </c>
      <c r="L228" s="48">
        <v>178.8727338139947</v>
      </c>
      <c r="M228" s="674"/>
      <c r="N228" s="669"/>
    </row>
    <row r="229" spans="1:15" ht="14.25" customHeight="1" x14ac:dyDescent="0.3">
      <c r="A229" s="84" t="s">
        <v>268</v>
      </c>
      <c r="B229" s="38" t="s">
        <v>22</v>
      </c>
      <c r="D229" s="17">
        <v>2024</v>
      </c>
      <c r="E229" s="39" t="s">
        <v>88</v>
      </c>
      <c r="F229" s="8" t="s">
        <v>85</v>
      </c>
      <c r="G229" s="40" t="s">
        <v>89</v>
      </c>
      <c r="H229" s="669"/>
      <c r="I229" s="663">
        <v>50</v>
      </c>
      <c r="J229" s="697">
        <v>0.31647612862110408</v>
      </c>
      <c r="K229" s="697">
        <v>1.6369366003030426</v>
      </c>
      <c r="L229" s="708">
        <v>5.0991624548697292</v>
      </c>
      <c r="M229" s="59"/>
    </row>
    <row r="230" spans="1:15" ht="14.25" customHeight="1" x14ac:dyDescent="0.3">
      <c r="A230" s="680" t="s">
        <v>269</v>
      </c>
      <c r="B230" s="38" t="s">
        <v>22</v>
      </c>
      <c r="D230" s="17">
        <v>2024</v>
      </c>
      <c r="E230" s="39" t="s">
        <v>88</v>
      </c>
      <c r="F230" s="8" t="s">
        <v>85</v>
      </c>
      <c r="G230" s="40" t="s">
        <v>89</v>
      </c>
      <c r="H230" s="669"/>
      <c r="I230" s="663">
        <v>50</v>
      </c>
      <c r="J230" s="697">
        <v>0.45013771128925933</v>
      </c>
      <c r="K230" s="697">
        <v>1.7094376039801531</v>
      </c>
      <c r="L230" s="708">
        <v>14.254804505706092</v>
      </c>
      <c r="M230" s="59"/>
    </row>
    <row r="231" spans="1:15" ht="14.25" customHeight="1" x14ac:dyDescent="0.3">
      <c r="A231" s="665" t="s">
        <v>270</v>
      </c>
      <c r="B231" s="6" t="s">
        <v>14</v>
      </c>
      <c r="D231" s="7">
        <v>45968</v>
      </c>
      <c r="E231" s="36" t="s">
        <v>23</v>
      </c>
      <c r="F231" s="8" t="s">
        <v>85</v>
      </c>
      <c r="G231" s="5" t="s">
        <v>251</v>
      </c>
      <c r="H231" s="6" t="s">
        <v>18</v>
      </c>
      <c r="I231" s="665">
        <v>50</v>
      </c>
      <c r="J231" s="694">
        <v>1.01</v>
      </c>
      <c r="K231" s="698">
        <v>1.9</v>
      </c>
      <c r="L231" s="665">
        <v>26.7</v>
      </c>
      <c r="M231" s="37">
        <v>0.53</v>
      </c>
      <c r="N231" s="11"/>
    </row>
    <row r="232" spans="1:15" ht="14.25" customHeight="1" x14ac:dyDescent="0.3">
      <c r="A232" s="12" t="s">
        <v>271</v>
      </c>
      <c r="B232" s="6" t="s">
        <v>14</v>
      </c>
      <c r="D232" s="7">
        <v>45968</v>
      </c>
      <c r="E232" s="36" t="s">
        <v>23</v>
      </c>
      <c r="F232" s="8" t="s">
        <v>85</v>
      </c>
      <c r="G232" s="12" t="s">
        <v>94</v>
      </c>
      <c r="H232" s="6" t="s">
        <v>18</v>
      </c>
      <c r="I232" s="670">
        <v>50</v>
      </c>
      <c r="J232" s="694">
        <v>0.73</v>
      </c>
      <c r="K232" s="701">
        <v>1.67</v>
      </c>
      <c r="L232" s="670">
        <v>7.9</v>
      </c>
      <c r="M232" s="33">
        <v>0.16</v>
      </c>
      <c r="N232" s="35"/>
    </row>
    <row r="233" spans="1:15" ht="14.25" customHeight="1" x14ac:dyDescent="0.3">
      <c r="A233" s="38" t="s">
        <v>272</v>
      </c>
      <c r="B233" s="38" t="s">
        <v>22</v>
      </c>
      <c r="D233" s="17">
        <v>2024</v>
      </c>
      <c r="E233" s="39" t="s">
        <v>88</v>
      </c>
      <c r="F233" s="8" t="s">
        <v>85</v>
      </c>
      <c r="G233" s="40" t="s">
        <v>89</v>
      </c>
      <c r="I233" s="663">
        <v>50</v>
      </c>
      <c r="J233" s="695">
        <v>1.5074959383105315</v>
      </c>
      <c r="K233" s="695">
        <v>3.5792328162806029</v>
      </c>
      <c r="L233" s="41">
        <v>5.8418399546640254</v>
      </c>
      <c r="M233" s="674"/>
      <c r="N233" s="669"/>
    </row>
    <row r="234" spans="1:15" ht="14.25" customHeight="1" x14ac:dyDescent="0.3">
      <c r="A234" s="5" t="s">
        <v>273</v>
      </c>
      <c r="B234" s="6" t="s">
        <v>93</v>
      </c>
      <c r="D234" s="50">
        <v>45986</v>
      </c>
      <c r="E234" s="36" t="s">
        <v>23</v>
      </c>
      <c r="F234" s="8" t="s">
        <v>85</v>
      </c>
      <c r="G234" s="5" t="s">
        <v>94</v>
      </c>
      <c r="H234" s="706"/>
      <c r="I234" s="678"/>
      <c r="J234" s="678"/>
      <c r="K234" s="706"/>
      <c r="L234" s="669"/>
      <c r="M234" s="665" t="e">
        <v>#DIV/0!</v>
      </c>
      <c r="N234" s="678"/>
    </row>
    <row r="235" spans="1:15" ht="14.25" customHeight="1" x14ac:dyDescent="0.3">
      <c r="A235" s="5" t="s">
        <v>274</v>
      </c>
      <c r="B235" s="6" t="s">
        <v>14</v>
      </c>
      <c r="D235" s="50">
        <v>45979</v>
      </c>
      <c r="E235" s="36" t="s">
        <v>23</v>
      </c>
      <c r="F235" s="8" t="s">
        <v>85</v>
      </c>
      <c r="G235" s="5" t="s">
        <v>94</v>
      </c>
      <c r="H235" s="6" t="s">
        <v>18</v>
      </c>
      <c r="I235" s="665">
        <v>50</v>
      </c>
      <c r="J235" s="694">
        <v>1.23</v>
      </c>
      <c r="K235" s="701">
        <v>1.61</v>
      </c>
      <c r="L235" s="665">
        <v>205.6</v>
      </c>
      <c r="M235" s="37">
        <v>4.1100000000000003</v>
      </c>
      <c r="N235" s="11"/>
    </row>
    <row r="236" spans="1:15" ht="14.25" customHeight="1" x14ac:dyDescent="0.3">
      <c r="A236" s="665" t="s">
        <v>275</v>
      </c>
      <c r="B236" s="6" t="s">
        <v>93</v>
      </c>
      <c r="D236" s="50">
        <v>46000</v>
      </c>
      <c r="E236" s="36" t="s">
        <v>23</v>
      </c>
      <c r="F236" s="8" t="s">
        <v>85</v>
      </c>
      <c r="G236" s="5" t="s">
        <v>276</v>
      </c>
      <c r="H236" s="706"/>
      <c r="I236" s="678"/>
      <c r="J236" s="678"/>
      <c r="K236" s="706"/>
      <c r="L236" s="669"/>
      <c r="M236" s="665" t="e">
        <v>#DIV/0!</v>
      </c>
      <c r="N236" s="678"/>
      <c r="O236" s="37" t="s">
        <v>160</v>
      </c>
    </row>
    <row r="237" spans="1:15" ht="14.25" customHeight="1" x14ac:dyDescent="0.3">
      <c r="A237" s="12" t="s">
        <v>277</v>
      </c>
      <c r="B237" s="6" t="s">
        <v>14</v>
      </c>
      <c r="D237" s="32">
        <v>45960</v>
      </c>
      <c r="E237" s="39" t="s">
        <v>88</v>
      </c>
      <c r="F237" s="8" t="s">
        <v>85</v>
      </c>
      <c r="G237" s="12" t="s">
        <v>101</v>
      </c>
      <c r="H237" s="6" t="s">
        <v>18</v>
      </c>
      <c r="I237" s="670">
        <v>150</v>
      </c>
      <c r="J237" s="694">
        <v>0.51</v>
      </c>
      <c r="K237" s="701">
        <v>1.61</v>
      </c>
      <c r="L237" s="670">
        <v>62.7</v>
      </c>
      <c r="M237" s="33">
        <v>0.42</v>
      </c>
      <c r="N237" s="35"/>
    </row>
    <row r="238" spans="1:15" ht="14.25" customHeight="1" x14ac:dyDescent="0.3">
      <c r="A238" s="665" t="s">
        <v>278</v>
      </c>
      <c r="B238" s="6" t="s">
        <v>14</v>
      </c>
      <c r="D238" s="50">
        <v>45960</v>
      </c>
      <c r="E238" s="39" t="s">
        <v>88</v>
      </c>
      <c r="F238" s="8" t="s">
        <v>85</v>
      </c>
      <c r="G238" s="5" t="s">
        <v>101</v>
      </c>
      <c r="H238" s="6" t="s">
        <v>18</v>
      </c>
      <c r="I238" s="665">
        <v>300</v>
      </c>
      <c r="J238" s="694">
        <v>0.23</v>
      </c>
      <c r="K238" s="694">
        <v>1.39</v>
      </c>
      <c r="L238" s="665">
        <v>20.3</v>
      </c>
      <c r="M238" s="37">
        <v>7.0000000000000007E-2</v>
      </c>
      <c r="N238" s="11"/>
    </row>
    <row r="239" spans="1:15" ht="14.25" customHeight="1" x14ac:dyDescent="0.3">
      <c r="A239" s="86" t="s">
        <v>279</v>
      </c>
      <c r="B239" s="38" t="s">
        <v>22</v>
      </c>
      <c r="D239" s="17">
        <v>2024</v>
      </c>
      <c r="E239" s="39" t="s">
        <v>88</v>
      </c>
      <c r="F239" s="8" t="s">
        <v>85</v>
      </c>
      <c r="G239" s="40" t="s">
        <v>89</v>
      </c>
      <c r="H239" s="669"/>
      <c r="I239" s="663">
        <v>50</v>
      </c>
      <c r="J239" s="697">
        <v>1.6832866328617333</v>
      </c>
      <c r="K239" s="697">
        <v>1.8791340022421492</v>
      </c>
      <c r="L239" s="708">
        <v>905.45455542401351</v>
      </c>
      <c r="M239" s="59"/>
    </row>
    <row r="240" spans="1:15" ht="14.25" customHeight="1" x14ac:dyDescent="0.3">
      <c r="A240" s="33" t="s">
        <v>280</v>
      </c>
      <c r="B240" s="6" t="s">
        <v>14</v>
      </c>
      <c r="D240" s="7">
        <v>45947</v>
      </c>
      <c r="E240" s="39" t="s">
        <v>88</v>
      </c>
      <c r="F240" s="8" t="s">
        <v>85</v>
      </c>
      <c r="G240" s="12" t="s">
        <v>101</v>
      </c>
      <c r="H240" s="6" t="s">
        <v>18</v>
      </c>
      <c r="I240" s="33">
        <v>50</v>
      </c>
      <c r="J240" s="57">
        <v>1.68</v>
      </c>
      <c r="K240" s="56">
        <v>1.94</v>
      </c>
      <c r="L240" s="33">
        <v>713.6</v>
      </c>
      <c r="M240" s="33">
        <v>14.27</v>
      </c>
      <c r="N240" s="35"/>
    </row>
    <row r="241" spans="1:15" ht="14.25" customHeight="1" x14ac:dyDescent="0.3">
      <c r="A241" s="665" t="s">
        <v>281</v>
      </c>
      <c r="B241" s="6" t="s">
        <v>14</v>
      </c>
      <c r="D241" s="7">
        <v>45947</v>
      </c>
      <c r="E241" s="39" t="s">
        <v>88</v>
      </c>
      <c r="F241" s="8" t="s">
        <v>85</v>
      </c>
      <c r="G241" s="5" t="s">
        <v>101</v>
      </c>
      <c r="H241" s="6" t="s">
        <v>18</v>
      </c>
      <c r="I241" s="665">
        <v>50</v>
      </c>
      <c r="J241" s="694">
        <v>0.52</v>
      </c>
      <c r="K241" s="694">
        <v>1.57</v>
      </c>
      <c r="L241" s="665">
        <v>111.2</v>
      </c>
      <c r="M241" s="37">
        <v>2.2200000000000002</v>
      </c>
      <c r="N241" s="11"/>
    </row>
    <row r="242" spans="1:15" ht="14.25" customHeight="1" x14ac:dyDescent="0.3">
      <c r="A242" s="43" t="s">
        <v>282</v>
      </c>
      <c r="B242" s="38" t="s">
        <v>22</v>
      </c>
      <c r="D242" s="17">
        <v>2024</v>
      </c>
      <c r="E242" s="39" t="s">
        <v>88</v>
      </c>
      <c r="F242" s="8" t="s">
        <v>85</v>
      </c>
      <c r="G242" s="40" t="s">
        <v>89</v>
      </c>
      <c r="I242" s="44">
        <v>50</v>
      </c>
      <c r="J242" s="70">
        <v>1.2711738999981077</v>
      </c>
      <c r="K242" s="70">
        <v>2.0060764250004337</v>
      </c>
      <c r="L242" s="48">
        <v>121.01045225520073</v>
      </c>
      <c r="M242" s="59"/>
    </row>
    <row r="243" spans="1:15" ht="14.25" customHeight="1" x14ac:dyDescent="0.3">
      <c r="A243" s="682" t="s">
        <v>283</v>
      </c>
      <c r="B243" s="38" t="s">
        <v>22</v>
      </c>
      <c r="D243" s="17">
        <v>2024</v>
      </c>
      <c r="E243" s="39" t="s">
        <v>88</v>
      </c>
      <c r="F243" s="8" t="s">
        <v>85</v>
      </c>
      <c r="G243" s="40" t="s">
        <v>89</v>
      </c>
      <c r="I243" s="44">
        <v>50</v>
      </c>
      <c r="J243" s="74">
        <v>1.078061973729048</v>
      </c>
      <c r="K243" s="74">
        <v>1.9937948570721786</v>
      </c>
      <c r="L243" s="41">
        <v>584.675523577832</v>
      </c>
      <c r="M243" s="59"/>
    </row>
    <row r="244" spans="1:15" ht="14.25" customHeight="1" x14ac:dyDescent="0.3">
      <c r="A244" s="685" t="s">
        <v>284</v>
      </c>
      <c r="B244" s="38" t="s">
        <v>22</v>
      </c>
      <c r="D244" s="17">
        <v>2024</v>
      </c>
      <c r="E244" s="39" t="s">
        <v>88</v>
      </c>
      <c r="F244" s="8" t="s">
        <v>85</v>
      </c>
      <c r="G244" s="40" t="s">
        <v>89</v>
      </c>
      <c r="H244" s="669"/>
      <c r="I244" s="663">
        <v>50</v>
      </c>
      <c r="J244" s="697">
        <v>2.1701631290129058</v>
      </c>
      <c r="K244" s="697">
        <v>2.0353879757281765</v>
      </c>
      <c r="L244" s="51">
        <v>211.74761773029124</v>
      </c>
      <c r="M244" s="674"/>
      <c r="N244" s="669"/>
    </row>
    <row r="245" spans="1:15" ht="14.25" customHeight="1" x14ac:dyDescent="0.3">
      <c r="A245" s="82" t="s">
        <v>285</v>
      </c>
      <c r="B245" s="38" t="s">
        <v>22</v>
      </c>
      <c r="D245" s="17">
        <v>2024</v>
      </c>
      <c r="E245" s="39" t="s">
        <v>88</v>
      </c>
      <c r="F245" s="8" t="s">
        <v>85</v>
      </c>
      <c r="G245" s="40" t="s">
        <v>89</v>
      </c>
      <c r="H245" s="669"/>
      <c r="I245" s="663">
        <v>50</v>
      </c>
      <c r="J245" s="697">
        <v>0.17250097292144731</v>
      </c>
      <c r="K245" s="697">
        <v>1.4226190197656485</v>
      </c>
      <c r="L245" s="708">
        <v>22.531767288741111</v>
      </c>
      <c r="M245" s="59"/>
    </row>
    <row r="246" spans="1:15" ht="14.25" customHeight="1" x14ac:dyDescent="0.3">
      <c r="A246" s="83" t="s">
        <v>286</v>
      </c>
      <c r="B246" s="38" t="s">
        <v>22</v>
      </c>
      <c r="D246" s="17">
        <v>2024</v>
      </c>
      <c r="E246" s="39" t="s">
        <v>88</v>
      </c>
      <c r="F246" s="8" t="s">
        <v>85</v>
      </c>
      <c r="G246" s="40" t="s">
        <v>89</v>
      </c>
      <c r="H246" s="669"/>
      <c r="I246" s="663">
        <v>50</v>
      </c>
      <c r="J246" s="697">
        <v>0.18704700140613736</v>
      </c>
      <c r="K246" s="697">
        <v>1.4260452458255979</v>
      </c>
      <c r="L246" s="708">
        <v>15.889655322170345</v>
      </c>
      <c r="M246" s="59"/>
    </row>
    <row r="247" spans="1:15" ht="14.25" customHeight="1" x14ac:dyDescent="0.3">
      <c r="A247" s="88" t="s">
        <v>287</v>
      </c>
      <c r="B247" s="38" t="s">
        <v>22</v>
      </c>
      <c r="D247" s="17">
        <v>2024</v>
      </c>
      <c r="E247" s="39" t="s">
        <v>88</v>
      </c>
      <c r="F247" s="8" t="s">
        <v>85</v>
      </c>
      <c r="G247" s="40" t="s">
        <v>89</v>
      </c>
      <c r="H247" s="669"/>
      <c r="I247" s="663">
        <v>50</v>
      </c>
      <c r="J247" s="697">
        <v>4.7537163980636823</v>
      </c>
      <c r="K247" s="697">
        <v>2.0908281411156056</v>
      </c>
      <c r="L247" s="702" t="s">
        <v>288</v>
      </c>
      <c r="M247" s="674"/>
      <c r="N247" s="669"/>
      <c r="O247" s="669"/>
    </row>
    <row r="248" spans="1:15" ht="14.25" customHeight="1" x14ac:dyDescent="0.3">
      <c r="A248" s="12" t="s">
        <v>287</v>
      </c>
      <c r="B248" s="6" t="s">
        <v>14</v>
      </c>
      <c r="D248" s="32">
        <v>45960</v>
      </c>
      <c r="E248" s="39" t="s">
        <v>88</v>
      </c>
      <c r="F248" s="8" t="s">
        <v>85</v>
      </c>
      <c r="G248" s="12" t="s">
        <v>101</v>
      </c>
      <c r="H248" s="6" t="s">
        <v>18</v>
      </c>
      <c r="I248" s="33">
        <v>400</v>
      </c>
      <c r="J248" s="694">
        <v>0</v>
      </c>
      <c r="K248" s="694">
        <v>0</v>
      </c>
      <c r="L248" s="670">
        <v>0</v>
      </c>
      <c r="M248" s="33">
        <v>0</v>
      </c>
      <c r="N248" s="35"/>
    </row>
    <row r="249" spans="1:15" ht="14.25" customHeight="1" x14ac:dyDescent="0.3">
      <c r="A249" s="89" t="s">
        <v>289</v>
      </c>
      <c r="B249" s="38" t="s">
        <v>22</v>
      </c>
      <c r="D249" s="17">
        <v>2024</v>
      </c>
      <c r="E249" s="39" t="s">
        <v>88</v>
      </c>
      <c r="F249" s="8" t="s">
        <v>85</v>
      </c>
      <c r="G249" s="40" t="s">
        <v>89</v>
      </c>
      <c r="H249" s="669"/>
      <c r="I249" s="663">
        <v>50</v>
      </c>
      <c r="J249" s="695">
        <v>1.3643014823606534</v>
      </c>
      <c r="K249" s="695">
        <v>1.9137282834572449</v>
      </c>
      <c r="L249" s="709">
        <v>381.65974501337388</v>
      </c>
      <c r="M249" s="59"/>
    </row>
    <row r="250" spans="1:15" ht="14.25" customHeight="1" x14ac:dyDescent="0.3">
      <c r="A250" s="5" t="s">
        <v>290</v>
      </c>
      <c r="B250" s="6" t="s">
        <v>14</v>
      </c>
      <c r="D250" s="50">
        <v>45960</v>
      </c>
      <c r="E250" s="39" t="s">
        <v>88</v>
      </c>
      <c r="F250" s="8" t="s">
        <v>85</v>
      </c>
      <c r="G250" s="5" t="s">
        <v>101</v>
      </c>
      <c r="H250" s="6" t="s">
        <v>18</v>
      </c>
      <c r="I250" s="665">
        <v>150</v>
      </c>
      <c r="J250" s="694">
        <v>0.39</v>
      </c>
      <c r="K250" s="694">
        <v>1.33</v>
      </c>
      <c r="L250" s="665">
        <v>130.69999999999999</v>
      </c>
      <c r="M250" s="37">
        <v>0.87</v>
      </c>
      <c r="N250" s="11"/>
    </row>
    <row r="251" spans="1:15" ht="14.25" customHeight="1" x14ac:dyDescent="0.3">
      <c r="A251" s="90" t="s">
        <v>291</v>
      </c>
      <c r="B251" s="38" t="s">
        <v>22</v>
      </c>
      <c r="D251" s="17">
        <v>2024</v>
      </c>
      <c r="E251" s="39" t="s">
        <v>88</v>
      </c>
      <c r="F251" s="8" t="s">
        <v>85</v>
      </c>
      <c r="G251" s="40" t="s">
        <v>89</v>
      </c>
      <c r="H251" s="669"/>
      <c r="I251" s="44">
        <v>50</v>
      </c>
      <c r="J251" s="70">
        <v>0.53294306003214398</v>
      </c>
      <c r="K251" s="70">
        <v>1.9836866865241152</v>
      </c>
      <c r="L251" s="45">
        <v>401.97938886521314</v>
      </c>
      <c r="M251" s="59"/>
    </row>
    <row r="252" spans="1:15" ht="14.25" customHeight="1" x14ac:dyDescent="0.3">
      <c r="A252" s="47" t="s">
        <v>292</v>
      </c>
      <c r="B252" s="38" t="s">
        <v>22</v>
      </c>
      <c r="D252" s="17">
        <v>2024</v>
      </c>
      <c r="E252" s="39" t="s">
        <v>88</v>
      </c>
      <c r="F252" s="8" t="s">
        <v>85</v>
      </c>
      <c r="G252" s="40" t="s">
        <v>89</v>
      </c>
      <c r="I252" s="44">
        <v>50</v>
      </c>
      <c r="J252" s="74">
        <v>0.81402084992510526</v>
      </c>
      <c r="K252" s="74">
        <v>2.0243896012069946</v>
      </c>
      <c r="L252" s="41">
        <v>152.26722435506559</v>
      </c>
      <c r="M252" s="59"/>
    </row>
    <row r="253" spans="1:15" ht="14.25" customHeight="1" x14ac:dyDescent="0.3">
      <c r="A253" s="682" t="s">
        <v>293</v>
      </c>
      <c r="B253" s="38" t="s">
        <v>22</v>
      </c>
      <c r="D253" s="17">
        <v>2024</v>
      </c>
      <c r="E253" s="39" t="s">
        <v>88</v>
      </c>
      <c r="F253" s="8" t="s">
        <v>85</v>
      </c>
      <c r="G253" s="40" t="s">
        <v>89</v>
      </c>
      <c r="H253" s="669"/>
      <c r="I253" s="663">
        <v>50</v>
      </c>
      <c r="J253" s="695">
        <v>2.1403651322962691</v>
      </c>
      <c r="K253" s="695">
        <v>1.9160301534516788</v>
      </c>
      <c r="L253" s="709">
        <v>719.70533174069215</v>
      </c>
      <c r="M253" s="59"/>
    </row>
    <row r="254" spans="1:15" ht="14.25" customHeight="1" x14ac:dyDescent="0.3">
      <c r="A254" s="87" t="s">
        <v>294</v>
      </c>
      <c r="B254" s="38" t="s">
        <v>22</v>
      </c>
      <c r="D254" s="17">
        <v>2024</v>
      </c>
      <c r="E254" s="39" t="s">
        <v>88</v>
      </c>
      <c r="F254" s="8" t="s">
        <v>85</v>
      </c>
      <c r="G254" s="40" t="s">
        <v>89</v>
      </c>
      <c r="H254" s="669"/>
      <c r="I254" s="663">
        <v>50</v>
      </c>
      <c r="J254" s="695">
        <v>0.36051430534772133</v>
      </c>
      <c r="K254" s="695">
        <v>1.5438208662392385</v>
      </c>
      <c r="L254" s="709">
        <v>11.854943054574981</v>
      </c>
      <c r="M254" s="59"/>
    </row>
    <row r="255" spans="1:15" ht="14.25" customHeight="1" x14ac:dyDescent="0.3">
      <c r="A255" s="33" t="s">
        <v>294</v>
      </c>
      <c r="B255" s="6" t="s">
        <v>14</v>
      </c>
      <c r="D255" s="32">
        <v>45960</v>
      </c>
      <c r="E255" s="39" t="s">
        <v>88</v>
      </c>
      <c r="F255" s="19" t="s">
        <v>295</v>
      </c>
      <c r="G255" s="12" t="s">
        <v>101</v>
      </c>
      <c r="H255" s="6" t="s">
        <v>18</v>
      </c>
      <c r="I255" s="670">
        <v>150</v>
      </c>
      <c r="J255" s="694">
        <v>0.56000000000000005</v>
      </c>
      <c r="K255" s="694">
        <v>1.46</v>
      </c>
      <c r="L255" s="670">
        <v>28.9</v>
      </c>
      <c r="M255" s="33">
        <v>0.19</v>
      </c>
      <c r="N255" s="35"/>
    </row>
    <row r="256" spans="1:15" ht="14.25" customHeight="1" x14ac:dyDescent="0.3">
      <c r="A256" s="665" t="s">
        <v>296</v>
      </c>
      <c r="B256" s="6" t="s">
        <v>14</v>
      </c>
      <c r="D256" s="50">
        <v>45975</v>
      </c>
      <c r="E256" s="39" t="s">
        <v>88</v>
      </c>
      <c r="F256" s="8" t="s">
        <v>85</v>
      </c>
      <c r="G256" s="5" t="s">
        <v>101</v>
      </c>
      <c r="H256" s="6" t="s">
        <v>18</v>
      </c>
      <c r="I256" s="37">
        <v>450</v>
      </c>
      <c r="J256" s="694">
        <v>0.3</v>
      </c>
      <c r="K256" s="694">
        <v>0.98</v>
      </c>
      <c r="L256" s="665">
        <v>187</v>
      </c>
      <c r="M256" s="37">
        <v>0.42</v>
      </c>
      <c r="N256" s="11"/>
    </row>
    <row r="257" spans="1:15" ht="14.25" customHeight="1" x14ac:dyDescent="0.3">
      <c r="A257" s="87" t="s">
        <v>297</v>
      </c>
      <c r="B257" s="38" t="s">
        <v>22</v>
      </c>
      <c r="D257" s="17">
        <v>2024</v>
      </c>
      <c r="E257" s="39" t="s">
        <v>88</v>
      </c>
      <c r="F257" s="8" t="s">
        <v>85</v>
      </c>
      <c r="G257" s="40" t="s">
        <v>89</v>
      </c>
      <c r="H257" s="669"/>
      <c r="I257" s="44">
        <v>50</v>
      </c>
      <c r="J257" s="74">
        <v>1.2693456803716812</v>
      </c>
      <c r="K257" s="74">
        <v>1.9240965428033838</v>
      </c>
      <c r="L257" s="41">
        <v>70.377544905839784</v>
      </c>
      <c r="M257" s="59"/>
    </row>
    <row r="258" spans="1:15" ht="14.25" customHeight="1" x14ac:dyDescent="0.3">
      <c r="A258" s="684" t="s">
        <v>298</v>
      </c>
      <c r="B258" s="38" t="s">
        <v>22</v>
      </c>
      <c r="D258" s="17">
        <v>2024</v>
      </c>
      <c r="E258" s="39" t="s">
        <v>88</v>
      </c>
      <c r="F258" s="8" t="s">
        <v>85</v>
      </c>
      <c r="G258" s="40" t="s">
        <v>89</v>
      </c>
      <c r="H258" s="669"/>
      <c r="I258" s="663">
        <v>50</v>
      </c>
      <c r="J258" s="693">
        <v>1.8197391023635396</v>
      </c>
      <c r="K258" s="693">
        <v>1.9104713611369744</v>
      </c>
      <c r="L258" s="699">
        <v>141.03903645496618</v>
      </c>
      <c r="M258" s="59"/>
    </row>
    <row r="259" spans="1:15" ht="14.25" customHeight="1" x14ac:dyDescent="0.3">
      <c r="A259" s="81" t="s">
        <v>299</v>
      </c>
      <c r="B259" s="38" t="s">
        <v>22</v>
      </c>
      <c r="D259" s="17">
        <v>2024</v>
      </c>
      <c r="E259" s="39" t="s">
        <v>88</v>
      </c>
      <c r="F259" s="8" t="s">
        <v>85</v>
      </c>
      <c r="G259" s="40" t="s">
        <v>89</v>
      </c>
      <c r="H259" s="669"/>
      <c r="I259" s="663">
        <v>50</v>
      </c>
      <c r="J259" s="693">
        <v>0.96226462421183956</v>
      </c>
      <c r="K259" s="693">
        <v>1.8666797025661976</v>
      </c>
      <c r="L259" s="699">
        <v>49.895136723386585</v>
      </c>
      <c r="M259" s="59"/>
    </row>
    <row r="260" spans="1:15" ht="14.25" customHeight="1" x14ac:dyDescent="0.3">
      <c r="A260" s="33" t="s">
        <v>300</v>
      </c>
      <c r="B260" s="6" t="s">
        <v>14</v>
      </c>
      <c r="D260" s="32">
        <v>45976</v>
      </c>
      <c r="E260" s="39" t="s">
        <v>88</v>
      </c>
      <c r="F260" s="8" t="s">
        <v>85</v>
      </c>
      <c r="G260" s="12" t="s">
        <v>101</v>
      </c>
      <c r="H260" s="6" t="s">
        <v>18</v>
      </c>
      <c r="I260" s="670">
        <v>75</v>
      </c>
      <c r="J260" s="694">
        <v>0.27</v>
      </c>
      <c r="K260" s="694">
        <v>1.35</v>
      </c>
      <c r="L260" s="670">
        <v>261.89999999999998</v>
      </c>
      <c r="M260" s="33">
        <v>3.49</v>
      </c>
      <c r="N260" s="35"/>
    </row>
    <row r="261" spans="1:15" ht="14.25" customHeight="1" x14ac:dyDescent="0.3">
      <c r="A261" s="665" t="s">
        <v>301</v>
      </c>
      <c r="B261" s="6" t="s">
        <v>14</v>
      </c>
      <c r="D261" s="50">
        <v>45960</v>
      </c>
      <c r="E261" s="39" t="s">
        <v>88</v>
      </c>
      <c r="F261" s="8" t="s">
        <v>85</v>
      </c>
      <c r="G261" s="5" t="s">
        <v>101</v>
      </c>
      <c r="H261" s="6" t="s">
        <v>18</v>
      </c>
      <c r="I261" s="37">
        <v>150</v>
      </c>
      <c r="J261" s="694">
        <v>0</v>
      </c>
      <c r="K261" s="694">
        <v>1.02</v>
      </c>
      <c r="L261" s="665">
        <v>447</v>
      </c>
      <c r="M261" s="37">
        <v>2.98</v>
      </c>
      <c r="N261" s="11"/>
    </row>
    <row r="262" spans="1:15" ht="14.25" customHeight="1" x14ac:dyDescent="0.3">
      <c r="A262" s="87" t="s">
        <v>302</v>
      </c>
      <c r="B262" s="38" t="s">
        <v>22</v>
      </c>
      <c r="D262" s="17">
        <v>2024</v>
      </c>
      <c r="E262" s="39" t="s">
        <v>88</v>
      </c>
      <c r="F262" s="8" t="s">
        <v>85</v>
      </c>
      <c r="G262" s="40" t="s">
        <v>89</v>
      </c>
      <c r="I262" s="44">
        <v>50</v>
      </c>
      <c r="J262" s="74">
        <v>1.8650227898128735</v>
      </c>
      <c r="K262" s="74">
        <v>1.9674945985358963</v>
      </c>
      <c r="L262" s="41">
        <v>552.70118560190883</v>
      </c>
      <c r="M262" s="59"/>
    </row>
    <row r="263" spans="1:15" ht="14.25" customHeight="1" x14ac:dyDescent="0.3">
      <c r="A263" s="33" t="s">
        <v>302</v>
      </c>
      <c r="B263" s="6" t="s">
        <v>14</v>
      </c>
      <c r="D263" s="32">
        <v>45960</v>
      </c>
      <c r="E263" s="39" t="s">
        <v>88</v>
      </c>
      <c r="F263" s="8" t="s">
        <v>85</v>
      </c>
      <c r="G263" s="12" t="s">
        <v>101</v>
      </c>
      <c r="H263" s="6" t="s">
        <v>18</v>
      </c>
      <c r="I263" s="670">
        <v>150</v>
      </c>
      <c r="J263" s="694">
        <v>0.37</v>
      </c>
      <c r="K263" s="694">
        <v>1.35</v>
      </c>
      <c r="L263" s="670">
        <v>193.9</v>
      </c>
      <c r="M263" s="33">
        <v>1.29</v>
      </c>
      <c r="N263" s="35"/>
    </row>
    <row r="264" spans="1:15" ht="14.25" customHeight="1" x14ac:dyDescent="0.3">
      <c r="A264" s="682" t="s">
        <v>303</v>
      </c>
      <c r="B264" s="38" t="s">
        <v>22</v>
      </c>
      <c r="D264" s="17">
        <v>2024</v>
      </c>
      <c r="E264" s="39" t="s">
        <v>88</v>
      </c>
      <c r="F264" s="8" t="s">
        <v>85</v>
      </c>
      <c r="G264" s="40" t="s">
        <v>89</v>
      </c>
      <c r="H264" s="669"/>
      <c r="I264" s="663">
        <v>50</v>
      </c>
      <c r="J264" s="695">
        <v>1.2224599796166777</v>
      </c>
      <c r="K264" s="695">
        <v>1.8985970099674618</v>
      </c>
      <c r="L264" s="709">
        <v>116.12321838748964</v>
      </c>
      <c r="M264" s="59"/>
    </row>
    <row r="265" spans="1:15" ht="14.25" customHeight="1" x14ac:dyDescent="0.3">
      <c r="A265" s="5" t="s">
        <v>304</v>
      </c>
      <c r="B265" s="6" t="s">
        <v>14</v>
      </c>
      <c r="D265" s="50">
        <v>45975</v>
      </c>
      <c r="E265" s="39" t="s">
        <v>88</v>
      </c>
      <c r="F265" s="8" t="s">
        <v>85</v>
      </c>
      <c r="G265" s="5" t="s">
        <v>101</v>
      </c>
      <c r="H265" s="6" t="s">
        <v>18</v>
      </c>
      <c r="I265" s="665">
        <v>600</v>
      </c>
      <c r="J265" s="694">
        <v>0.54</v>
      </c>
      <c r="K265" s="694">
        <v>1.27</v>
      </c>
      <c r="L265" s="665">
        <v>53.1</v>
      </c>
      <c r="M265" s="37">
        <v>0.09</v>
      </c>
      <c r="N265" s="11"/>
    </row>
    <row r="266" spans="1:15" ht="14.25" customHeight="1" x14ac:dyDescent="0.3">
      <c r="A266" s="87" t="s">
        <v>305</v>
      </c>
      <c r="B266" s="38" t="s">
        <v>22</v>
      </c>
      <c r="D266" s="17">
        <v>2024</v>
      </c>
      <c r="E266" s="39" t="s">
        <v>88</v>
      </c>
      <c r="F266" s="8" t="s">
        <v>85</v>
      </c>
      <c r="G266" s="40" t="s">
        <v>89</v>
      </c>
      <c r="I266" s="663">
        <v>50</v>
      </c>
      <c r="J266" s="695">
        <v>1.1209991223861397</v>
      </c>
      <c r="K266" s="695">
        <v>1.8812894059907863</v>
      </c>
      <c r="L266" s="709">
        <v>126.23662901508135</v>
      </c>
      <c r="M266" s="59"/>
    </row>
    <row r="267" spans="1:15" ht="14.25" customHeight="1" x14ac:dyDescent="0.3">
      <c r="A267" s="665" t="s">
        <v>305</v>
      </c>
      <c r="B267" s="6" t="s">
        <v>14</v>
      </c>
      <c r="D267" s="50">
        <v>45960</v>
      </c>
      <c r="E267" s="39" t="s">
        <v>88</v>
      </c>
      <c r="F267" s="8" t="s">
        <v>85</v>
      </c>
      <c r="G267" s="5" t="s">
        <v>101</v>
      </c>
      <c r="H267" s="6" t="s">
        <v>18</v>
      </c>
      <c r="I267" s="5">
        <v>300</v>
      </c>
      <c r="J267" s="10">
        <v>0.17</v>
      </c>
      <c r="K267" s="10">
        <v>0.99</v>
      </c>
      <c r="L267" s="665">
        <v>32.4</v>
      </c>
      <c r="M267" s="5">
        <v>0.11</v>
      </c>
      <c r="N267" s="9"/>
    </row>
    <row r="268" spans="1:15" ht="14.25" customHeight="1" x14ac:dyDescent="0.3">
      <c r="A268" s="670" t="s">
        <v>306</v>
      </c>
      <c r="B268" s="6" t="s">
        <v>93</v>
      </c>
      <c r="D268" s="32">
        <v>46000</v>
      </c>
      <c r="E268" s="39" t="s">
        <v>88</v>
      </c>
      <c r="F268" s="8" t="s">
        <v>85</v>
      </c>
      <c r="G268" s="12" t="s">
        <v>101</v>
      </c>
      <c r="H268" s="706"/>
      <c r="I268" s="692"/>
      <c r="J268" s="692"/>
      <c r="K268" s="706"/>
      <c r="L268" s="669"/>
      <c r="M268" s="670" t="e">
        <v>#DIV/0!</v>
      </c>
      <c r="N268" s="692"/>
      <c r="O268" s="33" t="s">
        <v>160</v>
      </c>
    </row>
    <row r="269" spans="1:15" ht="14.25" customHeight="1" x14ac:dyDescent="0.3">
      <c r="A269" s="684" t="s">
        <v>307</v>
      </c>
      <c r="B269" s="38" t="s">
        <v>22</v>
      </c>
      <c r="D269" s="17">
        <v>2024</v>
      </c>
      <c r="E269" s="39" t="s">
        <v>88</v>
      </c>
      <c r="F269" s="8" t="s">
        <v>85</v>
      </c>
      <c r="G269" s="40" t="s">
        <v>89</v>
      </c>
      <c r="H269" s="669"/>
      <c r="I269" s="17">
        <v>50</v>
      </c>
      <c r="J269" s="46">
        <v>1.1041283324166427</v>
      </c>
      <c r="K269" s="46">
        <v>1.6996411481669718</v>
      </c>
      <c r="L269" s="699">
        <v>27.754876889412373</v>
      </c>
      <c r="M269" s="3"/>
      <c r="N269" s="6"/>
    </row>
    <row r="270" spans="1:15" ht="14.25" customHeight="1" x14ac:dyDescent="0.3">
      <c r="A270" s="60" t="s">
        <v>308</v>
      </c>
      <c r="B270" s="38" t="s">
        <v>22</v>
      </c>
      <c r="D270" s="17">
        <v>2024</v>
      </c>
      <c r="E270" s="39" t="s">
        <v>88</v>
      </c>
      <c r="F270" s="8" t="s">
        <v>85</v>
      </c>
      <c r="G270" s="40" t="s">
        <v>89</v>
      </c>
      <c r="H270" s="669"/>
      <c r="I270" s="663">
        <v>50</v>
      </c>
      <c r="J270" s="693">
        <v>1.166252936526742</v>
      </c>
      <c r="K270" s="693">
        <v>1.8573231069415455</v>
      </c>
      <c r="L270" s="699">
        <v>392.56522801498539</v>
      </c>
      <c r="M270" s="59"/>
    </row>
    <row r="271" spans="1:15" ht="14.25" customHeight="1" x14ac:dyDescent="0.3">
      <c r="A271" s="681" t="s">
        <v>309</v>
      </c>
      <c r="B271" s="38" t="s">
        <v>22</v>
      </c>
      <c r="D271" s="17">
        <v>2024</v>
      </c>
      <c r="E271" s="39" t="s">
        <v>88</v>
      </c>
      <c r="F271" s="8" t="s">
        <v>85</v>
      </c>
      <c r="G271" s="40" t="s">
        <v>89</v>
      </c>
      <c r="H271" s="669"/>
      <c r="I271" s="663">
        <v>50</v>
      </c>
      <c r="J271" s="693">
        <v>0.87822856264790572</v>
      </c>
      <c r="K271" s="693">
        <v>1.8166352349952175</v>
      </c>
      <c r="L271" s="699">
        <v>49.410389480209261</v>
      </c>
      <c r="M271" s="59"/>
    </row>
    <row r="272" spans="1:15" ht="14.25" customHeight="1" x14ac:dyDescent="0.3">
      <c r="A272" s="60" t="s">
        <v>310</v>
      </c>
      <c r="B272" s="38" t="s">
        <v>22</v>
      </c>
      <c r="D272" s="17">
        <v>2024</v>
      </c>
      <c r="E272" s="39" t="s">
        <v>88</v>
      </c>
      <c r="F272" s="8" t="s">
        <v>85</v>
      </c>
      <c r="G272" s="40" t="s">
        <v>89</v>
      </c>
      <c r="I272" s="17">
        <v>50</v>
      </c>
      <c r="J272" s="46">
        <v>0.99039922132287128</v>
      </c>
      <c r="K272" s="46">
        <v>1.935626017904593</v>
      </c>
      <c r="L272" s="48">
        <v>70.120662813309991</v>
      </c>
      <c r="M272" s="3"/>
      <c r="N272" s="6"/>
    </row>
    <row r="273" spans="1:15" ht="14.25" customHeight="1" x14ac:dyDescent="0.3">
      <c r="A273" s="60" t="s">
        <v>311</v>
      </c>
      <c r="B273" s="38" t="s">
        <v>22</v>
      </c>
      <c r="D273" s="17">
        <v>2024</v>
      </c>
      <c r="E273" s="39" t="s">
        <v>88</v>
      </c>
      <c r="F273" s="8" t="s">
        <v>85</v>
      </c>
      <c r="G273" s="40" t="s">
        <v>89</v>
      </c>
      <c r="I273" s="663">
        <v>50</v>
      </c>
      <c r="J273" s="693">
        <v>0.41764691268332144</v>
      </c>
      <c r="K273" s="693">
        <v>1.447526203463857</v>
      </c>
      <c r="L273" s="699">
        <v>34.112975429322901</v>
      </c>
      <c r="M273" s="59"/>
    </row>
    <row r="274" spans="1:15" ht="14.25" customHeight="1" x14ac:dyDescent="0.3">
      <c r="A274" s="665" t="s">
        <v>312</v>
      </c>
      <c r="B274" s="6" t="s">
        <v>93</v>
      </c>
      <c r="D274" s="50">
        <v>46000</v>
      </c>
      <c r="E274" s="36" t="s">
        <v>23</v>
      </c>
      <c r="F274" s="8" t="s">
        <v>85</v>
      </c>
      <c r="G274" s="5" t="s">
        <v>159</v>
      </c>
      <c r="H274" s="706"/>
      <c r="I274" s="678"/>
      <c r="J274" s="678"/>
      <c r="K274" s="706"/>
      <c r="L274" s="669"/>
      <c r="M274" s="665" t="e">
        <v>#DIV/0!</v>
      </c>
      <c r="N274" s="678"/>
      <c r="O274" s="37" t="s">
        <v>160</v>
      </c>
    </row>
    <row r="275" spans="1:15" ht="14.25" customHeight="1" x14ac:dyDescent="0.3">
      <c r="A275" s="670" t="s">
        <v>313</v>
      </c>
      <c r="B275" s="6" t="s">
        <v>93</v>
      </c>
      <c r="D275" s="32">
        <v>46000</v>
      </c>
      <c r="E275" s="36" t="s">
        <v>23</v>
      </c>
      <c r="F275" s="8" t="s">
        <v>85</v>
      </c>
      <c r="G275" s="12" t="s">
        <v>159</v>
      </c>
      <c r="H275" s="706"/>
      <c r="I275" s="692"/>
      <c r="J275" s="692"/>
      <c r="K275" s="706"/>
      <c r="L275" s="669"/>
      <c r="M275" s="670" t="e">
        <v>#DIV/0!</v>
      </c>
      <c r="N275" s="692"/>
      <c r="O275" s="33" t="s">
        <v>160</v>
      </c>
    </row>
    <row r="276" spans="1:15" ht="14.25" customHeight="1" x14ac:dyDescent="0.3">
      <c r="A276" s="665" t="s">
        <v>314</v>
      </c>
      <c r="B276" s="6" t="s">
        <v>93</v>
      </c>
      <c r="D276" s="50">
        <v>46000</v>
      </c>
      <c r="E276" s="36" t="s">
        <v>23</v>
      </c>
      <c r="F276" s="8" t="s">
        <v>85</v>
      </c>
      <c r="G276" s="5" t="s">
        <v>242</v>
      </c>
      <c r="H276" s="706"/>
      <c r="I276" s="678"/>
      <c r="J276" s="678"/>
      <c r="K276" s="706"/>
      <c r="L276" s="669"/>
      <c r="M276" s="665" t="e">
        <v>#DIV/0!</v>
      </c>
      <c r="N276" s="678"/>
      <c r="O276" s="37" t="s">
        <v>160</v>
      </c>
    </row>
    <row r="277" spans="1:15" ht="14.25" customHeight="1" x14ac:dyDescent="0.3">
      <c r="A277" s="670" t="s">
        <v>315</v>
      </c>
      <c r="B277" s="6" t="s">
        <v>93</v>
      </c>
      <c r="D277" s="32">
        <v>46000</v>
      </c>
      <c r="E277" s="36" t="s">
        <v>23</v>
      </c>
      <c r="F277" s="8" t="s">
        <v>85</v>
      </c>
      <c r="G277" s="12" t="s">
        <v>242</v>
      </c>
      <c r="H277" s="706"/>
      <c r="I277" s="13"/>
      <c r="J277" s="13"/>
      <c r="K277" s="49"/>
      <c r="L277" s="669"/>
      <c r="M277" s="12" t="e">
        <v>#DIV/0!</v>
      </c>
      <c r="N277" s="13"/>
      <c r="O277" s="33" t="s">
        <v>160</v>
      </c>
    </row>
    <row r="278" spans="1:15" ht="14.25" customHeight="1" x14ac:dyDescent="0.3">
      <c r="A278" s="680" t="s">
        <v>316</v>
      </c>
      <c r="B278" s="38" t="s">
        <v>22</v>
      </c>
      <c r="D278" s="17">
        <v>2024</v>
      </c>
      <c r="E278" s="39" t="s">
        <v>88</v>
      </c>
      <c r="F278" s="8" t="s">
        <v>85</v>
      </c>
      <c r="G278" s="40" t="s">
        <v>89</v>
      </c>
      <c r="H278" s="669"/>
      <c r="I278" s="44">
        <v>50</v>
      </c>
      <c r="J278" s="697">
        <v>0.19994621525937648</v>
      </c>
      <c r="K278" s="697">
        <v>0.8412910350393118</v>
      </c>
      <c r="L278" s="708">
        <v>1.4932205452694034</v>
      </c>
      <c r="M278" s="59"/>
    </row>
    <row r="279" spans="1:15" ht="14.25" customHeight="1" x14ac:dyDescent="0.3">
      <c r="A279" s="665" t="s">
        <v>317</v>
      </c>
      <c r="B279" s="6" t="s">
        <v>14</v>
      </c>
      <c r="D279" s="7">
        <v>45952</v>
      </c>
      <c r="E279" s="36" t="s">
        <v>23</v>
      </c>
      <c r="F279" s="8" t="s">
        <v>85</v>
      </c>
      <c r="G279" s="5" t="s">
        <v>318</v>
      </c>
      <c r="H279" s="6" t="s">
        <v>18</v>
      </c>
      <c r="I279" s="665">
        <v>50</v>
      </c>
      <c r="J279" s="694">
        <v>1.25</v>
      </c>
      <c r="K279" s="701">
        <v>1.71</v>
      </c>
      <c r="L279" s="665">
        <v>58.6</v>
      </c>
      <c r="M279" s="37">
        <v>1.17</v>
      </c>
      <c r="N279" s="11"/>
    </row>
    <row r="280" spans="1:15" ht="14.25" customHeight="1" x14ac:dyDescent="0.3">
      <c r="A280" s="665" t="s">
        <v>319</v>
      </c>
      <c r="B280" s="6" t="s">
        <v>93</v>
      </c>
      <c r="D280" s="50">
        <v>46000</v>
      </c>
      <c r="E280" s="36" t="s">
        <v>23</v>
      </c>
      <c r="F280" s="8" t="s">
        <v>85</v>
      </c>
      <c r="G280" s="5" t="s">
        <v>242</v>
      </c>
      <c r="H280" s="706"/>
      <c r="I280" s="678"/>
      <c r="J280" s="678"/>
      <c r="K280" s="706"/>
      <c r="L280" s="669"/>
      <c r="M280" s="665" t="e">
        <v>#DIV/0!</v>
      </c>
      <c r="N280" s="678"/>
      <c r="O280" s="37" t="s">
        <v>160</v>
      </c>
    </row>
    <row r="281" spans="1:15" ht="14.25" customHeight="1" x14ac:dyDescent="0.3">
      <c r="A281" s="33" t="s">
        <v>320</v>
      </c>
      <c r="B281" s="6" t="s">
        <v>14</v>
      </c>
      <c r="D281" s="7">
        <v>45952</v>
      </c>
      <c r="E281" s="36" t="s">
        <v>23</v>
      </c>
      <c r="F281" s="8" t="s">
        <v>85</v>
      </c>
      <c r="G281" s="12" t="s">
        <v>242</v>
      </c>
      <c r="H281" s="6" t="s">
        <v>18</v>
      </c>
      <c r="I281" s="12">
        <v>50</v>
      </c>
      <c r="J281" s="10">
        <v>1.42</v>
      </c>
      <c r="K281" s="24">
        <v>1.83</v>
      </c>
      <c r="L281" s="33">
        <v>83.3</v>
      </c>
      <c r="M281" s="12">
        <v>1.67</v>
      </c>
      <c r="N281" s="13"/>
    </row>
    <row r="282" spans="1:15" ht="14.25" customHeight="1" x14ac:dyDescent="0.3">
      <c r="A282" s="670" t="s">
        <v>321</v>
      </c>
      <c r="B282" s="6" t="s">
        <v>93</v>
      </c>
      <c r="D282" s="32">
        <v>46000</v>
      </c>
      <c r="E282" s="36" t="s">
        <v>23</v>
      </c>
      <c r="F282" s="8" t="s">
        <v>85</v>
      </c>
      <c r="G282" s="12" t="s">
        <v>242</v>
      </c>
      <c r="H282" s="706"/>
      <c r="I282" s="692"/>
      <c r="J282" s="692"/>
      <c r="K282" s="706"/>
      <c r="L282" s="669"/>
      <c r="M282" s="670" t="e">
        <v>#DIV/0!</v>
      </c>
      <c r="N282" s="692"/>
      <c r="O282" s="33" t="s">
        <v>160</v>
      </c>
    </row>
    <row r="283" spans="1:15" ht="14.25" customHeight="1" x14ac:dyDescent="0.3">
      <c r="A283" s="665" t="s">
        <v>322</v>
      </c>
      <c r="B283" s="6" t="s">
        <v>14</v>
      </c>
      <c r="D283" s="7">
        <v>45968</v>
      </c>
      <c r="E283" s="36" t="s">
        <v>23</v>
      </c>
      <c r="F283" s="8" t="s">
        <v>85</v>
      </c>
      <c r="G283" s="5" t="s">
        <v>94</v>
      </c>
      <c r="H283" s="6" t="s">
        <v>18</v>
      </c>
      <c r="I283" s="665">
        <v>50</v>
      </c>
      <c r="J283" s="694">
        <v>0.92</v>
      </c>
      <c r="K283" s="698">
        <v>1.9</v>
      </c>
      <c r="L283" s="665">
        <v>21.5</v>
      </c>
      <c r="M283" s="37">
        <v>0.43</v>
      </c>
      <c r="N283" s="11"/>
    </row>
    <row r="284" spans="1:15" ht="14.25" customHeight="1" x14ac:dyDescent="0.3">
      <c r="A284" s="665" t="s">
        <v>323</v>
      </c>
      <c r="B284" s="6" t="s">
        <v>93</v>
      </c>
      <c r="D284" s="50">
        <v>46000</v>
      </c>
      <c r="E284" s="36" t="s">
        <v>23</v>
      </c>
      <c r="F284" s="8" t="s">
        <v>85</v>
      </c>
      <c r="G284" s="5" t="s">
        <v>242</v>
      </c>
      <c r="H284" s="706"/>
      <c r="I284" s="678"/>
      <c r="J284" s="678"/>
      <c r="K284" s="706"/>
      <c r="L284" s="669"/>
      <c r="M284" s="665" t="e">
        <v>#DIV/0!</v>
      </c>
      <c r="N284" s="678"/>
      <c r="O284" s="37" t="s">
        <v>160</v>
      </c>
    </row>
    <row r="285" spans="1:15" ht="14.25" customHeight="1" x14ac:dyDescent="0.3">
      <c r="A285" s="670" t="s">
        <v>324</v>
      </c>
      <c r="B285" s="6" t="s">
        <v>14</v>
      </c>
      <c r="D285" s="7">
        <v>45968</v>
      </c>
      <c r="E285" s="36" t="s">
        <v>23</v>
      </c>
      <c r="F285" s="8" t="s">
        <v>85</v>
      </c>
      <c r="G285" s="12" t="s">
        <v>94</v>
      </c>
      <c r="H285" s="6" t="s">
        <v>18</v>
      </c>
      <c r="I285" s="12">
        <v>50</v>
      </c>
      <c r="J285" s="10">
        <v>1.42</v>
      </c>
      <c r="K285" s="10">
        <v>2.1800000000000002</v>
      </c>
      <c r="L285" s="33">
        <v>228.6</v>
      </c>
      <c r="M285" s="12">
        <v>4.57</v>
      </c>
      <c r="N285" s="13"/>
    </row>
    <row r="286" spans="1:15" ht="14.25" customHeight="1" x14ac:dyDescent="0.3">
      <c r="A286" s="670" t="s">
        <v>325</v>
      </c>
      <c r="B286" s="6" t="s">
        <v>14</v>
      </c>
      <c r="D286" s="32">
        <v>45979</v>
      </c>
      <c r="E286" s="36" t="s">
        <v>23</v>
      </c>
      <c r="F286" s="8" t="s">
        <v>85</v>
      </c>
      <c r="G286" s="12" t="s">
        <v>251</v>
      </c>
      <c r="H286" s="6" t="s">
        <v>18</v>
      </c>
      <c r="I286" s="670">
        <v>50</v>
      </c>
      <c r="J286" s="694">
        <v>0.78</v>
      </c>
      <c r="K286" s="701">
        <v>1.66</v>
      </c>
      <c r="L286" s="670">
        <v>49.8</v>
      </c>
      <c r="M286" s="33">
        <v>1</v>
      </c>
      <c r="N286" s="35"/>
    </row>
    <row r="287" spans="1:15" ht="14.25" customHeight="1" x14ac:dyDescent="0.3">
      <c r="A287" s="37" t="s">
        <v>326</v>
      </c>
      <c r="B287" s="6" t="s">
        <v>14</v>
      </c>
      <c r="D287" s="50">
        <v>45979</v>
      </c>
      <c r="E287" s="36" t="s">
        <v>23</v>
      </c>
      <c r="F287" s="8" t="s">
        <v>85</v>
      </c>
      <c r="G287" s="5" t="s">
        <v>94</v>
      </c>
      <c r="H287" s="6" t="s">
        <v>18</v>
      </c>
      <c r="I287" s="5">
        <v>50</v>
      </c>
      <c r="J287" s="10">
        <v>1.17</v>
      </c>
      <c r="K287" s="24">
        <v>1.83</v>
      </c>
      <c r="L287" s="37">
        <v>38.700000000000003</v>
      </c>
      <c r="M287" s="5">
        <v>0.77</v>
      </c>
      <c r="N287" s="5" t="s">
        <v>327</v>
      </c>
    </row>
    <row r="288" spans="1:15" ht="14.25" customHeight="1" x14ac:dyDescent="0.3">
      <c r="A288" s="704" t="s">
        <v>328</v>
      </c>
      <c r="B288" s="38" t="s">
        <v>22</v>
      </c>
      <c r="D288" s="17">
        <v>2024</v>
      </c>
      <c r="E288" s="39" t="s">
        <v>88</v>
      </c>
      <c r="F288" s="8" t="s">
        <v>85</v>
      </c>
      <c r="G288" s="40" t="s">
        <v>89</v>
      </c>
      <c r="H288" s="669"/>
      <c r="I288" s="663">
        <v>50</v>
      </c>
      <c r="J288" s="669"/>
      <c r="K288" s="669"/>
      <c r="L288" s="663" t="s">
        <v>230</v>
      </c>
      <c r="M288" s="674"/>
      <c r="N288" s="669"/>
    </row>
    <row r="289" spans="1:27" ht="14.25" customHeight="1" x14ac:dyDescent="0.3">
      <c r="A289" s="33" t="s">
        <v>329</v>
      </c>
      <c r="B289" s="6" t="s">
        <v>14</v>
      </c>
      <c r="D289" s="32">
        <v>45979</v>
      </c>
      <c r="E289" s="36" t="s">
        <v>23</v>
      </c>
      <c r="F289" s="8" t="s">
        <v>85</v>
      </c>
      <c r="G289" s="12" t="s">
        <v>94</v>
      </c>
      <c r="H289" s="6" t="s">
        <v>18</v>
      </c>
      <c r="I289" s="670">
        <v>100</v>
      </c>
      <c r="J289" s="694">
        <v>1.53</v>
      </c>
      <c r="K289" s="698">
        <v>1.88</v>
      </c>
      <c r="L289" s="670">
        <v>172.5</v>
      </c>
      <c r="M289" s="33">
        <v>1.73</v>
      </c>
      <c r="N289" s="35"/>
    </row>
    <row r="290" spans="1:27" ht="14.25" customHeight="1" x14ac:dyDescent="0.3">
      <c r="A290" s="665" t="s">
        <v>330</v>
      </c>
      <c r="B290" s="6" t="s">
        <v>14</v>
      </c>
      <c r="D290" s="50">
        <v>45979</v>
      </c>
      <c r="E290" s="36" t="s">
        <v>23</v>
      </c>
      <c r="F290" s="8" t="s">
        <v>85</v>
      </c>
      <c r="G290" s="5" t="s">
        <v>94</v>
      </c>
      <c r="H290" s="6" t="s">
        <v>18</v>
      </c>
      <c r="I290" s="665">
        <v>50</v>
      </c>
      <c r="J290" s="694">
        <v>1.29</v>
      </c>
      <c r="K290" s="694">
        <v>2.85</v>
      </c>
      <c r="L290" s="37">
        <v>36.200000000000003</v>
      </c>
      <c r="M290" s="665">
        <v>0.72</v>
      </c>
      <c r="N290" s="678"/>
    </row>
    <row r="291" spans="1:27" ht="14.25" customHeight="1" x14ac:dyDescent="0.3">
      <c r="A291" s="37" t="s">
        <v>331</v>
      </c>
      <c r="B291" s="6" t="s">
        <v>14</v>
      </c>
      <c r="D291" s="7">
        <v>45952</v>
      </c>
      <c r="E291" s="39" t="s">
        <v>88</v>
      </c>
      <c r="F291" s="8" t="s">
        <v>85</v>
      </c>
      <c r="G291" s="5" t="s">
        <v>101</v>
      </c>
      <c r="H291" s="6" t="s">
        <v>18</v>
      </c>
      <c r="I291" s="37">
        <v>50</v>
      </c>
      <c r="J291" s="58">
        <v>2.0299999999999998</v>
      </c>
      <c r="K291" s="56">
        <v>1.96</v>
      </c>
      <c r="L291" s="37">
        <v>389.3</v>
      </c>
      <c r="M291" s="37">
        <v>7.79</v>
      </c>
      <c r="N291" s="11"/>
    </row>
    <row r="292" spans="1:27" ht="14.25" customHeight="1" x14ac:dyDescent="0.3">
      <c r="A292" s="79" t="s">
        <v>332</v>
      </c>
      <c r="B292" s="38" t="s">
        <v>22</v>
      </c>
      <c r="D292" s="17">
        <v>2024</v>
      </c>
      <c r="E292" s="39" t="s">
        <v>88</v>
      </c>
      <c r="F292" s="8" t="s">
        <v>85</v>
      </c>
      <c r="G292" s="40" t="s">
        <v>89</v>
      </c>
      <c r="I292" s="44">
        <v>50</v>
      </c>
      <c r="J292" s="73">
        <v>1.4792953952176242</v>
      </c>
      <c r="K292" s="73">
        <v>1.9671140217858765</v>
      </c>
      <c r="L292" s="51">
        <v>234.8638899358304</v>
      </c>
      <c r="M292" s="59"/>
    </row>
    <row r="293" spans="1:27" ht="14.25" customHeight="1" x14ac:dyDescent="0.3">
      <c r="A293" s="87" t="s">
        <v>333</v>
      </c>
      <c r="B293" s="38" t="s">
        <v>22</v>
      </c>
      <c r="D293" s="17">
        <v>2024</v>
      </c>
      <c r="E293" s="39" t="s">
        <v>88</v>
      </c>
      <c r="F293" s="8" t="s">
        <v>85</v>
      </c>
      <c r="G293" s="40" t="s">
        <v>89</v>
      </c>
      <c r="I293" s="44">
        <v>50</v>
      </c>
      <c r="J293" s="74">
        <v>1.1880065724492657</v>
      </c>
      <c r="K293" s="74">
        <v>1.9414992809366129</v>
      </c>
      <c r="L293" s="41">
        <v>65.484030947427982</v>
      </c>
      <c r="M293" s="59"/>
    </row>
    <row r="294" spans="1:27" ht="14.25" customHeight="1" x14ac:dyDescent="0.3">
      <c r="A294" s="87" t="s">
        <v>334</v>
      </c>
      <c r="B294" s="38" t="s">
        <v>22</v>
      </c>
      <c r="D294" s="17">
        <v>2024</v>
      </c>
      <c r="E294" s="39" t="s">
        <v>88</v>
      </c>
      <c r="F294" s="8" t="s">
        <v>85</v>
      </c>
      <c r="G294" s="40" t="s">
        <v>89</v>
      </c>
      <c r="I294" s="44">
        <v>50</v>
      </c>
      <c r="J294" s="74">
        <v>1.4382954003330779</v>
      </c>
      <c r="K294" s="74">
        <v>1.9440329929604425</v>
      </c>
      <c r="L294" s="41">
        <v>53.466356664087499</v>
      </c>
      <c r="M294" s="59"/>
    </row>
    <row r="295" spans="1:27" ht="14.25" customHeight="1" x14ac:dyDescent="0.3">
      <c r="A295" s="88" t="s">
        <v>335</v>
      </c>
      <c r="B295" s="38" t="s">
        <v>22</v>
      </c>
      <c r="D295" s="17">
        <v>2024</v>
      </c>
      <c r="E295" s="39" t="s">
        <v>88</v>
      </c>
      <c r="F295" s="8" t="s">
        <v>85</v>
      </c>
      <c r="G295" s="40" t="s">
        <v>89</v>
      </c>
      <c r="I295" s="44">
        <v>50</v>
      </c>
      <c r="J295" s="73">
        <v>2.0285501145624107</v>
      </c>
      <c r="K295" s="73">
        <v>1.9564955125126247</v>
      </c>
      <c r="L295" s="51">
        <v>1053.325886018413</v>
      </c>
      <c r="M295" s="59"/>
    </row>
    <row r="296" spans="1:27" ht="14.25" customHeight="1" x14ac:dyDescent="0.3">
      <c r="A296" s="88" t="s">
        <v>336</v>
      </c>
      <c r="B296" s="38" t="s">
        <v>22</v>
      </c>
      <c r="D296" s="17">
        <v>2024</v>
      </c>
      <c r="E296" s="39" t="s">
        <v>88</v>
      </c>
      <c r="F296" s="8" t="s">
        <v>85</v>
      </c>
      <c r="G296" s="40" t="s">
        <v>89</v>
      </c>
      <c r="I296" s="44">
        <v>50</v>
      </c>
      <c r="J296" s="73">
        <v>1.6206577504680786</v>
      </c>
      <c r="K296" s="73">
        <v>1.9851138629029577</v>
      </c>
      <c r="L296" s="51">
        <v>139.62454696746576</v>
      </c>
      <c r="M296" s="59"/>
    </row>
    <row r="297" spans="1:27" ht="14.25" customHeight="1" x14ac:dyDescent="0.3">
      <c r="A297" s="88" t="s">
        <v>337</v>
      </c>
      <c r="B297" s="38" t="s">
        <v>22</v>
      </c>
      <c r="D297" s="17">
        <v>2024</v>
      </c>
      <c r="E297" s="39" t="s">
        <v>88</v>
      </c>
      <c r="F297" s="8" t="s">
        <v>85</v>
      </c>
      <c r="G297" s="40" t="s">
        <v>89</v>
      </c>
      <c r="H297" s="669"/>
      <c r="I297" s="44">
        <v>50</v>
      </c>
      <c r="J297" s="73">
        <v>1.4494543441398533</v>
      </c>
      <c r="K297" s="73">
        <v>1.994058385820928</v>
      </c>
      <c r="L297" s="51">
        <v>355.45771051424089</v>
      </c>
      <c r="M297" s="59"/>
    </row>
    <row r="298" spans="1:27" ht="14.25" customHeight="1" x14ac:dyDescent="0.3">
      <c r="A298" s="88" t="s">
        <v>338</v>
      </c>
      <c r="B298" s="38" t="s">
        <v>22</v>
      </c>
      <c r="D298" s="17">
        <v>2024</v>
      </c>
      <c r="E298" s="39" t="s">
        <v>88</v>
      </c>
      <c r="F298" s="8" t="s">
        <v>85</v>
      </c>
      <c r="G298" s="40" t="s">
        <v>89</v>
      </c>
      <c r="H298" s="669"/>
      <c r="I298" s="663">
        <v>50</v>
      </c>
      <c r="J298" s="697">
        <v>1.220207492323599</v>
      </c>
      <c r="K298" s="697">
        <v>1.5578093230695351</v>
      </c>
      <c r="L298" s="708">
        <v>791.58178922794104</v>
      </c>
      <c r="M298" s="59"/>
    </row>
    <row r="299" spans="1:27" ht="14.25" customHeight="1" x14ac:dyDescent="0.3">
      <c r="A299" s="683" t="s">
        <v>339</v>
      </c>
      <c r="B299" s="38" t="s">
        <v>22</v>
      </c>
      <c r="D299" s="17">
        <v>2024</v>
      </c>
      <c r="E299" s="39" t="s">
        <v>88</v>
      </c>
      <c r="F299" s="8" t="s">
        <v>85</v>
      </c>
      <c r="G299" s="40" t="s">
        <v>89</v>
      </c>
      <c r="H299" s="669"/>
      <c r="I299" s="663">
        <v>50</v>
      </c>
      <c r="J299" s="697">
        <v>0.60317323399243161</v>
      </c>
      <c r="K299" s="697">
        <v>1.6982014441087672</v>
      </c>
      <c r="L299" s="708">
        <v>17.57396010409439</v>
      </c>
      <c r="M299" s="59"/>
    </row>
    <row r="300" spans="1:27" ht="14.25" customHeight="1" x14ac:dyDescent="0.3">
      <c r="A300" s="33" t="s">
        <v>340</v>
      </c>
      <c r="B300" s="6" t="s">
        <v>14</v>
      </c>
      <c r="D300" s="32">
        <v>45960</v>
      </c>
      <c r="E300" s="39" t="s">
        <v>88</v>
      </c>
      <c r="F300" s="8" t="s">
        <v>85</v>
      </c>
      <c r="G300" s="12" t="s">
        <v>101</v>
      </c>
      <c r="H300" s="669" t="s">
        <v>18</v>
      </c>
      <c r="I300" s="33">
        <v>150</v>
      </c>
      <c r="J300" s="694">
        <v>1.27</v>
      </c>
      <c r="K300" s="698">
        <v>1.84</v>
      </c>
      <c r="L300" s="33">
        <v>144.9</v>
      </c>
      <c r="M300" s="33">
        <v>0.97</v>
      </c>
      <c r="N300" s="13"/>
      <c r="O300" s="6"/>
      <c r="Q300" s="6"/>
      <c r="R300" s="6">
        <v>5</v>
      </c>
      <c r="S300" s="6"/>
      <c r="T300" s="6"/>
      <c r="U300" s="17"/>
      <c r="V300" s="17"/>
      <c r="W300" s="17"/>
      <c r="X300" s="17"/>
      <c r="Y300" s="17"/>
      <c r="Z300" s="17"/>
      <c r="AA300" s="17"/>
    </row>
    <row r="301" spans="1:27" ht="14.25" customHeight="1" x14ac:dyDescent="0.3">
      <c r="A301" s="683" t="s">
        <v>340</v>
      </c>
      <c r="B301" s="38" t="s">
        <v>22</v>
      </c>
      <c r="D301" s="17">
        <v>2024</v>
      </c>
      <c r="E301" s="39" t="s">
        <v>88</v>
      </c>
      <c r="F301" s="8" t="s">
        <v>85</v>
      </c>
      <c r="G301" s="40" t="s">
        <v>89</v>
      </c>
      <c r="H301" s="6"/>
      <c r="I301" s="663">
        <v>50</v>
      </c>
      <c r="J301" s="697">
        <v>0.70437857847641772</v>
      </c>
      <c r="K301" s="697">
        <v>1.7043967659413557</v>
      </c>
      <c r="L301" s="708">
        <v>12.985175383344489</v>
      </c>
      <c r="M301" s="59"/>
      <c r="N301" s="6"/>
      <c r="O301" s="6"/>
      <c r="Q301" s="6"/>
      <c r="R301" s="6"/>
      <c r="S301" s="6"/>
      <c r="T301" s="6"/>
      <c r="U301" s="17"/>
      <c r="V301" s="17"/>
      <c r="W301" s="17"/>
      <c r="X301" s="17"/>
      <c r="Y301" s="17"/>
      <c r="Z301" s="17"/>
      <c r="AA301" s="17"/>
    </row>
    <row r="302" spans="1:27" ht="14.25" customHeight="1" x14ac:dyDescent="0.3">
      <c r="A302" s="670" t="s">
        <v>341</v>
      </c>
      <c r="B302" s="6" t="s">
        <v>14</v>
      </c>
      <c r="D302" s="32">
        <v>45975</v>
      </c>
      <c r="E302" s="39" t="s">
        <v>88</v>
      </c>
      <c r="F302" s="8" t="s">
        <v>85</v>
      </c>
      <c r="G302" s="12" t="s">
        <v>101</v>
      </c>
      <c r="H302" s="6" t="s">
        <v>18</v>
      </c>
      <c r="I302" s="33">
        <v>75</v>
      </c>
      <c r="J302" s="694">
        <v>0.15</v>
      </c>
      <c r="K302" s="694">
        <v>0.75</v>
      </c>
      <c r="L302" s="670">
        <v>38.1</v>
      </c>
      <c r="M302" s="33">
        <v>0.51</v>
      </c>
      <c r="N302" s="13"/>
      <c r="O302" s="6"/>
      <c r="Q302" s="6"/>
      <c r="R302" s="6"/>
      <c r="S302" s="6"/>
      <c r="T302" s="6"/>
      <c r="U302" s="17"/>
      <c r="V302" s="17"/>
      <c r="W302" s="17"/>
      <c r="X302" s="17"/>
      <c r="Y302" s="17"/>
      <c r="Z302" s="17"/>
      <c r="AA302" s="17"/>
    </row>
    <row r="303" spans="1:27" ht="14.25" customHeight="1" x14ac:dyDescent="0.3">
      <c r="A303" s="80" t="s">
        <v>342</v>
      </c>
      <c r="B303" s="38" t="s">
        <v>22</v>
      </c>
      <c r="D303" s="17">
        <v>2024</v>
      </c>
      <c r="E303" s="39" t="s">
        <v>88</v>
      </c>
      <c r="F303" s="8" t="s">
        <v>85</v>
      </c>
      <c r="G303" s="40" t="s">
        <v>89</v>
      </c>
      <c r="H303" s="669"/>
      <c r="I303" s="44">
        <v>50</v>
      </c>
      <c r="J303" s="73">
        <v>1.3735768650703135</v>
      </c>
      <c r="K303" s="73">
        <v>1.9239233855465581</v>
      </c>
      <c r="L303" s="51">
        <v>572.02777625280362</v>
      </c>
      <c r="M303" s="59"/>
      <c r="N303" s="6"/>
      <c r="O303" s="6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</row>
    <row r="304" spans="1:27" ht="14.25" customHeight="1" x14ac:dyDescent="0.3">
      <c r="A304" s="33" t="s">
        <v>343</v>
      </c>
      <c r="B304" s="6" t="s">
        <v>14</v>
      </c>
      <c r="D304" s="7">
        <v>45952</v>
      </c>
      <c r="E304" s="36" t="s">
        <v>23</v>
      </c>
      <c r="F304" s="8" t="s">
        <v>85</v>
      </c>
      <c r="G304" s="12" t="s">
        <v>94</v>
      </c>
      <c r="H304" s="6" t="s">
        <v>18</v>
      </c>
      <c r="I304" s="670">
        <v>50</v>
      </c>
      <c r="J304" s="694">
        <v>1.1399999999999999</v>
      </c>
      <c r="K304" s="698">
        <v>1.86</v>
      </c>
      <c r="L304" s="670">
        <v>87</v>
      </c>
      <c r="M304" s="33">
        <v>1.74</v>
      </c>
      <c r="N304" s="35"/>
    </row>
    <row r="305" spans="1:15" ht="14.25" customHeight="1" x14ac:dyDescent="0.3">
      <c r="A305" s="80" t="s">
        <v>344</v>
      </c>
      <c r="B305" s="38" t="s">
        <v>22</v>
      </c>
      <c r="D305" s="17">
        <v>2024</v>
      </c>
      <c r="E305" s="39" t="s">
        <v>88</v>
      </c>
      <c r="F305" s="8" t="s">
        <v>85</v>
      </c>
      <c r="G305" s="40" t="s">
        <v>89</v>
      </c>
      <c r="H305" s="669"/>
      <c r="I305" s="663">
        <v>50</v>
      </c>
      <c r="J305" s="697">
        <v>1.4147701011820082</v>
      </c>
      <c r="K305" s="697">
        <v>1.8554390793040041</v>
      </c>
      <c r="L305" s="708">
        <v>133.81617249345646</v>
      </c>
      <c r="M305" s="59"/>
    </row>
    <row r="306" spans="1:15" ht="14.25" customHeight="1" x14ac:dyDescent="0.3">
      <c r="A306" s="665" t="s">
        <v>345</v>
      </c>
      <c r="B306" s="6" t="s">
        <v>14</v>
      </c>
      <c r="D306" s="50">
        <v>45958</v>
      </c>
      <c r="E306" s="36" t="s">
        <v>23</v>
      </c>
      <c r="F306" s="8" t="s">
        <v>85</v>
      </c>
      <c r="G306" s="5" t="s">
        <v>94</v>
      </c>
      <c r="H306" s="6" t="s">
        <v>18</v>
      </c>
      <c r="I306" s="37">
        <v>50</v>
      </c>
      <c r="J306" s="694">
        <v>0</v>
      </c>
      <c r="K306" s="694">
        <v>0</v>
      </c>
      <c r="L306" s="665">
        <v>0</v>
      </c>
      <c r="M306" s="37">
        <v>0</v>
      </c>
      <c r="N306" s="11"/>
    </row>
    <row r="307" spans="1:15" ht="14.25" customHeight="1" x14ac:dyDescent="0.3">
      <c r="A307" s="670" t="s">
        <v>346</v>
      </c>
      <c r="B307" s="6" t="s">
        <v>14</v>
      </c>
      <c r="D307" s="32">
        <v>45958</v>
      </c>
      <c r="E307" s="36" t="s">
        <v>23</v>
      </c>
      <c r="F307" s="8" t="s">
        <v>85</v>
      </c>
      <c r="G307" s="12" t="s">
        <v>94</v>
      </c>
      <c r="H307" s="6" t="s">
        <v>18</v>
      </c>
      <c r="I307" s="670">
        <v>50</v>
      </c>
      <c r="J307" s="694">
        <v>0.3</v>
      </c>
      <c r="K307" s="694">
        <v>2.5099999999999998</v>
      </c>
      <c r="L307" s="33">
        <v>0.4</v>
      </c>
      <c r="M307" s="670">
        <v>0.01</v>
      </c>
      <c r="N307" s="692"/>
    </row>
    <row r="308" spans="1:15" ht="14.25" customHeight="1" x14ac:dyDescent="0.3">
      <c r="A308" s="665" t="s">
        <v>347</v>
      </c>
      <c r="B308" s="6" t="s">
        <v>14</v>
      </c>
      <c r="D308" s="50">
        <v>45958</v>
      </c>
      <c r="E308" s="36" t="s">
        <v>23</v>
      </c>
      <c r="F308" s="8" t="s">
        <v>85</v>
      </c>
      <c r="G308" s="5" t="s">
        <v>94</v>
      </c>
      <c r="H308" s="6" t="s">
        <v>18</v>
      </c>
      <c r="I308" s="665">
        <v>50</v>
      </c>
      <c r="J308" s="694">
        <v>0.42</v>
      </c>
      <c r="K308" s="694">
        <v>2.52</v>
      </c>
      <c r="L308" s="37">
        <v>1.4</v>
      </c>
      <c r="M308" s="665">
        <v>0.03</v>
      </c>
      <c r="N308" s="678"/>
    </row>
    <row r="309" spans="1:15" ht="14.25" customHeight="1" x14ac:dyDescent="0.3">
      <c r="A309" s="670" t="s">
        <v>348</v>
      </c>
      <c r="B309" s="6" t="s">
        <v>14</v>
      </c>
      <c r="D309" s="32">
        <v>45958</v>
      </c>
      <c r="E309" s="36" t="s">
        <v>23</v>
      </c>
      <c r="F309" s="8" t="s">
        <v>85</v>
      </c>
      <c r="G309" s="12" t="s">
        <v>94</v>
      </c>
      <c r="H309" s="6" t="s">
        <v>18</v>
      </c>
      <c r="I309" s="670">
        <v>50</v>
      </c>
      <c r="J309" s="694">
        <v>0.24</v>
      </c>
      <c r="K309" s="701">
        <v>1.69</v>
      </c>
      <c r="L309" s="670">
        <v>1.6</v>
      </c>
      <c r="M309" s="33">
        <v>0.03</v>
      </c>
      <c r="N309" s="35"/>
    </row>
    <row r="310" spans="1:15" ht="14.25" customHeight="1" x14ac:dyDescent="0.3">
      <c r="A310" s="37" t="s">
        <v>349</v>
      </c>
      <c r="B310" s="6" t="s">
        <v>14</v>
      </c>
      <c r="D310" s="50">
        <v>45958</v>
      </c>
      <c r="E310" s="36" t="s">
        <v>23</v>
      </c>
      <c r="F310" s="8" t="s">
        <v>85</v>
      </c>
      <c r="G310" s="5" t="s">
        <v>94</v>
      </c>
      <c r="H310" s="6" t="s">
        <v>18</v>
      </c>
      <c r="I310" s="665">
        <v>50</v>
      </c>
      <c r="J310" s="694">
        <v>0.35</v>
      </c>
      <c r="K310" s="694">
        <v>1.27</v>
      </c>
      <c r="L310" s="665">
        <v>0.7</v>
      </c>
      <c r="M310" s="37">
        <v>0.01</v>
      </c>
      <c r="N310" s="11"/>
    </row>
    <row r="311" spans="1:15" ht="14.25" customHeight="1" x14ac:dyDescent="0.3">
      <c r="A311" s="12" t="s">
        <v>350</v>
      </c>
      <c r="B311" s="6" t="s">
        <v>14</v>
      </c>
      <c r="D311" s="32">
        <v>45958</v>
      </c>
      <c r="E311" s="36" t="s">
        <v>23</v>
      </c>
      <c r="F311" s="8" t="s">
        <v>85</v>
      </c>
      <c r="G311" s="12" t="s">
        <v>318</v>
      </c>
      <c r="H311" s="6" t="s">
        <v>18</v>
      </c>
      <c r="I311" s="12">
        <v>50</v>
      </c>
      <c r="J311" s="10">
        <v>0.87</v>
      </c>
      <c r="K311" s="23">
        <v>1.76</v>
      </c>
      <c r="L311" s="670">
        <v>1.9</v>
      </c>
      <c r="M311" s="12">
        <v>0.04</v>
      </c>
      <c r="N311" s="35"/>
    </row>
    <row r="312" spans="1:15" ht="14.25" customHeight="1" x14ac:dyDescent="0.3">
      <c r="A312" s="5" t="s">
        <v>351</v>
      </c>
      <c r="B312" s="6" t="s">
        <v>14</v>
      </c>
      <c r="D312" s="7">
        <v>45952</v>
      </c>
      <c r="E312" s="36" t="s">
        <v>23</v>
      </c>
      <c r="F312" s="8" t="s">
        <v>85</v>
      </c>
      <c r="G312" s="5" t="s">
        <v>318</v>
      </c>
      <c r="H312" s="6" t="s">
        <v>18</v>
      </c>
      <c r="I312" s="5">
        <v>50</v>
      </c>
      <c r="J312" s="10">
        <v>0.33</v>
      </c>
      <c r="K312" s="10">
        <v>3.6</v>
      </c>
      <c r="L312" s="37">
        <v>2.2000000000000002</v>
      </c>
      <c r="M312" s="5">
        <v>0.04</v>
      </c>
      <c r="N312" s="678"/>
    </row>
    <row r="313" spans="1:15" ht="14.25" customHeight="1" x14ac:dyDescent="0.3">
      <c r="A313" s="91" t="s">
        <v>352</v>
      </c>
      <c r="B313" s="38" t="s">
        <v>22</v>
      </c>
      <c r="D313" s="17">
        <v>2024</v>
      </c>
      <c r="E313" s="39" t="s">
        <v>88</v>
      </c>
      <c r="F313" s="8" t="s">
        <v>85</v>
      </c>
      <c r="G313" s="40" t="s">
        <v>89</v>
      </c>
      <c r="H313" s="669"/>
      <c r="I313" s="17">
        <v>50</v>
      </c>
      <c r="J313" s="52">
        <v>1.4427113807902558</v>
      </c>
      <c r="K313" s="52">
        <v>1.8626964638270553</v>
      </c>
      <c r="L313" s="92">
        <v>248.48086399943793</v>
      </c>
      <c r="M313" s="59"/>
    </row>
    <row r="314" spans="1:15" ht="14.25" customHeight="1" x14ac:dyDescent="0.3">
      <c r="A314" s="3" t="s">
        <v>353</v>
      </c>
      <c r="B314" s="38" t="s">
        <v>22</v>
      </c>
      <c r="D314" s="663">
        <v>2024</v>
      </c>
      <c r="E314" s="39" t="s">
        <v>88</v>
      </c>
      <c r="F314" s="8" t="s">
        <v>85</v>
      </c>
      <c r="G314" s="40" t="s">
        <v>89</v>
      </c>
      <c r="H314" s="6"/>
      <c r="I314" s="17">
        <v>50</v>
      </c>
      <c r="J314" s="52">
        <v>1.4458158405201418</v>
      </c>
      <c r="K314" s="52">
        <v>1.7250024950152687</v>
      </c>
      <c r="L314" s="708">
        <v>60.619578978856424</v>
      </c>
      <c r="M314" s="59"/>
    </row>
    <row r="315" spans="1:15" ht="14.25" customHeight="1" x14ac:dyDescent="0.3">
      <c r="A315" s="5" t="s">
        <v>354</v>
      </c>
      <c r="B315" s="6" t="s">
        <v>14</v>
      </c>
      <c r="D315" s="55">
        <v>45975</v>
      </c>
      <c r="E315" s="39" t="s">
        <v>88</v>
      </c>
      <c r="F315" s="8" t="s">
        <v>85</v>
      </c>
      <c r="G315" s="5" t="s">
        <v>101</v>
      </c>
      <c r="H315" s="6" t="s">
        <v>18</v>
      </c>
      <c r="I315" s="5">
        <v>150</v>
      </c>
      <c r="J315" s="10">
        <v>0.85</v>
      </c>
      <c r="K315" s="10">
        <v>1.31</v>
      </c>
      <c r="L315" s="665">
        <v>660.1</v>
      </c>
      <c r="M315" s="37">
        <v>4.4000000000000004</v>
      </c>
      <c r="N315" s="11"/>
    </row>
    <row r="316" spans="1:15" ht="14.25" customHeight="1" x14ac:dyDescent="0.3">
      <c r="A316" s="5" t="s">
        <v>355</v>
      </c>
      <c r="B316" s="6" t="s">
        <v>14</v>
      </c>
      <c r="D316" s="687">
        <v>45958</v>
      </c>
      <c r="E316" s="36" t="s">
        <v>23</v>
      </c>
      <c r="F316" s="8" t="s">
        <v>85</v>
      </c>
      <c r="G316" s="5" t="s">
        <v>94</v>
      </c>
      <c r="H316" s="6" t="s">
        <v>18</v>
      </c>
      <c r="I316" s="5">
        <v>50</v>
      </c>
      <c r="J316" s="10">
        <v>0.7</v>
      </c>
      <c r="K316" s="10">
        <v>1.56</v>
      </c>
      <c r="L316" s="5">
        <v>2.1</v>
      </c>
      <c r="M316" s="37">
        <v>0.04</v>
      </c>
      <c r="N316" s="11"/>
    </row>
    <row r="317" spans="1:15" ht="14.25" customHeight="1" x14ac:dyDescent="0.3">
      <c r="A317" s="12" t="s">
        <v>356</v>
      </c>
      <c r="B317" s="6" t="s">
        <v>14</v>
      </c>
      <c r="D317" s="690">
        <v>45979</v>
      </c>
      <c r="E317" s="36" t="s">
        <v>23</v>
      </c>
      <c r="F317" s="8" t="s">
        <v>85</v>
      </c>
      <c r="G317" s="12" t="s">
        <v>94</v>
      </c>
      <c r="H317" s="6" t="s">
        <v>18</v>
      </c>
      <c r="I317" s="12">
        <v>50</v>
      </c>
      <c r="J317" s="10">
        <v>0.56999999999999995</v>
      </c>
      <c r="K317" s="10">
        <v>1.49</v>
      </c>
      <c r="L317" s="670">
        <v>8.1</v>
      </c>
      <c r="M317" s="33">
        <v>0.16</v>
      </c>
      <c r="N317" s="35"/>
    </row>
    <row r="318" spans="1:15" ht="14.25" customHeight="1" x14ac:dyDescent="0.3">
      <c r="A318" s="5" t="s">
        <v>357</v>
      </c>
      <c r="B318" s="6" t="s">
        <v>14</v>
      </c>
      <c r="D318" s="54">
        <v>45968</v>
      </c>
      <c r="E318" s="36" t="s">
        <v>23</v>
      </c>
      <c r="F318" s="8" t="s">
        <v>85</v>
      </c>
      <c r="G318" s="5" t="s">
        <v>94</v>
      </c>
      <c r="H318" s="6" t="s">
        <v>18</v>
      </c>
      <c r="I318" s="5">
        <v>50</v>
      </c>
      <c r="J318" s="10">
        <v>0.56000000000000005</v>
      </c>
      <c r="K318" s="24">
        <v>1.86</v>
      </c>
      <c r="L318" s="665">
        <v>1.9</v>
      </c>
      <c r="M318" s="37">
        <v>0.04</v>
      </c>
      <c r="N318" s="11"/>
    </row>
    <row r="319" spans="1:15" ht="14.25" customHeight="1" x14ac:dyDescent="0.3">
      <c r="A319" s="12" t="s">
        <v>358</v>
      </c>
      <c r="B319" s="6" t="s">
        <v>14</v>
      </c>
      <c r="D319" s="53">
        <v>45958</v>
      </c>
      <c r="E319" s="36" t="s">
        <v>23</v>
      </c>
      <c r="F319" s="8" t="s">
        <v>85</v>
      </c>
      <c r="G319" s="12" t="s">
        <v>94</v>
      </c>
      <c r="H319" s="6" t="s">
        <v>18</v>
      </c>
      <c r="I319" s="12">
        <v>50</v>
      </c>
      <c r="J319" s="10">
        <v>0.66</v>
      </c>
      <c r="K319" s="23">
        <v>1.61</v>
      </c>
      <c r="L319" s="12">
        <v>1.1000000000000001</v>
      </c>
      <c r="M319" s="33">
        <v>0.02</v>
      </c>
      <c r="N319" s="35"/>
    </row>
    <row r="320" spans="1:15" ht="14.25" customHeight="1" x14ac:dyDescent="0.3">
      <c r="A320" s="12" t="s">
        <v>359</v>
      </c>
      <c r="B320" s="6" t="s">
        <v>93</v>
      </c>
      <c r="D320" s="690">
        <v>46000</v>
      </c>
      <c r="E320" s="36" t="s">
        <v>23</v>
      </c>
      <c r="F320" s="8" t="s">
        <v>85</v>
      </c>
      <c r="G320" s="12" t="s">
        <v>360</v>
      </c>
      <c r="H320" s="706"/>
      <c r="I320" s="13"/>
      <c r="J320" s="13"/>
      <c r="K320" s="49"/>
      <c r="L320" s="6"/>
      <c r="M320" s="670" t="e">
        <v>#DIV/0!</v>
      </c>
      <c r="N320" s="692"/>
      <c r="O320" s="33" t="s">
        <v>160</v>
      </c>
    </row>
    <row r="321" spans="1:15" ht="14.25" customHeight="1" x14ac:dyDescent="0.3">
      <c r="A321" s="43" t="s">
        <v>361</v>
      </c>
      <c r="B321" s="38" t="s">
        <v>22</v>
      </c>
      <c r="D321" s="663">
        <v>2024</v>
      </c>
      <c r="E321" s="39" t="s">
        <v>88</v>
      </c>
      <c r="F321" s="8" t="s">
        <v>85</v>
      </c>
      <c r="G321" s="40" t="s">
        <v>89</v>
      </c>
      <c r="H321" s="669"/>
      <c r="I321" s="17">
        <v>50</v>
      </c>
      <c r="J321" s="46">
        <v>2.0251112712261152</v>
      </c>
      <c r="K321" s="46">
        <v>1.9852308294129404</v>
      </c>
      <c r="L321" s="93">
        <v>682.39176413021289</v>
      </c>
      <c r="M321" s="59"/>
    </row>
    <row r="322" spans="1:15" ht="14.25" customHeight="1" x14ac:dyDescent="0.3">
      <c r="A322" s="5" t="s">
        <v>362</v>
      </c>
      <c r="B322" s="6" t="s">
        <v>14</v>
      </c>
      <c r="D322" s="687">
        <v>45979</v>
      </c>
      <c r="E322" s="36" t="s">
        <v>23</v>
      </c>
      <c r="F322" s="8" t="s">
        <v>85</v>
      </c>
      <c r="G322" s="5" t="s">
        <v>94</v>
      </c>
      <c r="H322" s="6" t="s">
        <v>18</v>
      </c>
      <c r="I322" s="5">
        <v>50</v>
      </c>
      <c r="J322" s="10">
        <v>0.39</v>
      </c>
      <c r="K322" s="10">
        <v>1.58</v>
      </c>
      <c r="L322" s="5">
        <v>14.8</v>
      </c>
      <c r="M322" s="37">
        <v>0.3</v>
      </c>
      <c r="N322" s="11"/>
    </row>
    <row r="323" spans="1:15" ht="14.25" customHeight="1" x14ac:dyDescent="0.3">
      <c r="A323" s="12" t="s">
        <v>363</v>
      </c>
      <c r="B323" s="6" t="s">
        <v>14</v>
      </c>
      <c r="D323" s="53">
        <v>45979</v>
      </c>
      <c r="E323" s="36" t="s">
        <v>23</v>
      </c>
      <c r="F323" s="8" t="s">
        <v>85</v>
      </c>
      <c r="G323" s="12" t="s">
        <v>94</v>
      </c>
      <c r="H323" s="6" t="s">
        <v>18</v>
      </c>
      <c r="I323" s="12">
        <v>100</v>
      </c>
      <c r="J323" s="10">
        <v>1.01</v>
      </c>
      <c r="K323" s="24">
        <v>1.86</v>
      </c>
      <c r="L323" s="12">
        <v>48.4</v>
      </c>
      <c r="M323" s="33">
        <v>0.48</v>
      </c>
      <c r="N323" s="35"/>
    </row>
    <row r="324" spans="1:15" ht="14.25" customHeight="1" x14ac:dyDescent="0.3">
      <c r="A324" s="5" t="s">
        <v>364</v>
      </c>
      <c r="B324" s="6" t="s">
        <v>14</v>
      </c>
      <c r="D324" s="687">
        <v>45979</v>
      </c>
      <c r="E324" s="36" t="s">
        <v>23</v>
      </c>
      <c r="F324" s="8" t="s">
        <v>85</v>
      </c>
      <c r="G324" s="5" t="s">
        <v>94</v>
      </c>
      <c r="H324" s="6" t="s">
        <v>18</v>
      </c>
      <c r="I324" s="5">
        <v>50</v>
      </c>
      <c r="J324" s="10">
        <v>0.82</v>
      </c>
      <c r="K324" s="24">
        <v>1.97</v>
      </c>
      <c r="L324" s="5">
        <v>20.3</v>
      </c>
      <c r="M324" s="37">
        <v>0.41</v>
      </c>
      <c r="N324" s="11"/>
    </row>
    <row r="325" spans="1:15" ht="14.25" customHeight="1" x14ac:dyDescent="0.3">
      <c r="A325" s="5" t="s">
        <v>365</v>
      </c>
      <c r="B325" s="6" t="s">
        <v>14</v>
      </c>
      <c r="D325" s="55">
        <v>45958</v>
      </c>
      <c r="E325" s="36" t="s">
        <v>23</v>
      </c>
      <c r="F325" s="8" t="s">
        <v>85</v>
      </c>
      <c r="G325" s="5" t="s">
        <v>94</v>
      </c>
      <c r="H325" s="6" t="s">
        <v>18</v>
      </c>
      <c r="I325" s="5">
        <v>50</v>
      </c>
      <c r="J325" s="10">
        <v>0.53</v>
      </c>
      <c r="K325" s="24">
        <v>1.86</v>
      </c>
      <c r="L325" s="5">
        <v>2</v>
      </c>
      <c r="M325" s="37">
        <v>0.04</v>
      </c>
      <c r="N325" s="11"/>
    </row>
    <row r="326" spans="1:15" ht="14.25" customHeight="1" x14ac:dyDescent="0.3">
      <c r="A326" s="12" t="s">
        <v>366</v>
      </c>
      <c r="B326" s="6" t="s">
        <v>14</v>
      </c>
      <c r="D326" s="53">
        <v>45958</v>
      </c>
      <c r="E326" s="36" t="s">
        <v>23</v>
      </c>
      <c r="F326" s="8" t="s">
        <v>85</v>
      </c>
      <c r="G326" s="12" t="s">
        <v>94</v>
      </c>
      <c r="H326" s="6" t="s">
        <v>18</v>
      </c>
      <c r="I326" s="12">
        <v>50</v>
      </c>
      <c r="J326" s="10">
        <v>0.33</v>
      </c>
      <c r="K326" s="10">
        <v>2.12</v>
      </c>
      <c r="L326" s="12">
        <v>0.5</v>
      </c>
      <c r="M326" s="670">
        <v>0.01</v>
      </c>
      <c r="N326" s="692"/>
    </row>
    <row r="327" spans="1:15" ht="14.25" customHeight="1" x14ac:dyDescent="0.3">
      <c r="A327" s="43" t="s">
        <v>367</v>
      </c>
      <c r="B327" s="38" t="s">
        <v>22</v>
      </c>
      <c r="D327" s="663">
        <v>2024</v>
      </c>
      <c r="E327" s="39" t="s">
        <v>88</v>
      </c>
      <c r="F327" s="8" t="s">
        <v>85</v>
      </c>
      <c r="G327" s="40" t="s">
        <v>89</v>
      </c>
      <c r="I327" s="17">
        <v>50</v>
      </c>
      <c r="J327" s="46">
        <v>1.2931768269788173</v>
      </c>
      <c r="K327" s="46">
        <v>1.9327013750903661</v>
      </c>
      <c r="L327" s="94">
        <v>300.87843109484714</v>
      </c>
      <c r="M327" s="59"/>
    </row>
    <row r="328" spans="1:15" ht="14.25" customHeight="1" x14ac:dyDescent="0.3">
      <c r="A328" s="5" t="s">
        <v>367</v>
      </c>
      <c r="B328" s="6" t="s">
        <v>93</v>
      </c>
      <c r="D328" s="687">
        <v>46000</v>
      </c>
      <c r="E328" s="39" t="s">
        <v>88</v>
      </c>
      <c r="F328" s="8" t="s">
        <v>85</v>
      </c>
      <c r="G328" s="5" t="s">
        <v>101</v>
      </c>
      <c r="H328" s="706"/>
      <c r="I328" s="9"/>
      <c r="J328" s="9"/>
      <c r="K328" s="49"/>
      <c r="L328" s="6"/>
      <c r="M328" s="665" t="e">
        <v>#DIV/0!</v>
      </c>
      <c r="N328" s="678"/>
      <c r="O328" s="37" t="s">
        <v>160</v>
      </c>
    </row>
    <row r="329" spans="1:15" ht="14.25" customHeight="1" x14ac:dyDescent="0.3">
      <c r="A329" s="5" t="s">
        <v>368</v>
      </c>
      <c r="B329" s="6" t="s">
        <v>14</v>
      </c>
      <c r="D329" s="687">
        <v>45958</v>
      </c>
      <c r="E329" s="36" t="s">
        <v>23</v>
      </c>
      <c r="F329" s="8" t="s">
        <v>85</v>
      </c>
      <c r="G329" s="5" t="s">
        <v>94</v>
      </c>
      <c r="H329" s="6" t="s">
        <v>18</v>
      </c>
      <c r="I329" s="5">
        <v>50</v>
      </c>
      <c r="J329" s="10">
        <v>0.51</v>
      </c>
      <c r="K329" s="23">
        <v>1.67</v>
      </c>
      <c r="L329" s="5">
        <v>0.3</v>
      </c>
      <c r="M329" s="37">
        <v>0.01</v>
      </c>
      <c r="N329" s="11"/>
    </row>
    <row r="330" spans="1:15" ht="14.25" customHeight="1" x14ac:dyDescent="0.3">
      <c r="A330" s="12" t="s">
        <v>369</v>
      </c>
      <c r="B330" s="6" t="s">
        <v>14</v>
      </c>
      <c r="D330" s="54">
        <v>45952</v>
      </c>
      <c r="E330" s="36" t="s">
        <v>23</v>
      </c>
      <c r="F330" s="8" t="s">
        <v>85</v>
      </c>
      <c r="G330" s="12" t="s">
        <v>94</v>
      </c>
      <c r="H330" s="6" t="s">
        <v>18</v>
      </c>
      <c r="I330" s="12">
        <v>50</v>
      </c>
      <c r="J330" s="10">
        <v>0.28999999999999998</v>
      </c>
      <c r="K330" s="10">
        <v>1.52</v>
      </c>
      <c r="L330" s="12">
        <v>3.7</v>
      </c>
      <c r="M330" s="33">
        <v>7.0000000000000007E-2</v>
      </c>
      <c r="N330" s="35"/>
    </row>
    <row r="331" spans="1:15" ht="14.25" customHeight="1" x14ac:dyDescent="0.3">
      <c r="A331" s="5" t="s">
        <v>370</v>
      </c>
      <c r="B331" s="6" t="s">
        <v>14</v>
      </c>
      <c r="D331" s="688">
        <v>45952</v>
      </c>
      <c r="E331" s="36" t="s">
        <v>23</v>
      </c>
      <c r="F331" s="8" t="s">
        <v>85</v>
      </c>
      <c r="G331" s="5" t="s">
        <v>94</v>
      </c>
      <c r="H331" s="6" t="s">
        <v>18</v>
      </c>
      <c r="I331" s="5">
        <v>50</v>
      </c>
      <c r="J331" s="10">
        <v>0.87</v>
      </c>
      <c r="K331" s="23">
        <v>1.63</v>
      </c>
      <c r="L331" s="5">
        <v>16.8</v>
      </c>
      <c r="M331" s="37">
        <v>0.34</v>
      </c>
      <c r="N331" s="11"/>
    </row>
    <row r="332" spans="1:15" ht="14.25" customHeight="1" x14ac:dyDescent="0.3">
      <c r="A332" s="12" t="s">
        <v>371</v>
      </c>
      <c r="B332" s="6" t="s">
        <v>14</v>
      </c>
      <c r="D332" s="54">
        <v>45952</v>
      </c>
      <c r="E332" s="36" t="s">
        <v>23</v>
      </c>
      <c r="F332" s="8" t="s">
        <v>85</v>
      </c>
      <c r="G332" s="12" t="s">
        <v>86</v>
      </c>
      <c r="H332" s="6" t="s">
        <v>18</v>
      </c>
      <c r="I332" s="12">
        <v>50</v>
      </c>
      <c r="J332" s="10">
        <v>0.56999999999999995</v>
      </c>
      <c r="K332" s="24">
        <v>1.82</v>
      </c>
      <c r="L332" s="12">
        <v>22.1</v>
      </c>
      <c r="M332" s="33">
        <v>0.44</v>
      </c>
      <c r="N332" s="35"/>
    </row>
    <row r="333" spans="1:15" ht="14.25" customHeight="1" x14ac:dyDescent="0.3">
      <c r="A333" s="5" t="s">
        <v>372</v>
      </c>
      <c r="B333" s="6" t="s">
        <v>14</v>
      </c>
      <c r="D333" s="688">
        <v>45952</v>
      </c>
      <c r="E333" s="36" t="s">
        <v>23</v>
      </c>
      <c r="F333" s="8" t="s">
        <v>85</v>
      </c>
      <c r="G333" s="5" t="s">
        <v>86</v>
      </c>
      <c r="H333" s="6" t="s">
        <v>18</v>
      </c>
      <c r="I333" s="5">
        <v>50</v>
      </c>
      <c r="J333" s="10">
        <v>0.72</v>
      </c>
      <c r="K333" s="23">
        <v>1.73</v>
      </c>
      <c r="L333" s="5">
        <v>28.3</v>
      </c>
      <c r="M333" s="37">
        <v>0.56999999999999995</v>
      </c>
      <c r="N333" s="11"/>
    </row>
    <row r="334" spans="1:15" ht="14.25" customHeight="1" x14ac:dyDescent="0.3">
      <c r="A334" s="12" t="s">
        <v>373</v>
      </c>
      <c r="B334" s="6" t="s">
        <v>14</v>
      </c>
      <c r="D334" s="690">
        <v>45971</v>
      </c>
      <c r="E334" s="36" t="s">
        <v>23</v>
      </c>
      <c r="F334" s="8" t="s">
        <v>85</v>
      </c>
      <c r="G334" s="12" t="s">
        <v>94</v>
      </c>
      <c r="H334" s="6" t="s">
        <v>18</v>
      </c>
      <c r="I334" s="12">
        <v>50</v>
      </c>
      <c r="J334" s="10">
        <v>1.29</v>
      </c>
      <c r="K334" s="23">
        <v>1.68</v>
      </c>
      <c r="L334" s="12">
        <v>20.6</v>
      </c>
      <c r="M334" s="33">
        <v>0.41</v>
      </c>
      <c r="N334" s="35"/>
    </row>
    <row r="335" spans="1:15" ht="14.25" customHeight="1" x14ac:dyDescent="0.3">
      <c r="A335" s="12" t="s">
        <v>374</v>
      </c>
      <c r="B335" s="6" t="s">
        <v>93</v>
      </c>
      <c r="D335" s="53">
        <v>45986</v>
      </c>
      <c r="E335" s="36" t="s">
        <v>23</v>
      </c>
      <c r="F335" s="8" t="s">
        <v>85</v>
      </c>
      <c r="G335" s="12" t="s">
        <v>94</v>
      </c>
      <c r="H335" s="706"/>
      <c r="I335" s="13"/>
      <c r="J335" s="13"/>
      <c r="K335" s="49"/>
      <c r="L335" s="6"/>
      <c r="M335" s="670" t="e">
        <v>#DIV/0!</v>
      </c>
      <c r="N335" s="692"/>
    </row>
    <row r="336" spans="1:15" ht="14.25" customHeight="1" x14ac:dyDescent="0.3">
      <c r="A336" s="5" t="s">
        <v>375</v>
      </c>
      <c r="B336" s="6" t="s">
        <v>14</v>
      </c>
      <c r="D336" s="687">
        <v>45971</v>
      </c>
      <c r="E336" s="36" t="s">
        <v>23</v>
      </c>
      <c r="F336" s="8" t="s">
        <v>85</v>
      </c>
      <c r="G336" s="5" t="s">
        <v>94</v>
      </c>
      <c r="H336" s="6" t="s">
        <v>18</v>
      </c>
      <c r="I336" s="5">
        <v>50</v>
      </c>
      <c r="J336" s="10">
        <v>1.2</v>
      </c>
      <c r="K336" s="23">
        <v>1.77</v>
      </c>
      <c r="L336" s="5">
        <v>10.9</v>
      </c>
      <c r="M336" s="37">
        <v>0.22</v>
      </c>
      <c r="N336" s="11"/>
    </row>
    <row r="337" spans="1:14" ht="14.25" customHeight="1" x14ac:dyDescent="0.3">
      <c r="A337" s="12" t="s">
        <v>376</v>
      </c>
      <c r="B337" s="6" t="s">
        <v>14</v>
      </c>
      <c r="D337" s="690">
        <v>45971</v>
      </c>
      <c r="E337" s="36" t="s">
        <v>23</v>
      </c>
      <c r="F337" s="8" t="s">
        <v>85</v>
      </c>
      <c r="G337" s="12" t="s">
        <v>86</v>
      </c>
      <c r="H337" s="6" t="s">
        <v>18</v>
      </c>
      <c r="I337" s="12">
        <v>50</v>
      </c>
      <c r="J337" s="10">
        <v>1.77</v>
      </c>
      <c r="K337" s="23">
        <v>1.69</v>
      </c>
      <c r="L337" s="670">
        <v>18.899999999999999</v>
      </c>
      <c r="M337" s="33">
        <v>0.38</v>
      </c>
      <c r="N337" s="35"/>
    </row>
    <row r="338" spans="1:14" ht="14.25" customHeight="1" x14ac:dyDescent="0.3">
      <c r="A338" s="5" t="s">
        <v>377</v>
      </c>
      <c r="B338" s="6" t="s">
        <v>14</v>
      </c>
      <c r="D338" s="687">
        <v>45971</v>
      </c>
      <c r="E338" s="36" t="s">
        <v>23</v>
      </c>
      <c r="F338" s="8" t="s">
        <v>85</v>
      </c>
      <c r="G338" s="5" t="s">
        <v>94</v>
      </c>
      <c r="H338" s="6" t="s">
        <v>18</v>
      </c>
      <c r="I338" s="5">
        <v>50</v>
      </c>
      <c r="J338" s="10">
        <v>1.31</v>
      </c>
      <c r="K338" s="23">
        <v>1.77</v>
      </c>
      <c r="L338" s="5">
        <v>19.600000000000001</v>
      </c>
      <c r="M338" s="37">
        <v>0.39</v>
      </c>
      <c r="N338" s="11"/>
    </row>
    <row r="339" spans="1:14" ht="14.25" customHeight="1" x14ac:dyDescent="0.3">
      <c r="A339" s="12" t="s">
        <v>378</v>
      </c>
      <c r="B339" s="6" t="s">
        <v>14</v>
      </c>
      <c r="D339" s="53">
        <v>45971</v>
      </c>
      <c r="E339" s="36" t="s">
        <v>23</v>
      </c>
      <c r="F339" s="8" t="s">
        <v>85</v>
      </c>
      <c r="G339" s="12" t="s">
        <v>86</v>
      </c>
      <c r="H339" s="6" t="s">
        <v>18</v>
      </c>
      <c r="I339" s="12">
        <v>50</v>
      </c>
      <c r="J339" s="10">
        <v>0.72</v>
      </c>
      <c r="K339" s="24">
        <v>1.85</v>
      </c>
      <c r="L339" s="12">
        <v>16</v>
      </c>
      <c r="M339" s="33">
        <v>0.32</v>
      </c>
      <c r="N339" s="35"/>
    </row>
    <row r="340" spans="1:14" ht="14.25" customHeight="1" x14ac:dyDescent="0.3">
      <c r="A340" s="5" t="s">
        <v>379</v>
      </c>
      <c r="B340" s="6" t="s">
        <v>14</v>
      </c>
      <c r="D340" s="687">
        <v>45971</v>
      </c>
      <c r="E340" s="36" t="s">
        <v>23</v>
      </c>
      <c r="F340" s="8" t="s">
        <v>85</v>
      </c>
      <c r="G340" s="5" t="s">
        <v>94</v>
      </c>
      <c r="H340" s="6" t="s">
        <v>18</v>
      </c>
      <c r="I340" s="5">
        <v>50</v>
      </c>
      <c r="J340" s="10">
        <v>0.76</v>
      </c>
      <c r="K340" s="23">
        <v>1.76</v>
      </c>
      <c r="L340" s="5">
        <v>3.6</v>
      </c>
      <c r="M340" s="37">
        <v>7.0000000000000007E-2</v>
      </c>
      <c r="N340" s="11"/>
    </row>
    <row r="341" spans="1:14" ht="14.25" customHeight="1" x14ac:dyDescent="0.3">
      <c r="A341" s="5" t="s">
        <v>379</v>
      </c>
      <c r="B341" s="6" t="s">
        <v>93</v>
      </c>
      <c r="D341" s="687">
        <v>45986</v>
      </c>
      <c r="E341" s="36" t="s">
        <v>23</v>
      </c>
      <c r="F341" s="8" t="s">
        <v>85</v>
      </c>
      <c r="G341" s="5" t="s">
        <v>94</v>
      </c>
      <c r="H341" s="706"/>
      <c r="I341" s="9"/>
      <c r="J341" s="9"/>
      <c r="K341" s="49"/>
      <c r="L341" s="6"/>
      <c r="M341" s="665" t="e">
        <v>#DIV/0!</v>
      </c>
      <c r="N341" s="678"/>
    </row>
    <row r="342" spans="1:14" ht="14.25" customHeight="1" x14ac:dyDescent="0.3">
      <c r="A342" s="12" t="s">
        <v>380</v>
      </c>
      <c r="B342" s="6" t="s">
        <v>14</v>
      </c>
      <c r="D342" s="690">
        <v>45971</v>
      </c>
      <c r="E342" s="36" t="s">
        <v>23</v>
      </c>
      <c r="F342" s="8" t="s">
        <v>85</v>
      </c>
      <c r="G342" s="12" t="s">
        <v>94</v>
      </c>
      <c r="H342" s="6" t="s">
        <v>18</v>
      </c>
      <c r="I342" s="12">
        <v>50</v>
      </c>
      <c r="J342" s="10">
        <v>1.37</v>
      </c>
      <c r="K342" s="23">
        <v>1.66</v>
      </c>
      <c r="L342" s="12">
        <v>7.4</v>
      </c>
      <c r="M342" s="33">
        <v>0.15</v>
      </c>
      <c r="N342" s="35"/>
    </row>
    <row r="343" spans="1:14" ht="14.25" customHeight="1" x14ac:dyDescent="0.3">
      <c r="A343" s="5" t="s">
        <v>381</v>
      </c>
      <c r="B343" s="6" t="s">
        <v>14</v>
      </c>
      <c r="D343" s="55">
        <v>45971</v>
      </c>
      <c r="E343" s="36" t="s">
        <v>23</v>
      </c>
      <c r="F343" s="8" t="s">
        <v>85</v>
      </c>
      <c r="G343" s="5" t="s">
        <v>94</v>
      </c>
      <c r="H343" s="6" t="s">
        <v>18</v>
      </c>
      <c r="I343" s="5">
        <v>50</v>
      </c>
      <c r="J343" s="10">
        <v>1</v>
      </c>
      <c r="K343" s="23">
        <v>1.62</v>
      </c>
      <c r="L343" s="5">
        <v>7.1</v>
      </c>
      <c r="M343" s="37">
        <v>0.14000000000000001</v>
      </c>
      <c r="N343" s="11"/>
    </row>
    <row r="344" spans="1:14" ht="14.25" customHeight="1" x14ac:dyDescent="0.3">
      <c r="A344" s="12" t="s">
        <v>382</v>
      </c>
      <c r="B344" s="6" t="s">
        <v>14</v>
      </c>
      <c r="D344" s="53">
        <v>45971</v>
      </c>
      <c r="E344" s="36" t="s">
        <v>23</v>
      </c>
      <c r="F344" s="8" t="s">
        <v>85</v>
      </c>
      <c r="G344" s="12" t="s">
        <v>94</v>
      </c>
      <c r="H344" s="6" t="s">
        <v>18</v>
      </c>
      <c r="I344" s="12">
        <v>50</v>
      </c>
      <c r="J344" s="10">
        <v>0.91</v>
      </c>
      <c r="K344" s="23">
        <v>1.72</v>
      </c>
      <c r="L344" s="12">
        <v>11.2</v>
      </c>
      <c r="M344" s="33">
        <v>0.22</v>
      </c>
      <c r="N344" s="35"/>
    </row>
    <row r="345" spans="1:14" ht="14.25" customHeight="1" x14ac:dyDescent="0.3">
      <c r="A345" s="12" t="s">
        <v>382</v>
      </c>
      <c r="B345" s="6" t="s">
        <v>93</v>
      </c>
      <c r="D345" s="690">
        <v>45986</v>
      </c>
      <c r="E345" s="36" t="s">
        <v>23</v>
      </c>
      <c r="F345" s="8" t="s">
        <v>85</v>
      </c>
      <c r="G345" s="12" t="s">
        <v>94</v>
      </c>
      <c r="H345" s="706"/>
      <c r="I345" s="13"/>
      <c r="J345" s="13"/>
      <c r="K345" s="49"/>
      <c r="L345" s="6"/>
      <c r="M345" s="670" t="e">
        <v>#DIV/0!</v>
      </c>
      <c r="N345" s="692"/>
    </row>
    <row r="346" spans="1:14" ht="14.25" customHeight="1" x14ac:dyDescent="0.3">
      <c r="A346" s="5" t="s">
        <v>383</v>
      </c>
      <c r="B346" s="6" t="s">
        <v>14</v>
      </c>
      <c r="D346" s="687">
        <v>45971</v>
      </c>
      <c r="E346" s="36" t="s">
        <v>23</v>
      </c>
      <c r="F346" s="8" t="s">
        <v>85</v>
      </c>
      <c r="G346" s="5" t="s">
        <v>94</v>
      </c>
      <c r="H346" s="6" t="s">
        <v>18</v>
      </c>
      <c r="I346" s="5">
        <v>50</v>
      </c>
      <c r="J346" s="10">
        <v>1.47</v>
      </c>
      <c r="K346" s="23">
        <v>1.67</v>
      </c>
      <c r="L346" s="5">
        <v>20.7</v>
      </c>
      <c r="M346" s="37">
        <v>0.41</v>
      </c>
      <c r="N346" s="11"/>
    </row>
    <row r="347" spans="1:14" ht="14.25" customHeight="1" x14ac:dyDescent="0.3">
      <c r="A347" s="5" t="s">
        <v>383</v>
      </c>
      <c r="B347" s="6" t="s">
        <v>93</v>
      </c>
      <c r="D347" s="687">
        <v>45986</v>
      </c>
      <c r="E347" s="36" t="s">
        <v>23</v>
      </c>
      <c r="F347" s="8" t="s">
        <v>85</v>
      </c>
      <c r="G347" s="5" t="s">
        <v>94</v>
      </c>
      <c r="H347" s="706"/>
      <c r="I347" s="9"/>
      <c r="J347" s="9"/>
      <c r="K347" s="49"/>
      <c r="L347" s="6"/>
      <c r="M347" s="665" t="e">
        <v>#DIV/0!</v>
      </c>
      <c r="N347" s="678"/>
    </row>
    <row r="348" spans="1:14" ht="14.25" customHeight="1" x14ac:dyDescent="0.3">
      <c r="A348" s="12" t="s">
        <v>384</v>
      </c>
      <c r="B348" s="6" t="s">
        <v>14</v>
      </c>
      <c r="D348" s="32">
        <v>45971</v>
      </c>
      <c r="E348" s="36" t="s">
        <v>23</v>
      </c>
      <c r="F348" s="8" t="s">
        <v>85</v>
      </c>
      <c r="G348" s="12" t="s">
        <v>94</v>
      </c>
      <c r="H348" s="6" t="s">
        <v>18</v>
      </c>
      <c r="I348" s="12">
        <v>50</v>
      </c>
      <c r="J348" s="10">
        <v>1.49</v>
      </c>
      <c r="K348" s="23">
        <v>1.79</v>
      </c>
      <c r="L348" s="12">
        <v>10.6</v>
      </c>
      <c r="M348" s="33">
        <v>0.21</v>
      </c>
      <c r="N348" s="35"/>
    </row>
    <row r="349" spans="1:14" ht="14.25" customHeight="1" x14ac:dyDescent="0.3">
      <c r="A349" s="5" t="s">
        <v>385</v>
      </c>
      <c r="B349" s="6" t="s">
        <v>14</v>
      </c>
      <c r="D349" s="50">
        <v>45971</v>
      </c>
      <c r="E349" s="36" t="s">
        <v>23</v>
      </c>
      <c r="F349" s="8" t="s">
        <v>85</v>
      </c>
      <c r="G349" s="5" t="s">
        <v>94</v>
      </c>
      <c r="H349" s="6" t="s">
        <v>18</v>
      </c>
      <c r="I349" s="5">
        <v>50</v>
      </c>
      <c r="J349" s="10">
        <v>0.59</v>
      </c>
      <c r="K349" s="23">
        <v>1.67</v>
      </c>
      <c r="L349" s="5">
        <v>16.600000000000001</v>
      </c>
      <c r="M349" s="37">
        <v>0.33</v>
      </c>
      <c r="N349" s="11"/>
    </row>
    <row r="350" spans="1:14" ht="14.25" customHeight="1" x14ac:dyDescent="0.3">
      <c r="A350" s="12" t="s">
        <v>386</v>
      </c>
      <c r="B350" s="6" t="s">
        <v>14</v>
      </c>
      <c r="D350" s="53">
        <v>45971</v>
      </c>
      <c r="E350" s="36" t="s">
        <v>23</v>
      </c>
      <c r="F350" s="8" t="s">
        <v>85</v>
      </c>
      <c r="G350" s="12" t="s">
        <v>94</v>
      </c>
      <c r="H350" s="6" t="s">
        <v>18</v>
      </c>
      <c r="I350" s="12">
        <v>50</v>
      </c>
      <c r="J350" s="10">
        <v>1.2</v>
      </c>
      <c r="K350" s="23">
        <v>1.65</v>
      </c>
      <c r="L350" s="12">
        <v>7.3</v>
      </c>
      <c r="M350" s="33">
        <v>0.15</v>
      </c>
      <c r="N350" s="35"/>
    </row>
    <row r="351" spans="1:14" ht="14.25" customHeight="1" x14ac:dyDescent="0.3">
      <c r="A351" s="12" t="s">
        <v>386</v>
      </c>
      <c r="B351" s="6" t="s">
        <v>93</v>
      </c>
      <c r="D351" s="690">
        <v>45986</v>
      </c>
      <c r="E351" s="36" t="s">
        <v>23</v>
      </c>
      <c r="F351" s="8" t="s">
        <v>85</v>
      </c>
      <c r="G351" s="12" t="s">
        <v>94</v>
      </c>
      <c r="H351" s="706"/>
      <c r="I351" s="13"/>
      <c r="J351" s="13"/>
      <c r="K351" s="49"/>
      <c r="L351" s="6"/>
      <c r="M351" s="670" t="e">
        <v>#DIV/0!</v>
      </c>
      <c r="N351" s="692"/>
    </row>
    <row r="352" spans="1:14" ht="14.25" customHeight="1" x14ac:dyDescent="0.3">
      <c r="A352" s="5" t="s">
        <v>387</v>
      </c>
      <c r="B352" s="6" t="s">
        <v>14</v>
      </c>
      <c r="D352" s="687">
        <v>45971</v>
      </c>
      <c r="E352" s="36" t="s">
        <v>23</v>
      </c>
      <c r="F352" s="8" t="s">
        <v>85</v>
      </c>
      <c r="G352" s="5" t="s">
        <v>94</v>
      </c>
      <c r="H352" s="6" t="s">
        <v>18</v>
      </c>
      <c r="I352" s="5">
        <v>50</v>
      </c>
      <c r="J352" s="10">
        <v>0.69</v>
      </c>
      <c r="K352" s="23">
        <v>1.63</v>
      </c>
      <c r="L352" s="5">
        <v>2.2000000000000002</v>
      </c>
      <c r="M352" s="37">
        <v>0.04</v>
      </c>
      <c r="N352" s="11"/>
    </row>
    <row r="353" spans="1:14" ht="14.25" customHeight="1" x14ac:dyDescent="0.3">
      <c r="A353" s="5" t="s">
        <v>387</v>
      </c>
      <c r="B353" s="6" t="s">
        <v>93</v>
      </c>
      <c r="D353" s="55">
        <v>45986</v>
      </c>
      <c r="E353" s="36" t="s">
        <v>23</v>
      </c>
      <c r="F353" s="8" t="s">
        <v>85</v>
      </c>
      <c r="G353" s="5" t="s">
        <v>94</v>
      </c>
      <c r="H353" s="706"/>
      <c r="I353" s="9"/>
      <c r="J353" s="9"/>
      <c r="K353" s="49"/>
      <c r="L353" s="6"/>
      <c r="M353" s="665" t="e">
        <v>#DIV/0!</v>
      </c>
      <c r="N353" s="678"/>
    </row>
    <row r="354" spans="1:14" ht="14.25" customHeight="1" x14ac:dyDescent="0.3">
      <c r="A354" s="670" t="s">
        <v>388</v>
      </c>
      <c r="B354" s="6" t="s">
        <v>14</v>
      </c>
      <c r="D354" s="690">
        <v>45971</v>
      </c>
      <c r="E354" s="36" t="s">
        <v>23</v>
      </c>
      <c r="F354" s="8" t="s">
        <v>85</v>
      </c>
      <c r="G354" s="12" t="s">
        <v>94</v>
      </c>
      <c r="H354" s="6" t="s">
        <v>18</v>
      </c>
      <c r="I354" s="12">
        <v>50</v>
      </c>
      <c r="J354" s="10">
        <v>1.29</v>
      </c>
      <c r="K354" s="23">
        <v>1.77</v>
      </c>
      <c r="L354" s="12">
        <v>25.1</v>
      </c>
      <c r="M354" s="33">
        <v>0.5</v>
      </c>
      <c r="N354" s="35"/>
    </row>
    <row r="355" spans="1:14" ht="14.25" customHeight="1" x14ac:dyDescent="0.3">
      <c r="A355" s="665" t="s">
        <v>389</v>
      </c>
      <c r="B355" s="6" t="s">
        <v>14</v>
      </c>
      <c r="D355" s="55">
        <v>45971</v>
      </c>
      <c r="E355" s="36" t="s">
        <v>23</v>
      </c>
      <c r="F355" s="8" t="s">
        <v>85</v>
      </c>
      <c r="G355" s="5" t="s">
        <v>94</v>
      </c>
      <c r="H355" s="6" t="s">
        <v>18</v>
      </c>
      <c r="I355" s="5">
        <v>50</v>
      </c>
      <c r="J355" s="10">
        <v>0.64</v>
      </c>
      <c r="K355" s="23">
        <v>1.63</v>
      </c>
      <c r="L355" s="5">
        <v>4.4000000000000004</v>
      </c>
      <c r="M355" s="37">
        <v>0.09</v>
      </c>
      <c r="N355" s="11"/>
    </row>
    <row r="356" spans="1:14" ht="14.25" customHeight="1" x14ac:dyDescent="0.3">
      <c r="A356" s="670" t="s">
        <v>389</v>
      </c>
      <c r="B356" s="6" t="s">
        <v>93</v>
      </c>
      <c r="D356" s="690">
        <v>45986</v>
      </c>
      <c r="E356" s="36" t="s">
        <v>23</v>
      </c>
      <c r="F356" s="8" t="s">
        <v>85</v>
      </c>
      <c r="G356" s="12" t="s">
        <v>94</v>
      </c>
      <c r="H356" s="706"/>
      <c r="I356" s="13"/>
      <c r="J356" s="13"/>
      <c r="K356" s="49"/>
      <c r="L356" s="6"/>
      <c r="M356" s="670" t="e">
        <v>#DIV/0!</v>
      </c>
      <c r="N356" s="692"/>
    </row>
    <row r="357" spans="1:14" ht="14.25" customHeight="1" x14ac:dyDescent="0.3">
      <c r="A357" s="33" t="s">
        <v>390</v>
      </c>
      <c r="B357" s="6" t="s">
        <v>14</v>
      </c>
      <c r="D357" s="688">
        <v>45952</v>
      </c>
      <c r="E357" s="36" t="s">
        <v>23</v>
      </c>
      <c r="F357" s="8" t="s">
        <v>85</v>
      </c>
      <c r="G357" s="12" t="s">
        <v>94</v>
      </c>
      <c r="H357" s="6" t="s">
        <v>18</v>
      </c>
      <c r="I357" s="12">
        <v>50</v>
      </c>
      <c r="J357" s="10">
        <v>0.21</v>
      </c>
      <c r="K357" s="10">
        <v>1.32</v>
      </c>
      <c r="L357" s="12">
        <v>1.8</v>
      </c>
      <c r="M357" s="33">
        <v>0.04</v>
      </c>
      <c r="N357" s="35"/>
    </row>
    <row r="358" spans="1:14" ht="14.25" customHeight="1" x14ac:dyDescent="0.3">
      <c r="A358" s="665" t="s">
        <v>390</v>
      </c>
      <c r="B358" s="6" t="s">
        <v>93</v>
      </c>
      <c r="D358" s="687">
        <v>45986</v>
      </c>
      <c r="E358" s="36" t="s">
        <v>23</v>
      </c>
      <c r="F358" s="8" t="s">
        <v>85</v>
      </c>
      <c r="G358" s="5" t="s">
        <v>94</v>
      </c>
      <c r="H358" s="706"/>
      <c r="I358" s="9"/>
      <c r="J358" s="9"/>
      <c r="K358" s="49"/>
      <c r="L358" s="6"/>
      <c r="M358" s="665" t="e">
        <v>#DIV/0!</v>
      </c>
      <c r="N358" s="678"/>
    </row>
    <row r="359" spans="1:14" ht="14.25" customHeight="1" x14ac:dyDescent="0.3">
      <c r="A359" s="37" t="s">
        <v>391</v>
      </c>
      <c r="B359" s="6" t="s">
        <v>14</v>
      </c>
      <c r="D359" s="688">
        <v>45952</v>
      </c>
      <c r="E359" s="36" t="s">
        <v>23</v>
      </c>
      <c r="F359" s="8" t="s">
        <v>85</v>
      </c>
      <c r="G359" s="5" t="s">
        <v>141</v>
      </c>
      <c r="H359" s="6" t="s">
        <v>18</v>
      </c>
      <c r="I359" s="5">
        <v>50</v>
      </c>
      <c r="J359" s="10">
        <v>0.57999999999999996</v>
      </c>
      <c r="K359" s="24">
        <v>1.95</v>
      </c>
      <c r="L359" s="5">
        <v>13.6</v>
      </c>
      <c r="M359" s="665">
        <v>0.27</v>
      </c>
      <c r="N359" s="678"/>
    </row>
    <row r="360" spans="1:14" ht="14.25" customHeight="1" x14ac:dyDescent="0.3">
      <c r="A360" s="37" t="s">
        <v>392</v>
      </c>
      <c r="B360" s="6" t="s">
        <v>14</v>
      </c>
      <c r="D360" s="688">
        <v>45940</v>
      </c>
      <c r="E360" s="36" t="s">
        <v>23</v>
      </c>
      <c r="F360" s="8" t="s">
        <v>85</v>
      </c>
      <c r="G360" s="5" t="s">
        <v>94</v>
      </c>
      <c r="H360" s="6" t="s">
        <v>18</v>
      </c>
      <c r="I360" s="5">
        <v>100</v>
      </c>
      <c r="J360" s="10">
        <v>0.46</v>
      </c>
      <c r="K360" s="10">
        <v>1.55</v>
      </c>
      <c r="L360" s="5">
        <v>42</v>
      </c>
      <c r="M360" s="37">
        <v>0.42</v>
      </c>
      <c r="N360" s="11"/>
    </row>
    <row r="361" spans="1:14" ht="14.25" customHeight="1" x14ac:dyDescent="0.3">
      <c r="A361" s="33" t="s">
        <v>393</v>
      </c>
      <c r="B361" s="6" t="s">
        <v>14</v>
      </c>
      <c r="D361" s="688">
        <v>45952</v>
      </c>
      <c r="E361" s="36" t="s">
        <v>23</v>
      </c>
      <c r="F361" s="8" t="s">
        <v>85</v>
      </c>
      <c r="G361" s="12" t="s">
        <v>94</v>
      </c>
      <c r="H361" s="6" t="s">
        <v>18</v>
      </c>
      <c r="I361" s="12">
        <v>50</v>
      </c>
      <c r="J361" s="10">
        <v>1.45</v>
      </c>
      <c r="K361" s="24">
        <v>1.94</v>
      </c>
      <c r="L361" s="12">
        <v>156.69999999999999</v>
      </c>
      <c r="M361" s="33">
        <v>3.13</v>
      </c>
      <c r="N361" s="35"/>
    </row>
    <row r="362" spans="1:14" ht="14.25" customHeight="1" x14ac:dyDescent="0.3">
      <c r="A362" s="670" t="s">
        <v>394</v>
      </c>
      <c r="B362" s="6" t="s">
        <v>14</v>
      </c>
      <c r="D362" s="690">
        <v>45958</v>
      </c>
      <c r="E362" s="36" t="s">
        <v>23</v>
      </c>
      <c r="F362" s="8" t="s">
        <v>85</v>
      </c>
      <c r="G362" s="12" t="s">
        <v>318</v>
      </c>
      <c r="H362" s="6" t="s">
        <v>18</v>
      </c>
      <c r="I362" s="12">
        <v>50</v>
      </c>
      <c r="J362" s="10">
        <v>0.61</v>
      </c>
      <c r="K362" s="23">
        <v>1.62</v>
      </c>
      <c r="L362" s="12">
        <v>7.8</v>
      </c>
      <c r="M362" s="33">
        <v>0.16</v>
      </c>
      <c r="N362" s="35"/>
    </row>
    <row r="363" spans="1:14" ht="14.25" customHeight="1" x14ac:dyDescent="0.3">
      <c r="A363" s="670" t="s">
        <v>395</v>
      </c>
      <c r="B363" s="6" t="s">
        <v>14</v>
      </c>
      <c r="D363" s="688">
        <v>45946</v>
      </c>
      <c r="E363" s="36" t="s">
        <v>23</v>
      </c>
      <c r="F363" s="8" t="s">
        <v>85</v>
      </c>
      <c r="G363" s="12" t="s">
        <v>318</v>
      </c>
      <c r="H363" s="6" t="s">
        <v>18</v>
      </c>
      <c r="I363" s="12">
        <v>50</v>
      </c>
      <c r="J363" s="10">
        <v>1.23</v>
      </c>
      <c r="K363" s="24">
        <v>1.8</v>
      </c>
      <c r="L363" s="12">
        <v>349.9</v>
      </c>
      <c r="M363" s="33">
        <v>7</v>
      </c>
      <c r="N363" s="35"/>
    </row>
    <row r="364" spans="1:14" ht="14.25" customHeight="1" x14ac:dyDescent="0.3">
      <c r="A364" s="670" t="s">
        <v>396</v>
      </c>
      <c r="B364" s="6" t="s">
        <v>14</v>
      </c>
      <c r="D364" s="688">
        <v>45968</v>
      </c>
      <c r="E364" s="36" t="s">
        <v>23</v>
      </c>
      <c r="F364" s="8" t="s">
        <v>85</v>
      </c>
      <c r="G364" s="12" t="s">
        <v>94</v>
      </c>
      <c r="H364" s="6" t="s">
        <v>18</v>
      </c>
      <c r="I364" s="12">
        <v>50</v>
      </c>
      <c r="J364" s="10">
        <v>0.8</v>
      </c>
      <c r="K364" s="23">
        <v>1.67</v>
      </c>
      <c r="L364" s="12">
        <v>85.2</v>
      </c>
      <c r="M364" s="33">
        <v>1.7</v>
      </c>
      <c r="N364" s="35"/>
    </row>
    <row r="365" spans="1:14" ht="14.25" customHeight="1" x14ac:dyDescent="0.3">
      <c r="A365" s="60" t="s">
        <v>397</v>
      </c>
      <c r="B365" s="38" t="s">
        <v>22</v>
      </c>
      <c r="D365" s="44">
        <v>2024</v>
      </c>
      <c r="E365" s="39" t="s">
        <v>88</v>
      </c>
      <c r="F365" s="8" t="s">
        <v>85</v>
      </c>
      <c r="G365" s="40" t="s">
        <v>89</v>
      </c>
      <c r="I365" s="17">
        <v>50</v>
      </c>
      <c r="J365" s="46">
        <v>0.68599190065032101</v>
      </c>
      <c r="K365" s="46">
        <v>1.858241467913031</v>
      </c>
      <c r="L365" s="94">
        <v>37.312815053685696</v>
      </c>
      <c r="M365" s="59"/>
    </row>
    <row r="366" spans="1:14" ht="14.25" customHeight="1" x14ac:dyDescent="0.3">
      <c r="A366" s="665" t="s">
        <v>398</v>
      </c>
      <c r="B366" s="6" t="s">
        <v>14</v>
      </c>
      <c r="D366" s="688">
        <v>45968</v>
      </c>
      <c r="E366" s="36" t="s">
        <v>23</v>
      </c>
      <c r="F366" s="8" t="s">
        <v>85</v>
      </c>
      <c r="G366" s="5" t="s">
        <v>94</v>
      </c>
      <c r="H366" s="6" t="s">
        <v>18</v>
      </c>
      <c r="I366" s="5">
        <v>50</v>
      </c>
      <c r="J366" s="10">
        <v>1</v>
      </c>
      <c r="K366" s="23">
        <v>1.76</v>
      </c>
      <c r="L366" s="5">
        <v>14.2</v>
      </c>
      <c r="M366" s="37">
        <v>0.28000000000000003</v>
      </c>
      <c r="N366" s="11"/>
    </row>
    <row r="367" spans="1:14" ht="14.25" customHeight="1" x14ac:dyDescent="0.3">
      <c r="A367" s="60" t="s">
        <v>399</v>
      </c>
      <c r="B367" s="38" t="s">
        <v>22</v>
      </c>
      <c r="D367" s="663">
        <v>2024</v>
      </c>
      <c r="E367" s="39" t="s">
        <v>88</v>
      </c>
      <c r="F367" s="8" t="s">
        <v>85</v>
      </c>
      <c r="G367" s="40" t="s">
        <v>89</v>
      </c>
      <c r="I367" s="17">
        <v>50</v>
      </c>
      <c r="J367" s="46">
        <v>1.113404726749629</v>
      </c>
      <c r="K367" s="46">
        <v>1.9607242111533096</v>
      </c>
      <c r="L367" s="94">
        <v>287.41700990000822</v>
      </c>
      <c r="M367" s="59"/>
    </row>
    <row r="368" spans="1:14" ht="14.25" customHeight="1" x14ac:dyDescent="0.3">
      <c r="A368" s="665" t="s">
        <v>400</v>
      </c>
      <c r="B368" s="6" t="s">
        <v>14</v>
      </c>
      <c r="D368" s="55">
        <v>45958</v>
      </c>
      <c r="E368" s="36" t="s">
        <v>23</v>
      </c>
      <c r="F368" s="8" t="s">
        <v>85</v>
      </c>
      <c r="G368" s="5" t="s">
        <v>94</v>
      </c>
      <c r="H368" s="6" t="s">
        <v>18</v>
      </c>
      <c r="I368" s="5">
        <v>50</v>
      </c>
      <c r="J368" s="10">
        <v>0.48</v>
      </c>
      <c r="K368" s="10">
        <v>3.36</v>
      </c>
      <c r="L368" s="5">
        <v>1.9</v>
      </c>
      <c r="M368" s="665">
        <v>0.04</v>
      </c>
      <c r="N368" s="678"/>
    </row>
    <row r="369" spans="1:15" ht="14.25" customHeight="1" x14ac:dyDescent="0.3">
      <c r="A369" s="670" t="s">
        <v>401</v>
      </c>
      <c r="B369" s="6" t="s">
        <v>14</v>
      </c>
      <c r="D369" s="690">
        <v>45958</v>
      </c>
      <c r="E369" s="36" t="s">
        <v>23</v>
      </c>
      <c r="F369" s="8" t="s">
        <v>85</v>
      </c>
      <c r="G369" s="12" t="s">
        <v>94</v>
      </c>
      <c r="H369" s="6" t="s">
        <v>18</v>
      </c>
      <c r="I369" s="12">
        <v>50</v>
      </c>
      <c r="J369" s="10">
        <v>0.51</v>
      </c>
      <c r="K369" s="10">
        <v>1.5</v>
      </c>
      <c r="L369" s="12">
        <v>42.7</v>
      </c>
      <c r="M369" s="33">
        <v>0.85</v>
      </c>
      <c r="N369" s="35"/>
    </row>
    <row r="370" spans="1:15" ht="14.25" customHeight="1" x14ac:dyDescent="0.3">
      <c r="A370" s="670" t="s">
        <v>402</v>
      </c>
      <c r="B370" s="6" t="s">
        <v>93</v>
      </c>
      <c r="D370" s="690">
        <v>46000</v>
      </c>
      <c r="E370" s="12" t="s">
        <v>15</v>
      </c>
      <c r="F370" s="8" t="s">
        <v>85</v>
      </c>
      <c r="G370" s="13" t="s">
        <v>403</v>
      </c>
      <c r="H370" s="706"/>
      <c r="I370" s="5"/>
      <c r="J370" s="13"/>
      <c r="K370" s="49"/>
      <c r="L370" s="6"/>
      <c r="M370" s="670" t="e">
        <v>#DIV/0!</v>
      </c>
      <c r="N370" s="692"/>
      <c r="O370" s="33" t="s">
        <v>160</v>
      </c>
    </row>
    <row r="371" spans="1:15" ht="14.25" customHeight="1" x14ac:dyDescent="0.3">
      <c r="A371" s="670" t="s">
        <v>404</v>
      </c>
      <c r="B371" s="6" t="s">
        <v>14</v>
      </c>
      <c r="D371" s="688">
        <v>45952</v>
      </c>
      <c r="E371" s="12" t="s">
        <v>15</v>
      </c>
      <c r="F371" s="8" t="s">
        <v>85</v>
      </c>
      <c r="G371" s="13" t="s">
        <v>405</v>
      </c>
      <c r="H371" s="6" t="s">
        <v>18</v>
      </c>
      <c r="I371" s="12">
        <v>50</v>
      </c>
      <c r="J371" s="10">
        <v>0.87</v>
      </c>
      <c r="K371" s="23">
        <v>1.77</v>
      </c>
      <c r="L371" s="12">
        <v>189.5</v>
      </c>
      <c r="M371" s="33">
        <v>3.79</v>
      </c>
      <c r="N371" s="35"/>
    </row>
    <row r="372" spans="1:15" ht="14.25" customHeight="1" x14ac:dyDescent="0.3">
      <c r="A372" s="665" t="s">
        <v>406</v>
      </c>
      <c r="B372" s="6" t="s">
        <v>14</v>
      </c>
      <c r="D372" s="688">
        <v>45952</v>
      </c>
      <c r="E372" s="5" t="s">
        <v>15</v>
      </c>
      <c r="F372" s="8" t="s">
        <v>85</v>
      </c>
      <c r="G372" s="9" t="s">
        <v>405</v>
      </c>
      <c r="H372" s="6" t="s">
        <v>18</v>
      </c>
      <c r="I372" s="5">
        <v>50</v>
      </c>
      <c r="J372" s="10">
        <v>1.23</v>
      </c>
      <c r="K372" s="24">
        <v>1.8</v>
      </c>
      <c r="L372" s="5">
        <v>349.9</v>
      </c>
      <c r="M372" s="37">
        <v>7</v>
      </c>
      <c r="N372" s="11"/>
    </row>
    <row r="373" spans="1:15" ht="14.25" customHeight="1" x14ac:dyDescent="0.3">
      <c r="A373" s="665" t="s">
        <v>407</v>
      </c>
      <c r="B373" s="6" t="s">
        <v>14</v>
      </c>
      <c r="D373" s="54">
        <v>45952</v>
      </c>
      <c r="E373" s="36" t="s">
        <v>23</v>
      </c>
      <c r="F373" s="8" t="s">
        <v>85</v>
      </c>
      <c r="G373" s="5" t="s">
        <v>180</v>
      </c>
      <c r="H373" s="6" t="s">
        <v>18</v>
      </c>
      <c r="I373" s="5">
        <v>50</v>
      </c>
      <c r="J373" s="10">
        <v>1.21</v>
      </c>
      <c r="K373" s="24">
        <v>1.91</v>
      </c>
      <c r="L373" s="5">
        <v>224.2</v>
      </c>
      <c r="M373" s="37">
        <v>4.4800000000000004</v>
      </c>
      <c r="N373" s="11"/>
    </row>
    <row r="374" spans="1:15" ht="14.25" customHeight="1" x14ac:dyDescent="0.3">
      <c r="A374" s="670" t="s">
        <v>408</v>
      </c>
      <c r="B374" s="6" t="s">
        <v>93</v>
      </c>
      <c r="D374" s="690">
        <v>45986</v>
      </c>
      <c r="E374" s="36" t="s">
        <v>23</v>
      </c>
      <c r="F374" s="8" t="s">
        <v>85</v>
      </c>
      <c r="G374" s="12" t="s">
        <v>180</v>
      </c>
      <c r="H374" s="706"/>
      <c r="I374" s="13"/>
      <c r="J374" s="13"/>
      <c r="K374" s="49"/>
      <c r="L374" s="6"/>
      <c r="M374" s="670" t="e">
        <v>#DIV/0!</v>
      </c>
      <c r="N374" s="692"/>
    </row>
    <row r="375" spans="1:15" ht="14.25" customHeight="1" x14ac:dyDescent="0.3">
      <c r="A375" s="670" t="s">
        <v>409</v>
      </c>
      <c r="B375" s="6" t="s">
        <v>14</v>
      </c>
      <c r="D375" s="54">
        <v>45952</v>
      </c>
      <c r="E375" s="36" t="s">
        <v>23</v>
      </c>
      <c r="F375" s="8" t="s">
        <v>85</v>
      </c>
      <c r="G375" s="12" t="s">
        <v>94</v>
      </c>
      <c r="H375" s="6" t="s">
        <v>18</v>
      </c>
      <c r="I375" s="12">
        <v>50</v>
      </c>
      <c r="J375" s="10">
        <v>0.56999999999999995</v>
      </c>
      <c r="K375" s="23">
        <v>1.7</v>
      </c>
      <c r="L375" s="12">
        <v>200.4</v>
      </c>
      <c r="M375" s="33">
        <v>4.01</v>
      </c>
      <c r="N375" s="35"/>
    </row>
    <row r="376" spans="1:15" ht="14.25" customHeight="1" x14ac:dyDescent="0.3">
      <c r="A376" s="665" t="s">
        <v>410</v>
      </c>
      <c r="B376" s="6" t="s">
        <v>14</v>
      </c>
      <c r="D376" s="688">
        <v>45952</v>
      </c>
      <c r="E376" s="36" t="s">
        <v>23</v>
      </c>
      <c r="F376" s="8" t="s">
        <v>85</v>
      </c>
      <c r="G376" s="5" t="s">
        <v>94</v>
      </c>
      <c r="H376" s="6" t="s">
        <v>18</v>
      </c>
      <c r="I376" s="5">
        <v>50</v>
      </c>
      <c r="J376" s="10">
        <v>0.74</v>
      </c>
      <c r="K376" s="23">
        <v>1.75</v>
      </c>
      <c r="L376" s="5">
        <v>244</v>
      </c>
      <c r="M376" s="37">
        <v>4.88</v>
      </c>
      <c r="N376" s="11"/>
    </row>
    <row r="377" spans="1:15" ht="14.25" customHeight="1" x14ac:dyDescent="0.3">
      <c r="A377" s="33" t="s">
        <v>411</v>
      </c>
      <c r="B377" s="6" t="s">
        <v>14</v>
      </c>
      <c r="D377" s="688">
        <v>45952</v>
      </c>
      <c r="E377" s="36" t="s">
        <v>23</v>
      </c>
      <c r="F377" s="8" t="s">
        <v>85</v>
      </c>
      <c r="G377" s="12" t="s">
        <v>94</v>
      </c>
      <c r="H377" s="6" t="s">
        <v>18</v>
      </c>
      <c r="I377" s="12">
        <v>50</v>
      </c>
      <c r="J377" s="10">
        <v>1.54</v>
      </c>
      <c r="K377" s="24">
        <v>1.95</v>
      </c>
      <c r="L377" s="12">
        <v>404.6</v>
      </c>
      <c r="M377" s="33">
        <v>8.09</v>
      </c>
      <c r="N377" s="35"/>
    </row>
    <row r="378" spans="1:15" ht="14.25" customHeight="1" x14ac:dyDescent="0.3">
      <c r="A378" s="37" t="s">
        <v>412</v>
      </c>
      <c r="B378" s="6" t="s">
        <v>14</v>
      </c>
      <c r="D378" s="688">
        <v>45952</v>
      </c>
      <c r="E378" s="36" t="s">
        <v>23</v>
      </c>
      <c r="F378" s="8" t="s">
        <v>85</v>
      </c>
      <c r="G378" s="5" t="s">
        <v>94</v>
      </c>
      <c r="H378" s="6" t="s">
        <v>18</v>
      </c>
      <c r="I378" s="5">
        <v>50</v>
      </c>
      <c r="J378" s="10">
        <v>1.49</v>
      </c>
      <c r="K378" s="24">
        <v>1.96</v>
      </c>
      <c r="L378" s="5">
        <v>75.3</v>
      </c>
      <c r="M378" s="37">
        <v>1.51</v>
      </c>
      <c r="N378" s="11"/>
    </row>
    <row r="379" spans="1:15" ht="14.25" customHeight="1" x14ac:dyDescent="0.3">
      <c r="A379" s="670" t="s">
        <v>413</v>
      </c>
      <c r="B379" s="6" t="s">
        <v>14</v>
      </c>
      <c r="D379" s="690">
        <v>45940</v>
      </c>
      <c r="E379" s="39" t="s">
        <v>88</v>
      </c>
      <c r="F379" s="8" t="s">
        <v>85</v>
      </c>
      <c r="G379" s="12" t="s">
        <v>101</v>
      </c>
      <c r="H379" s="6" t="s">
        <v>18</v>
      </c>
      <c r="I379" s="12">
        <v>100</v>
      </c>
      <c r="J379" s="10">
        <v>0</v>
      </c>
      <c r="K379" s="10">
        <v>0</v>
      </c>
      <c r="L379" s="12">
        <v>0</v>
      </c>
      <c r="M379" s="33">
        <v>0</v>
      </c>
      <c r="N379" s="35"/>
    </row>
    <row r="380" spans="1:15" ht="14.25" customHeight="1" x14ac:dyDescent="0.3">
      <c r="A380" s="665" t="s">
        <v>414</v>
      </c>
      <c r="B380" s="6" t="s">
        <v>14</v>
      </c>
      <c r="D380" s="687">
        <v>45940</v>
      </c>
      <c r="E380" s="39" t="s">
        <v>88</v>
      </c>
      <c r="F380" s="8" t="s">
        <v>85</v>
      </c>
      <c r="G380" s="5" t="s">
        <v>101</v>
      </c>
      <c r="H380" s="6" t="s">
        <v>18</v>
      </c>
      <c r="I380" s="5">
        <v>100</v>
      </c>
      <c r="J380" s="10">
        <v>0.85</v>
      </c>
      <c r="K380" s="10">
        <v>1.3</v>
      </c>
      <c r="L380" s="5">
        <v>149.6</v>
      </c>
      <c r="M380" s="37">
        <v>1.5</v>
      </c>
      <c r="N380" s="11"/>
    </row>
    <row r="381" spans="1:15" ht="14.25" customHeight="1" x14ac:dyDescent="0.3">
      <c r="A381" s="33" t="s">
        <v>415</v>
      </c>
      <c r="B381" s="6" t="s">
        <v>14</v>
      </c>
      <c r="D381" s="690">
        <v>45940</v>
      </c>
      <c r="E381" s="39" t="s">
        <v>88</v>
      </c>
      <c r="F381" s="8" t="s">
        <v>85</v>
      </c>
      <c r="G381" s="12" t="s">
        <v>101</v>
      </c>
      <c r="H381" s="6" t="s">
        <v>18</v>
      </c>
      <c r="I381" s="12">
        <v>100</v>
      </c>
      <c r="J381" s="10">
        <v>1.29</v>
      </c>
      <c r="K381" s="10">
        <v>1.35</v>
      </c>
      <c r="L381" s="12">
        <v>127</v>
      </c>
      <c r="M381" s="33">
        <v>1.27</v>
      </c>
      <c r="N381" s="35"/>
    </row>
    <row r="382" spans="1:15" ht="14.25" customHeight="1" x14ac:dyDescent="0.3">
      <c r="A382" s="665" t="s">
        <v>416</v>
      </c>
      <c r="B382" s="6" t="s">
        <v>93</v>
      </c>
      <c r="D382" s="687">
        <v>46000</v>
      </c>
      <c r="E382" s="36" t="s">
        <v>23</v>
      </c>
      <c r="F382" s="8" t="s">
        <v>85</v>
      </c>
      <c r="G382" s="5" t="s">
        <v>242</v>
      </c>
      <c r="H382" s="706"/>
      <c r="I382" s="9"/>
      <c r="J382" s="9"/>
      <c r="K382" s="49"/>
      <c r="L382" s="6"/>
      <c r="M382" s="665" t="e">
        <v>#DIV/0!</v>
      </c>
      <c r="N382" s="678"/>
      <c r="O382" s="37" t="s">
        <v>160</v>
      </c>
    </row>
    <row r="383" spans="1:15" ht="14.25" customHeight="1" x14ac:dyDescent="0.3">
      <c r="A383" s="665" t="s">
        <v>417</v>
      </c>
      <c r="B383" s="6" t="s">
        <v>93</v>
      </c>
      <c r="D383" s="55">
        <v>45986</v>
      </c>
      <c r="E383" s="36" t="s">
        <v>23</v>
      </c>
      <c r="F383" s="8" t="s">
        <v>85</v>
      </c>
      <c r="G383" s="5" t="s">
        <v>94</v>
      </c>
      <c r="H383" s="706"/>
      <c r="I383" s="9"/>
      <c r="J383" s="9"/>
      <c r="K383" s="49"/>
      <c r="L383" s="6"/>
      <c r="M383" s="665" t="e">
        <v>#DIV/0!</v>
      </c>
      <c r="N383" s="678"/>
    </row>
    <row r="384" spans="1:15" ht="14.25" customHeight="1" x14ac:dyDescent="0.3">
      <c r="A384" s="665" t="s">
        <v>418</v>
      </c>
      <c r="B384" s="6" t="s">
        <v>14</v>
      </c>
      <c r="D384" s="55">
        <v>45958</v>
      </c>
      <c r="E384" s="36" t="s">
        <v>23</v>
      </c>
      <c r="F384" s="8" t="s">
        <v>85</v>
      </c>
      <c r="G384" s="5" t="s">
        <v>94</v>
      </c>
      <c r="H384" s="6" t="s">
        <v>18</v>
      </c>
      <c r="I384" s="5">
        <v>50</v>
      </c>
      <c r="J384" s="10">
        <v>0.5</v>
      </c>
      <c r="K384" s="10">
        <v>2.7</v>
      </c>
      <c r="L384" s="5">
        <v>1.4</v>
      </c>
      <c r="M384" s="665">
        <v>0.03</v>
      </c>
      <c r="N384" s="678"/>
    </row>
    <row r="385" spans="1:15" ht="14.25" customHeight="1" x14ac:dyDescent="0.3">
      <c r="A385" s="670" t="s">
        <v>419</v>
      </c>
      <c r="B385" s="6" t="s">
        <v>14</v>
      </c>
      <c r="D385" s="53">
        <v>45958</v>
      </c>
      <c r="E385" s="39" t="s">
        <v>88</v>
      </c>
      <c r="F385" s="8" t="s">
        <v>85</v>
      </c>
      <c r="G385" s="12" t="s">
        <v>101</v>
      </c>
      <c r="H385" s="6" t="s">
        <v>18</v>
      </c>
      <c r="I385" s="12">
        <v>50</v>
      </c>
      <c r="J385" s="10">
        <v>0.28999999999999998</v>
      </c>
      <c r="K385" s="10">
        <v>1.38</v>
      </c>
      <c r="L385" s="12">
        <v>11.3</v>
      </c>
      <c r="M385" s="33">
        <v>0.23</v>
      </c>
      <c r="N385" s="35"/>
    </row>
    <row r="386" spans="1:15" ht="14.25" customHeight="1" x14ac:dyDescent="0.3">
      <c r="A386" s="37" t="s">
        <v>420</v>
      </c>
      <c r="B386" s="6" t="s">
        <v>14</v>
      </c>
      <c r="D386" s="55">
        <v>45940</v>
      </c>
      <c r="E386" s="39" t="s">
        <v>88</v>
      </c>
      <c r="F386" s="8" t="s">
        <v>85</v>
      </c>
      <c r="G386" s="5" t="s">
        <v>101</v>
      </c>
      <c r="H386" s="6" t="s">
        <v>18</v>
      </c>
      <c r="I386" s="5">
        <v>100</v>
      </c>
      <c r="J386" s="10">
        <v>1.67</v>
      </c>
      <c r="K386" s="24">
        <v>1.84</v>
      </c>
      <c r="L386" s="5">
        <v>39</v>
      </c>
      <c r="M386" s="37">
        <v>0.39</v>
      </c>
      <c r="N386" s="11"/>
    </row>
    <row r="387" spans="1:15" ht="14.25" customHeight="1" x14ac:dyDescent="0.3">
      <c r="A387" s="33" t="s">
        <v>421</v>
      </c>
      <c r="B387" s="6" t="s">
        <v>14</v>
      </c>
      <c r="D387" s="690">
        <v>45978</v>
      </c>
      <c r="E387" s="36" t="s">
        <v>23</v>
      </c>
      <c r="F387" s="12" t="s">
        <v>34</v>
      </c>
      <c r="G387" s="12" t="s">
        <v>318</v>
      </c>
      <c r="H387" s="6" t="s">
        <v>18</v>
      </c>
      <c r="I387" s="12">
        <v>50</v>
      </c>
      <c r="J387" s="23">
        <v>1.87</v>
      </c>
      <c r="K387" s="24">
        <v>1.95</v>
      </c>
      <c r="L387" s="12">
        <v>140.4</v>
      </c>
      <c r="M387" s="670">
        <v>2.81</v>
      </c>
      <c r="N387" s="692"/>
    </row>
    <row r="388" spans="1:15" ht="14.25" customHeight="1" x14ac:dyDescent="0.3">
      <c r="A388" s="670" t="s">
        <v>422</v>
      </c>
      <c r="B388" s="6" t="s">
        <v>14</v>
      </c>
      <c r="D388" s="53">
        <v>45940</v>
      </c>
      <c r="E388" s="39" t="s">
        <v>88</v>
      </c>
      <c r="F388" s="8" t="s">
        <v>85</v>
      </c>
      <c r="G388" s="12" t="s">
        <v>101</v>
      </c>
      <c r="H388" s="6" t="s">
        <v>18</v>
      </c>
      <c r="I388" s="12">
        <v>100</v>
      </c>
      <c r="J388" s="10">
        <v>0</v>
      </c>
      <c r="K388" s="24">
        <v>1.89</v>
      </c>
      <c r="L388" s="12">
        <v>101.2</v>
      </c>
      <c r="M388" s="33">
        <v>1.01</v>
      </c>
      <c r="N388" s="35"/>
    </row>
    <row r="389" spans="1:15" ht="14.25" customHeight="1" x14ac:dyDescent="0.3">
      <c r="A389" s="665" t="s">
        <v>423</v>
      </c>
      <c r="B389" s="6" t="s">
        <v>14</v>
      </c>
      <c r="D389" s="55">
        <v>45940</v>
      </c>
      <c r="E389" s="36" t="s">
        <v>23</v>
      </c>
      <c r="F389" s="8" t="s">
        <v>85</v>
      </c>
      <c r="G389" s="5" t="s">
        <v>424</v>
      </c>
      <c r="H389" s="6" t="s">
        <v>18</v>
      </c>
      <c r="I389" s="5">
        <v>100</v>
      </c>
      <c r="J389" s="10">
        <v>0.94</v>
      </c>
      <c r="K389" s="24">
        <v>1.82</v>
      </c>
      <c r="L389" s="5">
        <v>74.900000000000006</v>
      </c>
      <c r="M389" s="37">
        <v>0.75</v>
      </c>
      <c r="N389" s="11"/>
    </row>
    <row r="390" spans="1:15" ht="14.25" customHeight="1" x14ac:dyDescent="0.3">
      <c r="A390" s="37" t="s">
        <v>425</v>
      </c>
      <c r="B390" s="6" t="s">
        <v>14</v>
      </c>
      <c r="D390" s="55">
        <v>45978</v>
      </c>
      <c r="E390" s="36" t="s">
        <v>23</v>
      </c>
      <c r="F390" s="5" t="s">
        <v>34</v>
      </c>
      <c r="G390" s="5" t="s">
        <v>426</v>
      </c>
      <c r="H390" s="6" t="s">
        <v>18</v>
      </c>
      <c r="I390" s="5">
        <v>50</v>
      </c>
      <c r="J390" s="10">
        <v>1.0900000000000001</v>
      </c>
      <c r="K390" s="24">
        <v>1.83</v>
      </c>
      <c r="L390" s="5">
        <v>414.9</v>
      </c>
      <c r="M390" s="37">
        <v>8.3000000000000007</v>
      </c>
      <c r="N390" s="11"/>
    </row>
    <row r="391" spans="1:15" ht="14.25" customHeight="1" x14ac:dyDescent="0.3">
      <c r="A391" s="33" t="s">
        <v>427</v>
      </c>
      <c r="B391" s="6" t="s">
        <v>14</v>
      </c>
      <c r="D391" s="690">
        <v>45978</v>
      </c>
      <c r="E391" s="36" t="s">
        <v>23</v>
      </c>
      <c r="F391" s="12" t="s">
        <v>34</v>
      </c>
      <c r="G391" s="12" t="s">
        <v>318</v>
      </c>
      <c r="H391" s="6" t="s">
        <v>18</v>
      </c>
      <c r="I391" s="12">
        <v>50</v>
      </c>
      <c r="J391" s="10">
        <v>1.42</v>
      </c>
      <c r="K391" s="24">
        <v>1.94</v>
      </c>
      <c r="L391" s="12">
        <v>388</v>
      </c>
      <c r="M391" s="670">
        <v>7.76</v>
      </c>
      <c r="N391" s="692"/>
    </row>
    <row r="392" spans="1:15" ht="14.25" customHeight="1" x14ac:dyDescent="0.3">
      <c r="A392" s="37" t="s">
        <v>428</v>
      </c>
      <c r="B392" s="6" t="s">
        <v>14</v>
      </c>
      <c r="D392" s="687">
        <v>45978</v>
      </c>
      <c r="E392" s="36" t="s">
        <v>23</v>
      </c>
      <c r="F392" s="5" t="s">
        <v>34</v>
      </c>
      <c r="G392" s="5" t="s">
        <v>318</v>
      </c>
      <c r="H392" s="6" t="s">
        <v>18</v>
      </c>
      <c r="I392" s="5">
        <v>50</v>
      </c>
      <c r="J392" s="10">
        <v>1.61</v>
      </c>
      <c r="K392" s="24">
        <v>1.98</v>
      </c>
      <c r="L392" s="5">
        <v>60.6</v>
      </c>
      <c r="M392" s="37">
        <v>1.21</v>
      </c>
      <c r="N392" s="11"/>
    </row>
    <row r="393" spans="1:15" ht="14.25" customHeight="1" x14ac:dyDescent="0.3">
      <c r="A393" s="33" t="s">
        <v>429</v>
      </c>
      <c r="B393" s="6" t="s">
        <v>14</v>
      </c>
      <c r="D393" s="690">
        <v>45978</v>
      </c>
      <c r="E393" s="36" t="s">
        <v>23</v>
      </c>
      <c r="F393" s="12" t="s">
        <v>34</v>
      </c>
      <c r="G393" s="12" t="s">
        <v>318</v>
      </c>
      <c r="H393" s="6" t="s">
        <v>18</v>
      </c>
      <c r="I393" s="12">
        <v>50</v>
      </c>
      <c r="J393" s="10">
        <v>2.3199999999999998</v>
      </c>
      <c r="K393" s="24">
        <v>1.93</v>
      </c>
      <c r="L393" s="12">
        <v>174.5</v>
      </c>
      <c r="M393" s="33">
        <v>3.49</v>
      </c>
      <c r="N393" s="692"/>
      <c r="O393" s="669"/>
    </row>
    <row r="394" spans="1:15" ht="14.25" customHeight="1" x14ac:dyDescent="0.3">
      <c r="A394" s="670" t="s">
        <v>430</v>
      </c>
      <c r="B394" s="6" t="s">
        <v>14</v>
      </c>
      <c r="D394" s="53">
        <v>45940</v>
      </c>
      <c r="E394" s="36" t="s">
        <v>23</v>
      </c>
      <c r="F394" s="8" t="s">
        <v>85</v>
      </c>
      <c r="G394" s="12" t="s">
        <v>318</v>
      </c>
      <c r="H394" s="6" t="s">
        <v>18</v>
      </c>
      <c r="I394" s="12">
        <v>100</v>
      </c>
      <c r="J394" s="10">
        <v>1.6</v>
      </c>
      <c r="K394" s="10">
        <v>1.59</v>
      </c>
      <c r="L394" s="12">
        <v>4.8</v>
      </c>
      <c r="M394" s="33">
        <v>0.05</v>
      </c>
      <c r="N394" s="35"/>
    </row>
    <row r="395" spans="1:15" ht="14.25" customHeight="1" x14ac:dyDescent="0.3">
      <c r="A395" s="95" t="s">
        <v>431</v>
      </c>
      <c r="B395" s="19" t="s">
        <v>22</v>
      </c>
      <c r="D395" s="667">
        <v>45756</v>
      </c>
      <c r="E395" s="39" t="s">
        <v>88</v>
      </c>
      <c r="F395" s="8" t="s">
        <v>85</v>
      </c>
      <c r="G395" s="40" t="s">
        <v>89</v>
      </c>
      <c r="H395" s="17" t="s">
        <v>26</v>
      </c>
      <c r="I395" s="17">
        <v>50</v>
      </c>
      <c r="J395" s="26">
        <v>31.778430783863389</v>
      </c>
      <c r="K395" s="8">
        <v>1.9795783693692173</v>
      </c>
      <c r="L395" s="8">
        <v>2.1150333052492254</v>
      </c>
      <c r="M395" s="96"/>
    </row>
    <row r="396" spans="1:15" ht="14.25" customHeight="1" x14ac:dyDescent="0.3">
      <c r="A396" s="662" t="s">
        <v>432</v>
      </c>
      <c r="B396" s="19" t="s">
        <v>22</v>
      </c>
      <c r="D396" s="666">
        <v>45933</v>
      </c>
      <c r="E396" s="16" t="s">
        <v>23</v>
      </c>
      <c r="F396" s="8" t="s">
        <v>85</v>
      </c>
      <c r="G396" s="16" t="s">
        <v>94</v>
      </c>
      <c r="H396" s="44" t="s">
        <v>26</v>
      </c>
      <c r="I396" s="17">
        <v>50</v>
      </c>
      <c r="J396" s="19">
        <v>4.1500000000000004</v>
      </c>
      <c r="K396" s="19">
        <v>1.78</v>
      </c>
      <c r="L396" s="19">
        <v>0.25</v>
      </c>
      <c r="M396" s="96"/>
      <c r="N396" s="99"/>
    </row>
    <row r="397" spans="1:15" ht="14.25" customHeight="1" x14ac:dyDescent="0.3">
      <c r="A397" s="662" t="s">
        <v>433</v>
      </c>
      <c r="B397" s="19" t="s">
        <v>22</v>
      </c>
      <c r="D397" s="666">
        <v>45933</v>
      </c>
      <c r="E397" s="16" t="s">
        <v>23</v>
      </c>
      <c r="F397" s="8" t="s">
        <v>85</v>
      </c>
      <c r="G397" s="16" t="s">
        <v>94</v>
      </c>
      <c r="H397" s="663" t="s">
        <v>26</v>
      </c>
      <c r="I397" s="17">
        <v>50</v>
      </c>
      <c r="J397" s="19">
        <v>6.6</v>
      </c>
      <c r="K397" s="19">
        <v>3.01</v>
      </c>
      <c r="L397" s="19">
        <v>0.05</v>
      </c>
      <c r="M397" s="673"/>
      <c r="N397" s="663"/>
      <c r="O397" s="669"/>
    </row>
    <row r="398" spans="1:15" ht="14.25" customHeight="1" x14ac:dyDescent="0.3">
      <c r="A398" s="662" t="s">
        <v>434</v>
      </c>
      <c r="B398" s="19" t="s">
        <v>22</v>
      </c>
      <c r="D398" s="666">
        <v>45933</v>
      </c>
      <c r="E398" s="16" t="s">
        <v>23</v>
      </c>
      <c r="F398" s="8" t="s">
        <v>85</v>
      </c>
      <c r="G398" s="16" t="s">
        <v>94</v>
      </c>
      <c r="H398" s="663" t="s">
        <v>26</v>
      </c>
      <c r="I398" s="17">
        <v>50</v>
      </c>
      <c r="J398" s="19">
        <v>7.1</v>
      </c>
      <c r="K398" s="19">
        <v>2.21</v>
      </c>
      <c r="L398" s="19">
        <v>0.2</v>
      </c>
      <c r="M398" s="673"/>
      <c r="N398" s="663"/>
      <c r="O398" s="663"/>
    </row>
    <row r="399" spans="1:15" ht="14.25" customHeight="1" x14ac:dyDescent="0.3">
      <c r="A399" s="664" t="s">
        <v>435</v>
      </c>
      <c r="B399" s="19" t="s">
        <v>22</v>
      </c>
      <c r="D399" s="664" t="s">
        <v>436</v>
      </c>
      <c r="E399" s="39" t="s">
        <v>88</v>
      </c>
      <c r="F399" s="8" t="s">
        <v>85</v>
      </c>
      <c r="G399" s="40" t="s">
        <v>89</v>
      </c>
      <c r="H399" s="663" t="s">
        <v>26</v>
      </c>
      <c r="I399" s="14" t="s">
        <v>437</v>
      </c>
      <c r="J399" s="26">
        <v>74.86478543010162</v>
      </c>
      <c r="K399" s="8">
        <v>2.2955214415838667</v>
      </c>
      <c r="L399" s="8">
        <v>1.8916080041223584</v>
      </c>
      <c r="M399" s="673"/>
      <c r="N399" s="663"/>
      <c r="O399" s="669"/>
    </row>
    <row r="400" spans="1:15" ht="14.25" customHeight="1" x14ac:dyDescent="0.3">
      <c r="A400" s="662" t="s">
        <v>438</v>
      </c>
      <c r="B400" s="19" t="s">
        <v>22</v>
      </c>
      <c r="D400" s="666">
        <v>45922</v>
      </c>
      <c r="E400" s="39" t="s">
        <v>88</v>
      </c>
      <c r="F400" s="8" t="s">
        <v>85</v>
      </c>
      <c r="G400" s="40" t="s">
        <v>89</v>
      </c>
      <c r="H400" s="663" t="s">
        <v>26</v>
      </c>
      <c r="I400" s="663">
        <v>50</v>
      </c>
      <c r="J400" s="19">
        <v>374.7</v>
      </c>
      <c r="K400" s="19" t="s">
        <v>439</v>
      </c>
      <c r="L400" s="662">
        <v>1.3</v>
      </c>
      <c r="M400" s="674"/>
      <c r="N400" s="663"/>
      <c r="O400" s="669"/>
    </row>
    <row r="401" spans="1:15" ht="14.25" customHeight="1" x14ac:dyDescent="0.3">
      <c r="A401" s="664" t="s">
        <v>440</v>
      </c>
      <c r="B401" s="19" t="s">
        <v>22</v>
      </c>
      <c r="D401" s="667">
        <v>45756</v>
      </c>
      <c r="E401" s="39" t="s">
        <v>88</v>
      </c>
      <c r="F401" s="8" t="s">
        <v>85</v>
      </c>
      <c r="G401" s="40" t="s">
        <v>89</v>
      </c>
      <c r="H401" s="17" t="s">
        <v>26</v>
      </c>
      <c r="I401" s="663">
        <v>50</v>
      </c>
      <c r="J401" s="26">
        <v>17.554011785592781</v>
      </c>
      <c r="K401" s="8">
        <v>1.6404924821349891</v>
      </c>
      <c r="L401" s="671">
        <v>0.89120353058836743</v>
      </c>
      <c r="M401" s="96"/>
      <c r="N401" s="31"/>
    </row>
    <row r="402" spans="1:15" ht="14.25" customHeight="1" x14ac:dyDescent="0.3">
      <c r="A402" s="664" t="s">
        <v>441</v>
      </c>
      <c r="B402" s="19" t="s">
        <v>22</v>
      </c>
      <c r="D402" s="667">
        <v>45763</v>
      </c>
      <c r="E402" s="39" t="s">
        <v>88</v>
      </c>
      <c r="F402" s="17" t="s">
        <v>442</v>
      </c>
      <c r="G402" s="40" t="s">
        <v>89</v>
      </c>
      <c r="H402" s="17" t="s">
        <v>26</v>
      </c>
      <c r="I402" s="663">
        <v>30</v>
      </c>
      <c r="J402" s="26">
        <v>23.450452050536448</v>
      </c>
      <c r="K402" s="8">
        <v>1.1999889965121726</v>
      </c>
      <c r="L402" s="671">
        <v>2.0045647160251465</v>
      </c>
      <c r="M402" s="96"/>
      <c r="N402" s="44"/>
      <c r="O402" s="44"/>
    </row>
    <row r="403" spans="1:15" ht="14.25" customHeight="1" x14ac:dyDescent="0.3">
      <c r="A403" s="664" t="s">
        <v>443</v>
      </c>
      <c r="B403" s="19" t="s">
        <v>22</v>
      </c>
      <c r="D403" s="29">
        <v>45817</v>
      </c>
      <c r="E403" s="39" t="s">
        <v>88</v>
      </c>
      <c r="F403" s="17" t="s">
        <v>442</v>
      </c>
      <c r="G403" s="40" t="s">
        <v>89</v>
      </c>
      <c r="H403" s="17" t="s">
        <v>26</v>
      </c>
      <c r="I403" s="663">
        <v>45</v>
      </c>
      <c r="J403" s="26">
        <v>23.493386427073197</v>
      </c>
      <c r="K403" s="8">
        <v>1.9119713790426558</v>
      </c>
      <c r="L403" s="671">
        <v>1.3316469826228734</v>
      </c>
      <c r="M403" s="96"/>
      <c r="N403" s="44"/>
    </row>
    <row r="404" spans="1:15" ht="14.25" customHeight="1" x14ac:dyDescent="0.3">
      <c r="A404" s="664" t="s">
        <v>444</v>
      </c>
      <c r="B404" s="19" t="s">
        <v>22</v>
      </c>
      <c r="D404" s="29">
        <v>45817</v>
      </c>
      <c r="E404" s="39" t="s">
        <v>88</v>
      </c>
      <c r="F404" s="17" t="s">
        <v>442</v>
      </c>
      <c r="G404" s="40" t="s">
        <v>89</v>
      </c>
      <c r="H404" s="17" t="s">
        <v>26</v>
      </c>
      <c r="I404" s="663">
        <v>45</v>
      </c>
      <c r="J404" s="26">
        <v>22.579632061423126</v>
      </c>
      <c r="K404" s="8">
        <v>1.9124789669830369</v>
      </c>
      <c r="L404" s="671">
        <v>1.5221904593641951</v>
      </c>
      <c r="M404" s="96"/>
      <c r="N404" s="99" t="s">
        <v>445</v>
      </c>
    </row>
    <row r="405" spans="1:15" ht="14.25" customHeight="1" x14ac:dyDescent="0.3">
      <c r="A405" s="663" t="s">
        <v>446</v>
      </c>
      <c r="B405" s="19" t="s">
        <v>22</v>
      </c>
      <c r="D405" s="667">
        <v>45733</v>
      </c>
      <c r="E405" s="39" t="s">
        <v>88</v>
      </c>
      <c r="F405" s="8" t="s">
        <v>85</v>
      </c>
      <c r="G405" s="40" t="s">
        <v>89</v>
      </c>
      <c r="H405" s="17" t="s">
        <v>26</v>
      </c>
      <c r="I405" s="663">
        <v>50</v>
      </c>
      <c r="J405" s="19">
        <v>26.3</v>
      </c>
      <c r="K405" s="19" t="s">
        <v>448</v>
      </c>
      <c r="L405" s="662" t="s">
        <v>447</v>
      </c>
      <c r="M405" s="673"/>
      <c r="N405" s="677" t="s">
        <v>75</v>
      </c>
      <c r="O405" s="669"/>
    </row>
    <row r="406" spans="1:15" ht="14.25" customHeight="1" x14ac:dyDescent="0.3">
      <c r="A406" s="663" t="s">
        <v>449</v>
      </c>
      <c r="B406" s="6" t="s">
        <v>22</v>
      </c>
      <c r="D406" s="667">
        <v>45768</v>
      </c>
      <c r="E406" s="16" t="s">
        <v>23</v>
      </c>
      <c r="F406" s="8" t="s">
        <v>85</v>
      </c>
      <c r="G406" s="16" t="s">
        <v>94</v>
      </c>
      <c r="H406" s="17" t="s">
        <v>26</v>
      </c>
      <c r="I406" s="663">
        <v>50</v>
      </c>
      <c r="J406" s="17" t="s">
        <v>451</v>
      </c>
      <c r="K406" s="17" t="s">
        <v>451</v>
      </c>
      <c r="L406" s="663" t="s">
        <v>450</v>
      </c>
      <c r="M406" s="663" t="s">
        <v>451</v>
      </c>
      <c r="N406" s="663" t="s">
        <v>451</v>
      </c>
      <c r="O406" s="669"/>
    </row>
    <row r="407" spans="1:15" ht="14.25" customHeight="1" x14ac:dyDescent="0.3">
      <c r="A407" s="664" t="s">
        <v>452</v>
      </c>
      <c r="B407" s="6" t="s">
        <v>22</v>
      </c>
      <c r="D407" s="667">
        <v>45763</v>
      </c>
      <c r="E407" s="39" t="s">
        <v>88</v>
      </c>
      <c r="F407" s="8" t="s">
        <v>85</v>
      </c>
      <c r="G407" s="40" t="s">
        <v>89</v>
      </c>
      <c r="H407" s="17" t="s">
        <v>26</v>
      </c>
      <c r="I407" s="663">
        <v>30</v>
      </c>
      <c r="J407" s="26">
        <v>48.318817935841338</v>
      </c>
      <c r="K407" s="8">
        <v>1.1427799190963606</v>
      </c>
      <c r="L407" s="669"/>
      <c r="M407" s="96"/>
    </row>
    <row r="408" spans="1:15" ht="14.25" customHeight="1" x14ac:dyDescent="0.3">
      <c r="A408" s="664" t="s">
        <v>453</v>
      </c>
      <c r="B408" s="6" t="s">
        <v>22</v>
      </c>
      <c r="D408" s="667">
        <v>45817</v>
      </c>
      <c r="E408" s="39" t="s">
        <v>88</v>
      </c>
      <c r="F408" s="8" t="s">
        <v>85</v>
      </c>
      <c r="G408" s="40" t="s">
        <v>89</v>
      </c>
      <c r="H408" s="17" t="s">
        <v>26</v>
      </c>
      <c r="I408" s="663">
        <v>40</v>
      </c>
      <c r="J408" s="26">
        <v>50.520508078026729</v>
      </c>
      <c r="K408" s="8">
        <v>2.0449057726704072</v>
      </c>
      <c r="M408" s="673"/>
      <c r="N408" s="669"/>
      <c r="O408" s="669"/>
    </row>
    <row r="409" spans="1:15" ht="14.25" customHeight="1" thickBot="1" x14ac:dyDescent="0.35">
      <c r="A409" s="662" t="s">
        <v>454</v>
      </c>
      <c r="B409" s="6" t="s">
        <v>22</v>
      </c>
      <c r="D409" s="666">
        <v>45933</v>
      </c>
      <c r="E409" s="39" t="s">
        <v>88</v>
      </c>
      <c r="F409" s="8" t="s">
        <v>85</v>
      </c>
      <c r="G409" s="40" t="s">
        <v>89</v>
      </c>
      <c r="H409" s="663" t="s">
        <v>455</v>
      </c>
      <c r="I409" s="663">
        <v>50</v>
      </c>
      <c r="J409" s="19">
        <v>11.6</v>
      </c>
      <c r="K409" s="19">
        <v>36.270000000000003</v>
      </c>
      <c r="L409" s="669"/>
      <c r="M409" s="673"/>
      <c r="N409" s="669"/>
      <c r="O409" s="669"/>
    </row>
    <row r="410" spans="1:15" ht="14.25" customHeight="1" thickBot="1" x14ac:dyDescent="0.35">
      <c r="A410" s="101" t="s">
        <v>456</v>
      </c>
      <c r="B410" s="102" t="s">
        <v>22</v>
      </c>
      <c r="D410" s="666">
        <v>45931</v>
      </c>
      <c r="E410" s="39" t="s">
        <v>88</v>
      </c>
      <c r="F410" s="8" t="s">
        <v>85</v>
      </c>
      <c r="G410" s="40" t="s">
        <v>89</v>
      </c>
      <c r="H410" s="44" t="s">
        <v>455</v>
      </c>
      <c r="I410" s="17">
        <v>50</v>
      </c>
      <c r="J410" s="19">
        <v>5.8</v>
      </c>
      <c r="K410" s="19">
        <v>1.83</v>
      </c>
      <c r="L410" s="102"/>
      <c r="M410" s="96"/>
      <c r="N410" s="99" t="s">
        <v>445</v>
      </c>
    </row>
    <row r="411" spans="1:15" ht="14.25" customHeight="1" thickBot="1" x14ac:dyDescent="0.35">
      <c r="A411" s="103" t="s">
        <v>457</v>
      </c>
      <c r="B411" s="102" t="s">
        <v>22</v>
      </c>
      <c r="D411" s="667">
        <v>45768</v>
      </c>
      <c r="E411" s="16" t="s">
        <v>23</v>
      </c>
      <c r="F411" s="8" t="s">
        <v>85</v>
      </c>
      <c r="G411" s="16" t="s">
        <v>94</v>
      </c>
      <c r="H411" s="17" t="s">
        <v>26</v>
      </c>
      <c r="I411" s="17">
        <v>40</v>
      </c>
      <c r="J411" s="26">
        <v>50.520508078026729</v>
      </c>
      <c r="K411" s="8">
        <v>2.0449057726704072</v>
      </c>
      <c r="L411" s="102"/>
      <c r="M411" s="674"/>
      <c r="N411" s="676" t="s">
        <v>445</v>
      </c>
      <c r="O411" s="669"/>
    </row>
    <row r="412" spans="1:15" ht="14.25" customHeight="1" thickBot="1" x14ac:dyDescent="0.35">
      <c r="A412" s="103" t="s">
        <v>458</v>
      </c>
      <c r="B412" s="102" t="s">
        <v>22</v>
      </c>
      <c r="D412" s="667">
        <v>45768</v>
      </c>
      <c r="E412" s="16" t="s">
        <v>23</v>
      </c>
      <c r="F412" s="8" t="s">
        <v>85</v>
      </c>
      <c r="G412" s="16" t="s">
        <v>94</v>
      </c>
      <c r="H412" s="17" t="s">
        <v>26</v>
      </c>
      <c r="I412" s="17">
        <v>40</v>
      </c>
      <c r="J412" s="26">
        <v>50.520508078026729</v>
      </c>
      <c r="K412" s="8">
        <v>2.0449057726704072</v>
      </c>
      <c r="L412" s="102"/>
      <c r="M412" s="674"/>
      <c r="N412" s="676" t="s">
        <v>445</v>
      </c>
      <c r="O412" s="669"/>
    </row>
    <row r="413" spans="1:15" ht="14.25" customHeight="1" thickBot="1" x14ac:dyDescent="0.35">
      <c r="A413" s="103" t="s">
        <v>459</v>
      </c>
      <c r="B413" s="102" t="s">
        <v>22</v>
      </c>
      <c r="D413" s="667">
        <v>45768</v>
      </c>
      <c r="E413" s="16" t="s">
        <v>23</v>
      </c>
      <c r="F413" s="8" t="s">
        <v>85</v>
      </c>
      <c r="G413" s="16" t="s">
        <v>94</v>
      </c>
      <c r="H413" s="17" t="s">
        <v>26</v>
      </c>
      <c r="I413" s="17">
        <v>40</v>
      </c>
      <c r="J413" s="26">
        <v>50.520508078026729</v>
      </c>
      <c r="K413" s="8">
        <v>2.0449057726704072</v>
      </c>
      <c r="L413" s="102"/>
      <c r="M413" s="674"/>
      <c r="N413" s="669"/>
      <c r="O413" s="669"/>
    </row>
    <row r="414" spans="1:15" ht="14.25" customHeight="1" thickBot="1" x14ac:dyDescent="0.35">
      <c r="A414" s="103" t="s">
        <v>460</v>
      </c>
      <c r="B414" s="102" t="s">
        <v>22</v>
      </c>
      <c r="D414" s="667">
        <v>45768</v>
      </c>
      <c r="E414" s="16" t="s">
        <v>23</v>
      </c>
      <c r="F414" s="8" t="s">
        <v>85</v>
      </c>
      <c r="G414" s="16" t="s">
        <v>94</v>
      </c>
      <c r="H414" s="17" t="s">
        <v>26</v>
      </c>
      <c r="I414" s="17">
        <v>40</v>
      </c>
      <c r="J414" s="26">
        <v>50.520508078026729</v>
      </c>
      <c r="K414" s="8">
        <v>2.0449057726704072</v>
      </c>
      <c r="L414" s="102"/>
      <c r="M414" s="674"/>
      <c r="N414" s="669"/>
      <c r="O414" s="669"/>
    </row>
    <row r="415" spans="1:15" ht="14.25" customHeight="1" thickBot="1" x14ac:dyDescent="0.35">
      <c r="A415" s="101" t="s">
        <v>461</v>
      </c>
      <c r="B415" s="102" t="s">
        <v>22</v>
      </c>
      <c r="D415" s="666">
        <v>45933</v>
      </c>
      <c r="E415" s="16" t="s">
        <v>23</v>
      </c>
      <c r="F415" s="8" t="s">
        <v>85</v>
      </c>
      <c r="G415" s="16" t="s">
        <v>86</v>
      </c>
      <c r="H415" s="44" t="s">
        <v>455</v>
      </c>
      <c r="I415" s="17">
        <v>50</v>
      </c>
      <c r="J415" s="19">
        <v>27.7</v>
      </c>
      <c r="K415" s="19">
        <v>2</v>
      </c>
      <c r="L415" s="102"/>
      <c r="M415" s="96"/>
      <c r="N415" s="99"/>
    </row>
    <row r="416" spans="1:15" ht="14.25" customHeight="1" thickBot="1" x14ac:dyDescent="0.35">
      <c r="A416" s="101" t="s">
        <v>462</v>
      </c>
      <c r="B416" s="102" t="s">
        <v>22</v>
      </c>
      <c r="D416" s="666">
        <v>45933</v>
      </c>
      <c r="E416" s="16" t="s">
        <v>23</v>
      </c>
      <c r="F416" s="8" t="s">
        <v>85</v>
      </c>
      <c r="G416" s="16" t="s">
        <v>86</v>
      </c>
      <c r="H416" s="663" t="s">
        <v>455</v>
      </c>
      <c r="I416" s="17">
        <v>50</v>
      </c>
      <c r="J416" s="19">
        <v>39.4</v>
      </c>
      <c r="K416" s="19">
        <v>1.8</v>
      </c>
      <c r="L416" s="102"/>
      <c r="M416" s="96"/>
      <c r="N416" s="99"/>
    </row>
    <row r="417" spans="1:15" ht="14.25" customHeight="1" thickBot="1" x14ac:dyDescent="0.35">
      <c r="A417" s="101" t="s">
        <v>463</v>
      </c>
      <c r="B417" s="102" t="s">
        <v>22</v>
      </c>
      <c r="D417" s="666">
        <v>45933</v>
      </c>
      <c r="E417" s="16" t="s">
        <v>23</v>
      </c>
      <c r="F417" s="8" t="s">
        <v>85</v>
      </c>
      <c r="G417" s="16" t="s">
        <v>86</v>
      </c>
      <c r="H417" s="663" t="s">
        <v>455</v>
      </c>
      <c r="I417" s="17">
        <v>50</v>
      </c>
      <c r="J417" s="19">
        <v>6.6</v>
      </c>
      <c r="K417" s="19">
        <v>1.18</v>
      </c>
      <c r="L417" s="102"/>
      <c r="M417" s="96"/>
    </row>
    <row r="418" spans="1:15" ht="14.25" customHeight="1" thickBot="1" x14ac:dyDescent="0.35">
      <c r="A418" s="101" t="s">
        <v>464</v>
      </c>
      <c r="B418" s="102" t="s">
        <v>22</v>
      </c>
      <c r="D418" s="104">
        <v>45768</v>
      </c>
      <c r="E418" s="16" t="s">
        <v>23</v>
      </c>
      <c r="F418" s="8" t="s">
        <v>85</v>
      </c>
      <c r="G418" s="16" t="s">
        <v>251</v>
      </c>
      <c r="H418" s="17" t="s">
        <v>26</v>
      </c>
      <c r="I418" s="17">
        <v>50</v>
      </c>
      <c r="J418" s="17" t="s">
        <v>451</v>
      </c>
      <c r="K418" s="17" t="s">
        <v>451</v>
      </c>
      <c r="L418" s="102" t="s">
        <v>450</v>
      </c>
      <c r="M418" s="663" t="s">
        <v>451</v>
      </c>
      <c r="N418" s="663" t="s">
        <v>451</v>
      </c>
      <c r="O418" s="669"/>
    </row>
    <row r="419" spans="1:15" ht="14.25" customHeight="1" thickBot="1" x14ac:dyDescent="0.35">
      <c r="A419" s="105" t="s">
        <v>465</v>
      </c>
      <c r="B419" s="69" t="s">
        <v>22</v>
      </c>
      <c r="D419" s="104">
        <v>45763</v>
      </c>
      <c r="E419" s="39" t="s">
        <v>88</v>
      </c>
      <c r="F419" s="8" t="s">
        <v>85</v>
      </c>
      <c r="G419" s="40" t="s">
        <v>89</v>
      </c>
      <c r="H419" s="17" t="s">
        <v>26</v>
      </c>
      <c r="I419" s="17">
        <v>30</v>
      </c>
      <c r="J419" s="26">
        <v>150.69275696802427</v>
      </c>
      <c r="K419" s="8">
        <v>1.5012297192977051</v>
      </c>
      <c r="L419" s="102"/>
      <c r="M419" s="96"/>
    </row>
    <row r="420" spans="1:15" ht="14.25" customHeight="1" thickBot="1" x14ac:dyDescent="0.35">
      <c r="A420" s="105" t="s">
        <v>466</v>
      </c>
      <c r="B420" s="69" t="s">
        <v>22</v>
      </c>
      <c r="D420" s="104">
        <v>45756</v>
      </c>
      <c r="E420" s="39" t="s">
        <v>88</v>
      </c>
      <c r="F420" s="17" t="s">
        <v>442</v>
      </c>
      <c r="G420" s="40" t="s">
        <v>89</v>
      </c>
      <c r="H420" s="17" t="s">
        <v>26</v>
      </c>
      <c r="I420" s="17">
        <v>50</v>
      </c>
      <c r="J420" s="26">
        <v>354.70673707557319</v>
      </c>
      <c r="K420" s="8">
        <v>1.862441178119512</v>
      </c>
      <c r="L420" s="102"/>
      <c r="M420" s="96"/>
      <c r="N420" s="106"/>
    </row>
    <row r="421" spans="1:15" ht="14.25" customHeight="1" thickBot="1" x14ac:dyDescent="0.35">
      <c r="A421" s="101" t="s">
        <v>467</v>
      </c>
      <c r="B421" s="69" t="s">
        <v>22</v>
      </c>
      <c r="D421" s="107">
        <v>45933</v>
      </c>
      <c r="E421" s="16" t="s">
        <v>23</v>
      </c>
      <c r="F421" s="8" t="s">
        <v>85</v>
      </c>
      <c r="G421" s="16" t="s">
        <v>86</v>
      </c>
      <c r="H421" s="669" t="s">
        <v>468</v>
      </c>
      <c r="I421" s="17">
        <v>50</v>
      </c>
      <c r="J421" s="19">
        <v>10.199999999999999</v>
      </c>
      <c r="K421" s="19">
        <v>2.65</v>
      </c>
      <c r="L421" s="102"/>
      <c r="M421" s="673"/>
      <c r="N421" s="676"/>
      <c r="O421" s="669"/>
    </row>
    <row r="422" spans="1:15" ht="14.25" customHeight="1" thickBot="1" x14ac:dyDescent="0.35">
      <c r="A422" s="101" t="s">
        <v>469</v>
      </c>
      <c r="B422" s="69" t="s">
        <v>22</v>
      </c>
      <c r="D422" s="107">
        <v>45933</v>
      </c>
      <c r="E422" s="16" t="s">
        <v>23</v>
      </c>
      <c r="F422" s="8" t="s">
        <v>85</v>
      </c>
      <c r="G422" s="16" t="s">
        <v>86</v>
      </c>
      <c r="H422" s="669" t="s">
        <v>468</v>
      </c>
      <c r="I422" s="17">
        <v>50</v>
      </c>
      <c r="J422" s="19">
        <v>9.8000000000000007</v>
      </c>
      <c r="K422" s="19">
        <v>2.42</v>
      </c>
      <c r="L422" s="102"/>
      <c r="M422" s="673"/>
      <c r="N422" s="676"/>
      <c r="O422" s="669"/>
    </row>
    <row r="423" spans="1:15" ht="14.25" customHeight="1" thickBot="1" x14ac:dyDescent="0.35">
      <c r="A423" s="101" t="s">
        <v>470</v>
      </c>
      <c r="B423" s="69" t="s">
        <v>22</v>
      </c>
      <c r="D423" s="107">
        <v>45931</v>
      </c>
      <c r="E423" s="16" t="s">
        <v>23</v>
      </c>
      <c r="F423" s="8" t="s">
        <v>85</v>
      </c>
      <c r="G423" s="16" t="s">
        <v>94</v>
      </c>
      <c r="H423" s="669" t="s">
        <v>468</v>
      </c>
      <c r="I423" s="17">
        <v>50</v>
      </c>
      <c r="J423" s="19">
        <v>25.5</v>
      </c>
      <c r="K423" s="19">
        <v>1.91</v>
      </c>
      <c r="L423" s="102"/>
      <c r="M423" s="96"/>
      <c r="N423" s="100" t="s">
        <v>80</v>
      </c>
    </row>
    <row r="424" spans="1:15" ht="14.25" customHeight="1" thickBot="1" x14ac:dyDescent="0.35">
      <c r="A424" s="103" t="s">
        <v>471</v>
      </c>
      <c r="B424" s="69" t="s">
        <v>22</v>
      </c>
      <c r="D424" s="104">
        <v>45846</v>
      </c>
      <c r="E424" s="16" t="s">
        <v>23</v>
      </c>
      <c r="F424" s="8" t="s">
        <v>85</v>
      </c>
      <c r="G424" s="16" t="s">
        <v>86</v>
      </c>
      <c r="H424" s="17" t="s">
        <v>26</v>
      </c>
      <c r="I424" s="17" t="s">
        <v>451</v>
      </c>
      <c r="J424" s="17" t="s">
        <v>451</v>
      </c>
      <c r="K424" s="17" t="s">
        <v>451</v>
      </c>
      <c r="L424" s="102"/>
      <c r="M424" s="663" t="s">
        <v>451</v>
      </c>
      <c r="N424" s="663" t="s">
        <v>451</v>
      </c>
      <c r="O424" s="669"/>
    </row>
    <row r="425" spans="1:15" ht="14.25" customHeight="1" thickBot="1" x14ac:dyDescent="0.35">
      <c r="A425" s="105" t="s">
        <v>472</v>
      </c>
      <c r="B425" s="69" t="s">
        <v>22</v>
      </c>
      <c r="D425" s="104">
        <v>45817</v>
      </c>
      <c r="E425" s="39" t="s">
        <v>88</v>
      </c>
      <c r="F425" s="17" t="s">
        <v>442</v>
      </c>
      <c r="G425" s="40" t="s">
        <v>89</v>
      </c>
      <c r="H425" s="17" t="s">
        <v>26</v>
      </c>
      <c r="I425" s="17">
        <v>50</v>
      </c>
      <c r="J425" s="26">
        <v>441.63188192972791</v>
      </c>
      <c r="K425" s="8">
        <v>2.0756669997103443</v>
      </c>
      <c r="L425" s="6"/>
      <c r="M425" s="673"/>
      <c r="N425" s="675"/>
      <c r="O425" s="669"/>
    </row>
    <row r="426" spans="1:15" ht="14.25" customHeight="1" thickBot="1" x14ac:dyDescent="0.35">
      <c r="A426" s="101" t="s">
        <v>473</v>
      </c>
      <c r="B426" s="69" t="s">
        <v>22</v>
      </c>
      <c r="D426" s="107">
        <v>45922</v>
      </c>
      <c r="E426" s="39" t="s">
        <v>88</v>
      </c>
      <c r="F426" s="19" t="s">
        <v>295</v>
      </c>
      <c r="G426" s="40" t="s">
        <v>89</v>
      </c>
      <c r="H426" s="669" t="s">
        <v>468</v>
      </c>
      <c r="I426" s="17">
        <v>50</v>
      </c>
      <c r="J426" s="19">
        <v>69.900000000000006</v>
      </c>
      <c r="K426" s="19">
        <v>1.97</v>
      </c>
      <c r="L426" s="102">
        <v>1.3</v>
      </c>
      <c r="M426" s="96"/>
      <c r="N426" s="106"/>
    </row>
    <row r="427" spans="1:15" ht="14.25" customHeight="1" thickBot="1" x14ac:dyDescent="0.35">
      <c r="A427" s="101" t="s">
        <v>474</v>
      </c>
      <c r="B427" s="69" t="s">
        <v>22</v>
      </c>
      <c r="D427" s="107">
        <v>45940</v>
      </c>
      <c r="E427" s="16" t="s">
        <v>23</v>
      </c>
      <c r="F427" s="8" t="s">
        <v>85</v>
      </c>
      <c r="G427" s="16" t="s">
        <v>94</v>
      </c>
      <c r="H427" s="669" t="s">
        <v>468</v>
      </c>
      <c r="I427" s="17">
        <v>50</v>
      </c>
      <c r="J427" s="19">
        <v>6</v>
      </c>
      <c r="K427" s="19">
        <v>2.08</v>
      </c>
      <c r="L427" s="102"/>
      <c r="M427" s="673"/>
      <c r="N427" s="676"/>
      <c r="O427" s="669"/>
    </row>
    <row r="428" spans="1:15" ht="14.25" customHeight="1" thickBot="1" x14ac:dyDescent="0.35">
      <c r="A428" s="101" t="s">
        <v>475</v>
      </c>
      <c r="B428" s="69" t="s">
        <v>22</v>
      </c>
      <c r="D428" s="107">
        <v>45933</v>
      </c>
      <c r="E428" s="16" t="s">
        <v>23</v>
      </c>
      <c r="F428" s="8" t="s">
        <v>85</v>
      </c>
      <c r="G428" s="16" t="s">
        <v>94</v>
      </c>
      <c r="H428" s="669" t="s">
        <v>468</v>
      </c>
      <c r="I428" s="17">
        <v>50</v>
      </c>
      <c r="J428" s="19">
        <v>35.6</v>
      </c>
      <c r="K428" s="19">
        <v>1.57</v>
      </c>
      <c r="L428" s="6"/>
      <c r="M428" s="96"/>
      <c r="N428" s="99" t="s">
        <v>445</v>
      </c>
    </row>
    <row r="429" spans="1:15" ht="14.25" customHeight="1" thickBot="1" x14ac:dyDescent="0.35">
      <c r="A429" s="101" t="s">
        <v>476</v>
      </c>
      <c r="B429" s="102" t="s">
        <v>477</v>
      </c>
      <c r="D429" s="107">
        <v>45940</v>
      </c>
      <c r="E429" s="16" t="s">
        <v>23</v>
      </c>
      <c r="F429" s="8" t="s">
        <v>85</v>
      </c>
      <c r="G429" s="16" t="s">
        <v>86</v>
      </c>
      <c r="H429" s="669"/>
      <c r="I429" s="17"/>
      <c r="J429" s="17"/>
      <c r="K429" s="17"/>
      <c r="L429" s="102"/>
      <c r="M429" s="674"/>
      <c r="N429" s="663"/>
    </row>
    <row r="430" spans="1:15" ht="14.25" customHeight="1" thickBot="1" x14ac:dyDescent="0.35">
      <c r="A430" s="101" t="s">
        <v>478</v>
      </c>
      <c r="B430" s="102" t="s">
        <v>477</v>
      </c>
      <c r="D430" s="107">
        <v>45940</v>
      </c>
      <c r="E430" s="16" t="s">
        <v>23</v>
      </c>
      <c r="F430" s="8" t="s">
        <v>85</v>
      </c>
      <c r="G430" s="16" t="s">
        <v>86</v>
      </c>
      <c r="H430" s="669"/>
      <c r="I430" s="17"/>
      <c r="J430" s="17"/>
      <c r="K430" s="17"/>
      <c r="L430" s="102"/>
      <c r="M430" s="674"/>
      <c r="N430" s="676"/>
    </row>
    <row r="431" spans="1:15" ht="14.25" customHeight="1" thickBot="1" x14ac:dyDescent="0.35">
      <c r="A431" s="101" t="s">
        <v>479</v>
      </c>
      <c r="B431" s="69" t="s">
        <v>22</v>
      </c>
      <c r="D431" s="107">
        <v>45931</v>
      </c>
      <c r="E431" s="16" t="s">
        <v>23</v>
      </c>
      <c r="F431" s="8" t="s">
        <v>85</v>
      </c>
      <c r="G431" s="16" t="s">
        <v>94</v>
      </c>
      <c r="H431" s="669" t="s">
        <v>468</v>
      </c>
      <c r="I431" s="17">
        <v>50</v>
      </c>
      <c r="J431" s="19">
        <v>10.9</v>
      </c>
      <c r="K431" s="19">
        <v>1.73</v>
      </c>
      <c r="L431" s="102"/>
      <c r="M431" s="96"/>
    </row>
    <row r="432" spans="1:15" ht="14.25" customHeight="1" thickBot="1" x14ac:dyDescent="0.35">
      <c r="A432" s="101" t="s">
        <v>480</v>
      </c>
      <c r="B432" s="102" t="s">
        <v>477</v>
      </c>
      <c r="D432" s="107">
        <v>45926</v>
      </c>
      <c r="E432" s="16" t="s">
        <v>23</v>
      </c>
      <c r="F432" s="8" t="s">
        <v>85</v>
      </c>
      <c r="G432" s="16" t="s">
        <v>67</v>
      </c>
      <c r="H432" s="669"/>
      <c r="I432" s="17"/>
      <c r="J432" s="17"/>
      <c r="K432" s="17"/>
      <c r="L432" s="102"/>
      <c r="M432" s="674"/>
      <c r="N432" s="663"/>
    </row>
    <row r="433" spans="1:15" ht="14.25" customHeight="1" thickBot="1" x14ac:dyDescent="0.35">
      <c r="A433" s="101" t="s">
        <v>481</v>
      </c>
      <c r="B433" s="102" t="s">
        <v>477</v>
      </c>
      <c r="D433" s="107">
        <v>45938</v>
      </c>
      <c r="E433" s="16" t="s">
        <v>23</v>
      </c>
      <c r="F433" s="8" t="s">
        <v>85</v>
      </c>
      <c r="G433" s="16" t="s">
        <v>86</v>
      </c>
      <c r="H433" s="669"/>
      <c r="I433" s="17"/>
      <c r="J433" s="17"/>
      <c r="K433" s="17"/>
      <c r="L433" s="102"/>
      <c r="M433" s="674"/>
      <c r="N433" s="663"/>
      <c r="O433" s="44"/>
    </row>
    <row r="434" spans="1:15" ht="14.25" customHeight="1" thickBot="1" x14ac:dyDescent="0.35">
      <c r="A434" s="101" t="s">
        <v>482</v>
      </c>
      <c r="B434" s="69" t="s">
        <v>22</v>
      </c>
      <c r="D434" s="107">
        <v>45933</v>
      </c>
      <c r="E434" s="16" t="s">
        <v>23</v>
      </c>
      <c r="F434" s="8" t="s">
        <v>85</v>
      </c>
      <c r="G434" s="16" t="s">
        <v>94</v>
      </c>
      <c r="H434" s="669" t="s">
        <v>468</v>
      </c>
      <c r="I434" s="17">
        <v>50</v>
      </c>
      <c r="J434" s="19">
        <v>16.600000000000001</v>
      </c>
      <c r="K434" s="19">
        <v>1.94</v>
      </c>
      <c r="L434" s="102"/>
      <c r="M434" s="96"/>
      <c r="N434" s="44"/>
      <c r="O434" s="44"/>
    </row>
    <row r="435" spans="1:15" ht="14.25" customHeight="1" thickBot="1" x14ac:dyDescent="0.35">
      <c r="A435" s="101" t="s">
        <v>483</v>
      </c>
      <c r="B435" s="69" t="s">
        <v>22</v>
      </c>
      <c r="D435" s="107">
        <v>45931</v>
      </c>
      <c r="E435" s="16" t="s">
        <v>23</v>
      </c>
      <c r="F435" s="8" t="s">
        <v>85</v>
      </c>
      <c r="G435" s="16" t="s">
        <v>94</v>
      </c>
      <c r="H435" s="669" t="s">
        <v>468</v>
      </c>
      <c r="I435" s="17">
        <v>50</v>
      </c>
      <c r="J435" s="19">
        <v>32.200000000000003</v>
      </c>
      <c r="K435" s="19">
        <v>1.92</v>
      </c>
      <c r="L435" s="102"/>
      <c r="M435" s="96"/>
      <c r="N435" s="44"/>
    </row>
    <row r="436" spans="1:15" ht="14.25" customHeight="1" thickBot="1" x14ac:dyDescent="0.35">
      <c r="A436" s="103" t="s">
        <v>484</v>
      </c>
      <c r="B436" s="102" t="s">
        <v>22</v>
      </c>
      <c r="D436" s="104">
        <v>45768</v>
      </c>
      <c r="E436" s="16" t="s">
        <v>23</v>
      </c>
      <c r="F436" s="8" t="s">
        <v>85</v>
      </c>
      <c r="G436" s="16" t="s">
        <v>94</v>
      </c>
      <c r="H436" s="663" t="s">
        <v>26</v>
      </c>
      <c r="I436" s="17" t="s">
        <v>451</v>
      </c>
      <c r="J436" s="17" t="s">
        <v>451</v>
      </c>
      <c r="K436" s="17" t="s">
        <v>451</v>
      </c>
      <c r="L436" s="102"/>
      <c r="M436" s="663" t="s">
        <v>451</v>
      </c>
      <c r="N436" s="663" t="s">
        <v>451</v>
      </c>
      <c r="O436" s="669"/>
    </row>
    <row r="437" spans="1:15" ht="14.25" customHeight="1" thickBot="1" x14ac:dyDescent="0.35">
      <c r="A437" s="101" t="s">
        <v>484</v>
      </c>
      <c r="B437" s="69" t="s">
        <v>22</v>
      </c>
      <c r="D437" s="107">
        <v>45925</v>
      </c>
      <c r="E437" s="16" t="s">
        <v>23</v>
      </c>
      <c r="F437" s="8" t="s">
        <v>85</v>
      </c>
      <c r="G437" s="16" t="s">
        <v>94</v>
      </c>
      <c r="H437" s="6" t="s">
        <v>468</v>
      </c>
      <c r="I437" s="17">
        <v>50</v>
      </c>
      <c r="J437" s="19">
        <v>0.3</v>
      </c>
      <c r="K437" s="19">
        <v>3.83</v>
      </c>
      <c r="L437" s="102"/>
      <c r="M437" s="673"/>
      <c r="N437" s="663"/>
    </row>
    <row r="438" spans="1:15" ht="14.25" customHeight="1" thickBot="1" x14ac:dyDescent="0.35">
      <c r="A438" s="101" t="s">
        <v>485</v>
      </c>
      <c r="B438" s="69" t="s">
        <v>22</v>
      </c>
      <c r="D438" s="107">
        <v>45931</v>
      </c>
      <c r="E438" s="16" t="s">
        <v>23</v>
      </c>
      <c r="F438" s="8" t="s">
        <v>85</v>
      </c>
      <c r="G438" s="16" t="s">
        <v>94</v>
      </c>
      <c r="H438" s="669" t="s">
        <v>468</v>
      </c>
      <c r="I438" s="17">
        <v>50</v>
      </c>
      <c r="J438" s="19">
        <v>152.1</v>
      </c>
      <c r="K438" s="19">
        <v>2.02</v>
      </c>
      <c r="L438" s="102"/>
      <c r="M438" s="96"/>
    </row>
    <row r="439" spans="1:15" ht="14.25" customHeight="1" thickBot="1" x14ac:dyDescent="0.35">
      <c r="A439" s="103" t="s">
        <v>486</v>
      </c>
      <c r="B439" s="102" t="s">
        <v>22</v>
      </c>
      <c r="D439" s="104">
        <v>45768</v>
      </c>
      <c r="E439" s="16" t="s">
        <v>23</v>
      </c>
      <c r="F439" s="8" t="s">
        <v>85</v>
      </c>
      <c r="G439" s="16" t="s">
        <v>94</v>
      </c>
      <c r="H439" s="17" t="s">
        <v>26</v>
      </c>
      <c r="I439" s="17" t="s">
        <v>451</v>
      </c>
      <c r="J439" s="17" t="s">
        <v>451</v>
      </c>
      <c r="K439" s="17" t="s">
        <v>451</v>
      </c>
      <c r="L439" s="102"/>
      <c r="M439" s="663" t="s">
        <v>451</v>
      </c>
      <c r="N439" s="663" t="s">
        <v>451</v>
      </c>
      <c r="O439" s="669"/>
    </row>
    <row r="440" spans="1:15" ht="14.25" customHeight="1" thickBot="1" x14ac:dyDescent="0.35">
      <c r="A440" s="101" t="s">
        <v>487</v>
      </c>
      <c r="B440" s="102" t="s">
        <v>477</v>
      </c>
      <c r="D440" s="107">
        <v>45938</v>
      </c>
      <c r="E440" s="16" t="s">
        <v>23</v>
      </c>
      <c r="F440" s="8" t="s">
        <v>85</v>
      </c>
      <c r="G440" s="16" t="s">
        <v>94</v>
      </c>
      <c r="H440" s="669"/>
      <c r="I440" s="17"/>
      <c r="J440" s="17"/>
      <c r="K440" s="17"/>
      <c r="L440" s="6"/>
      <c r="M440" s="674"/>
      <c r="N440" s="669"/>
    </row>
    <row r="441" spans="1:15" ht="14.25" customHeight="1" thickBot="1" x14ac:dyDescent="0.35">
      <c r="A441" s="101" t="s">
        <v>488</v>
      </c>
      <c r="B441" s="69" t="s">
        <v>22</v>
      </c>
      <c r="D441" s="107">
        <v>45933</v>
      </c>
      <c r="E441" s="16" t="s">
        <v>23</v>
      </c>
      <c r="F441" s="8" t="s">
        <v>85</v>
      </c>
      <c r="G441" s="16" t="s">
        <v>94</v>
      </c>
      <c r="H441" s="669" t="s">
        <v>468</v>
      </c>
      <c r="I441" s="17">
        <v>50</v>
      </c>
      <c r="J441" s="19">
        <v>58.1</v>
      </c>
      <c r="K441" s="19">
        <v>1.32</v>
      </c>
      <c r="L441" s="102"/>
      <c r="M441" s="96"/>
    </row>
    <row r="442" spans="1:15" ht="14.25" customHeight="1" thickBot="1" x14ac:dyDescent="0.35">
      <c r="A442" s="105" t="s">
        <v>489</v>
      </c>
      <c r="B442" s="69" t="s">
        <v>22</v>
      </c>
      <c r="D442" s="104">
        <v>45756</v>
      </c>
      <c r="E442" s="16" t="s">
        <v>23</v>
      </c>
      <c r="F442" s="8" t="s">
        <v>85</v>
      </c>
      <c r="G442" s="16" t="s">
        <v>94</v>
      </c>
      <c r="H442" s="17" t="s">
        <v>26</v>
      </c>
      <c r="I442" s="17">
        <v>50</v>
      </c>
      <c r="J442" s="26">
        <v>6.0296301568203319</v>
      </c>
      <c r="K442" s="8">
        <v>1.9036005937566469</v>
      </c>
      <c r="L442" s="102"/>
      <c r="M442" s="96"/>
    </row>
    <row r="443" spans="1:15" ht="14.25" customHeight="1" thickBot="1" x14ac:dyDescent="0.35">
      <c r="A443" s="101" t="s">
        <v>490</v>
      </c>
      <c r="B443" s="102" t="s">
        <v>477</v>
      </c>
      <c r="D443" s="107">
        <v>45940</v>
      </c>
      <c r="E443" s="16" t="s">
        <v>23</v>
      </c>
      <c r="F443" s="8" t="s">
        <v>85</v>
      </c>
      <c r="G443" s="16" t="s">
        <v>86</v>
      </c>
      <c r="H443" s="669"/>
      <c r="I443" s="17"/>
      <c r="J443" s="17"/>
      <c r="K443" s="17"/>
      <c r="L443" s="102"/>
      <c r="M443" s="674"/>
      <c r="N443" s="669"/>
    </row>
    <row r="444" spans="1:15" ht="14.25" customHeight="1" thickBot="1" x14ac:dyDescent="0.35">
      <c r="A444" s="101" t="s">
        <v>491</v>
      </c>
      <c r="B444" s="69" t="s">
        <v>22</v>
      </c>
      <c r="D444" s="107">
        <v>45933</v>
      </c>
      <c r="E444" s="16" t="s">
        <v>23</v>
      </c>
      <c r="F444" s="8" t="s">
        <v>85</v>
      </c>
      <c r="G444" s="16" t="s">
        <v>94</v>
      </c>
      <c r="H444" s="4" t="s">
        <v>468</v>
      </c>
      <c r="I444" s="17">
        <v>50</v>
      </c>
      <c r="J444" s="19">
        <v>32.6</v>
      </c>
      <c r="K444" s="19">
        <v>1.74</v>
      </c>
      <c r="L444" s="102"/>
      <c r="M444" s="96"/>
    </row>
    <row r="445" spans="1:15" ht="14.25" customHeight="1" thickBot="1" x14ac:dyDescent="0.35">
      <c r="A445" s="103" t="s">
        <v>492</v>
      </c>
      <c r="B445" s="69" t="s">
        <v>22</v>
      </c>
      <c r="D445" s="104">
        <v>45768</v>
      </c>
      <c r="E445" s="16" t="s">
        <v>23</v>
      </c>
      <c r="F445" s="8" t="s">
        <v>85</v>
      </c>
      <c r="G445" s="16" t="s">
        <v>94</v>
      </c>
      <c r="H445" s="17" t="s">
        <v>26</v>
      </c>
      <c r="I445" s="17" t="s">
        <v>451</v>
      </c>
      <c r="J445" s="17" t="s">
        <v>451</v>
      </c>
      <c r="K445" s="17" t="s">
        <v>451</v>
      </c>
      <c r="L445" s="102"/>
      <c r="M445" s="663" t="s">
        <v>451</v>
      </c>
      <c r="N445" s="663" t="s">
        <v>451</v>
      </c>
      <c r="O445" s="669"/>
    </row>
    <row r="446" spans="1:15" ht="14.25" customHeight="1" thickBot="1" x14ac:dyDescent="0.35">
      <c r="A446" s="103" t="s">
        <v>493</v>
      </c>
      <c r="B446" s="69" t="s">
        <v>22</v>
      </c>
      <c r="D446" s="104">
        <v>45763</v>
      </c>
      <c r="E446" s="39" t="s">
        <v>88</v>
      </c>
      <c r="F446" s="8" t="s">
        <v>85</v>
      </c>
      <c r="G446" s="40" t="s">
        <v>89</v>
      </c>
      <c r="H446" s="17" t="s">
        <v>26</v>
      </c>
      <c r="I446" s="17">
        <v>30</v>
      </c>
      <c r="J446" s="26">
        <v>353.1561271936053</v>
      </c>
      <c r="K446" s="8">
        <v>1.0832711794658525</v>
      </c>
      <c r="L446" s="6"/>
      <c r="M446" s="96"/>
    </row>
    <row r="447" spans="1:15" ht="14.25" customHeight="1" thickBot="1" x14ac:dyDescent="0.35">
      <c r="A447" s="105" t="s">
        <v>494</v>
      </c>
      <c r="B447" s="69" t="s">
        <v>22</v>
      </c>
      <c r="D447" s="104">
        <v>45757</v>
      </c>
      <c r="E447" s="39" t="s">
        <v>88</v>
      </c>
      <c r="F447" s="8" t="s">
        <v>85</v>
      </c>
      <c r="G447" s="40" t="s">
        <v>89</v>
      </c>
      <c r="H447" s="17" t="s">
        <v>26</v>
      </c>
      <c r="I447" s="17">
        <v>50</v>
      </c>
      <c r="J447" s="26">
        <v>89.019495074381467</v>
      </c>
      <c r="K447" s="8">
        <v>1.9303281470374845</v>
      </c>
      <c r="L447" s="102"/>
      <c r="M447" s="96"/>
      <c r="N447" s="669"/>
      <c r="O447" s="669"/>
    </row>
    <row r="448" spans="1:15" ht="14.25" customHeight="1" thickBot="1" x14ac:dyDescent="0.35">
      <c r="A448" s="105" t="s">
        <v>495</v>
      </c>
      <c r="B448" s="69" t="s">
        <v>22</v>
      </c>
      <c r="D448" s="104">
        <v>45763</v>
      </c>
      <c r="E448" s="39" t="s">
        <v>88</v>
      </c>
      <c r="F448" s="8" t="s">
        <v>85</v>
      </c>
      <c r="G448" s="40" t="s">
        <v>89</v>
      </c>
      <c r="H448" s="17" t="s">
        <v>26</v>
      </c>
      <c r="I448" s="17">
        <v>30</v>
      </c>
      <c r="J448" s="26">
        <v>10.641529618273227</v>
      </c>
      <c r="K448" s="8">
        <v>0.67041076645751052</v>
      </c>
      <c r="L448" s="102"/>
      <c r="M448" s="96"/>
    </row>
    <row r="449" spans="1:15" ht="14.25" customHeight="1" thickBot="1" x14ac:dyDescent="0.35">
      <c r="A449" s="105" t="s">
        <v>496</v>
      </c>
      <c r="B449" s="69" t="s">
        <v>22</v>
      </c>
      <c r="D449" s="104">
        <v>45763</v>
      </c>
      <c r="E449" s="39" t="s">
        <v>88</v>
      </c>
      <c r="F449" s="8" t="s">
        <v>85</v>
      </c>
      <c r="G449" s="40" t="s">
        <v>89</v>
      </c>
      <c r="H449" s="17" t="s">
        <v>26</v>
      </c>
      <c r="I449" s="17">
        <v>30</v>
      </c>
      <c r="J449" s="26">
        <v>353.1561271936053</v>
      </c>
      <c r="K449" s="8">
        <v>1.0832711794658525</v>
      </c>
      <c r="L449" s="102"/>
      <c r="M449" s="96"/>
    </row>
    <row r="450" spans="1:15" ht="14.25" customHeight="1" thickBot="1" x14ac:dyDescent="0.35">
      <c r="A450" s="105" t="s">
        <v>497</v>
      </c>
      <c r="B450" s="69" t="s">
        <v>22</v>
      </c>
      <c r="D450" s="104">
        <v>45817</v>
      </c>
      <c r="E450" s="39" t="s">
        <v>88</v>
      </c>
      <c r="F450" s="8" t="s">
        <v>85</v>
      </c>
      <c r="G450" s="40" t="s">
        <v>89</v>
      </c>
      <c r="H450" s="17" t="s">
        <v>26</v>
      </c>
      <c r="I450" s="17">
        <v>50</v>
      </c>
      <c r="J450" s="26">
        <v>45.627159476687204</v>
      </c>
      <c r="K450" s="8">
        <v>1.8548539653709619</v>
      </c>
      <c r="L450" s="6"/>
      <c r="M450" s="96"/>
    </row>
    <row r="451" spans="1:15" ht="14.25" customHeight="1" thickBot="1" x14ac:dyDescent="0.35">
      <c r="A451" s="105" t="s">
        <v>498</v>
      </c>
      <c r="B451" s="69" t="s">
        <v>22</v>
      </c>
      <c r="D451" s="104">
        <v>45817</v>
      </c>
      <c r="E451" s="39" t="s">
        <v>88</v>
      </c>
      <c r="F451" s="8" t="s">
        <v>85</v>
      </c>
      <c r="G451" s="40" t="s">
        <v>89</v>
      </c>
      <c r="H451" s="17" t="s">
        <v>26</v>
      </c>
      <c r="I451" s="17">
        <v>50</v>
      </c>
      <c r="J451" s="26">
        <v>77.365763596553506</v>
      </c>
      <c r="K451" s="8">
        <v>1.774244958802327</v>
      </c>
      <c r="L451" s="102"/>
      <c r="M451" s="96"/>
    </row>
    <row r="452" spans="1:15" ht="14.25" customHeight="1" thickBot="1" x14ac:dyDescent="0.35">
      <c r="A452" s="105" t="s">
        <v>499</v>
      </c>
      <c r="B452" s="69" t="s">
        <v>22</v>
      </c>
      <c r="D452" s="104">
        <v>45757</v>
      </c>
      <c r="E452" s="39" t="s">
        <v>88</v>
      </c>
      <c r="F452" s="8" t="s">
        <v>85</v>
      </c>
      <c r="G452" s="40" t="s">
        <v>89</v>
      </c>
      <c r="H452" s="17" t="s">
        <v>26</v>
      </c>
      <c r="I452" s="17">
        <v>50</v>
      </c>
      <c r="J452" s="26">
        <v>42.540309597797169</v>
      </c>
      <c r="K452" s="8">
        <v>1.8317180757419702</v>
      </c>
      <c r="L452" s="669"/>
      <c r="M452" s="96"/>
    </row>
    <row r="453" spans="1:15" ht="14.25" customHeight="1" thickBot="1" x14ac:dyDescent="0.35">
      <c r="A453" s="103" t="s">
        <v>500</v>
      </c>
      <c r="B453" s="69" t="s">
        <v>22</v>
      </c>
      <c r="D453" s="104">
        <v>45846</v>
      </c>
      <c r="E453" s="39" t="s">
        <v>88</v>
      </c>
      <c r="F453" s="8" t="s">
        <v>85</v>
      </c>
      <c r="G453" s="40" t="s">
        <v>89</v>
      </c>
      <c r="H453" s="17" t="s">
        <v>26</v>
      </c>
      <c r="I453" s="17">
        <v>50</v>
      </c>
      <c r="J453" s="102"/>
      <c r="K453" s="17"/>
      <c r="L453" s="6"/>
      <c r="M453" s="673"/>
      <c r="N453" s="669"/>
    </row>
    <row r="454" spans="1:15" ht="14.25" customHeight="1" thickBot="1" x14ac:dyDescent="0.35">
      <c r="A454" s="101" t="s">
        <v>501</v>
      </c>
      <c r="B454" s="69" t="s">
        <v>22</v>
      </c>
      <c r="D454" s="107">
        <v>45931</v>
      </c>
      <c r="E454" s="16" t="s">
        <v>23</v>
      </c>
      <c r="F454" s="8" t="s">
        <v>85</v>
      </c>
      <c r="G454" s="16" t="s">
        <v>94</v>
      </c>
      <c r="H454" s="4" t="s">
        <v>468</v>
      </c>
      <c r="I454" s="17">
        <v>50</v>
      </c>
      <c r="J454" s="102"/>
      <c r="K454" s="19">
        <v>1.99</v>
      </c>
      <c r="L454" s="6"/>
      <c r="M454" s="96"/>
    </row>
    <row r="455" spans="1:15" ht="14.25" customHeight="1" thickBot="1" x14ac:dyDescent="0.35">
      <c r="A455" s="101" t="s">
        <v>502</v>
      </c>
      <c r="B455" s="69" t="s">
        <v>22</v>
      </c>
      <c r="D455" s="107">
        <v>45933</v>
      </c>
      <c r="E455" s="16" t="s">
        <v>23</v>
      </c>
      <c r="F455" s="8" t="s">
        <v>85</v>
      </c>
      <c r="G455" s="16" t="s">
        <v>94</v>
      </c>
      <c r="H455" s="669" t="s">
        <v>468</v>
      </c>
      <c r="I455" s="17">
        <v>50</v>
      </c>
      <c r="J455" s="102"/>
      <c r="K455" s="19">
        <v>2.09</v>
      </c>
      <c r="L455" s="6"/>
      <c r="M455" s="673"/>
      <c r="N455" s="669"/>
    </row>
    <row r="456" spans="1:15" ht="14.25" customHeight="1" thickBot="1" x14ac:dyDescent="0.35">
      <c r="A456" s="101" t="s">
        <v>503</v>
      </c>
      <c r="B456" s="69" t="s">
        <v>22</v>
      </c>
      <c r="D456" s="107">
        <v>45933</v>
      </c>
      <c r="E456" s="16" t="s">
        <v>23</v>
      </c>
      <c r="F456" s="8" t="s">
        <v>85</v>
      </c>
      <c r="G456" s="16" t="s">
        <v>94</v>
      </c>
      <c r="H456" s="669" t="s">
        <v>468</v>
      </c>
      <c r="I456" s="17">
        <v>50</v>
      </c>
      <c r="J456" s="6"/>
      <c r="K456" s="19">
        <v>1.35</v>
      </c>
      <c r="L456" s="6"/>
      <c r="M456" s="96"/>
    </row>
    <row r="457" spans="1:15" ht="14.25" customHeight="1" thickBot="1" x14ac:dyDescent="0.35">
      <c r="A457" s="103" t="s">
        <v>504</v>
      </c>
      <c r="B457" s="69" t="s">
        <v>22</v>
      </c>
      <c r="D457" s="104">
        <v>45846</v>
      </c>
      <c r="E457" s="39" t="s">
        <v>88</v>
      </c>
      <c r="F457" s="8" t="s">
        <v>85</v>
      </c>
      <c r="G457" s="40" t="s">
        <v>89</v>
      </c>
      <c r="H457" s="17" t="s">
        <v>26</v>
      </c>
      <c r="I457" s="17">
        <v>50</v>
      </c>
      <c r="J457" s="102"/>
      <c r="K457" s="17"/>
      <c r="L457" s="6"/>
      <c r="M457" s="674"/>
      <c r="N457" s="669"/>
    </row>
    <row r="458" spans="1:15" ht="14.25" customHeight="1" thickBot="1" x14ac:dyDescent="0.35">
      <c r="A458" s="103" t="s">
        <v>505</v>
      </c>
      <c r="B458" s="69" t="s">
        <v>22</v>
      </c>
      <c r="D458" s="104">
        <v>45846</v>
      </c>
      <c r="E458" s="16" t="s">
        <v>23</v>
      </c>
      <c r="F458" s="8" t="s">
        <v>85</v>
      </c>
      <c r="G458" s="16" t="s">
        <v>94</v>
      </c>
      <c r="H458" s="17" t="s">
        <v>26</v>
      </c>
      <c r="I458" s="17">
        <v>50</v>
      </c>
      <c r="J458" s="102"/>
      <c r="K458" s="17"/>
      <c r="L458" s="6"/>
      <c r="M458" s="674"/>
      <c r="N458" s="669"/>
    </row>
    <row r="459" spans="1:15" ht="14.25" customHeight="1" thickBot="1" x14ac:dyDescent="0.35">
      <c r="A459" s="103" t="s">
        <v>506</v>
      </c>
      <c r="B459" s="69" t="s">
        <v>22</v>
      </c>
      <c r="D459" s="104">
        <v>45768</v>
      </c>
      <c r="E459" s="16" t="s">
        <v>23</v>
      </c>
      <c r="F459" s="8" t="s">
        <v>85</v>
      </c>
      <c r="G459" s="16" t="s">
        <v>94</v>
      </c>
      <c r="H459" s="17" t="s">
        <v>26</v>
      </c>
      <c r="I459" s="17" t="s">
        <v>451</v>
      </c>
      <c r="J459" s="102" t="s">
        <v>450</v>
      </c>
      <c r="K459" s="17" t="s">
        <v>451</v>
      </c>
      <c r="L459" s="17" t="s">
        <v>451</v>
      </c>
      <c r="M459" s="663" t="s">
        <v>451</v>
      </c>
      <c r="N459" s="663" t="s">
        <v>451</v>
      </c>
      <c r="O459" s="669"/>
    </row>
    <row r="460" spans="1:15" ht="14.25" customHeight="1" thickBot="1" x14ac:dyDescent="0.35">
      <c r="A460" s="103" t="s">
        <v>507</v>
      </c>
      <c r="B460" s="102" t="s">
        <v>22</v>
      </c>
      <c r="D460" s="104">
        <v>45768</v>
      </c>
      <c r="E460" s="16" t="s">
        <v>23</v>
      </c>
      <c r="F460" s="8" t="s">
        <v>85</v>
      </c>
      <c r="G460" s="16" t="s">
        <v>94</v>
      </c>
      <c r="H460" s="17" t="s">
        <v>26</v>
      </c>
      <c r="I460" s="17" t="s">
        <v>451</v>
      </c>
      <c r="J460" s="102" t="s">
        <v>450</v>
      </c>
      <c r="K460" s="17" t="s">
        <v>451</v>
      </c>
      <c r="L460" s="17" t="s">
        <v>451</v>
      </c>
      <c r="M460" s="663" t="s">
        <v>451</v>
      </c>
      <c r="N460" s="663" t="s">
        <v>451</v>
      </c>
      <c r="O460" s="669"/>
    </row>
    <row r="461" spans="1:15" ht="14.25" customHeight="1" thickBot="1" x14ac:dyDescent="0.35">
      <c r="A461" s="101" t="s">
        <v>508</v>
      </c>
      <c r="B461" s="108" t="s">
        <v>22</v>
      </c>
      <c r="D461" s="109">
        <v>45931</v>
      </c>
      <c r="E461" s="16" t="s">
        <v>23</v>
      </c>
      <c r="F461" s="8" t="s">
        <v>85</v>
      </c>
      <c r="G461" s="16" t="s">
        <v>67</v>
      </c>
      <c r="H461" s="6" t="s">
        <v>18</v>
      </c>
      <c r="I461" s="17">
        <v>50</v>
      </c>
      <c r="J461" s="108">
        <v>34.9</v>
      </c>
      <c r="K461" s="19">
        <v>0.26</v>
      </c>
      <c r="L461" s="19">
        <v>1.6</v>
      </c>
      <c r="M461" s="59"/>
    </row>
    <row r="462" spans="1:15" ht="14.25" customHeight="1" thickBot="1" x14ac:dyDescent="0.35">
      <c r="A462" s="103" t="s">
        <v>509</v>
      </c>
      <c r="B462" s="102" t="s">
        <v>22</v>
      </c>
      <c r="D462" s="104">
        <v>45768</v>
      </c>
      <c r="E462" s="16" t="s">
        <v>23</v>
      </c>
      <c r="F462" s="8" t="s">
        <v>85</v>
      </c>
      <c r="G462" s="16" t="s">
        <v>94</v>
      </c>
      <c r="H462" s="17" t="s">
        <v>26</v>
      </c>
      <c r="I462" s="17" t="s">
        <v>451</v>
      </c>
      <c r="J462" s="102" t="s">
        <v>450</v>
      </c>
      <c r="K462" s="17" t="s">
        <v>451</v>
      </c>
      <c r="L462" s="17" t="s">
        <v>451</v>
      </c>
      <c r="M462" s="663" t="s">
        <v>451</v>
      </c>
      <c r="N462" s="663" t="s">
        <v>451</v>
      </c>
      <c r="O462" s="669"/>
    </row>
    <row r="463" spans="1:15" ht="22.2" customHeight="1" thickBot="1" x14ac:dyDescent="0.35">
      <c r="A463" s="101" t="s">
        <v>510</v>
      </c>
      <c r="B463" s="108" t="s">
        <v>22</v>
      </c>
      <c r="D463" s="110">
        <v>45940</v>
      </c>
      <c r="E463" s="16" t="s">
        <v>23</v>
      </c>
      <c r="F463" s="8" t="s">
        <v>85</v>
      </c>
      <c r="G463" s="16" t="s">
        <v>67</v>
      </c>
      <c r="H463" s="6" t="s">
        <v>18</v>
      </c>
      <c r="I463" s="17">
        <v>50</v>
      </c>
      <c r="J463" s="108">
        <v>5.5</v>
      </c>
      <c r="K463" s="108">
        <v>0.57999999999999996</v>
      </c>
      <c r="L463" s="108">
        <v>1.92</v>
      </c>
      <c r="M463" s="59"/>
    </row>
    <row r="464" spans="1:15" ht="14.25" customHeight="1" thickBot="1" x14ac:dyDescent="0.35">
      <c r="A464" s="101" t="s">
        <v>511</v>
      </c>
      <c r="B464" s="108" t="s">
        <v>22</v>
      </c>
      <c r="D464" s="110">
        <v>45931</v>
      </c>
      <c r="E464" s="16" t="s">
        <v>23</v>
      </c>
      <c r="F464" s="8" t="s">
        <v>85</v>
      </c>
      <c r="G464" s="16" t="s">
        <v>67</v>
      </c>
      <c r="H464" s="6" t="s">
        <v>18</v>
      </c>
      <c r="I464" s="17">
        <v>50</v>
      </c>
      <c r="J464" s="108">
        <v>90.5</v>
      </c>
      <c r="K464" s="108">
        <v>0.47</v>
      </c>
      <c r="L464" s="108">
        <v>1.48</v>
      </c>
      <c r="M464" s="59"/>
    </row>
    <row r="465" spans="1:15" ht="14.25" customHeight="1" thickBot="1" x14ac:dyDescent="0.35">
      <c r="A465" s="103" t="s">
        <v>512</v>
      </c>
      <c r="B465" s="102" t="s">
        <v>22</v>
      </c>
      <c r="D465" s="667">
        <v>45768</v>
      </c>
      <c r="E465" s="16" t="s">
        <v>23</v>
      </c>
      <c r="F465" s="8" t="s">
        <v>85</v>
      </c>
      <c r="G465" s="16" t="s">
        <v>94</v>
      </c>
      <c r="H465" s="17" t="s">
        <v>26</v>
      </c>
      <c r="I465" s="17" t="s">
        <v>451</v>
      </c>
      <c r="J465" s="102" t="s">
        <v>450</v>
      </c>
      <c r="K465" s="69" t="s">
        <v>451</v>
      </c>
      <c r="L465" s="69" t="s">
        <v>451</v>
      </c>
      <c r="M465" s="663" t="s">
        <v>451</v>
      </c>
      <c r="N465" s="663" t="s">
        <v>451</v>
      </c>
      <c r="O465" s="669"/>
    </row>
    <row r="466" spans="1:15" ht="14.25" customHeight="1" thickBot="1" x14ac:dyDescent="0.35">
      <c r="A466" s="101" t="s">
        <v>513</v>
      </c>
      <c r="B466" s="102" t="s">
        <v>22</v>
      </c>
      <c r="D466" s="667">
        <v>45768</v>
      </c>
      <c r="E466" s="16" t="s">
        <v>23</v>
      </c>
      <c r="F466" s="8" t="s">
        <v>85</v>
      </c>
      <c r="G466" s="16" t="s">
        <v>94</v>
      </c>
      <c r="H466" s="17" t="s">
        <v>26</v>
      </c>
      <c r="I466" s="17">
        <v>50</v>
      </c>
      <c r="J466" s="102" t="s">
        <v>450</v>
      </c>
      <c r="K466" s="69" t="s">
        <v>451</v>
      </c>
      <c r="L466" s="69" t="s">
        <v>451</v>
      </c>
      <c r="M466" s="663" t="s">
        <v>451</v>
      </c>
      <c r="N466" s="663" t="s">
        <v>451</v>
      </c>
      <c r="O466" s="669"/>
    </row>
    <row r="467" spans="1:15" ht="14.25" customHeight="1" thickBot="1" x14ac:dyDescent="0.35">
      <c r="A467" s="101" t="s">
        <v>514</v>
      </c>
      <c r="B467" s="102" t="s">
        <v>22</v>
      </c>
      <c r="D467" s="667">
        <v>45768</v>
      </c>
      <c r="E467" s="16" t="s">
        <v>23</v>
      </c>
      <c r="F467" s="8" t="s">
        <v>85</v>
      </c>
      <c r="G467" s="16" t="s">
        <v>94</v>
      </c>
      <c r="H467" s="17" t="s">
        <v>26</v>
      </c>
      <c r="I467" s="17">
        <v>50</v>
      </c>
      <c r="J467" s="102" t="s">
        <v>450</v>
      </c>
      <c r="K467" s="69" t="s">
        <v>451</v>
      </c>
      <c r="L467" s="69" t="s">
        <v>451</v>
      </c>
      <c r="M467" s="663" t="s">
        <v>451</v>
      </c>
      <c r="N467" s="663" t="s">
        <v>451</v>
      </c>
      <c r="O467" s="669"/>
    </row>
    <row r="468" spans="1:15" ht="14.25" customHeight="1" thickBot="1" x14ac:dyDescent="0.35">
      <c r="A468" s="103" t="s">
        <v>515</v>
      </c>
      <c r="B468" s="102" t="s">
        <v>22</v>
      </c>
      <c r="D468" s="667">
        <v>45768</v>
      </c>
      <c r="E468" s="16" t="s">
        <v>23</v>
      </c>
      <c r="F468" s="8" t="s">
        <v>85</v>
      </c>
      <c r="G468" s="16" t="s">
        <v>94</v>
      </c>
      <c r="H468" s="17" t="s">
        <v>26</v>
      </c>
      <c r="I468" s="17" t="s">
        <v>451</v>
      </c>
      <c r="J468" s="102" t="s">
        <v>450</v>
      </c>
      <c r="K468" s="69" t="s">
        <v>451</v>
      </c>
      <c r="L468" s="69" t="s">
        <v>451</v>
      </c>
      <c r="M468" s="663" t="s">
        <v>451</v>
      </c>
      <c r="N468" s="663" t="s">
        <v>451</v>
      </c>
      <c r="O468" s="669"/>
    </row>
    <row r="469" spans="1:15" ht="13.8" customHeight="1" thickBot="1" x14ac:dyDescent="0.35">
      <c r="A469" s="101" t="s">
        <v>516</v>
      </c>
      <c r="B469" s="108" t="s">
        <v>22</v>
      </c>
      <c r="D469" s="689">
        <v>45733</v>
      </c>
      <c r="E469" s="16" t="s">
        <v>23</v>
      </c>
      <c r="F469" s="8" t="s">
        <v>85</v>
      </c>
      <c r="G469" s="16" t="s">
        <v>67</v>
      </c>
      <c r="H469" s="17" t="s">
        <v>26</v>
      </c>
      <c r="I469" s="17">
        <v>50</v>
      </c>
      <c r="J469" s="108">
        <v>22.3</v>
      </c>
      <c r="K469" s="108">
        <v>1.23</v>
      </c>
      <c r="L469" s="108">
        <v>2.0299999999999998</v>
      </c>
      <c r="M469" s="59"/>
    </row>
    <row r="470" spans="1:15" ht="14.25" customHeight="1" thickBot="1" x14ac:dyDescent="0.35">
      <c r="A470" s="103" t="s">
        <v>517</v>
      </c>
      <c r="B470" s="112" t="s">
        <v>22</v>
      </c>
      <c r="D470" s="664" t="s">
        <v>518</v>
      </c>
      <c r="E470" s="39" t="s">
        <v>88</v>
      </c>
      <c r="F470" s="8" t="s">
        <v>85</v>
      </c>
      <c r="G470" s="40" t="s">
        <v>89</v>
      </c>
      <c r="H470" s="4" t="s">
        <v>468</v>
      </c>
      <c r="I470" s="17">
        <v>50</v>
      </c>
      <c r="J470" s="113">
        <v>225.66767026193691</v>
      </c>
      <c r="K470" s="114">
        <v>1.7682680778453179</v>
      </c>
      <c r="L470" s="114">
        <v>1.4046546023744151</v>
      </c>
      <c r="M470" s="59"/>
    </row>
    <row r="471" spans="1:15" ht="14.25" customHeight="1" thickBot="1" x14ac:dyDescent="0.35">
      <c r="A471" s="105" t="s">
        <v>519</v>
      </c>
      <c r="B471" s="112" t="s">
        <v>22</v>
      </c>
      <c r="D471" s="689">
        <v>45763</v>
      </c>
      <c r="E471" s="39" t="s">
        <v>88</v>
      </c>
      <c r="F471" s="8" t="s">
        <v>85</v>
      </c>
      <c r="G471" s="40" t="s">
        <v>89</v>
      </c>
      <c r="H471" s="17" t="s">
        <v>26</v>
      </c>
      <c r="I471" s="17">
        <v>50</v>
      </c>
      <c r="J471" s="113">
        <v>1249.931508735556</v>
      </c>
      <c r="K471" s="114">
        <v>2.0398063107492397</v>
      </c>
      <c r="L471" s="114">
        <v>2.0947653913696245</v>
      </c>
      <c r="M471" s="59"/>
    </row>
    <row r="472" spans="1:15" ht="14.25" customHeight="1" thickBot="1" x14ac:dyDescent="0.35">
      <c r="A472" s="105" t="s">
        <v>520</v>
      </c>
      <c r="B472" s="112" t="s">
        <v>22</v>
      </c>
      <c r="D472" s="111">
        <v>45763</v>
      </c>
      <c r="E472" s="39" t="s">
        <v>88</v>
      </c>
      <c r="F472" s="8" t="s">
        <v>85</v>
      </c>
      <c r="G472" s="40" t="s">
        <v>89</v>
      </c>
      <c r="H472" s="17" t="s">
        <v>26</v>
      </c>
      <c r="I472" s="17">
        <v>50</v>
      </c>
      <c r="J472" s="113">
        <v>50.9</v>
      </c>
      <c r="K472" s="114">
        <v>1.92</v>
      </c>
      <c r="L472" s="114">
        <v>1.46</v>
      </c>
      <c r="M472" s="59"/>
    </row>
    <row r="473" spans="1:15" ht="14.25" customHeight="1" thickBot="1" x14ac:dyDescent="0.35">
      <c r="A473" s="105" t="s">
        <v>521</v>
      </c>
      <c r="B473" s="112" t="s">
        <v>22</v>
      </c>
      <c r="D473" s="111">
        <v>45756</v>
      </c>
      <c r="E473" s="39" t="s">
        <v>88</v>
      </c>
      <c r="F473" s="8" t="s">
        <v>85</v>
      </c>
      <c r="G473" s="40" t="s">
        <v>89</v>
      </c>
      <c r="H473" s="17" t="s">
        <v>26</v>
      </c>
      <c r="I473" s="17">
        <v>50</v>
      </c>
      <c r="J473" s="113">
        <v>433.1878129056509</v>
      </c>
      <c r="K473" s="114">
        <v>2.1986760868730215</v>
      </c>
      <c r="L473" s="114">
        <v>1.9171099764902304</v>
      </c>
      <c r="M473" s="674"/>
      <c r="N473" s="669"/>
    </row>
    <row r="474" spans="1:15" ht="14.25" customHeight="1" thickBot="1" x14ac:dyDescent="0.35">
      <c r="A474" s="105" t="s">
        <v>522</v>
      </c>
      <c r="B474" s="112" t="s">
        <v>22</v>
      </c>
      <c r="D474" s="689">
        <v>45756</v>
      </c>
      <c r="E474" s="39" t="s">
        <v>88</v>
      </c>
      <c r="F474" s="8" t="s">
        <v>85</v>
      </c>
      <c r="G474" s="40" t="s">
        <v>89</v>
      </c>
      <c r="H474" s="17" t="s">
        <v>26</v>
      </c>
      <c r="I474" s="17">
        <v>50</v>
      </c>
      <c r="J474" s="113">
        <v>69.514939903462121</v>
      </c>
      <c r="K474" s="114">
        <v>1.5290413956515676</v>
      </c>
      <c r="L474" s="114">
        <v>1.9760737806398163</v>
      </c>
      <c r="M474" s="59"/>
    </row>
    <row r="475" spans="1:15" ht="14.25" customHeight="1" thickBot="1" x14ac:dyDescent="0.35">
      <c r="A475" s="101" t="s">
        <v>523</v>
      </c>
      <c r="B475" s="108" t="s">
        <v>22</v>
      </c>
      <c r="D475" s="689">
        <v>45733</v>
      </c>
      <c r="E475" s="16" t="s">
        <v>23</v>
      </c>
      <c r="F475" s="8" t="s">
        <v>85</v>
      </c>
      <c r="G475" s="16" t="s">
        <v>67</v>
      </c>
      <c r="H475" s="17" t="s">
        <v>26</v>
      </c>
      <c r="I475" s="17">
        <v>50</v>
      </c>
      <c r="J475" s="108">
        <v>34.6</v>
      </c>
      <c r="K475" s="108">
        <v>1</v>
      </c>
      <c r="L475" s="108">
        <v>1.86</v>
      </c>
      <c r="M475" s="59"/>
    </row>
    <row r="476" spans="1:15" ht="14.25" customHeight="1" thickBot="1" x14ac:dyDescent="0.35">
      <c r="A476" s="103" t="s">
        <v>524</v>
      </c>
      <c r="B476" s="112" t="s">
        <v>22</v>
      </c>
      <c r="D476" s="111">
        <v>45846</v>
      </c>
      <c r="E476" s="39" t="s">
        <v>88</v>
      </c>
      <c r="F476" s="8" t="s">
        <v>85</v>
      </c>
      <c r="G476" s="40" t="s">
        <v>89</v>
      </c>
      <c r="H476" s="17" t="s">
        <v>26</v>
      </c>
      <c r="I476" s="17">
        <v>50</v>
      </c>
      <c r="J476" s="69" t="s">
        <v>230</v>
      </c>
      <c r="K476" s="69"/>
      <c r="L476" s="69"/>
      <c r="M476" s="674"/>
      <c r="N476" s="669"/>
    </row>
    <row r="477" spans="1:15" ht="14.25" customHeight="1" thickBot="1" x14ac:dyDescent="0.35">
      <c r="A477" s="103" t="s">
        <v>525</v>
      </c>
      <c r="B477" s="112" t="s">
        <v>22</v>
      </c>
      <c r="D477" s="111">
        <v>45846</v>
      </c>
      <c r="E477" s="39" t="s">
        <v>88</v>
      </c>
      <c r="F477" s="8" t="s">
        <v>85</v>
      </c>
      <c r="G477" s="40" t="s">
        <v>89</v>
      </c>
      <c r="H477" s="17" t="s">
        <v>26</v>
      </c>
      <c r="I477" s="17">
        <v>50</v>
      </c>
      <c r="J477" s="69" t="s">
        <v>230</v>
      </c>
      <c r="K477" s="69"/>
      <c r="L477" s="69"/>
      <c r="M477" s="674"/>
      <c r="N477" s="669"/>
    </row>
    <row r="478" spans="1:15" ht="14.25" customHeight="1" thickBot="1" x14ac:dyDescent="0.35">
      <c r="A478" s="103" t="s">
        <v>526</v>
      </c>
      <c r="B478" s="112" t="s">
        <v>22</v>
      </c>
      <c r="D478" s="111">
        <v>45846</v>
      </c>
      <c r="E478" s="39" t="s">
        <v>88</v>
      </c>
      <c r="F478" s="8" t="s">
        <v>85</v>
      </c>
      <c r="G478" s="40" t="s">
        <v>89</v>
      </c>
      <c r="H478" s="17" t="s">
        <v>26</v>
      </c>
      <c r="I478" s="17">
        <v>50</v>
      </c>
      <c r="J478" s="69" t="s">
        <v>230</v>
      </c>
      <c r="K478" s="69"/>
      <c r="L478" s="69"/>
      <c r="M478" s="674"/>
      <c r="N478" s="669"/>
    </row>
    <row r="479" spans="1:15" ht="14.25" customHeight="1" thickBot="1" x14ac:dyDescent="0.35">
      <c r="A479" s="105" t="s">
        <v>527</v>
      </c>
      <c r="B479" s="112" t="s">
        <v>22</v>
      </c>
      <c r="D479" s="115">
        <v>45757</v>
      </c>
      <c r="E479" s="39" t="s">
        <v>88</v>
      </c>
      <c r="F479" s="8" t="s">
        <v>85</v>
      </c>
      <c r="G479" s="40" t="s">
        <v>89</v>
      </c>
      <c r="H479" s="17" t="s">
        <v>26</v>
      </c>
      <c r="I479" s="17">
        <v>50</v>
      </c>
      <c r="J479" s="113">
        <v>306.0163297356666</v>
      </c>
      <c r="K479" s="114">
        <v>1.4537165842303372</v>
      </c>
      <c r="L479" s="114">
        <v>1.671039479472092</v>
      </c>
      <c r="M479" s="59"/>
    </row>
    <row r="480" spans="1:15" ht="14.25" customHeight="1" thickBot="1" x14ac:dyDescent="0.35">
      <c r="A480" s="101" t="s">
        <v>528</v>
      </c>
      <c r="B480" s="108" t="s">
        <v>22</v>
      </c>
      <c r="D480" s="110">
        <v>45922</v>
      </c>
      <c r="E480" s="16" t="s">
        <v>23</v>
      </c>
      <c r="F480" s="8" t="s">
        <v>85</v>
      </c>
      <c r="G480" s="16" t="s">
        <v>67</v>
      </c>
      <c r="H480" s="6" t="s">
        <v>18</v>
      </c>
      <c r="I480" s="17">
        <v>50</v>
      </c>
      <c r="J480" s="108">
        <v>98</v>
      </c>
      <c r="K480" s="108">
        <v>0.36</v>
      </c>
      <c r="L480" s="108">
        <v>1.37</v>
      </c>
      <c r="M480" s="59"/>
    </row>
    <row r="481" spans="1:15" ht="14.25" customHeight="1" thickBot="1" x14ac:dyDescent="0.35">
      <c r="A481" s="105" t="s">
        <v>529</v>
      </c>
      <c r="B481" s="112" t="s">
        <v>22</v>
      </c>
      <c r="D481" s="111">
        <v>45817</v>
      </c>
      <c r="E481" s="39" t="s">
        <v>88</v>
      </c>
      <c r="F481" s="8" t="s">
        <v>85</v>
      </c>
      <c r="G481" s="40" t="s">
        <v>89</v>
      </c>
      <c r="H481" s="17" t="s">
        <v>26</v>
      </c>
      <c r="I481" s="17">
        <v>50</v>
      </c>
      <c r="J481" s="113">
        <v>218.33261607796257</v>
      </c>
      <c r="K481" s="114">
        <v>1.5856618664426694</v>
      </c>
      <c r="L481" s="114">
        <v>1.8158129155993601</v>
      </c>
      <c r="M481" s="59"/>
    </row>
    <row r="482" spans="1:15" ht="14.25" customHeight="1" thickBot="1" x14ac:dyDescent="0.35">
      <c r="A482" s="101" t="s">
        <v>530</v>
      </c>
      <c r="B482" s="102" t="s">
        <v>22</v>
      </c>
      <c r="D482" s="104">
        <v>45768</v>
      </c>
      <c r="E482" s="16" t="s">
        <v>23</v>
      </c>
      <c r="F482" s="8" t="s">
        <v>85</v>
      </c>
      <c r="G482" s="16" t="s">
        <v>180</v>
      </c>
      <c r="H482" s="17" t="s">
        <v>26</v>
      </c>
      <c r="I482" s="17">
        <v>50</v>
      </c>
      <c r="J482" s="102" t="s">
        <v>450</v>
      </c>
      <c r="K482" s="69" t="s">
        <v>451</v>
      </c>
      <c r="L482" s="69" t="s">
        <v>451</v>
      </c>
      <c r="M482" s="663" t="s">
        <v>451</v>
      </c>
      <c r="N482" s="663" t="s">
        <v>451</v>
      </c>
      <c r="O482" s="669"/>
    </row>
    <row r="483" spans="1:15" ht="14.25" customHeight="1" thickBot="1" x14ac:dyDescent="0.35">
      <c r="A483" s="101" t="s">
        <v>531</v>
      </c>
      <c r="B483" s="108" t="s">
        <v>22</v>
      </c>
      <c r="D483" s="109">
        <v>45931</v>
      </c>
      <c r="E483" s="16" t="s">
        <v>23</v>
      </c>
      <c r="F483" s="8" t="s">
        <v>85</v>
      </c>
      <c r="G483" s="16" t="s">
        <v>67</v>
      </c>
      <c r="H483" s="6" t="s">
        <v>18</v>
      </c>
      <c r="I483" s="17">
        <v>50</v>
      </c>
      <c r="J483" s="19">
        <v>12.9</v>
      </c>
      <c r="K483" s="108">
        <v>0.17</v>
      </c>
      <c r="L483" s="108">
        <v>1.7</v>
      </c>
      <c r="M483" s="59"/>
    </row>
    <row r="484" spans="1:15" ht="14.25" customHeight="1" thickBot="1" x14ac:dyDescent="0.35">
      <c r="A484" s="103" t="s">
        <v>532</v>
      </c>
      <c r="B484" s="102" t="s">
        <v>22</v>
      </c>
      <c r="D484" s="104">
        <v>45768</v>
      </c>
      <c r="E484" s="16" t="s">
        <v>23</v>
      </c>
      <c r="F484" s="8" t="s">
        <v>85</v>
      </c>
      <c r="G484" s="16" t="s">
        <v>94</v>
      </c>
      <c r="H484" s="17" t="s">
        <v>26</v>
      </c>
      <c r="I484" s="17" t="s">
        <v>451</v>
      </c>
      <c r="J484" s="102" t="s">
        <v>450</v>
      </c>
      <c r="K484" s="69" t="s">
        <v>451</v>
      </c>
      <c r="L484" s="69" t="s">
        <v>451</v>
      </c>
      <c r="M484" s="663" t="s">
        <v>451</v>
      </c>
      <c r="N484" s="663" t="s">
        <v>451</v>
      </c>
      <c r="O484" s="669"/>
    </row>
    <row r="485" spans="1:15" ht="14.25" customHeight="1" thickBot="1" x14ac:dyDescent="0.35">
      <c r="A485" s="105" t="s">
        <v>533</v>
      </c>
      <c r="B485" s="112" t="s">
        <v>22</v>
      </c>
      <c r="D485" s="115">
        <v>45757</v>
      </c>
      <c r="E485" s="39" t="s">
        <v>88</v>
      </c>
      <c r="F485" s="8" t="s">
        <v>85</v>
      </c>
      <c r="G485" s="40" t="s">
        <v>89</v>
      </c>
      <c r="H485" s="17" t="s">
        <v>26</v>
      </c>
      <c r="I485" s="17">
        <v>50</v>
      </c>
      <c r="J485" s="113">
        <v>338.16546666249047</v>
      </c>
      <c r="K485" s="114">
        <v>1.1524474830823057</v>
      </c>
      <c r="L485" s="114">
        <v>1.8120738971548649</v>
      </c>
      <c r="M485" s="59"/>
    </row>
    <row r="486" spans="1:15" ht="15" customHeight="1" thickBot="1" x14ac:dyDescent="0.35">
      <c r="A486" s="105" t="s">
        <v>534</v>
      </c>
      <c r="B486" s="112" t="s">
        <v>22</v>
      </c>
      <c r="D486" s="115">
        <v>45757</v>
      </c>
      <c r="E486" s="39" t="s">
        <v>88</v>
      </c>
      <c r="F486" s="8" t="s">
        <v>85</v>
      </c>
      <c r="G486" s="40" t="s">
        <v>89</v>
      </c>
      <c r="H486" s="17" t="s">
        <v>26</v>
      </c>
      <c r="I486" s="17">
        <v>50</v>
      </c>
      <c r="J486" s="26">
        <v>234.56028492166348</v>
      </c>
      <c r="K486" s="114">
        <v>2.2675760380257071</v>
      </c>
      <c r="L486" s="114">
        <v>1.984948625139527</v>
      </c>
      <c r="M486" s="59"/>
    </row>
    <row r="487" spans="1:15" ht="14.25" customHeight="1" thickBot="1" x14ac:dyDescent="0.35">
      <c r="A487" s="105" t="s">
        <v>535</v>
      </c>
      <c r="B487" s="112" t="s">
        <v>22</v>
      </c>
      <c r="D487" s="115">
        <v>45757</v>
      </c>
      <c r="E487" s="39" t="s">
        <v>88</v>
      </c>
      <c r="F487" s="8" t="s">
        <v>85</v>
      </c>
      <c r="G487" s="40" t="s">
        <v>89</v>
      </c>
      <c r="H487" s="17" t="s">
        <v>26</v>
      </c>
      <c r="I487" s="17">
        <v>50</v>
      </c>
      <c r="J487" s="26">
        <v>127.38349564257922</v>
      </c>
      <c r="K487" s="114">
        <v>1.2926576603102133</v>
      </c>
      <c r="L487" s="114">
        <v>1.6913077375858196</v>
      </c>
      <c r="M487" s="59"/>
    </row>
    <row r="488" spans="1:15" ht="14.25" customHeight="1" thickBot="1" x14ac:dyDescent="0.35">
      <c r="A488" s="103" t="s">
        <v>536</v>
      </c>
      <c r="B488" s="112" t="s">
        <v>22</v>
      </c>
      <c r="D488" s="116">
        <v>45846</v>
      </c>
      <c r="E488" s="39" t="s">
        <v>88</v>
      </c>
      <c r="F488" s="8" t="s">
        <v>85</v>
      </c>
      <c r="G488" s="40" t="s">
        <v>89</v>
      </c>
      <c r="H488" s="17" t="s">
        <v>26</v>
      </c>
      <c r="I488" s="17">
        <v>50</v>
      </c>
      <c r="J488" s="113">
        <v>168.25934511799667</v>
      </c>
      <c r="K488" s="114">
        <v>0.84489472947095823</v>
      </c>
      <c r="L488" s="114">
        <v>0.1686039703363853</v>
      </c>
      <c r="M488" s="59"/>
    </row>
    <row r="489" spans="1:15" ht="14.25" customHeight="1" thickBot="1" x14ac:dyDescent="0.35">
      <c r="A489" s="101" t="s">
        <v>537</v>
      </c>
      <c r="B489" s="108" t="s">
        <v>22</v>
      </c>
      <c r="D489" s="117">
        <v>45922</v>
      </c>
      <c r="E489" s="16" t="s">
        <v>23</v>
      </c>
      <c r="F489" s="8" t="s">
        <v>85</v>
      </c>
      <c r="G489" s="16" t="s">
        <v>67</v>
      </c>
      <c r="H489" s="6" t="s">
        <v>18</v>
      </c>
      <c r="I489" s="17">
        <v>50</v>
      </c>
      <c r="J489" s="108">
        <v>48.3</v>
      </c>
      <c r="K489" s="108">
        <v>0.31</v>
      </c>
      <c r="L489" s="108">
        <v>1.41</v>
      </c>
      <c r="M489" s="59"/>
    </row>
    <row r="490" spans="1:15" ht="14.25" customHeight="1" thickBot="1" x14ac:dyDescent="0.35">
      <c r="A490" s="105" t="s">
        <v>538</v>
      </c>
      <c r="B490" s="112" t="s">
        <v>22</v>
      </c>
      <c r="D490" s="115">
        <v>45757</v>
      </c>
      <c r="E490" s="39" t="s">
        <v>88</v>
      </c>
      <c r="F490" s="8" t="s">
        <v>85</v>
      </c>
      <c r="G490" s="40" t="s">
        <v>89</v>
      </c>
      <c r="H490" s="17" t="s">
        <v>26</v>
      </c>
      <c r="I490" s="17">
        <v>50</v>
      </c>
      <c r="J490" s="113">
        <v>1217.9700385413141</v>
      </c>
      <c r="K490" s="114">
        <v>2.277960391432658</v>
      </c>
      <c r="L490" s="114">
        <v>1.9634540191517205</v>
      </c>
      <c r="M490" s="59"/>
    </row>
    <row r="491" spans="1:15" ht="14.25" customHeight="1" thickBot="1" x14ac:dyDescent="0.35">
      <c r="A491" s="103" t="s">
        <v>539</v>
      </c>
      <c r="B491" s="112" t="s">
        <v>22</v>
      </c>
      <c r="D491" s="115">
        <v>45757</v>
      </c>
      <c r="E491" s="39" t="s">
        <v>88</v>
      </c>
      <c r="F491" s="8" t="s">
        <v>85</v>
      </c>
      <c r="G491" s="40" t="s">
        <v>89</v>
      </c>
      <c r="H491" s="17" t="s">
        <v>26</v>
      </c>
      <c r="I491" s="17">
        <v>50</v>
      </c>
      <c r="J491" s="113">
        <v>178.48545328615506</v>
      </c>
      <c r="K491" s="114">
        <v>2.0193132584440461</v>
      </c>
      <c r="L491" s="114">
        <v>1.6558876361576451</v>
      </c>
      <c r="M491" s="59"/>
    </row>
    <row r="492" spans="1:15" ht="14.25" customHeight="1" thickBot="1" x14ac:dyDescent="0.35">
      <c r="A492" s="105" t="s">
        <v>540</v>
      </c>
      <c r="B492" s="112" t="s">
        <v>22</v>
      </c>
      <c r="D492" s="115">
        <v>45757</v>
      </c>
      <c r="E492" s="39" t="s">
        <v>88</v>
      </c>
      <c r="F492" s="8" t="s">
        <v>85</v>
      </c>
      <c r="G492" s="40" t="s">
        <v>89</v>
      </c>
      <c r="H492" s="17" t="s">
        <v>26</v>
      </c>
      <c r="I492" s="17">
        <v>50</v>
      </c>
      <c r="J492" s="113">
        <v>12.807933647605468</v>
      </c>
      <c r="K492" s="114">
        <v>1.757292713494075</v>
      </c>
      <c r="L492" s="114">
        <v>1.8798795630841594</v>
      </c>
      <c r="M492" s="59"/>
    </row>
    <row r="493" spans="1:15" ht="14.25" customHeight="1" thickBot="1" x14ac:dyDescent="0.35">
      <c r="A493" s="105" t="s">
        <v>541</v>
      </c>
      <c r="B493" s="112" t="s">
        <v>22</v>
      </c>
      <c r="D493" s="115">
        <v>45757</v>
      </c>
      <c r="E493" s="39" t="s">
        <v>88</v>
      </c>
      <c r="F493" s="8" t="s">
        <v>85</v>
      </c>
      <c r="G493" s="40" t="s">
        <v>89</v>
      </c>
      <c r="H493" s="17" t="s">
        <v>26</v>
      </c>
      <c r="I493" s="17">
        <v>50</v>
      </c>
      <c r="J493" s="113">
        <v>138.16932570021004</v>
      </c>
      <c r="K493" s="114">
        <v>2.0051722326781873</v>
      </c>
      <c r="L493" s="114">
        <v>1.6333724271237631</v>
      </c>
      <c r="M493" s="59"/>
    </row>
    <row r="494" spans="1:15" ht="14.25" customHeight="1" thickBot="1" x14ac:dyDescent="0.35">
      <c r="A494" s="101" t="s">
        <v>542</v>
      </c>
      <c r="B494" s="108" t="s">
        <v>22</v>
      </c>
      <c r="D494" s="691">
        <v>45931</v>
      </c>
      <c r="E494" s="16" t="s">
        <v>23</v>
      </c>
      <c r="F494" s="8" t="s">
        <v>85</v>
      </c>
      <c r="G494" s="16" t="s">
        <v>67</v>
      </c>
      <c r="H494" s="6" t="s">
        <v>18</v>
      </c>
      <c r="I494" s="17">
        <v>50</v>
      </c>
      <c r="J494" s="108">
        <v>10.4</v>
      </c>
      <c r="K494" s="108">
        <v>0.42</v>
      </c>
      <c r="L494" s="108">
        <v>1.94</v>
      </c>
      <c r="M494" s="59"/>
    </row>
    <row r="495" spans="1:15" ht="14.25" customHeight="1" thickBot="1" x14ac:dyDescent="0.35">
      <c r="A495" s="103" t="s">
        <v>543</v>
      </c>
      <c r="B495" s="112" t="s">
        <v>22</v>
      </c>
      <c r="D495" s="110">
        <v>45931</v>
      </c>
      <c r="E495" s="16" t="s">
        <v>23</v>
      </c>
      <c r="F495" s="8" t="s">
        <v>85</v>
      </c>
      <c r="G495" s="16" t="s">
        <v>67</v>
      </c>
      <c r="H495" s="6" t="s">
        <v>18</v>
      </c>
      <c r="I495" s="17">
        <v>50</v>
      </c>
      <c r="J495" s="108">
        <v>53.3</v>
      </c>
      <c r="K495" s="108">
        <v>1.41</v>
      </c>
      <c r="L495" s="108">
        <v>1.91</v>
      </c>
      <c r="M495" s="59"/>
    </row>
    <row r="496" spans="1:15" ht="14.25" customHeight="1" thickBot="1" x14ac:dyDescent="0.35">
      <c r="A496" s="103" t="s">
        <v>544</v>
      </c>
      <c r="B496" s="112" t="s">
        <v>22</v>
      </c>
      <c r="D496" s="115">
        <v>45705</v>
      </c>
      <c r="E496" s="39" t="s">
        <v>88</v>
      </c>
      <c r="F496" s="8" t="s">
        <v>85</v>
      </c>
      <c r="G496" s="40" t="s">
        <v>89</v>
      </c>
      <c r="H496" s="17" t="s">
        <v>26</v>
      </c>
      <c r="I496" s="17">
        <v>50</v>
      </c>
      <c r="J496" s="102"/>
      <c r="K496" s="69"/>
      <c r="L496" s="69"/>
      <c r="M496" s="674"/>
      <c r="N496" s="669"/>
    </row>
    <row r="497" spans="1:15" ht="14.25" customHeight="1" thickBot="1" x14ac:dyDescent="0.35">
      <c r="A497" s="105" t="s">
        <v>545</v>
      </c>
      <c r="B497" s="112" t="s">
        <v>22</v>
      </c>
      <c r="D497" s="115">
        <v>45763</v>
      </c>
      <c r="E497" s="39" t="s">
        <v>88</v>
      </c>
      <c r="F497" s="8" t="s">
        <v>85</v>
      </c>
      <c r="G497" s="40" t="s">
        <v>89</v>
      </c>
      <c r="H497" s="17" t="s">
        <v>26</v>
      </c>
      <c r="I497" s="17">
        <v>50</v>
      </c>
      <c r="J497" s="26">
        <v>82.722613751034686</v>
      </c>
      <c r="K497" s="114">
        <v>1.9677879779164529</v>
      </c>
      <c r="L497" s="114">
        <v>1.292009583567344</v>
      </c>
      <c r="M497" s="59"/>
    </row>
    <row r="498" spans="1:15" ht="14.25" customHeight="1" thickBot="1" x14ac:dyDescent="0.35">
      <c r="A498" s="103" t="s">
        <v>546</v>
      </c>
      <c r="B498" s="112" t="s">
        <v>22</v>
      </c>
      <c r="D498" s="111">
        <v>45817</v>
      </c>
      <c r="E498" s="39" t="s">
        <v>88</v>
      </c>
      <c r="F498" s="8" t="s">
        <v>85</v>
      </c>
      <c r="G498" s="40" t="s">
        <v>89</v>
      </c>
      <c r="H498" s="17" t="s">
        <v>26</v>
      </c>
      <c r="I498" s="17">
        <v>50</v>
      </c>
      <c r="J498" s="113">
        <v>341.10783296165937</v>
      </c>
      <c r="K498" s="114">
        <v>1.3995129632966949</v>
      </c>
      <c r="L498" s="114">
        <v>1.7954613316128123</v>
      </c>
      <c r="M498" s="59"/>
    </row>
    <row r="499" spans="1:15" ht="14.25" customHeight="1" thickBot="1" x14ac:dyDescent="0.35">
      <c r="A499" s="103" t="s">
        <v>547</v>
      </c>
      <c r="B499" s="112" t="s">
        <v>22</v>
      </c>
      <c r="D499" s="111">
        <v>45817</v>
      </c>
      <c r="E499" s="39" t="s">
        <v>88</v>
      </c>
      <c r="F499" s="8" t="s">
        <v>85</v>
      </c>
      <c r="G499" s="40" t="s">
        <v>89</v>
      </c>
      <c r="H499" s="17" t="s">
        <v>26</v>
      </c>
      <c r="I499" s="17">
        <v>50</v>
      </c>
      <c r="J499" s="113">
        <v>169.94521666270745</v>
      </c>
      <c r="K499" s="114">
        <v>1.5919472187899695</v>
      </c>
      <c r="L499" s="114">
        <v>1.9788424558518307</v>
      </c>
      <c r="M499" s="59"/>
    </row>
    <row r="500" spans="1:15" ht="14.25" customHeight="1" thickBot="1" x14ac:dyDescent="0.35">
      <c r="A500" s="105" t="s">
        <v>548</v>
      </c>
      <c r="B500" s="112" t="s">
        <v>22</v>
      </c>
      <c r="D500" s="115">
        <v>45757</v>
      </c>
      <c r="E500" s="39" t="s">
        <v>88</v>
      </c>
      <c r="F500" s="8" t="s">
        <v>85</v>
      </c>
      <c r="G500" s="40" t="s">
        <v>89</v>
      </c>
      <c r="H500" s="17" t="s">
        <v>26</v>
      </c>
      <c r="I500" s="17">
        <v>50</v>
      </c>
      <c r="J500" s="113">
        <v>51.606533400468521</v>
      </c>
      <c r="K500" s="114">
        <v>1.4545571936359876</v>
      </c>
      <c r="L500" s="114">
        <v>1.9364214743256245</v>
      </c>
      <c r="M500" s="59"/>
    </row>
    <row r="501" spans="1:15" ht="14.25" customHeight="1" thickBot="1" x14ac:dyDescent="0.35">
      <c r="A501" s="101" t="s">
        <v>549</v>
      </c>
      <c r="B501" s="108" t="s">
        <v>22</v>
      </c>
      <c r="D501" s="110">
        <v>45931</v>
      </c>
      <c r="E501" s="16" t="s">
        <v>23</v>
      </c>
      <c r="F501" s="8" t="s">
        <v>85</v>
      </c>
      <c r="G501" s="16" t="s">
        <v>67</v>
      </c>
      <c r="H501" s="6" t="s">
        <v>18</v>
      </c>
      <c r="I501" s="17">
        <v>50</v>
      </c>
      <c r="J501" s="108">
        <v>77.3</v>
      </c>
      <c r="K501" s="108">
        <v>1.51</v>
      </c>
      <c r="L501" s="108">
        <v>1.79</v>
      </c>
      <c r="M501" s="59"/>
    </row>
    <row r="502" spans="1:15" ht="14.25" customHeight="1" thickBot="1" x14ac:dyDescent="0.35">
      <c r="A502" s="103" t="s">
        <v>550</v>
      </c>
      <c r="B502" s="112" t="s">
        <v>22</v>
      </c>
      <c r="D502" s="111">
        <v>45846</v>
      </c>
      <c r="E502" s="39" t="s">
        <v>88</v>
      </c>
      <c r="F502" s="8" t="s">
        <v>85</v>
      </c>
      <c r="G502" s="40" t="s">
        <v>89</v>
      </c>
      <c r="H502" s="17" t="s">
        <v>26</v>
      </c>
      <c r="I502" s="17">
        <v>50</v>
      </c>
      <c r="J502" s="17" t="s">
        <v>230</v>
      </c>
      <c r="K502" s="69"/>
      <c r="L502" s="69"/>
      <c r="M502" s="674"/>
      <c r="N502" s="669"/>
    </row>
    <row r="503" spans="1:15" ht="14.25" customHeight="1" thickBot="1" x14ac:dyDescent="0.35">
      <c r="A503" s="101" t="s">
        <v>551</v>
      </c>
      <c r="B503" s="102" t="s">
        <v>22</v>
      </c>
      <c r="D503" s="104">
        <v>45768</v>
      </c>
      <c r="E503" s="16" t="s">
        <v>23</v>
      </c>
      <c r="F503" s="8" t="s">
        <v>85</v>
      </c>
      <c r="G503" s="16" t="s">
        <v>86</v>
      </c>
      <c r="H503" s="17" t="s">
        <v>26</v>
      </c>
      <c r="I503" s="17">
        <v>50</v>
      </c>
      <c r="J503" s="102" t="s">
        <v>450</v>
      </c>
      <c r="K503" s="69" t="s">
        <v>451</v>
      </c>
      <c r="L503" s="69" t="s">
        <v>451</v>
      </c>
      <c r="M503" s="663" t="s">
        <v>451</v>
      </c>
      <c r="N503" s="663" t="s">
        <v>451</v>
      </c>
      <c r="O503" s="669"/>
    </row>
    <row r="504" spans="1:15" ht="14.25" customHeight="1" thickBot="1" x14ac:dyDescent="0.35">
      <c r="A504" s="101" t="s">
        <v>552</v>
      </c>
      <c r="B504" s="108" t="s">
        <v>22</v>
      </c>
      <c r="D504" s="109">
        <v>45931</v>
      </c>
      <c r="E504" s="16" t="s">
        <v>23</v>
      </c>
      <c r="F504" s="8" t="s">
        <v>85</v>
      </c>
      <c r="G504" s="16" t="s">
        <v>67</v>
      </c>
      <c r="H504" s="6" t="s">
        <v>18</v>
      </c>
      <c r="I504" s="17">
        <v>50</v>
      </c>
      <c r="J504" s="108">
        <v>9</v>
      </c>
      <c r="K504" s="108">
        <v>0.05</v>
      </c>
      <c r="L504" s="108">
        <v>2.62</v>
      </c>
      <c r="M504" s="674"/>
      <c r="N504" s="669"/>
    </row>
    <row r="505" spans="1:15" ht="14.25" customHeight="1" thickBot="1" x14ac:dyDescent="0.35">
      <c r="A505" s="103" t="s">
        <v>553</v>
      </c>
      <c r="B505" s="102" t="s">
        <v>22</v>
      </c>
      <c r="D505" s="104">
        <v>45768</v>
      </c>
      <c r="E505" s="16" t="s">
        <v>23</v>
      </c>
      <c r="F505" s="8" t="s">
        <v>85</v>
      </c>
      <c r="G505" s="16" t="s">
        <v>94</v>
      </c>
      <c r="H505" s="17" t="s">
        <v>26</v>
      </c>
      <c r="I505" s="17" t="s">
        <v>451</v>
      </c>
      <c r="J505" s="102" t="s">
        <v>450</v>
      </c>
      <c r="K505" s="69" t="s">
        <v>451</v>
      </c>
      <c r="L505" s="69" t="s">
        <v>451</v>
      </c>
      <c r="M505" s="663" t="s">
        <v>451</v>
      </c>
      <c r="N505" s="663" t="s">
        <v>451</v>
      </c>
      <c r="O505" s="669"/>
    </row>
    <row r="506" spans="1:15" ht="14.25" customHeight="1" thickBot="1" x14ac:dyDescent="0.35">
      <c r="A506" s="103" t="s">
        <v>554</v>
      </c>
      <c r="B506" s="112" t="s">
        <v>22</v>
      </c>
      <c r="D506" s="111">
        <v>45846</v>
      </c>
      <c r="E506" s="39" t="s">
        <v>88</v>
      </c>
      <c r="F506" s="8" t="s">
        <v>85</v>
      </c>
      <c r="G506" s="40" t="s">
        <v>89</v>
      </c>
      <c r="H506" s="17" t="s">
        <v>26</v>
      </c>
      <c r="I506" s="17">
        <v>50</v>
      </c>
      <c r="J506" s="69" t="s">
        <v>230</v>
      </c>
      <c r="K506" s="69"/>
      <c r="L506" s="69"/>
      <c r="M506" s="674"/>
      <c r="N506" s="669"/>
    </row>
    <row r="507" spans="1:15" ht="14.25" customHeight="1" thickBot="1" x14ac:dyDescent="0.35">
      <c r="A507" s="105" t="s">
        <v>555</v>
      </c>
      <c r="B507" s="112" t="s">
        <v>22</v>
      </c>
      <c r="D507" s="115">
        <v>45763</v>
      </c>
      <c r="E507" s="39" t="s">
        <v>88</v>
      </c>
      <c r="F507" s="8" t="s">
        <v>85</v>
      </c>
      <c r="G507" s="40" t="s">
        <v>89</v>
      </c>
      <c r="H507" s="17" t="s">
        <v>26</v>
      </c>
      <c r="I507" s="17">
        <v>30</v>
      </c>
      <c r="J507" s="26">
        <v>545.98683864152827</v>
      </c>
      <c r="K507" s="114">
        <v>2.0485865191740942</v>
      </c>
      <c r="L507" s="114">
        <v>2.0132687932787836</v>
      </c>
      <c r="M507" s="59"/>
    </row>
    <row r="508" spans="1:15" ht="14.25" customHeight="1" thickBot="1" x14ac:dyDescent="0.35">
      <c r="A508" s="105" t="s">
        <v>555</v>
      </c>
      <c r="B508" s="112" t="s">
        <v>22</v>
      </c>
      <c r="D508" s="115">
        <v>45763</v>
      </c>
      <c r="E508" s="39" t="s">
        <v>88</v>
      </c>
      <c r="F508" s="8" t="s">
        <v>85</v>
      </c>
      <c r="G508" s="40" t="s">
        <v>89</v>
      </c>
      <c r="H508" s="17" t="s">
        <v>26</v>
      </c>
      <c r="I508" s="17">
        <v>50</v>
      </c>
      <c r="J508" s="113">
        <v>170</v>
      </c>
      <c r="K508" s="114">
        <v>2</v>
      </c>
      <c r="L508" s="114">
        <v>1.23</v>
      </c>
      <c r="M508" s="59"/>
    </row>
    <row r="509" spans="1:15" ht="14.25" customHeight="1" thickBot="1" x14ac:dyDescent="0.35">
      <c r="A509" s="101" t="s">
        <v>556</v>
      </c>
      <c r="B509" s="108" t="s">
        <v>22</v>
      </c>
      <c r="D509" s="109">
        <v>45931</v>
      </c>
      <c r="E509" s="16" t="s">
        <v>23</v>
      </c>
      <c r="F509" s="8" t="s">
        <v>85</v>
      </c>
      <c r="G509" s="16" t="s">
        <v>67</v>
      </c>
      <c r="H509" s="6" t="s">
        <v>18</v>
      </c>
      <c r="I509" s="17">
        <v>50</v>
      </c>
      <c r="J509" s="108">
        <v>34.5</v>
      </c>
      <c r="K509" s="108">
        <v>0.12</v>
      </c>
      <c r="L509" s="108">
        <v>1.54</v>
      </c>
      <c r="M509" s="59"/>
    </row>
    <row r="510" spans="1:15" ht="14.25" customHeight="1" thickBot="1" x14ac:dyDescent="0.35">
      <c r="A510" s="101" t="s">
        <v>557</v>
      </c>
      <c r="B510" s="108" t="s">
        <v>22</v>
      </c>
      <c r="D510" s="109">
        <v>45931</v>
      </c>
      <c r="E510" s="16" t="s">
        <v>23</v>
      </c>
      <c r="F510" s="8" t="s">
        <v>85</v>
      </c>
      <c r="G510" s="16" t="s">
        <v>67</v>
      </c>
      <c r="H510" s="6" t="s">
        <v>18</v>
      </c>
      <c r="I510" s="17">
        <v>50</v>
      </c>
      <c r="J510" s="108">
        <v>38.299999999999997</v>
      </c>
      <c r="K510" s="108">
        <v>0.23</v>
      </c>
      <c r="L510" s="108">
        <v>1.57</v>
      </c>
      <c r="M510" s="59"/>
    </row>
    <row r="511" spans="1:15" ht="14.25" customHeight="1" thickBot="1" x14ac:dyDescent="0.35">
      <c r="A511" s="101" t="s">
        <v>558</v>
      </c>
      <c r="B511" s="108" t="s">
        <v>22</v>
      </c>
      <c r="D511" s="109">
        <v>45931</v>
      </c>
      <c r="E511" s="16" t="s">
        <v>23</v>
      </c>
      <c r="F511" s="8" t="s">
        <v>85</v>
      </c>
      <c r="G511" s="16" t="s">
        <v>67</v>
      </c>
      <c r="H511" s="6" t="s">
        <v>18</v>
      </c>
      <c r="I511" s="17">
        <v>50</v>
      </c>
      <c r="J511" s="108">
        <v>35</v>
      </c>
      <c r="K511" s="108">
        <v>0.1</v>
      </c>
      <c r="L511" s="108">
        <v>1.61</v>
      </c>
      <c r="M511" s="59"/>
    </row>
    <row r="512" spans="1:15" ht="14.25" customHeight="1" thickBot="1" x14ac:dyDescent="0.35">
      <c r="A512" s="101" t="s">
        <v>559</v>
      </c>
      <c r="B512" s="108" t="s">
        <v>22</v>
      </c>
      <c r="D512" s="109">
        <v>45931</v>
      </c>
      <c r="E512" s="16" t="s">
        <v>23</v>
      </c>
      <c r="F512" s="114" t="s">
        <v>85</v>
      </c>
      <c r="G512" s="16" t="s">
        <v>67</v>
      </c>
      <c r="H512" s="6" t="s">
        <v>18</v>
      </c>
      <c r="I512" s="17">
        <v>50</v>
      </c>
      <c r="J512" s="108">
        <v>66.5</v>
      </c>
      <c r="K512" s="108">
        <v>0.16</v>
      </c>
      <c r="L512" s="108">
        <v>1.42</v>
      </c>
      <c r="M512" s="59"/>
    </row>
    <row r="513" spans="1:15" ht="14.25" customHeight="1" thickBot="1" x14ac:dyDescent="0.35">
      <c r="A513" s="101" t="s">
        <v>560</v>
      </c>
      <c r="B513" s="108" t="s">
        <v>22</v>
      </c>
      <c r="D513" s="109">
        <v>45931</v>
      </c>
      <c r="E513" s="16" t="s">
        <v>23</v>
      </c>
      <c r="F513" s="8" t="s">
        <v>85</v>
      </c>
      <c r="G513" s="16" t="s">
        <v>67</v>
      </c>
      <c r="H513" s="6" t="s">
        <v>18</v>
      </c>
      <c r="I513" s="17">
        <v>50</v>
      </c>
      <c r="J513" s="108">
        <v>14</v>
      </c>
      <c r="K513" s="108">
        <v>0.09</v>
      </c>
      <c r="L513" s="108">
        <v>2.0499999999999998</v>
      </c>
      <c r="M513" s="59"/>
    </row>
    <row r="514" spans="1:15" ht="14.25" customHeight="1" thickBot="1" x14ac:dyDescent="0.35">
      <c r="A514" s="101" t="s">
        <v>561</v>
      </c>
      <c r="B514" s="108" t="s">
        <v>22</v>
      </c>
      <c r="D514" s="109">
        <v>45931</v>
      </c>
      <c r="E514" s="16" t="s">
        <v>23</v>
      </c>
      <c r="F514" s="8" t="s">
        <v>85</v>
      </c>
      <c r="G514" s="16" t="s">
        <v>67</v>
      </c>
      <c r="H514" s="6" t="s">
        <v>18</v>
      </c>
      <c r="I514" s="17">
        <v>50</v>
      </c>
      <c r="J514" s="108">
        <v>16.100000000000001</v>
      </c>
      <c r="K514" s="108">
        <v>0.08</v>
      </c>
      <c r="L514" s="108">
        <v>1.94</v>
      </c>
      <c r="M514" s="59"/>
    </row>
    <row r="515" spans="1:15" ht="14.25" customHeight="1" thickBot="1" x14ac:dyDescent="0.35">
      <c r="A515" s="105" t="s">
        <v>562</v>
      </c>
      <c r="B515" s="112" t="s">
        <v>22</v>
      </c>
      <c r="D515" s="115">
        <v>45757</v>
      </c>
      <c r="E515" s="39" t="s">
        <v>88</v>
      </c>
      <c r="F515" s="8" t="s">
        <v>85</v>
      </c>
      <c r="G515" s="40" t="s">
        <v>89</v>
      </c>
      <c r="H515" s="17" t="s">
        <v>26</v>
      </c>
      <c r="I515" s="17">
        <v>50</v>
      </c>
      <c r="J515" s="113">
        <v>86.319515681120834</v>
      </c>
      <c r="K515" s="114">
        <v>0.95091053739141362</v>
      </c>
      <c r="L515" s="114">
        <v>1.5984135312442223</v>
      </c>
      <c r="M515" s="59"/>
    </row>
    <row r="516" spans="1:15" ht="14.25" customHeight="1" thickBot="1" x14ac:dyDescent="0.35">
      <c r="A516" s="101" t="s">
        <v>563</v>
      </c>
      <c r="B516" s="108" t="s">
        <v>22</v>
      </c>
      <c r="D516" s="110">
        <v>45940</v>
      </c>
      <c r="E516" s="16" t="s">
        <v>23</v>
      </c>
      <c r="F516" s="8" t="s">
        <v>85</v>
      </c>
      <c r="G516" s="16" t="s">
        <v>67</v>
      </c>
      <c r="H516" s="6" t="s">
        <v>18</v>
      </c>
      <c r="I516" s="17">
        <v>50</v>
      </c>
      <c r="J516" s="108">
        <v>4.7</v>
      </c>
      <c r="K516" s="108">
        <v>0.39</v>
      </c>
      <c r="L516" s="108">
        <v>2</v>
      </c>
      <c r="M516" s="59"/>
    </row>
    <row r="517" spans="1:15" ht="14.25" customHeight="1" thickBot="1" x14ac:dyDescent="0.35">
      <c r="A517" s="103" t="s">
        <v>564</v>
      </c>
      <c r="B517" s="112" t="s">
        <v>22</v>
      </c>
      <c r="D517" s="115">
        <v>45705</v>
      </c>
      <c r="E517" s="39" t="s">
        <v>88</v>
      </c>
      <c r="F517" s="8" t="s">
        <v>85</v>
      </c>
      <c r="G517" s="40" t="s">
        <v>89</v>
      </c>
      <c r="H517" s="17" t="s">
        <v>26</v>
      </c>
      <c r="I517" s="17">
        <v>50</v>
      </c>
      <c r="J517" s="6"/>
      <c r="K517" s="69"/>
      <c r="L517" s="69"/>
      <c r="M517" s="674"/>
      <c r="N517" s="669"/>
    </row>
    <row r="518" spans="1:15" ht="14.25" customHeight="1" thickBot="1" x14ac:dyDescent="0.35">
      <c r="A518" s="103" t="s">
        <v>565</v>
      </c>
      <c r="B518" s="112" t="s">
        <v>22</v>
      </c>
      <c r="D518" s="111">
        <v>45846</v>
      </c>
      <c r="E518" s="39" t="s">
        <v>88</v>
      </c>
      <c r="F518" s="114" t="s">
        <v>85</v>
      </c>
      <c r="G518" s="40" t="s">
        <v>89</v>
      </c>
      <c r="H518" s="17" t="s">
        <v>26</v>
      </c>
      <c r="I518" s="17">
        <v>50</v>
      </c>
      <c r="J518" s="69" t="s">
        <v>230</v>
      </c>
      <c r="K518" s="17"/>
      <c r="L518" s="69"/>
      <c r="M518" s="674"/>
      <c r="N518" s="669"/>
    </row>
    <row r="519" spans="1:15" ht="14.25" customHeight="1" thickBot="1" x14ac:dyDescent="0.35">
      <c r="A519" s="103" t="s">
        <v>566</v>
      </c>
      <c r="B519" s="102" t="s">
        <v>22</v>
      </c>
      <c r="D519" s="104">
        <v>45768</v>
      </c>
      <c r="E519" s="16" t="s">
        <v>23</v>
      </c>
      <c r="F519" s="8" t="s">
        <v>85</v>
      </c>
      <c r="G519" s="16" t="s">
        <v>94</v>
      </c>
      <c r="H519" s="17" t="s">
        <v>26</v>
      </c>
      <c r="I519" s="17" t="s">
        <v>451</v>
      </c>
      <c r="J519" s="102" t="s">
        <v>450</v>
      </c>
      <c r="K519" s="69" t="s">
        <v>451</v>
      </c>
      <c r="L519" s="69" t="s">
        <v>451</v>
      </c>
      <c r="M519" s="663" t="s">
        <v>451</v>
      </c>
      <c r="N519" s="663" t="s">
        <v>451</v>
      </c>
      <c r="O519" s="669"/>
    </row>
    <row r="520" spans="1:15" ht="14.25" customHeight="1" thickBot="1" x14ac:dyDescent="0.35">
      <c r="A520" s="103" t="s">
        <v>567</v>
      </c>
      <c r="B520" s="112" t="s">
        <v>22</v>
      </c>
      <c r="D520" s="115">
        <v>45757</v>
      </c>
      <c r="E520" s="39" t="s">
        <v>88</v>
      </c>
      <c r="F520" s="8" t="s">
        <v>85</v>
      </c>
      <c r="G520" s="40" t="s">
        <v>89</v>
      </c>
      <c r="H520" s="17" t="s">
        <v>26</v>
      </c>
      <c r="I520" s="17">
        <v>50</v>
      </c>
      <c r="J520" s="26">
        <v>20.409179730369083</v>
      </c>
      <c r="K520" s="114">
        <v>0.90095091735285293</v>
      </c>
      <c r="L520" s="114">
        <v>1.5138208651597933</v>
      </c>
      <c r="M520" s="59"/>
    </row>
    <row r="521" spans="1:15" ht="14.25" customHeight="1" thickBot="1" x14ac:dyDescent="0.35">
      <c r="A521" s="103" t="s">
        <v>568</v>
      </c>
      <c r="B521" s="112" t="s">
        <v>22</v>
      </c>
      <c r="D521" s="111">
        <v>45846</v>
      </c>
      <c r="E521" s="39" t="s">
        <v>88</v>
      </c>
      <c r="F521" s="8" t="s">
        <v>85</v>
      </c>
      <c r="G521" s="40" t="s">
        <v>89</v>
      </c>
      <c r="H521" s="17" t="s">
        <v>26</v>
      </c>
      <c r="I521" s="17">
        <v>50</v>
      </c>
      <c r="J521" s="69" t="s">
        <v>230</v>
      </c>
      <c r="K521" s="69"/>
      <c r="L521" s="69"/>
      <c r="M521" s="674"/>
      <c r="N521" s="669"/>
    </row>
    <row r="522" spans="1:15" ht="28.8" customHeight="1" thickBot="1" x14ac:dyDescent="0.35">
      <c r="A522" s="105" t="s">
        <v>569</v>
      </c>
      <c r="B522" s="112" t="s">
        <v>22</v>
      </c>
      <c r="D522" s="115">
        <v>45757</v>
      </c>
      <c r="E522" s="39" t="s">
        <v>88</v>
      </c>
      <c r="F522" s="8" t="s">
        <v>85</v>
      </c>
      <c r="G522" s="40" t="s">
        <v>89</v>
      </c>
      <c r="H522" s="17" t="s">
        <v>26</v>
      </c>
      <c r="I522" s="17">
        <v>50</v>
      </c>
      <c r="J522" s="113">
        <v>159.95012849907903</v>
      </c>
      <c r="K522" s="114">
        <v>2.1921574457757504</v>
      </c>
      <c r="L522" s="114">
        <v>1.9302895138274487</v>
      </c>
      <c r="M522" s="674"/>
      <c r="N522" s="669"/>
    </row>
    <row r="523" spans="1:15" ht="14.25" customHeight="1" thickBot="1" x14ac:dyDescent="0.35">
      <c r="A523" s="105" t="s">
        <v>569</v>
      </c>
      <c r="B523" s="112" t="s">
        <v>22</v>
      </c>
      <c r="D523" s="689">
        <v>45846</v>
      </c>
      <c r="E523" s="39" t="s">
        <v>88</v>
      </c>
      <c r="F523" s="8" t="s">
        <v>85</v>
      </c>
      <c r="G523" s="40" t="s">
        <v>89</v>
      </c>
      <c r="H523" s="17" t="s">
        <v>26</v>
      </c>
      <c r="I523" s="17">
        <v>50</v>
      </c>
      <c r="J523" s="113">
        <v>238.77617254463584</v>
      </c>
      <c r="K523" s="114">
        <v>1.2623819824272307</v>
      </c>
      <c r="L523" s="114">
        <v>1.8651421718622696</v>
      </c>
      <c r="M523" s="59"/>
    </row>
    <row r="524" spans="1:15" ht="14.25" customHeight="1" thickBot="1" x14ac:dyDescent="0.35">
      <c r="A524" s="103" t="s">
        <v>570</v>
      </c>
      <c r="B524" s="112" t="s">
        <v>22</v>
      </c>
      <c r="D524" s="115">
        <v>45763</v>
      </c>
      <c r="E524" s="39" t="s">
        <v>88</v>
      </c>
      <c r="F524" s="8" t="s">
        <v>85</v>
      </c>
      <c r="G524" s="40" t="s">
        <v>89</v>
      </c>
      <c r="H524" s="17" t="s">
        <v>26</v>
      </c>
      <c r="I524" s="17">
        <v>50</v>
      </c>
      <c r="J524" s="113">
        <v>56.8</v>
      </c>
      <c r="K524" s="114">
        <v>1.9</v>
      </c>
      <c r="L524" s="114">
        <v>1.52</v>
      </c>
      <c r="M524" s="59"/>
    </row>
    <row r="525" spans="1:15" ht="14.25" customHeight="1" thickBot="1" x14ac:dyDescent="0.35">
      <c r="A525" s="103" t="s">
        <v>571</v>
      </c>
      <c r="B525" s="112" t="s">
        <v>22</v>
      </c>
      <c r="D525" s="112" t="s">
        <v>572</v>
      </c>
      <c r="E525" s="39" t="s">
        <v>88</v>
      </c>
      <c r="F525" s="8" t="s">
        <v>85</v>
      </c>
      <c r="G525" s="40" t="s">
        <v>89</v>
      </c>
      <c r="H525" s="6" t="s">
        <v>18</v>
      </c>
      <c r="I525" s="17">
        <v>50</v>
      </c>
      <c r="J525" s="69" t="s">
        <v>230</v>
      </c>
      <c r="K525" s="69"/>
      <c r="L525" s="69"/>
      <c r="M525" s="674"/>
      <c r="N525" s="669"/>
    </row>
    <row r="526" spans="1:15" ht="14.25" customHeight="1" thickBot="1" x14ac:dyDescent="0.35">
      <c r="A526" s="105" t="s">
        <v>573</v>
      </c>
      <c r="B526" s="112" t="s">
        <v>22</v>
      </c>
      <c r="D526" s="115">
        <v>45763</v>
      </c>
      <c r="E526" s="39" t="s">
        <v>88</v>
      </c>
      <c r="F526" s="8" t="s">
        <v>85</v>
      </c>
      <c r="G526" s="40" t="s">
        <v>89</v>
      </c>
      <c r="H526" s="17" t="s">
        <v>26</v>
      </c>
      <c r="I526" s="17">
        <v>50</v>
      </c>
      <c r="J526" s="113">
        <v>136.4</v>
      </c>
      <c r="K526" s="114">
        <v>2.0099999999999998</v>
      </c>
      <c r="L526" s="114">
        <v>1.69</v>
      </c>
      <c r="M526" s="59"/>
    </row>
    <row r="527" spans="1:15" ht="14.25" customHeight="1" thickBot="1" x14ac:dyDescent="0.35">
      <c r="A527" s="103" t="s">
        <v>574</v>
      </c>
      <c r="B527" s="112" t="s">
        <v>22</v>
      </c>
      <c r="D527" s="115">
        <v>45733</v>
      </c>
      <c r="E527" s="39" t="s">
        <v>88</v>
      </c>
      <c r="F527" s="8" t="s">
        <v>85</v>
      </c>
      <c r="G527" s="40" t="s">
        <v>89</v>
      </c>
      <c r="H527" s="17" t="s">
        <v>26</v>
      </c>
      <c r="I527" s="17">
        <v>50</v>
      </c>
      <c r="J527" s="69" t="s">
        <v>230</v>
      </c>
      <c r="K527" s="69"/>
      <c r="L527" s="69"/>
      <c r="M527" s="674"/>
      <c r="N527" s="669"/>
    </row>
    <row r="528" spans="1:15" ht="14.25" customHeight="1" thickBot="1" x14ac:dyDescent="0.35">
      <c r="A528" s="105" t="s">
        <v>575</v>
      </c>
      <c r="B528" s="112" t="s">
        <v>22</v>
      </c>
      <c r="D528" s="115">
        <v>45757</v>
      </c>
      <c r="E528" s="39" t="s">
        <v>88</v>
      </c>
      <c r="F528" s="8" t="s">
        <v>85</v>
      </c>
      <c r="G528" s="40" t="s">
        <v>89</v>
      </c>
      <c r="H528" s="17" t="s">
        <v>26</v>
      </c>
      <c r="I528" s="17">
        <v>50</v>
      </c>
      <c r="J528" s="113">
        <v>28.92374038538399</v>
      </c>
      <c r="K528" s="114">
        <v>0.73685560353706581</v>
      </c>
      <c r="L528" s="114">
        <v>1.6665904462891095</v>
      </c>
      <c r="M528" s="59"/>
    </row>
    <row r="529" spans="1:15" ht="14.25" customHeight="1" thickBot="1" x14ac:dyDescent="0.35">
      <c r="A529" s="105" t="s">
        <v>575</v>
      </c>
      <c r="B529" s="112" t="s">
        <v>22</v>
      </c>
      <c r="D529" s="689">
        <v>45757</v>
      </c>
      <c r="E529" s="39" t="s">
        <v>88</v>
      </c>
      <c r="F529" s="8" t="s">
        <v>85</v>
      </c>
      <c r="G529" s="40" t="s">
        <v>89</v>
      </c>
      <c r="H529" s="17" t="s">
        <v>26</v>
      </c>
      <c r="I529" s="17">
        <v>50</v>
      </c>
      <c r="J529" s="113">
        <v>24.508908206393968</v>
      </c>
      <c r="K529" s="114">
        <v>0.42498236182777038</v>
      </c>
      <c r="L529" s="114">
        <v>1.8102847539111466</v>
      </c>
      <c r="M529" s="59"/>
    </row>
    <row r="530" spans="1:15" ht="14.25" customHeight="1" thickBot="1" x14ac:dyDescent="0.35">
      <c r="A530" s="101" t="s">
        <v>576</v>
      </c>
      <c r="B530" s="108" t="s">
        <v>22</v>
      </c>
      <c r="D530" s="109">
        <v>45931</v>
      </c>
      <c r="E530" s="16" t="s">
        <v>23</v>
      </c>
      <c r="F530" s="8" t="s">
        <v>85</v>
      </c>
      <c r="G530" s="16" t="s">
        <v>67</v>
      </c>
      <c r="H530" s="6" t="s">
        <v>18</v>
      </c>
      <c r="I530" s="17">
        <v>50</v>
      </c>
      <c r="J530" s="108">
        <v>6.5</v>
      </c>
      <c r="K530" s="108">
        <v>0.85</v>
      </c>
      <c r="L530" s="108">
        <v>1.91</v>
      </c>
      <c r="M530" s="59"/>
    </row>
    <row r="531" spans="1:15" ht="14.25" customHeight="1" thickBot="1" x14ac:dyDescent="0.35">
      <c r="A531" s="105" t="s">
        <v>577</v>
      </c>
      <c r="B531" s="112" t="s">
        <v>22</v>
      </c>
      <c r="D531" s="115">
        <v>45763</v>
      </c>
      <c r="E531" s="39" t="s">
        <v>88</v>
      </c>
      <c r="F531" s="8" t="s">
        <v>85</v>
      </c>
      <c r="G531" s="40" t="s">
        <v>89</v>
      </c>
      <c r="H531" s="17" t="s">
        <v>26</v>
      </c>
      <c r="I531" s="17">
        <v>50</v>
      </c>
      <c r="J531" s="113">
        <v>83.7</v>
      </c>
      <c r="K531" s="114">
        <v>1.99</v>
      </c>
      <c r="L531" s="114">
        <v>1.39</v>
      </c>
      <c r="M531" s="59"/>
    </row>
    <row r="532" spans="1:15" ht="14.25" customHeight="1" thickBot="1" x14ac:dyDescent="0.35">
      <c r="A532" s="105" t="s">
        <v>578</v>
      </c>
      <c r="B532" s="112" t="s">
        <v>22</v>
      </c>
      <c r="D532" s="115">
        <v>45763</v>
      </c>
      <c r="E532" s="39" t="s">
        <v>88</v>
      </c>
      <c r="F532" s="8" t="s">
        <v>85</v>
      </c>
      <c r="G532" s="40" t="s">
        <v>89</v>
      </c>
      <c r="H532" s="17" t="s">
        <v>26</v>
      </c>
      <c r="I532" s="17">
        <v>50</v>
      </c>
      <c r="J532" s="113">
        <v>83.7</v>
      </c>
      <c r="K532" s="114">
        <v>1.99</v>
      </c>
      <c r="L532" s="114">
        <v>1.39</v>
      </c>
      <c r="M532" s="59"/>
    </row>
    <row r="533" spans="1:15" ht="14.25" customHeight="1" thickBot="1" x14ac:dyDescent="0.35">
      <c r="A533" s="14" t="s">
        <v>579</v>
      </c>
      <c r="B533" s="112" t="s">
        <v>22</v>
      </c>
      <c r="D533" s="111">
        <v>45817</v>
      </c>
      <c r="E533" s="39" t="s">
        <v>88</v>
      </c>
      <c r="F533" s="8" t="s">
        <v>85</v>
      </c>
      <c r="G533" s="40" t="s">
        <v>89</v>
      </c>
      <c r="H533" s="17" t="s">
        <v>26</v>
      </c>
      <c r="I533" s="17" t="s">
        <v>580</v>
      </c>
      <c r="J533" s="113">
        <v>222.93370539533188</v>
      </c>
      <c r="K533" s="8">
        <v>1.8110469656616048</v>
      </c>
      <c r="L533" s="114">
        <v>1.8974427864877363</v>
      </c>
      <c r="M533" s="59"/>
    </row>
    <row r="534" spans="1:15" ht="14.25" customHeight="1" thickBot="1" x14ac:dyDescent="0.35">
      <c r="A534" s="17" t="s">
        <v>581</v>
      </c>
      <c r="B534" s="112" t="s">
        <v>22</v>
      </c>
      <c r="D534" s="115">
        <v>45705</v>
      </c>
      <c r="E534" s="39" t="s">
        <v>88</v>
      </c>
      <c r="F534" s="8" t="s">
        <v>85</v>
      </c>
      <c r="G534" s="40" t="s">
        <v>89</v>
      </c>
      <c r="H534" s="17" t="s">
        <v>26</v>
      </c>
      <c r="I534" s="17">
        <v>50</v>
      </c>
      <c r="J534" s="113">
        <v>232.25687822598138</v>
      </c>
      <c r="K534" s="114">
        <v>1.9287204896254551</v>
      </c>
      <c r="L534" s="114">
        <v>1.8033015091809204</v>
      </c>
      <c r="M534" s="59"/>
    </row>
    <row r="535" spans="1:15" ht="14.25" customHeight="1" thickBot="1" x14ac:dyDescent="0.35">
      <c r="A535" s="17" t="s">
        <v>582</v>
      </c>
      <c r="B535" s="112" t="s">
        <v>22</v>
      </c>
      <c r="D535" s="111">
        <v>45846</v>
      </c>
      <c r="E535" s="39" t="s">
        <v>88</v>
      </c>
      <c r="F535" s="8" t="s">
        <v>85</v>
      </c>
      <c r="G535" s="40" t="s">
        <v>89</v>
      </c>
      <c r="H535" s="17" t="s">
        <v>26</v>
      </c>
      <c r="I535" s="17">
        <v>50</v>
      </c>
      <c r="J535" s="69" t="s">
        <v>230</v>
      </c>
      <c r="K535" s="69"/>
      <c r="L535" s="69"/>
      <c r="M535" s="674"/>
      <c r="N535" s="669"/>
    </row>
    <row r="536" spans="1:15" ht="14.25" customHeight="1" thickBot="1" x14ac:dyDescent="0.35">
      <c r="A536" s="19" t="s">
        <v>583</v>
      </c>
      <c r="B536" s="102" t="s">
        <v>22</v>
      </c>
      <c r="D536" s="104">
        <v>45768</v>
      </c>
      <c r="E536" s="16" t="s">
        <v>23</v>
      </c>
      <c r="F536" s="8" t="s">
        <v>85</v>
      </c>
      <c r="G536" s="16" t="s">
        <v>94</v>
      </c>
      <c r="H536" s="17" t="s">
        <v>26</v>
      </c>
      <c r="I536" s="17">
        <v>50</v>
      </c>
      <c r="J536" s="102" t="s">
        <v>450</v>
      </c>
      <c r="K536" s="69" t="s">
        <v>451</v>
      </c>
      <c r="L536" s="69" t="s">
        <v>451</v>
      </c>
      <c r="M536" s="663" t="s">
        <v>451</v>
      </c>
      <c r="N536" s="663" t="s">
        <v>451</v>
      </c>
      <c r="O536" s="669"/>
    </row>
    <row r="537" spans="1:15" ht="14.25" customHeight="1" thickBot="1" x14ac:dyDescent="0.35">
      <c r="A537" s="662" t="s">
        <v>584</v>
      </c>
      <c r="B537" s="102" t="s">
        <v>22</v>
      </c>
      <c r="D537" s="104">
        <v>45768</v>
      </c>
      <c r="E537" s="16" t="s">
        <v>23</v>
      </c>
      <c r="F537" s="8" t="s">
        <v>85</v>
      </c>
      <c r="G537" s="16" t="s">
        <v>94</v>
      </c>
      <c r="H537" s="17" t="s">
        <v>26</v>
      </c>
      <c r="I537" s="17">
        <v>50</v>
      </c>
      <c r="J537" s="102" t="s">
        <v>450</v>
      </c>
      <c r="K537" s="17" t="s">
        <v>451</v>
      </c>
      <c r="L537" s="69" t="s">
        <v>451</v>
      </c>
      <c r="M537" s="663" t="s">
        <v>451</v>
      </c>
      <c r="N537" s="663" t="s">
        <v>451</v>
      </c>
      <c r="O537" s="669"/>
    </row>
    <row r="538" spans="1:15" ht="14.25" customHeight="1" thickBot="1" x14ac:dyDescent="0.35">
      <c r="A538" s="19" t="s">
        <v>585</v>
      </c>
      <c r="B538" s="102" t="s">
        <v>22</v>
      </c>
      <c r="D538" s="104">
        <v>45768</v>
      </c>
      <c r="E538" s="16" t="s">
        <v>23</v>
      </c>
      <c r="F538" s="8" t="s">
        <v>85</v>
      </c>
      <c r="G538" s="16" t="s">
        <v>94</v>
      </c>
      <c r="H538" s="17" t="s">
        <v>26</v>
      </c>
      <c r="I538" s="17">
        <v>50</v>
      </c>
      <c r="J538" s="102" t="s">
        <v>450</v>
      </c>
      <c r="K538" s="69" t="s">
        <v>451</v>
      </c>
      <c r="L538" s="69" t="s">
        <v>451</v>
      </c>
      <c r="M538" s="663" t="s">
        <v>451</v>
      </c>
      <c r="N538" s="663" t="s">
        <v>451</v>
      </c>
      <c r="O538" s="669"/>
    </row>
    <row r="539" spans="1:15" ht="14.25" customHeight="1" x14ac:dyDescent="0.3">
      <c r="A539" s="662" t="s">
        <v>586</v>
      </c>
      <c r="B539" s="6" t="s">
        <v>22</v>
      </c>
      <c r="D539" s="15">
        <v>45768</v>
      </c>
      <c r="E539" s="16" t="s">
        <v>23</v>
      </c>
      <c r="F539" s="8" t="s">
        <v>85</v>
      </c>
      <c r="G539" s="16" t="s">
        <v>94</v>
      </c>
      <c r="H539" s="17" t="s">
        <v>26</v>
      </c>
      <c r="I539" s="17">
        <v>50</v>
      </c>
      <c r="J539" s="6" t="s">
        <v>450</v>
      </c>
      <c r="K539" s="17" t="s">
        <v>451</v>
      </c>
      <c r="L539" s="17" t="s">
        <v>451</v>
      </c>
      <c r="M539" s="663" t="s">
        <v>451</v>
      </c>
      <c r="N539" s="663" t="s">
        <v>451</v>
      </c>
      <c r="O539" s="669"/>
    </row>
    <row r="540" spans="1:15" ht="14.25" customHeight="1" x14ac:dyDescent="0.3">
      <c r="A540" s="662" t="s">
        <v>587</v>
      </c>
      <c r="B540" s="6" t="s">
        <v>22</v>
      </c>
      <c r="D540" s="15">
        <v>45768</v>
      </c>
      <c r="E540" s="16" t="s">
        <v>23</v>
      </c>
      <c r="F540" s="8" t="s">
        <v>85</v>
      </c>
      <c r="G540" s="16" t="s">
        <v>94</v>
      </c>
      <c r="H540" s="17" t="s">
        <v>26</v>
      </c>
      <c r="I540" s="17">
        <v>50</v>
      </c>
      <c r="J540" s="6" t="s">
        <v>450</v>
      </c>
      <c r="K540" s="17" t="s">
        <v>451</v>
      </c>
      <c r="L540" s="17" t="s">
        <v>451</v>
      </c>
      <c r="M540" s="663" t="s">
        <v>451</v>
      </c>
      <c r="N540" s="663" t="s">
        <v>451</v>
      </c>
      <c r="O540" s="669"/>
    </row>
    <row r="541" spans="1:15" ht="14.25" customHeight="1" x14ac:dyDescent="0.3">
      <c r="A541" s="663" t="s">
        <v>588</v>
      </c>
      <c r="B541" s="14" t="s">
        <v>22</v>
      </c>
      <c r="D541" s="118">
        <v>45705</v>
      </c>
      <c r="E541" s="39" t="s">
        <v>88</v>
      </c>
      <c r="F541" s="8" t="s">
        <v>85</v>
      </c>
      <c r="G541" s="40" t="s">
        <v>89</v>
      </c>
      <c r="H541" s="17" t="s">
        <v>26</v>
      </c>
      <c r="I541" s="17">
        <v>50</v>
      </c>
      <c r="J541" s="6"/>
      <c r="K541" s="17"/>
      <c r="L541" s="17"/>
      <c r="M541" s="674"/>
      <c r="N541" s="669"/>
    </row>
    <row r="542" spans="1:15" ht="14.25" customHeight="1" x14ac:dyDescent="0.3">
      <c r="A542" s="663" t="s">
        <v>589</v>
      </c>
      <c r="B542" s="14" t="s">
        <v>22</v>
      </c>
      <c r="D542" s="118">
        <v>45705</v>
      </c>
      <c r="E542" s="39" t="s">
        <v>88</v>
      </c>
      <c r="F542" s="8" t="s">
        <v>85</v>
      </c>
      <c r="G542" s="40" t="s">
        <v>89</v>
      </c>
      <c r="H542" s="17" t="s">
        <v>26</v>
      </c>
      <c r="I542" s="17">
        <v>50</v>
      </c>
      <c r="J542" s="6"/>
      <c r="K542" s="17"/>
      <c r="L542" s="17"/>
      <c r="M542" s="674"/>
      <c r="N542" s="669"/>
    </row>
    <row r="543" spans="1:15" ht="14.25" customHeight="1" x14ac:dyDescent="0.3">
      <c r="A543" s="663" t="s">
        <v>590</v>
      </c>
      <c r="B543" s="14" t="s">
        <v>22</v>
      </c>
      <c r="D543" s="111">
        <v>45846</v>
      </c>
      <c r="E543" s="39" t="s">
        <v>88</v>
      </c>
      <c r="F543" s="8" t="s">
        <v>85</v>
      </c>
      <c r="G543" s="40" t="s">
        <v>89</v>
      </c>
      <c r="H543" s="17" t="s">
        <v>26</v>
      </c>
      <c r="I543" s="17">
        <v>50</v>
      </c>
      <c r="J543" s="17" t="s">
        <v>230</v>
      </c>
      <c r="K543" s="17"/>
      <c r="L543" s="17"/>
      <c r="M543" s="674"/>
      <c r="N543" s="669"/>
    </row>
    <row r="544" spans="1:15" ht="14.25" customHeight="1" x14ac:dyDescent="0.3">
      <c r="A544" s="663" t="s">
        <v>591</v>
      </c>
      <c r="B544" s="14" t="s">
        <v>22</v>
      </c>
      <c r="D544" s="118">
        <v>45705</v>
      </c>
      <c r="E544" s="39" t="s">
        <v>88</v>
      </c>
      <c r="F544" s="8" t="s">
        <v>85</v>
      </c>
      <c r="G544" s="40" t="s">
        <v>89</v>
      </c>
      <c r="H544" s="17" t="s">
        <v>26</v>
      </c>
      <c r="I544" s="17">
        <v>50</v>
      </c>
      <c r="J544" s="26">
        <v>182.79386856210013</v>
      </c>
      <c r="K544" s="8">
        <v>2.1419432876722824</v>
      </c>
      <c r="L544" s="8">
        <v>0.58450385333553756</v>
      </c>
      <c r="M544" s="674"/>
      <c r="N544" s="669"/>
    </row>
    <row r="545" spans="1:15" ht="14.25" customHeight="1" x14ac:dyDescent="0.3">
      <c r="A545" s="95" t="s">
        <v>592</v>
      </c>
      <c r="B545" s="14" t="s">
        <v>22</v>
      </c>
      <c r="D545" s="118">
        <v>45763</v>
      </c>
      <c r="E545" s="39" t="s">
        <v>88</v>
      </c>
      <c r="F545" s="8" t="s">
        <v>85</v>
      </c>
      <c r="G545" s="40" t="s">
        <v>89</v>
      </c>
      <c r="H545" s="17" t="s">
        <v>26</v>
      </c>
      <c r="I545" s="17">
        <v>50</v>
      </c>
      <c r="J545" s="26">
        <v>178.5</v>
      </c>
      <c r="K545" s="8">
        <v>1.96</v>
      </c>
      <c r="L545" s="8">
        <v>1.02</v>
      </c>
      <c r="M545" s="59"/>
    </row>
    <row r="546" spans="1:15" ht="14.25" customHeight="1" x14ac:dyDescent="0.3">
      <c r="A546" s="17" t="s">
        <v>593</v>
      </c>
      <c r="B546" s="14" t="s">
        <v>22</v>
      </c>
      <c r="D546" s="118">
        <v>45705</v>
      </c>
      <c r="E546" s="39" t="s">
        <v>88</v>
      </c>
      <c r="F546" s="8" t="s">
        <v>85</v>
      </c>
      <c r="G546" s="40" t="s">
        <v>89</v>
      </c>
      <c r="H546" s="17" t="s">
        <v>26</v>
      </c>
      <c r="I546" s="17">
        <v>50</v>
      </c>
      <c r="J546" s="26">
        <v>21.089493179549301</v>
      </c>
      <c r="K546" s="8">
        <v>2.0090979280546719</v>
      </c>
      <c r="L546" s="8">
        <v>0.84435732233801575</v>
      </c>
      <c r="M546" s="59"/>
    </row>
    <row r="547" spans="1:15" ht="14.25" customHeight="1" x14ac:dyDescent="0.3">
      <c r="A547" s="44" t="s">
        <v>594</v>
      </c>
      <c r="B547" s="14" t="s">
        <v>22</v>
      </c>
      <c r="D547" s="118">
        <v>45705</v>
      </c>
      <c r="E547" s="39" t="s">
        <v>88</v>
      </c>
      <c r="F547" s="8" t="s">
        <v>85</v>
      </c>
      <c r="G547" s="40" t="s">
        <v>89</v>
      </c>
      <c r="H547" s="17" t="s">
        <v>26</v>
      </c>
      <c r="I547" s="17">
        <v>50</v>
      </c>
      <c r="J547" s="26">
        <v>21.089493179549301</v>
      </c>
      <c r="K547" s="8">
        <v>2.0090979280546719</v>
      </c>
      <c r="L547" s="8">
        <v>0.84435732233801575</v>
      </c>
      <c r="M547" s="674"/>
      <c r="N547" s="669"/>
    </row>
    <row r="548" spans="1:15" ht="14.25" customHeight="1" x14ac:dyDescent="0.3">
      <c r="A548" s="95" t="s">
        <v>595</v>
      </c>
      <c r="B548" s="14" t="s">
        <v>22</v>
      </c>
      <c r="D548" s="118">
        <v>45757</v>
      </c>
      <c r="E548" s="39" t="s">
        <v>88</v>
      </c>
      <c r="F548" s="8" t="s">
        <v>85</v>
      </c>
      <c r="G548" s="40" t="s">
        <v>89</v>
      </c>
      <c r="H548" s="17" t="s">
        <v>26</v>
      </c>
      <c r="I548" s="17">
        <v>50</v>
      </c>
      <c r="J548" s="26">
        <v>4.259870606525058</v>
      </c>
      <c r="K548" s="8">
        <v>1.2893610690273996</v>
      </c>
      <c r="L548" s="8">
        <v>1.491470423074178</v>
      </c>
      <c r="M548" s="59"/>
    </row>
    <row r="549" spans="1:15" ht="14.25" customHeight="1" x14ac:dyDescent="0.3">
      <c r="A549" s="664" t="s">
        <v>595</v>
      </c>
      <c r="B549" s="14" t="s">
        <v>22</v>
      </c>
      <c r="D549" s="118">
        <v>45757</v>
      </c>
      <c r="E549" s="39" t="s">
        <v>88</v>
      </c>
      <c r="F549" s="8" t="s">
        <v>85</v>
      </c>
      <c r="G549" s="40" t="s">
        <v>89</v>
      </c>
      <c r="H549" s="17" t="s">
        <v>26</v>
      </c>
      <c r="I549" s="17">
        <v>50</v>
      </c>
      <c r="J549" s="26">
        <v>33.196749838528724</v>
      </c>
      <c r="K549" s="8">
        <v>0.74286497828557652</v>
      </c>
      <c r="L549" s="8">
        <v>1.35560414739032</v>
      </c>
      <c r="M549" s="59"/>
    </row>
    <row r="550" spans="1:15" ht="14.25" customHeight="1" x14ac:dyDescent="0.3">
      <c r="A550" s="663" t="s">
        <v>596</v>
      </c>
      <c r="B550" s="14" t="s">
        <v>22</v>
      </c>
      <c r="D550" s="118">
        <v>45757</v>
      </c>
      <c r="E550" s="39" t="s">
        <v>88</v>
      </c>
      <c r="F550" s="8" t="s">
        <v>85</v>
      </c>
      <c r="G550" s="40" t="s">
        <v>89</v>
      </c>
      <c r="H550" s="17" t="s">
        <v>26</v>
      </c>
      <c r="I550" s="17">
        <v>50</v>
      </c>
      <c r="J550" s="26">
        <v>33.196749838528724</v>
      </c>
      <c r="K550" s="8">
        <v>0.74286497828557652</v>
      </c>
      <c r="L550" s="8">
        <v>1.35560414739032</v>
      </c>
      <c r="M550" s="59"/>
    </row>
    <row r="551" spans="1:15" ht="14.25" customHeight="1" x14ac:dyDescent="0.3">
      <c r="A551" s="663" t="s">
        <v>597</v>
      </c>
      <c r="B551" s="14" t="s">
        <v>22</v>
      </c>
      <c r="D551" s="111">
        <v>45817</v>
      </c>
      <c r="E551" s="39" t="s">
        <v>88</v>
      </c>
      <c r="F551" s="8" t="s">
        <v>85</v>
      </c>
      <c r="G551" s="40" t="s">
        <v>89</v>
      </c>
      <c r="H551" s="17" t="s">
        <v>26</v>
      </c>
      <c r="I551" s="17">
        <v>50</v>
      </c>
      <c r="J551" s="26">
        <v>129.77395634204115</v>
      </c>
      <c r="K551" s="8">
        <v>1.6513991464766411</v>
      </c>
      <c r="L551" s="8">
        <v>1.9215976203078848</v>
      </c>
      <c r="M551" s="59"/>
    </row>
    <row r="552" spans="1:15" ht="14.25" customHeight="1" x14ac:dyDescent="0.3">
      <c r="A552" s="664" t="s">
        <v>598</v>
      </c>
      <c r="B552" s="14" t="s">
        <v>22</v>
      </c>
      <c r="D552" s="689">
        <v>45817</v>
      </c>
      <c r="E552" s="39" t="s">
        <v>88</v>
      </c>
      <c r="F552" s="8" t="s">
        <v>85</v>
      </c>
      <c r="G552" s="40" t="s">
        <v>89</v>
      </c>
      <c r="H552" s="17" t="s">
        <v>26</v>
      </c>
      <c r="I552" s="17" t="s">
        <v>580</v>
      </c>
      <c r="J552" s="26">
        <v>173.11278152198165</v>
      </c>
      <c r="K552" s="8">
        <v>1.7412462124756083</v>
      </c>
      <c r="L552" s="8">
        <v>1.8819681483068864</v>
      </c>
      <c r="M552" s="59"/>
    </row>
    <row r="553" spans="1:15" ht="14.25" customHeight="1" x14ac:dyDescent="0.3">
      <c r="A553" s="662" t="s">
        <v>599</v>
      </c>
      <c r="B553" s="19" t="s">
        <v>22</v>
      </c>
      <c r="D553" s="691">
        <v>45931</v>
      </c>
      <c r="E553" s="16" t="s">
        <v>23</v>
      </c>
      <c r="F553" s="8" t="s">
        <v>85</v>
      </c>
      <c r="G553" s="16" t="s">
        <v>67</v>
      </c>
      <c r="H553" s="6" t="s">
        <v>18</v>
      </c>
      <c r="I553" s="17">
        <v>50</v>
      </c>
      <c r="J553" s="19">
        <v>158.1</v>
      </c>
      <c r="K553" s="19">
        <v>1.75</v>
      </c>
      <c r="L553" s="19">
        <v>1.87</v>
      </c>
      <c r="M553" s="59"/>
    </row>
    <row r="554" spans="1:15" ht="14.25" customHeight="1" x14ac:dyDescent="0.3">
      <c r="A554" s="44" t="s">
        <v>600</v>
      </c>
      <c r="B554" s="14" t="s">
        <v>22</v>
      </c>
      <c r="D554" s="118">
        <v>45817</v>
      </c>
      <c r="E554" s="39" t="s">
        <v>88</v>
      </c>
      <c r="F554" s="8" t="s">
        <v>85</v>
      </c>
      <c r="G554" s="40" t="s">
        <v>89</v>
      </c>
      <c r="H554" s="17" t="s">
        <v>26</v>
      </c>
      <c r="I554" s="17">
        <v>50</v>
      </c>
      <c r="J554" s="26">
        <v>173.57417094851573</v>
      </c>
      <c r="K554" s="8">
        <v>1.8890422833629001</v>
      </c>
      <c r="L554" s="8">
        <v>1.7790544281486482</v>
      </c>
      <c r="M554" s="59"/>
    </row>
    <row r="555" spans="1:15" ht="14.25" customHeight="1" x14ac:dyDescent="0.3">
      <c r="A555" s="14" t="s">
        <v>601</v>
      </c>
      <c r="B555" s="14" t="s">
        <v>22</v>
      </c>
      <c r="D555" s="689">
        <v>45817</v>
      </c>
      <c r="E555" s="39" t="s">
        <v>88</v>
      </c>
      <c r="F555" s="8" t="s">
        <v>85</v>
      </c>
      <c r="G555" s="40" t="s">
        <v>89</v>
      </c>
      <c r="H555" s="17" t="s">
        <v>26</v>
      </c>
      <c r="I555" s="17">
        <v>50</v>
      </c>
      <c r="J555" s="14" t="s">
        <v>288</v>
      </c>
      <c r="K555" s="8">
        <v>2.0496269931374527</v>
      </c>
      <c r="L555" s="8">
        <v>1.9381393033928453</v>
      </c>
      <c r="M555" s="59"/>
    </row>
    <row r="556" spans="1:15" ht="14.25" customHeight="1" x14ac:dyDescent="0.3">
      <c r="A556" s="19" t="s">
        <v>602</v>
      </c>
      <c r="B556" s="6" t="s">
        <v>22</v>
      </c>
      <c r="D556" s="15">
        <v>45768</v>
      </c>
      <c r="E556" s="16" t="s">
        <v>23</v>
      </c>
      <c r="F556" s="8" t="s">
        <v>85</v>
      </c>
      <c r="G556" s="16" t="s">
        <v>94</v>
      </c>
      <c r="H556" s="17" t="s">
        <v>26</v>
      </c>
      <c r="I556" s="17">
        <v>50</v>
      </c>
      <c r="J556" s="6" t="s">
        <v>450</v>
      </c>
      <c r="K556" s="17" t="s">
        <v>451</v>
      </c>
      <c r="L556" s="17" t="s">
        <v>451</v>
      </c>
      <c r="M556" s="663" t="s">
        <v>451</v>
      </c>
      <c r="N556" s="663" t="s">
        <v>451</v>
      </c>
      <c r="O556" s="669"/>
    </row>
    <row r="557" spans="1:15" ht="14.25" customHeight="1" x14ac:dyDescent="0.3">
      <c r="A557" s="662" t="s">
        <v>603</v>
      </c>
      <c r="B557" s="19" t="s">
        <v>22</v>
      </c>
      <c r="D557" s="110">
        <v>45931</v>
      </c>
      <c r="E557" s="16" t="s">
        <v>23</v>
      </c>
      <c r="F557" s="8" t="s">
        <v>85</v>
      </c>
      <c r="G557" s="16" t="s">
        <v>67</v>
      </c>
      <c r="H557" s="6" t="s">
        <v>18</v>
      </c>
      <c r="I557" s="17">
        <v>50</v>
      </c>
      <c r="J557" s="19">
        <v>10.7</v>
      </c>
      <c r="K557" s="19">
        <v>0.66</v>
      </c>
      <c r="L557" s="19">
        <v>1.92</v>
      </c>
      <c r="M557" s="59"/>
    </row>
    <row r="558" spans="1:15" ht="14.25" customHeight="1" x14ac:dyDescent="0.3">
      <c r="A558" s="662" t="s">
        <v>604</v>
      </c>
      <c r="B558" s="6" t="s">
        <v>22</v>
      </c>
      <c r="D558" s="15">
        <v>45768</v>
      </c>
      <c r="E558" s="16" t="s">
        <v>23</v>
      </c>
      <c r="F558" s="8" t="s">
        <v>85</v>
      </c>
      <c r="G558" s="16" t="s">
        <v>94</v>
      </c>
      <c r="H558" s="17" t="s">
        <v>26</v>
      </c>
      <c r="I558" s="17">
        <v>50</v>
      </c>
      <c r="J558" s="6" t="s">
        <v>450</v>
      </c>
      <c r="K558" s="17" t="s">
        <v>451</v>
      </c>
      <c r="L558" s="17" t="s">
        <v>451</v>
      </c>
      <c r="M558" s="663" t="s">
        <v>451</v>
      </c>
      <c r="N558" s="663" t="s">
        <v>451</v>
      </c>
      <c r="O558" s="669"/>
    </row>
    <row r="559" spans="1:15" ht="14.25" customHeight="1" x14ac:dyDescent="0.3">
      <c r="A559" s="19" t="s">
        <v>605</v>
      </c>
      <c r="B559" s="19" t="s">
        <v>22</v>
      </c>
      <c r="D559" s="110">
        <v>45931</v>
      </c>
      <c r="E559" s="16" t="s">
        <v>23</v>
      </c>
      <c r="F559" s="8" t="s">
        <v>85</v>
      </c>
      <c r="G559" s="16" t="s">
        <v>67</v>
      </c>
      <c r="H559" s="6" t="s">
        <v>18</v>
      </c>
      <c r="I559" s="17">
        <v>50</v>
      </c>
      <c r="J559" s="19">
        <v>0.2</v>
      </c>
      <c r="K559" s="19">
        <v>0.37</v>
      </c>
      <c r="L559" s="19">
        <v>1.5</v>
      </c>
      <c r="M559" s="59"/>
    </row>
    <row r="560" spans="1:15" ht="14.25" customHeight="1" x14ac:dyDescent="0.3">
      <c r="A560" s="19" t="s">
        <v>606</v>
      </c>
      <c r="B560" s="6" t="s">
        <v>22</v>
      </c>
      <c r="D560" s="15">
        <v>45768</v>
      </c>
      <c r="E560" s="16" t="s">
        <v>23</v>
      </c>
      <c r="F560" s="8" t="s">
        <v>85</v>
      </c>
      <c r="G560" s="16" t="s">
        <v>94</v>
      </c>
      <c r="H560" s="17" t="s">
        <v>26</v>
      </c>
      <c r="I560" s="17">
        <v>50</v>
      </c>
      <c r="J560" s="6" t="s">
        <v>450</v>
      </c>
      <c r="K560" s="17" t="s">
        <v>451</v>
      </c>
      <c r="L560" s="17" t="s">
        <v>451</v>
      </c>
      <c r="M560" s="663" t="s">
        <v>451</v>
      </c>
      <c r="N560" s="663" t="s">
        <v>451</v>
      </c>
      <c r="O560" s="669"/>
    </row>
    <row r="561" spans="1:15" ht="14.25" customHeight="1" x14ac:dyDescent="0.3">
      <c r="A561" s="119" t="s">
        <v>607</v>
      </c>
      <c r="B561" s="6" t="s">
        <v>22</v>
      </c>
      <c r="D561" s="15">
        <v>45768</v>
      </c>
      <c r="E561" s="16" t="s">
        <v>23</v>
      </c>
      <c r="F561" s="8" t="s">
        <v>85</v>
      </c>
      <c r="G561" s="16" t="s">
        <v>141</v>
      </c>
      <c r="H561" s="17" t="s">
        <v>26</v>
      </c>
      <c r="I561" s="17">
        <v>50</v>
      </c>
      <c r="J561" s="6" t="s">
        <v>450</v>
      </c>
      <c r="K561" s="17" t="s">
        <v>451</v>
      </c>
      <c r="L561" s="17" t="s">
        <v>451</v>
      </c>
      <c r="M561" s="663" t="s">
        <v>451</v>
      </c>
      <c r="N561" s="663" t="s">
        <v>451</v>
      </c>
      <c r="O561" s="669"/>
    </row>
    <row r="562" spans="1:15" ht="14.25" customHeight="1" x14ac:dyDescent="0.3">
      <c r="A562" s="19" t="s">
        <v>608</v>
      </c>
      <c r="B562" s="6" t="s">
        <v>22</v>
      </c>
      <c r="D562" s="15">
        <v>45768</v>
      </c>
      <c r="E562" s="16" t="s">
        <v>23</v>
      </c>
      <c r="F562" s="8" t="s">
        <v>85</v>
      </c>
      <c r="G562" s="16" t="s">
        <v>94</v>
      </c>
      <c r="H562" s="17" t="s">
        <v>26</v>
      </c>
      <c r="I562" s="17">
        <v>50</v>
      </c>
      <c r="J562" s="6" t="s">
        <v>450</v>
      </c>
      <c r="K562" s="17" t="s">
        <v>451</v>
      </c>
      <c r="L562" s="17" t="s">
        <v>451</v>
      </c>
      <c r="M562" s="663" t="s">
        <v>451</v>
      </c>
      <c r="N562" s="663" t="s">
        <v>451</v>
      </c>
      <c r="O562" s="669"/>
    </row>
    <row r="563" spans="1:15" ht="14.25" customHeight="1" x14ac:dyDescent="0.3">
      <c r="A563" s="19" t="s">
        <v>609</v>
      </c>
      <c r="B563" s="6" t="s">
        <v>22</v>
      </c>
      <c r="D563" s="15">
        <v>45768</v>
      </c>
      <c r="E563" s="16" t="s">
        <v>23</v>
      </c>
      <c r="F563" s="8" t="s">
        <v>85</v>
      </c>
      <c r="G563" s="16" t="s">
        <v>94</v>
      </c>
      <c r="H563" s="17" t="s">
        <v>26</v>
      </c>
      <c r="I563" s="17">
        <v>50</v>
      </c>
      <c r="J563" s="6" t="s">
        <v>450</v>
      </c>
      <c r="K563" s="17" t="s">
        <v>451</v>
      </c>
      <c r="L563" s="17" t="s">
        <v>451</v>
      </c>
      <c r="M563" s="663" t="s">
        <v>451</v>
      </c>
      <c r="N563" s="663" t="s">
        <v>451</v>
      </c>
      <c r="O563" s="669"/>
    </row>
    <row r="564" spans="1:15" ht="14.25" customHeight="1" x14ac:dyDescent="0.3">
      <c r="A564" s="19" t="s">
        <v>610</v>
      </c>
      <c r="B564" s="6" t="s">
        <v>22</v>
      </c>
      <c r="D564" s="15">
        <v>45768</v>
      </c>
      <c r="E564" s="16" t="s">
        <v>23</v>
      </c>
      <c r="F564" s="8" t="s">
        <v>85</v>
      </c>
      <c r="G564" s="16" t="s">
        <v>94</v>
      </c>
      <c r="H564" s="17" t="s">
        <v>26</v>
      </c>
      <c r="I564" s="17">
        <v>50</v>
      </c>
      <c r="J564" s="6" t="s">
        <v>450</v>
      </c>
      <c r="K564" s="17" t="s">
        <v>451</v>
      </c>
      <c r="L564" s="17" t="s">
        <v>451</v>
      </c>
      <c r="M564" s="663" t="s">
        <v>451</v>
      </c>
      <c r="N564" s="663" t="s">
        <v>451</v>
      </c>
      <c r="O564" s="669"/>
    </row>
    <row r="565" spans="1:15" ht="14.25" customHeight="1" x14ac:dyDescent="0.3">
      <c r="A565" s="17" t="s">
        <v>614</v>
      </c>
      <c r="B565" s="14" t="s">
        <v>22</v>
      </c>
      <c r="D565" s="118">
        <v>45763</v>
      </c>
      <c r="E565" s="39" t="s">
        <v>88</v>
      </c>
      <c r="F565" s="8" t="s">
        <v>85</v>
      </c>
      <c r="G565" s="40" t="s">
        <v>89</v>
      </c>
      <c r="H565" s="17" t="s">
        <v>26</v>
      </c>
      <c r="I565" s="17">
        <v>50</v>
      </c>
      <c r="J565" s="17">
        <v>401.4</v>
      </c>
      <c r="K565" s="8">
        <v>1.92</v>
      </c>
      <c r="L565" s="8">
        <v>1.49</v>
      </c>
      <c r="M565" s="59"/>
    </row>
    <row r="566" spans="1:15" ht="14.25" customHeight="1" x14ac:dyDescent="0.3">
      <c r="A566" s="664" t="s">
        <v>611</v>
      </c>
      <c r="B566" s="14" t="s">
        <v>22</v>
      </c>
      <c r="D566" s="689">
        <v>45757</v>
      </c>
      <c r="E566" s="39" t="s">
        <v>88</v>
      </c>
      <c r="F566" s="8" t="s">
        <v>85</v>
      </c>
      <c r="G566" s="40" t="s">
        <v>89</v>
      </c>
      <c r="H566" s="17" t="s">
        <v>26</v>
      </c>
      <c r="I566" s="17">
        <v>50</v>
      </c>
      <c r="J566" s="26">
        <v>8.116955386977736</v>
      </c>
      <c r="K566" s="8">
        <v>1.0180608018043316</v>
      </c>
      <c r="L566" s="8">
        <v>1.338242389698667</v>
      </c>
      <c r="M566" s="59"/>
    </row>
    <row r="567" spans="1:15" ht="14.25" customHeight="1" x14ac:dyDescent="0.3">
      <c r="A567" s="662" t="s">
        <v>615</v>
      </c>
      <c r="B567" s="6" t="s">
        <v>22</v>
      </c>
      <c r="D567" s="667">
        <v>45768</v>
      </c>
      <c r="E567" s="39" t="s">
        <v>88</v>
      </c>
      <c r="F567" s="8" t="s">
        <v>85</v>
      </c>
      <c r="G567" s="40" t="s">
        <v>89</v>
      </c>
      <c r="H567" s="17" t="s">
        <v>26</v>
      </c>
      <c r="I567" s="17">
        <v>50</v>
      </c>
      <c r="J567" s="6" t="s">
        <v>450</v>
      </c>
      <c r="K567" s="17" t="s">
        <v>451</v>
      </c>
      <c r="L567" s="17" t="s">
        <v>451</v>
      </c>
      <c r="M567" s="663" t="s">
        <v>451</v>
      </c>
      <c r="N567" s="663" t="s">
        <v>451</v>
      </c>
      <c r="O567" s="669"/>
    </row>
    <row r="568" spans="1:15" ht="14.25" customHeight="1" x14ac:dyDescent="0.3">
      <c r="A568" s="664" t="s">
        <v>612</v>
      </c>
      <c r="B568" s="14" t="s">
        <v>22</v>
      </c>
      <c r="D568" s="689">
        <v>45763</v>
      </c>
      <c r="E568" s="39" t="s">
        <v>88</v>
      </c>
      <c r="F568" s="8" t="s">
        <v>85</v>
      </c>
      <c r="G568" s="40" t="s">
        <v>89</v>
      </c>
      <c r="H568" s="17" t="s">
        <v>26</v>
      </c>
      <c r="I568" s="17">
        <v>30</v>
      </c>
      <c r="J568" s="26">
        <v>366.60446694486683</v>
      </c>
      <c r="K568" s="8">
        <v>1.9688728230958614</v>
      </c>
      <c r="L568" s="8">
        <v>1.7532949489104797</v>
      </c>
      <c r="M568" s="59"/>
    </row>
    <row r="569" spans="1:15" ht="14.25" customHeight="1" x14ac:dyDescent="0.3">
      <c r="A569" s="95" t="s">
        <v>613</v>
      </c>
      <c r="B569" s="14" t="s">
        <v>22</v>
      </c>
      <c r="D569" s="689">
        <v>45763</v>
      </c>
      <c r="E569" s="39" t="s">
        <v>88</v>
      </c>
      <c r="F569" s="8" t="s">
        <v>85</v>
      </c>
      <c r="G569" s="40" t="s">
        <v>89</v>
      </c>
      <c r="H569" s="17" t="s">
        <v>26</v>
      </c>
      <c r="I569" s="17">
        <v>30</v>
      </c>
      <c r="J569" s="26">
        <v>49.862602261955594</v>
      </c>
      <c r="K569" s="8">
        <v>1.9809149039282579</v>
      </c>
      <c r="L569" s="8">
        <v>1.2181941451753751</v>
      </c>
      <c r="M569" s="59"/>
    </row>
    <row r="570" spans="1:15" ht="14.25" customHeight="1" x14ac:dyDescent="0.3">
      <c r="A570" s="17" t="s">
        <v>616</v>
      </c>
      <c r="B570" s="14" t="s">
        <v>22</v>
      </c>
      <c r="D570" s="689">
        <v>45757</v>
      </c>
      <c r="E570" s="39" t="s">
        <v>88</v>
      </c>
      <c r="F570" s="8" t="s">
        <v>85</v>
      </c>
      <c r="G570" s="40" t="s">
        <v>89</v>
      </c>
      <c r="H570" s="17" t="s">
        <v>26</v>
      </c>
      <c r="I570" s="17">
        <v>50</v>
      </c>
      <c r="J570" s="26">
        <v>31.348175116825256</v>
      </c>
      <c r="K570" s="8">
        <v>1.5997235627022905</v>
      </c>
      <c r="L570" s="8">
        <v>1.9315850342360257</v>
      </c>
      <c r="M570" s="59"/>
    </row>
    <row r="571" spans="1:15" ht="14.25" customHeight="1" x14ac:dyDescent="0.3">
      <c r="A571" s="19" t="s">
        <v>617</v>
      </c>
      <c r="B571" s="19" t="s">
        <v>22</v>
      </c>
      <c r="D571" s="110">
        <v>45940</v>
      </c>
      <c r="E571" s="16" t="s">
        <v>23</v>
      </c>
      <c r="F571" s="8" t="s">
        <v>85</v>
      </c>
      <c r="G571" s="16" t="s">
        <v>67</v>
      </c>
      <c r="H571" s="6" t="s">
        <v>18</v>
      </c>
      <c r="I571" s="17">
        <v>50</v>
      </c>
      <c r="J571" s="19">
        <v>21.6</v>
      </c>
      <c r="K571" s="19">
        <v>0.83</v>
      </c>
      <c r="L571" s="19">
        <v>1.86</v>
      </c>
      <c r="M571" s="59"/>
    </row>
    <row r="572" spans="1:15" ht="14.25" customHeight="1" x14ac:dyDescent="0.3">
      <c r="A572" s="662" t="s">
        <v>618</v>
      </c>
      <c r="B572" s="6" t="s">
        <v>22</v>
      </c>
      <c r="D572" s="667">
        <v>45768</v>
      </c>
      <c r="E572" s="16" t="s">
        <v>23</v>
      </c>
      <c r="F572" s="8" t="s">
        <v>85</v>
      </c>
      <c r="G572" s="16" t="s">
        <v>94</v>
      </c>
      <c r="H572" s="17" t="s">
        <v>26</v>
      </c>
      <c r="I572" s="17">
        <v>50</v>
      </c>
      <c r="J572" s="6" t="s">
        <v>450</v>
      </c>
      <c r="K572" s="17" t="s">
        <v>451</v>
      </c>
      <c r="L572" s="17" t="s">
        <v>451</v>
      </c>
      <c r="M572" s="663" t="s">
        <v>451</v>
      </c>
      <c r="N572" s="663" t="s">
        <v>451</v>
      </c>
      <c r="O572" s="669"/>
    </row>
    <row r="573" spans="1:15" ht="14.25" customHeight="1" x14ac:dyDescent="0.3">
      <c r="A573" s="662" t="s">
        <v>619</v>
      </c>
      <c r="B573" s="6" t="s">
        <v>22</v>
      </c>
      <c r="D573" s="667">
        <v>45768</v>
      </c>
      <c r="E573" s="16" t="s">
        <v>23</v>
      </c>
      <c r="F573" s="8" t="s">
        <v>85</v>
      </c>
      <c r="G573" s="16" t="s">
        <v>94</v>
      </c>
      <c r="H573" s="17" t="s">
        <v>26</v>
      </c>
      <c r="I573" s="17">
        <v>50</v>
      </c>
      <c r="J573" s="6" t="s">
        <v>450</v>
      </c>
      <c r="K573" s="17" t="s">
        <v>451</v>
      </c>
      <c r="L573" s="17" t="s">
        <v>451</v>
      </c>
      <c r="M573" s="663" t="s">
        <v>451</v>
      </c>
      <c r="N573" s="663" t="s">
        <v>451</v>
      </c>
      <c r="O573" s="669"/>
    </row>
    <row r="574" spans="1:15" ht="14.25" customHeight="1" x14ac:dyDescent="0.3">
      <c r="A574" s="662" t="s">
        <v>620</v>
      </c>
      <c r="B574" s="6" t="s">
        <v>22</v>
      </c>
      <c r="D574" s="691">
        <v>45940</v>
      </c>
      <c r="E574" s="16" t="s">
        <v>23</v>
      </c>
      <c r="F574" s="8" t="s">
        <v>85</v>
      </c>
      <c r="G574" s="16" t="s">
        <v>180</v>
      </c>
      <c r="H574" s="669" t="s">
        <v>621</v>
      </c>
      <c r="I574" s="17">
        <v>50</v>
      </c>
      <c r="J574" s="6" t="s">
        <v>450</v>
      </c>
      <c r="K574" s="17" t="s">
        <v>451</v>
      </c>
      <c r="L574" s="17" t="s">
        <v>451</v>
      </c>
      <c r="M574" s="663" t="s">
        <v>451</v>
      </c>
      <c r="N574" s="663" t="s">
        <v>451</v>
      </c>
      <c r="O574" s="669"/>
    </row>
    <row r="575" spans="1:15" ht="14.25" customHeight="1" x14ac:dyDescent="0.3">
      <c r="A575" s="662" t="s">
        <v>620</v>
      </c>
      <c r="B575" s="19" t="s">
        <v>22</v>
      </c>
      <c r="D575" s="110">
        <v>45926</v>
      </c>
      <c r="E575" s="16" t="s">
        <v>23</v>
      </c>
      <c r="F575" s="8" t="s">
        <v>85</v>
      </c>
      <c r="G575" s="16" t="s">
        <v>67</v>
      </c>
      <c r="H575" s="6" t="s">
        <v>18</v>
      </c>
      <c r="I575" s="17">
        <v>50</v>
      </c>
      <c r="J575" s="19">
        <v>45.9</v>
      </c>
      <c r="K575" s="19">
        <v>0.38</v>
      </c>
      <c r="L575" s="19">
        <v>1.72</v>
      </c>
      <c r="M575" s="59"/>
    </row>
    <row r="576" spans="1:15" ht="14.25" customHeight="1" x14ac:dyDescent="0.3">
      <c r="A576" s="662" t="s">
        <v>622</v>
      </c>
      <c r="B576" s="6" t="s">
        <v>22</v>
      </c>
      <c r="D576" s="667">
        <v>45768</v>
      </c>
      <c r="E576" s="39" t="s">
        <v>88</v>
      </c>
      <c r="F576" s="8" t="s">
        <v>85</v>
      </c>
      <c r="G576" s="40" t="s">
        <v>89</v>
      </c>
      <c r="H576" s="17" t="s">
        <v>26</v>
      </c>
      <c r="I576" s="17">
        <v>50</v>
      </c>
      <c r="J576" s="6" t="s">
        <v>450</v>
      </c>
      <c r="K576" s="17" t="s">
        <v>451</v>
      </c>
      <c r="L576" s="17" t="s">
        <v>451</v>
      </c>
      <c r="M576" s="663" t="s">
        <v>451</v>
      </c>
      <c r="N576" s="663" t="s">
        <v>451</v>
      </c>
      <c r="O576" s="669"/>
    </row>
    <row r="577" spans="1:15" ht="14.25" customHeight="1" thickBot="1" x14ac:dyDescent="0.35">
      <c r="A577" s="664" t="s">
        <v>623</v>
      </c>
      <c r="B577" s="14" t="s">
        <v>22</v>
      </c>
      <c r="D577" s="689">
        <v>45757</v>
      </c>
      <c r="E577" s="39" t="s">
        <v>88</v>
      </c>
      <c r="F577" s="8" t="s">
        <v>85</v>
      </c>
      <c r="G577" s="40" t="s">
        <v>89</v>
      </c>
      <c r="H577" s="17" t="s">
        <v>26</v>
      </c>
      <c r="I577" s="17">
        <v>50</v>
      </c>
      <c r="J577" s="26">
        <v>57.088117569040818</v>
      </c>
      <c r="K577" s="8">
        <v>1.1297319154997421</v>
      </c>
      <c r="L577" s="8">
        <v>2.0095511859445914</v>
      </c>
      <c r="M577" s="59"/>
    </row>
    <row r="578" spans="1:15" ht="14.25" customHeight="1" thickBot="1" x14ac:dyDescent="0.35">
      <c r="A578" s="663" t="s">
        <v>624</v>
      </c>
      <c r="B578" s="14" t="s">
        <v>22</v>
      </c>
      <c r="D578" s="116">
        <v>45846</v>
      </c>
      <c r="E578" s="39" t="s">
        <v>88</v>
      </c>
      <c r="F578" s="8" t="s">
        <v>85</v>
      </c>
      <c r="G578" s="40" t="s">
        <v>89</v>
      </c>
      <c r="H578" s="17" t="s">
        <v>26</v>
      </c>
      <c r="I578" s="17">
        <v>50</v>
      </c>
      <c r="J578" s="17" t="s">
        <v>230</v>
      </c>
      <c r="K578" s="17"/>
      <c r="L578" s="17"/>
      <c r="M578" s="674"/>
      <c r="N578" s="669"/>
    </row>
    <row r="579" spans="1:15" ht="13.8" customHeight="1" thickBot="1" x14ac:dyDescent="0.35">
      <c r="A579" s="97" t="s">
        <v>625</v>
      </c>
      <c r="B579" s="19" t="s">
        <v>22</v>
      </c>
      <c r="D579" s="120">
        <v>45931</v>
      </c>
      <c r="E579" s="16" t="s">
        <v>23</v>
      </c>
      <c r="F579" s="8" t="s">
        <v>85</v>
      </c>
      <c r="G579" s="16" t="s">
        <v>67</v>
      </c>
      <c r="H579" s="6" t="s">
        <v>18</v>
      </c>
      <c r="I579" s="17">
        <v>50</v>
      </c>
      <c r="J579" s="19">
        <v>142.30000000000001</v>
      </c>
      <c r="K579" s="19">
        <v>1.35</v>
      </c>
      <c r="L579" s="19">
        <v>1.88</v>
      </c>
      <c r="M579" s="59"/>
    </row>
    <row r="580" spans="1:15" ht="14.25" customHeight="1" x14ac:dyDescent="0.3">
      <c r="A580" s="663" t="s">
        <v>626</v>
      </c>
      <c r="B580" s="6" t="s">
        <v>22</v>
      </c>
      <c r="D580" s="667">
        <v>45768</v>
      </c>
      <c r="E580" s="16" t="s">
        <v>23</v>
      </c>
      <c r="F580" s="8" t="s">
        <v>85</v>
      </c>
      <c r="G580" s="16" t="s">
        <v>94</v>
      </c>
      <c r="H580" s="17" t="s">
        <v>26</v>
      </c>
      <c r="I580" s="17" t="s">
        <v>451</v>
      </c>
      <c r="J580" s="6" t="s">
        <v>450</v>
      </c>
      <c r="K580" s="17" t="s">
        <v>451</v>
      </c>
      <c r="L580" s="17" t="s">
        <v>451</v>
      </c>
      <c r="M580" s="663" t="s">
        <v>451</v>
      </c>
      <c r="N580" s="663" t="s">
        <v>451</v>
      </c>
      <c r="O580" s="669"/>
    </row>
    <row r="581" spans="1:15" ht="14.25" customHeight="1" x14ac:dyDescent="0.3">
      <c r="A581" s="662" t="s">
        <v>627</v>
      </c>
      <c r="B581" s="19" t="s">
        <v>22</v>
      </c>
      <c r="D581" s="110">
        <v>45940</v>
      </c>
      <c r="E581" s="16" t="s">
        <v>23</v>
      </c>
      <c r="F581" s="8" t="s">
        <v>85</v>
      </c>
      <c r="G581" s="16" t="s">
        <v>67</v>
      </c>
      <c r="H581" s="6" t="s">
        <v>18</v>
      </c>
      <c r="I581" s="17">
        <v>50</v>
      </c>
      <c r="J581" s="19">
        <v>22.4</v>
      </c>
      <c r="K581" s="19">
        <v>0.39</v>
      </c>
      <c r="L581" s="19">
        <v>1.54</v>
      </c>
      <c r="M581" s="59"/>
    </row>
    <row r="582" spans="1:15" ht="14.25" customHeight="1" x14ac:dyDescent="0.3">
      <c r="A582" s="662" t="s">
        <v>628</v>
      </c>
      <c r="B582" s="6" t="s">
        <v>22</v>
      </c>
      <c r="D582" s="667">
        <v>45768</v>
      </c>
      <c r="E582" s="16" t="s">
        <v>23</v>
      </c>
      <c r="F582" s="8" t="s">
        <v>85</v>
      </c>
      <c r="G582" s="16" t="s">
        <v>94</v>
      </c>
      <c r="H582" s="17" t="s">
        <v>26</v>
      </c>
      <c r="I582" s="17">
        <v>50</v>
      </c>
      <c r="J582" s="6" t="s">
        <v>450</v>
      </c>
      <c r="K582" s="17" t="s">
        <v>451</v>
      </c>
      <c r="L582" s="17" t="s">
        <v>451</v>
      </c>
      <c r="M582" s="663" t="s">
        <v>451</v>
      </c>
      <c r="N582" s="663" t="s">
        <v>451</v>
      </c>
      <c r="O582" s="669"/>
    </row>
    <row r="583" spans="1:15" ht="14.25" customHeight="1" x14ac:dyDescent="0.3">
      <c r="A583" s="662" t="s">
        <v>628</v>
      </c>
      <c r="B583" s="19" t="s">
        <v>22</v>
      </c>
      <c r="D583" s="110">
        <v>45926</v>
      </c>
      <c r="E583" s="16" t="s">
        <v>23</v>
      </c>
      <c r="F583" s="8" t="s">
        <v>85</v>
      </c>
      <c r="G583" s="16" t="s">
        <v>67</v>
      </c>
      <c r="H583" s="6" t="s">
        <v>18</v>
      </c>
      <c r="I583" s="17">
        <v>50</v>
      </c>
      <c r="J583" s="19">
        <v>139.6</v>
      </c>
      <c r="K583" s="19">
        <v>0.18</v>
      </c>
      <c r="L583" s="19">
        <v>1.47</v>
      </c>
      <c r="M583" s="59"/>
    </row>
    <row r="584" spans="1:15" ht="14.25" customHeight="1" x14ac:dyDescent="0.3">
      <c r="A584" s="19" t="s">
        <v>629</v>
      </c>
      <c r="B584" s="19" t="s">
        <v>22</v>
      </c>
      <c r="D584" s="111">
        <v>45733</v>
      </c>
      <c r="E584" s="16" t="s">
        <v>23</v>
      </c>
      <c r="F584" s="8" t="s">
        <v>85</v>
      </c>
      <c r="G584" s="16" t="s">
        <v>67</v>
      </c>
      <c r="H584" s="17" t="s">
        <v>26</v>
      </c>
      <c r="I584" s="17">
        <v>50</v>
      </c>
      <c r="J584" s="19">
        <v>2.8</v>
      </c>
      <c r="K584" s="19">
        <v>0.14000000000000001</v>
      </c>
      <c r="L584" s="19">
        <v>1.41</v>
      </c>
      <c r="M584" s="59"/>
    </row>
    <row r="585" spans="1:15" ht="14.25" customHeight="1" x14ac:dyDescent="0.3">
      <c r="A585" s="19" t="s">
        <v>630</v>
      </c>
      <c r="B585" s="6" t="s">
        <v>22</v>
      </c>
      <c r="D585" s="667">
        <v>45768</v>
      </c>
      <c r="E585" s="39" t="s">
        <v>88</v>
      </c>
      <c r="F585" s="8" t="s">
        <v>85</v>
      </c>
      <c r="G585" s="40" t="s">
        <v>89</v>
      </c>
      <c r="H585" s="17" t="s">
        <v>26</v>
      </c>
      <c r="I585" s="17">
        <v>50</v>
      </c>
      <c r="J585" s="6" t="s">
        <v>450</v>
      </c>
      <c r="K585" s="17" t="s">
        <v>451</v>
      </c>
      <c r="L585" s="17" t="s">
        <v>451</v>
      </c>
      <c r="M585" s="663" t="s">
        <v>451</v>
      </c>
      <c r="N585" s="663" t="s">
        <v>451</v>
      </c>
      <c r="O585" s="669"/>
    </row>
    <row r="586" spans="1:15" ht="14.25" customHeight="1" x14ac:dyDescent="0.3">
      <c r="A586" s="17" t="s">
        <v>631</v>
      </c>
      <c r="B586" s="6" t="s">
        <v>22</v>
      </c>
      <c r="D586" s="667">
        <v>45768</v>
      </c>
      <c r="E586" s="16" t="s">
        <v>23</v>
      </c>
      <c r="F586" s="8" t="s">
        <v>85</v>
      </c>
      <c r="G586" s="16" t="s">
        <v>94</v>
      </c>
      <c r="H586" s="17" t="s">
        <v>26</v>
      </c>
      <c r="I586" s="17" t="s">
        <v>451</v>
      </c>
      <c r="J586" s="6" t="s">
        <v>450</v>
      </c>
      <c r="K586" s="17" t="s">
        <v>451</v>
      </c>
      <c r="L586" s="17" t="s">
        <v>451</v>
      </c>
      <c r="M586" s="663" t="s">
        <v>451</v>
      </c>
      <c r="N586" s="663" t="s">
        <v>451</v>
      </c>
      <c r="O586" s="669"/>
    </row>
    <row r="587" spans="1:15" ht="14.25" customHeight="1" x14ac:dyDescent="0.3">
      <c r="A587" s="662" t="s">
        <v>632</v>
      </c>
      <c r="B587" s="19" t="s">
        <v>22</v>
      </c>
      <c r="D587" s="667">
        <v>45768</v>
      </c>
      <c r="E587" s="16" t="s">
        <v>23</v>
      </c>
      <c r="F587" s="8" t="s">
        <v>85</v>
      </c>
      <c r="G587" s="16" t="s">
        <v>67</v>
      </c>
      <c r="H587" s="17" t="s">
        <v>26</v>
      </c>
      <c r="I587" s="17">
        <v>50</v>
      </c>
      <c r="J587" s="19">
        <v>6</v>
      </c>
      <c r="K587" s="19">
        <v>0.15</v>
      </c>
      <c r="L587" s="19">
        <v>0.7</v>
      </c>
      <c r="M587" s="59"/>
    </row>
    <row r="588" spans="1:15" ht="14.25" customHeight="1" x14ac:dyDescent="0.3">
      <c r="A588" s="662" t="s">
        <v>633</v>
      </c>
      <c r="B588" s="6" t="s">
        <v>22</v>
      </c>
      <c r="D588" s="691">
        <v>45938</v>
      </c>
      <c r="E588" s="16" t="s">
        <v>23</v>
      </c>
      <c r="F588" s="8" t="s">
        <v>85</v>
      </c>
      <c r="G588" s="16" t="s">
        <v>94</v>
      </c>
      <c r="H588" s="669" t="s">
        <v>621</v>
      </c>
      <c r="I588" s="17">
        <v>50</v>
      </c>
      <c r="J588" s="6" t="s">
        <v>450</v>
      </c>
      <c r="K588" s="17" t="s">
        <v>451</v>
      </c>
      <c r="L588" s="17" t="s">
        <v>451</v>
      </c>
      <c r="M588" s="663" t="s">
        <v>451</v>
      </c>
      <c r="N588" s="663" t="s">
        <v>451</v>
      </c>
      <c r="O588" s="669"/>
    </row>
    <row r="589" spans="1:15" ht="14.25" customHeight="1" x14ac:dyDescent="0.3">
      <c r="A589" s="662" t="s">
        <v>634</v>
      </c>
      <c r="B589" s="6" t="s">
        <v>22</v>
      </c>
      <c r="D589" s="15">
        <v>45768</v>
      </c>
      <c r="E589" s="16" t="s">
        <v>23</v>
      </c>
      <c r="F589" s="8" t="s">
        <v>85</v>
      </c>
      <c r="G589" s="16" t="s">
        <v>94</v>
      </c>
      <c r="H589" s="17" t="s">
        <v>26</v>
      </c>
      <c r="I589" s="17">
        <v>50</v>
      </c>
      <c r="J589" s="6" t="s">
        <v>450</v>
      </c>
      <c r="K589" s="17" t="s">
        <v>451</v>
      </c>
      <c r="L589" s="17" t="s">
        <v>451</v>
      </c>
      <c r="M589" s="663" t="s">
        <v>451</v>
      </c>
      <c r="N589" s="663" t="s">
        <v>451</v>
      </c>
      <c r="O589" s="669"/>
    </row>
    <row r="590" spans="1:15" ht="14.25" customHeight="1" x14ac:dyDescent="0.3">
      <c r="A590" s="662" t="s">
        <v>635</v>
      </c>
      <c r="B590" s="6" t="s">
        <v>22</v>
      </c>
      <c r="D590" s="15">
        <v>45768</v>
      </c>
      <c r="E590" s="16" t="s">
        <v>23</v>
      </c>
      <c r="F590" s="8" t="s">
        <v>85</v>
      </c>
      <c r="G590" s="16" t="s">
        <v>94</v>
      </c>
      <c r="H590" s="17" t="s">
        <v>26</v>
      </c>
      <c r="I590" s="17">
        <v>50</v>
      </c>
      <c r="J590" s="6" t="s">
        <v>450</v>
      </c>
      <c r="K590" s="17" t="s">
        <v>451</v>
      </c>
      <c r="L590" s="17" t="s">
        <v>451</v>
      </c>
      <c r="M590" s="663" t="s">
        <v>451</v>
      </c>
      <c r="N590" s="663" t="s">
        <v>451</v>
      </c>
      <c r="O590" s="669"/>
    </row>
    <row r="591" spans="1:15" ht="14.25" customHeight="1" x14ac:dyDescent="0.3">
      <c r="A591" s="662" t="s">
        <v>636</v>
      </c>
      <c r="B591" s="19" t="s">
        <v>22</v>
      </c>
      <c r="D591" s="15">
        <v>45768</v>
      </c>
      <c r="E591" s="16" t="s">
        <v>23</v>
      </c>
      <c r="F591" s="8" t="s">
        <v>85</v>
      </c>
      <c r="G591" s="16" t="s">
        <v>67</v>
      </c>
      <c r="H591" s="17" t="s">
        <v>26</v>
      </c>
      <c r="I591" s="17">
        <v>50</v>
      </c>
      <c r="J591" s="19">
        <v>13.9</v>
      </c>
      <c r="K591" s="19">
        <v>0.53</v>
      </c>
      <c r="L591" s="19">
        <v>1.36</v>
      </c>
      <c r="M591" s="59"/>
    </row>
    <row r="592" spans="1:15" ht="14.25" customHeight="1" x14ac:dyDescent="0.3">
      <c r="A592" s="662" t="s">
        <v>637</v>
      </c>
      <c r="B592" s="6" t="s">
        <v>22</v>
      </c>
      <c r="D592" s="15">
        <v>45768</v>
      </c>
      <c r="E592" s="16" t="s">
        <v>23</v>
      </c>
      <c r="F592" s="8" t="s">
        <v>85</v>
      </c>
      <c r="G592" s="16" t="s">
        <v>94</v>
      </c>
      <c r="H592" s="17" t="s">
        <v>26</v>
      </c>
      <c r="I592" s="17">
        <v>50</v>
      </c>
      <c r="J592" s="6" t="s">
        <v>450</v>
      </c>
      <c r="K592" s="17" t="s">
        <v>451</v>
      </c>
      <c r="L592" s="17" t="s">
        <v>451</v>
      </c>
      <c r="M592" s="663" t="s">
        <v>451</v>
      </c>
      <c r="N592" s="663" t="s">
        <v>451</v>
      </c>
      <c r="O592" s="669"/>
    </row>
    <row r="593" spans="1:15" ht="14.25" customHeight="1" x14ac:dyDescent="0.3">
      <c r="A593" s="662" t="s">
        <v>638</v>
      </c>
      <c r="B593" s="6" t="s">
        <v>22</v>
      </c>
      <c r="D593" s="15">
        <v>45768</v>
      </c>
      <c r="E593" s="16" t="s">
        <v>23</v>
      </c>
      <c r="F593" s="8" t="s">
        <v>85</v>
      </c>
      <c r="G593" s="16" t="s">
        <v>251</v>
      </c>
      <c r="H593" s="17" t="s">
        <v>26</v>
      </c>
      <c r="I593" s="17">
        <v>50</v>
      </c>
      <c r="J593" s="6" t="s">
        <v>450</v>
      </c>
      <c r="K593" s="17" t="s">
        <v>451</v>
      </c>
      <c r="L593" s="17" t="s">
        <v>451</v>
      </c>
      <c r="M593" s="663" t="s">
        <v>451</v>
      </c>
      <c r="N593" s="663" t="s">
        <v>451</v>
      </c>
      <c r="O593" s="669"/>
    </row>
    <row r="594" spans="1:15" ht="14.25" customHeight="1" thickBot="1" x14ac:dyDescent="0.35">
      <c r="A594" s="663" t="s">
        <v>639</v>
      </c>
      <c r="B594" s="14" t="s">
        <v>22</v>
      </c>
      <c r="D594" s="118">
        <v>45733</v>
      </c>
      <c r="E594" s="39" t="s">
        <v>88</v>
      </c>
      <c r="F594" s="8" t="s">
        <v>85</v>
      </c>
      <c r="G594" s="40" t="s">
        <v>89</v>
      </c>
      <c r="H594" s="17" t="s">
        <v>26</v>
      </c>
      <c r="I594" s="17">
        <v>50</v>
      </c>
      <c r="J594" s="17" t="s">
        <v>230</v>
      </c>
      <c r="K594" s="17"/>
      <c r="L594" s="17"/>
      <c r="M594" s="674"/>
      <c r="N594" s="669"/>
    </row>
    <row r="595" spans="1:15" ht="14.25" customHeight="1" thickBot="1" x14ac:dyDescent="0.35">
      <c r="A595" s="662" t="s">
        <v>640</v>
      </c>
      <c r="B595" s="19" t="s">
        <v>22</v>
      </c>
      <c r="D595" s="123">
        <v>45931</v>
      </c>
      <c r="E595" s="16" t="s">
        <v>23</v>
      </c>
      <c r="F595" s="8" t="s">
        <v>85</v>
      </c>
      <c r="G595" s="16" t="s">
        <v>67</v>
      </c>
      <c r="H595" s="6" t="s">
        <v>18</v>
      </c>
      <c r="I595" s="17">
        <v>50</v>
      </c>
      <c r="J595" s="19">
        <v>121.4</v>
      </c>
      <c r="K595" s="19">
        <v>0.81</v>
      </c>
      <c r="L595" s="19">
        <v>3.71</v>
      </c>
      <c r="M595" s="59"/>
    </row>
    <row r="596" spans="1:15" ht="14.25" customHeight="1" thickBot="1" x14ac:dyDescent="0.35">
      <c r="A596" s="664" t="s">
        <v>640</v>
      </c>
      <c r="B596" s="14" t="s">
        <v>22</v>
      </c>
      <c r="D596" s="121">
        <v>45817</v>
      </c>
      <c r="E596" s="39" t="s">
        <v>88</v>
      </c>
      <c r="F596" s="8" t="s">
        <v>85</v>
      </c>
      <c r="G596" s="40" t="s">
        <v>89</v>
      </c>
      <c r="H596" s="17" t="s">
        <v>26</v>
      </c>
      <c r="I596" s="17">
        <v>50</v>
      </c>
      <c r="J596" s="26">
        <v>55.127771808626157</v>
      </c>
      <c r="K596" s="8">
        <v>0.68152267496975372</v>
      </c>
      <c r="L596" s="8">
        <v>3.9105656281816299</v>
      </c>
      <c r="M596" s="59"/>
    </row>
    <row r="597" spans="1:15" ht="14.25" customHeight="1" thickBot="1" x14ac:dyDescent="0.35">
      <c r="A597" s="664" t="s">
        <v>641</v>
      </c>
      <c r="B597" s="14" t="s">
        <v>22</v>
      </c>
      <c r="D597" s="116">
        <v>45763</v>
      </c>
      <c r="E597" s="39" t="s">
        <v>88</v>
      </c>
      <c r="F597" s="8" t="s">
        <v>85</v>
      </c>
      <c r="G597" s="40" t="s">
        <v>89</v>
      </c>
      <c r="H597" s="17" t="s">
        <v>26</v>
      </c>
      <c r="I597" s="17">
        <v>30</v>
      </c>
      <c r="J597" s="26">
        <v>1068.6766207994849</v>
      </c>
      <c r="K597" s="8">
        <v>2.0674986679847667</v>
      </c>
      <c r="L597" s="8">
        <v>1.9733165200299339</v>
      </c>
      <c r="M597" s="674"/>
      <c r="N597" s="669"/>
    </row>
    <row r="598" spans="1:15" ht="14.25" customHeight="1" thickBot="1" x14ac:dyDescent="0.35">
      <c r="A598" s="95" t="s">
        <v>641</v>
      </c>
      <c r="B598" s="14" t="s">
        <v>22</v>
      </c>
      <c r="D598" s="121">
        <v>45763</v>
      </c>
      <c r="E598" s="39" t="s">
        <v>88</v>
      </c>
      <c r="F598" s="8" t="s">
        <v>85</v>
      </c>
      <c r="G598" s="40" t="s">
        <v>89</v>
      </c>
      <c r="H598" s="17" t="s">
        <v>26</v>
      </c>
      <c r="I598" s="17">
        <v>30</v>
      </c>
      <c r="J598" s="26">
        <v>85.687793652274394</v>
      </c>
      <c r="K598" s="8">
        <v>1.8670140599040626</v>
      </c>
      <c r="L598" s="8">
        <v>1.2902647918233199</v>
      </c>
      <c r="M598" s="59"/>
    </row>
    <row r="599" spans="1:15" ht="14.25" customHeight="1" thickBot="1" x14ac:dyDescent="0.35">
      <c r="A599" s="44" t="s">
        <v>642</v>
      </c>
      <c r="B599" s="14" t="s">
        <v>22</v>
      </c>
      <c r="D599" s="121">
        <v>45817</v>
      </c>
      <c r="E599" s="39" t="s">
        <v>88</v>
      </c>
      <c r="F599" s="8" t="s">
        <v>85</v>
      </c>
      <c r="G599" s="40" t="s">
        <v>89</v>
      </c>
      <c r="H599" s="17" t="s">
        <v>26</v>
      </c>
      <c r="I599" s="17" t="s">
        <v>580</v>
      </c>
      <c r="J599" s="26">
        <v>1456.3077779624412</v>
      </c>
      <c r="K599" s="8">
        <v>1.9486721868985544</v>
      </c>
      <c r="L599" s="8">
        <v>2.0110890140895701</v>
      </c>
      <c r="M599" s="59"/>
    </row>
    <row r="600" spans="1:15" ht="14.25" customHeight="1" thickBot="1" x14ac:dyDescent="0.35">
      <c r="A600" s="44" t="s">
        <v>643</v>
      </c>
      <c r="B600" s="14" t="s">
        <v>22</v>
      </c>
      <c r="D600" s="121">
        <v>45817</v>
      </c>
      <c r="E600" s="39" t="s">
        <v>88</v>
      </c>
      <c r="F600" s="8" t="s">
        <v>85</v>
      </c>
      <c r="G600" s="40" t="s">
        <v>89</v>
      </c>
      <c r="H600" s="17" t="s">
        <v>26</v>
      </c>
      <c r="I600" s="17" t="s">
        <v>580</v>
      </c>
      <c r="J600" s="26">
        <v>1455.8980192699639</v>
      </c>
      <c r="K600" s="8">
        <v>1.961693509771496</v>
      </c>
      <c r="L600" s="8">
        <v>2.0154684914486389</v>
      </c>
      <c r="M600" s="59"/>
    </row>
    <row r="601" spans="1:15" ht="14.25" customHeight="1" thickBot="1" x14ac:dyDescent="0.35">
      <c r="A601" s="662" t="s">
        <v>644</v>
      </c>
      <c r="B601" s="19" t="s">
        <v>22</v>
      </c>
      <c r="D601" s="122">
        <v>45931</v>
      </c>
      <c r="E601" s="16" t="s">
        <v>23</v>
      </c>
      <c r="F601" s="8" t="s">
        <v>85</v>
      </c>
      <c r="G601" s="16" t="s">
        <v>67</v>
      </c>
      <c r="H601" s="6" t="s">
        <v>18</v>
      </c>
      <c r="I601" s="17">
        <v>50</v>
      </c>
      <c r="J601" s="19">
        <v>561.9</v>
      </c>
      <c r="K601" s="19">
        <v>1.7</v>
      </c>
      <c r="L601" s="19">
        <v>2.04</v>
      </c>
      <c r="M601" s="59"/>
    </row>
    <row r="602" spans="1:15" ht="14.25" customHeight="1" thickBot="1" x14ac:dyDescent="0.35">
      <c r="A602" s="663" t="s">
        <v>645</v>
      </c>
      <c r="B602" s="14" t="s">
        <v>22</v>
      </c>
      <c r="D602" s="121">
        <v>45817</v>
      </c>
      <c r="E602" s="39" t="s">
        <v>88</v>
      </c>
      <c r="F602" s="8" t="s">
        <v>85</v>
      </c>
      <c r="G602" s="40" t="s">
        <v>89</v>
      </c>
      <c r="H602" s="17" t="s">
        <v>26</v>
      </c>
      <c r="I602" s="17">
        <v>50</v>
      </c>
      <c r="J602" s="26">
        <v>404.30314974914904</v>
      </c>
      <c r="K602" s="8">
        <v>1.6245427522380891</v>
      </c>
      <c r="L602" s="8">
        <v>2.0314489473155724</v>
      </c>
      <c r="M602" s="59"/>
    </row>
    <row r="603" spans="1:15" ht="14.25" customHeight="1" thickBot="1" x14ac:dyDescent="0.35">
      <c r="A603" s="95" t="s">
        <v>646</v>
      </c>
      <c r="B603" s="14" t="s">
        <v>22</v>
      </c>
      <c r="D603" s="689">
        <v>45817</v>
      </c>
      <c r="E603" s="39" t="s">
        <v>88</v>
      </c>
      <c r="F603" s="8" t="s">
        <v>85</v>
      </c>
      <c r="G603" s="40" t="s">
        <v>89</v>
      </c>
      <c r="H603" s="17" t="s">
        <v>26</v>
      </c>
      <c r="I603" s="17">
        <v>50</v>
      </c>
      <c r="J603" s="26">
        <v>304.86437252115792</v>
      </c>
      <c r="K603" s="8">
        <v>1.4243032278193375</v>
      </c>
      <c r="L603" s="8">
        <v>1.9095116990758456</v>
      </c>
      <c r="M603" s="59"/>
    </row>
    <row r="604" spans="1:15" ht="14.25" customHeight="1" thickBot="1" x14ac:dyDescent="0.35">
      <c r="A604" s="14" t="s">
        <v>647</v>
      </c>
      <c r="B604" s="14" t="s">
        <v>22</v>
      </c>
      <c r="D604" s="123">
        <v>45931</v>
      </c>
      <c r="E604" s="39" t="s">
        <v>88</v>
      </c>
      <c r="F604" s="8" t="s">
        <v>85</v>
      </c>
      <c r="G604" s="40" t="s">
        <v>89</v>
      </c>
      <c r="H604" s="6" t="s">
        <v>18</v>
      </c>
      <c r="I604" s="17">
        <v>50</v>
      </c>
      <c r="J604" s="26">
        <v>16.266470579799329</v>
      </c>
      <c r="K604" s="8">
        <v>0.25870150378765294</v>
      </c>
      <c r="L604" s="8">
        <v>1.7681129369860138</v>
      </c>
      <c r="M604" s="59"/>
    </row>
    <row r="605" spans="1:15" ht="14.25" customHeight="1" thickBot="1" x14ac:dyDescent="0.35">
      <c r="A605" s="662" t="s">
        <v>647</v>
      </c>
      <c r="B605" s="19" t="s">
        <v>22</v>
      </c>
      <c r="D605" s="121">
        <v>45705</v>
      </c>
      <c r="E605" s="16" t="s">
        <v>23</v>
      </c>
      <c r="F605" s="8" t="s">
        <v>85</v>
      </c>
      <c r="G605" s="16" t="s">
        <v>67</v>
      </c>
      <c r="H605" s="17" t="s">
        <v>26</v>
      </c>
      <c r="I605" s="17">
        <v>50</v>
      </c>
      <c r="J605" s="19">
        <v>7.7</v>
      </c>
      <c r="K605" s="19">
        <v>0.15</v>
      </c>
      <c r="L605" s="19">
        <v>1.56</v>
      </c>
      <c r="M605" s="59"/>
    </row>
    <row r="606" spans="1:15" ht="14.25" customHeight="1" x14ac:dyDescent="0.3">
      <c r="A606" s="17" t="s">
        <v>648</v>
      </c>
      <c r="B606" s="14" t="s">
        <v>22</v>
      </c>
      <c r="D606" s="118">
        <v>45705</v>
      </c>
      <c r="E606" s="39" t="s">
        <v>88</v>
      </c>
      <c r="F606" s="8" t="s">
        <v>85</v>
      </c>
      <c r="G606" s="40" t="s">
        <v>89</v>
      </c>
      <c r="H606" s="17" t="s">
        <v>26</v>
      </c>
      <c r="I606" s="17">
        <v>50</v>
      </c>
      <c r="J606" s="26">
        <v>195.45866798100261</v>
      </c>
      <c r="K606" s="8">
        <v>2.0309775145215729</v>
      </c>
      <c r="L606" s="8">
        <v>1.9002288302340209</v>
      </c>
      <c r="M606" s="59"/>
    </row>
    <row r="607" spans="1:15" ht="14.25" customHeight="1" x14ac:dyDescent="0.3">
      <c r="A607" s="44" t="s">
        <v>649</v>
      </c>
      <c r="B607" s="14" t="s">
        <v>22</v>
      </c>
      <c r="D607" s="118">
        <v>45705</v>
      </c>
      <c r="E607" s="39" t="s">
        <v>88</v>
      </c>
      <c r="F607" s="8" t="s">
        <v>85</v>
      </c>
      <c r="G607" s="40" t="s">
        <v>89</v>
      </c>
      <c r="H607" s="17" t="s">
        <v>26</v>
      </c>
      <c r="I607" s="17">
        <v>50</v>
      </c>
      <c r="J607" s="26">
        <v>195.45866798100261</v>
      </c>
      <c r="K607" s="8">
        <v>2.0309775145215729</v>
      </c>
      <c r="L607" s="8">
        <v>1.9002288302340209</v>
      </c>
      <c r="M607" s="59"/>
    </row>
    <row r="608" spans="1:15" ht="14.25" customHeight="1" x14ac:dyDescent="0.3">
      <c r="A608" s="664" t="s">
        <v>650</v>
      </c>
      <c r="B608" s="14" t="s">
        <v>22</v>
      </c>
      <c r="D608" s="118">
        <v>45757</v>
      </c>
      <c r="E608" s="39" t="s">
        <v>88</v>
      </c>
      <c r="F608" s="8" t="s">
        <v>85</v>
      </c>
      <c r="G608" s="40" t="s">
        <v>89</v>
      </c>
      <c r="H608" s="17" t="s">
        <v>26</v>
      </c>
      <c r="I608" s="17">
        <v>50</v>
      </c>
      <c r="J608" s="26">
        <v>20.268712128030831</v>
      </c>
      <c r="K608" s="8">
        <v>0.99985001181352151</v>
      </c>
      <c r="L608" s="8">
        <v>1.9470943656409601</v>
      </c>
      <c r="M608" s="59"/>
    </row>
    <row r="609" spans="1:15" ht="14.25" customHeight="1" x14ac:dyDescent="0.3">
      <c r="A609" s="664" t="s">
        <v>651</v>
      </c>
      <c r="B609" s="14" t="s">
        <v>22</v>
      </c>
      <c r="D609" s="111">
        <v>45817</v>
      </c>
      <c r="E609" s="39" t="s">
        <v>88</v>
      </c>
      <c r="F609" s="8" t="s">
        <v>85</v>
      </c>
      <c r="G609" s="40" t="s">
        <v>89</v>
      </c>
      <c r="H609" s="17" t="s">
        <v>26</v>
      </c>
      <c r="I609" s="17">
        <v>50</v>
      </c>
      <c r="J609" s="26">
        <v>4.6534724617357108</v>
      </c>
      <c r="K609" s="8">
        <v>1.6916642629831424</v>
      </c>
      <c r="L609" s="8">
        <v>1.795488730283666</v>
      </c>
      <c r="M609" s="59"/>
    </row>
    <row r="610" spans="1:15" ht="14.25" customHeight="1" x14ac:dyDescent="0.3">
      <c r="A610" s="662" t="s">
        <v>652</v>
      </c>
      <c r="B610" s="6" t="s">
        <v>22</v>
      </c>
      <c r="D610" s="15">
        <v>45768</v>
      </c>
      <c r="E610" s="16" t="s">
        <v>23</v>
      </c>
      <c r="F610" s="8" t="s">
        <v>85</v>
      </c>
      <c r="G610" s="16" t="s">
        <v>94</v>
      </c>
      <c r="H610" s="17" t="s">
        <v>26</v>
      </c>
      <c r="I610" s="17">
        <v>50</v>
      </c>
      <c r="J610" s="6" t="s">
        <v>450</v>
      </c>
      <c r="K610" s="17" t="s">
        <v>451</v>
      </c>
      <c r="L610" s="17" t="s">
        <v>451</v>
      </c>
      <c r="M610" s="663" t="s">
        <v>451</v>
      </c>
      <c r="N610" s="663" t="s">
        <v>451</v>
      </c>
      <c r="O610" s="669"/>
    </row>
    <row r="611" spans="1:15" ht="14.25" customHeight="1" x14ac:dyDescent="0.3">
      <c r="A611" s="662" t="s">
        <v>653</v>
      </c>
      <c r="B611" s="6" t="s">
        <v>22</v>
      </c>
      <c r="D611" s="15">
        <v>45768</v>
      </c>
      <c r="E611" s="16" t="s">
        <v>23</v>
      </c>
      <c r="F611" s="8" t="s">
        <v>85</v>
      </c>
      <c r="G611" s="16" t="s">
        <v>251</v>
      </c>
      <c r="H611" s="17" t="s">
        <v>26</v>
      </c>
      <c r="I611" s="17">
        <v>50</v>
      </c>
      <c r="J611" s="6" t="s">
        <v>450</v>
      </c>
      <c r="K611" s="17" t="s">
        <v>451</v>
      </c>
      <c r="L611" s="17" t="s">
        <v>451</v>
      </c>
      <c r="M611" s="663" t="s">
        <v>451</v>
      </c>
      <c r="N611" s="663" t="s">
        <v>451</v>
      </c>
      <c r="O611" s="669"/>
    </row>
    <row r="612" spans="1:15" ht="14.25" customHeight="1" x14ac:dyDescent="0.3">
      <c r="A612" s="663" t="s">
        <v>654</v>
      </c>
      <c r="B612" s="6" t="s">
        <v>22</v>
      </c>
      <c r="D612" s="15">
        <v>45768</v>
      </c>
      <c r="E612" s="16" t="s">
        <v>23</v>
      </c>
      <c r="F612" s="8" t="s">
        <v>85</v>
      </c>
      <c r="G612" s="16" t="s">
        <v>94</v>
      </c>
      <c r="H612" s="17" t="s">
        <v>26</v>
      </c>
      <c r="I612" s="17" t="s">
        <v>451</v>
      </c>
      <c r="J612" s="6" t="s">
        <v>450</v>
      </c>
      <c r="K612" s="17" t="s">
        <v>451</v>
      </c>
      <c r="L612" s="17" t="s">
        <v>451</v>
      </c>
      <c r="M612" s="663" t="s">
        <v>451</v>
      </c>
      <c r="N612" s="663" t="s">
        <v>451</v>
      </c>
      <c r="O612" s="669"/>
    </row>
    <row r="613" spans="1:15" ht="14.25" customHeight="1" x14ac:dyDescent="0.3">
      <c r="A613" s="662" t="s">
        <v>655</v>
      </c>
      <c r="B613" s="19" t="s">
        <v>22</v>
      </c>
      <c r="D613" s="15">
        <v>45768</v>
      </c>
      <c r="E613" s="16" t="s">
        <v>23</v>
      </c>
      <c r="F613" s="8" t="s">
        <v>85</v>
      </c>
      <c r="G613" s="16" t="s">
        <v>67</v>
      </c>
      <c r="H613" s="17" t="s">
        <v>26</v>
      </c>
      <c r="I613" s="17">
        <v>50</v>
      </c>
      <c r="J613" s="19">
        <v>46.8</v>
      </c>
      <c r="K613" s="19">
        <v>0.17</v>
      </c>
      <c r="L613" s="19">
        <v>0.89</v>
      </c>
      <c r="M613" s="59"/>
    </row>
    <row r="614" spans="1:15" ht="14.25" customHeight="1" x14ac:dyDescent="0.3">
      <c r="A614" s="19" t="s">
        <v>656</v>
      </c>
      <c r="B614" s="19" t="s">
        <v>22</v>
      </c>
      <c r="D614" s="124">
        <v>45931</v>
      </c>
      <c r="E614" s="16" t="s">
        <v>23</v>
      </c>
      <c r="F614" s="8" t="s">
        <v>85</v>
      </c>
      <c r="G614" s="16" t="s">
        <v>67</v>
      </c>
      <c r="H614" s="6" t="s">
        <v>18</v>
      </c>
      <c r="I614" s="17">
        <v>50</v>
      </c>
      <c r="J614" s="19">
        <v>7.9</v>
      </c>
      <c r="K614" s="19">
        <v>0.8</v>
      </c>
      <c r="L614" s="19">
        <v>1.47</v>
      </c>
      <c r="M614" s="59"/>
    </row>
    <row r="615" spans="1:15" ht="13.8" customHeight="1" x14ac:dyDescent="0.3">
      <c r="A615" s="19" t="s">
        <v>657</v>
      </c>
      <c r="B615" s="6" t="s">
        <v>22</v>
      </c>
      <c r="D615" s="15">
        <v>45768</v>
      </c>
      <c r="E615" s="16" t="s">
        <v>23</v>
      </c>
      <c r="F615" s="8" t="s">
        <v>85</v>
      </c>
      <c r="G615" s="16" t="s">
        <v>94</v>
      </c>
      <c r="H615" s="17" t="s">
        <v>26</v>
      </c>
      <c r="I615" s="17">
        <v>50</v>
      </c>
      <c r="J615" s="6" t="s">
        <v>450</v>
      </c>
      <c r="K615" s="17" t="s">
        <v>451</v>
      </c>
      <c r="L615" s="17" t="s">
        <v>451</v>
      </c>
      <c r="M615" s="663" t="s">
        <v>451</v>
      </c>
      <c r="N615" s="663" t="s">
        <v>451</v>
      </c>
      <c r="O615" s="669"/>
    </row>
    <row r="616" spans="1:15" ht="14.25" customHeight="1" x14ac:dyDescent="0.3">
      <c r="A616" s="663" t="s">
        <v>658</v>
      </c>
      <c r="B616" s="14" t="s">
        <v>22</v>
      </c>
      <c r="D616" s="118">
        <v>45846</v>
      </c>
      <c r="E616" s="39" t="s">
        <v>88</v>
      </c>
      <c r="F616" s="8" t="s">
        <v>85</v>
      </c>
      <c r="G616" s="40" t="s">
        <v>89</v>
      </c>
      <c r="H616" s="17" t="s">
        <v>26</v>
      </c>
      <c r="I616" s="17">
        <v>50</v>
      </c>
      <c r="J616" s="26">
        <v>26.347189049345239</v>
      </c>
      <c r="K616" s="8">
        <v>0.97898456088600283</v>
      </c>
      <c r="L616" s="8">
        <v>1.9070450561891805</v>
      </c>
      <c r="M616" s="59"/>
    </row>
    <row r="617" spans="1:15" ht="14.25" customHeight="1" x14ac:dyDescent="0.3">
      <c r="A617" s="662" t="s">
        <v>659</v>
      </c>
      <c r="B617" s="6" t="s">
        <v>22</v>
      </c>
      <c r="D617" s="15">
        <v>45768</v>
      </c>
      <c r="E617" s="16" t="s">
        <v>23</v>
      </c>
      <c r="F617" s="8" t="s">
        <v>85</v>
      </c>
      <c r="G617" s="16" t="s">
        <v>94</v>
      </c>
      <c r="H617" s="17" t="s">
        <v>26</v>
      </c>
      <c r="I617" s="17">
        <v>50</v>
      </c>
      <c r="J617" s="6" t="s">
        <v>450</v>
      </c>
      <c r="K617" s="17" t="s">
        <v>451</v>
      </c>
      <c r="L617" s="17" t="s">
        <v>451</v>
      </c>
      <c r="M617" s="663" t="s">
        <v>451</v>
      </c>
      <c r="N617" s="44" t="s">
        <v>451</v>
      </c>
    </row>
    <row r="618" spans="1:15" ht="14.25" customHeight="1" x14ac:dyDescent="0.3">
      <c r="A618" s="663" t="s">
        <v>660</v>
      </c>
      <c r="B618" s="14" t="s">
        <v>22</v>
      </c>
      <c r="D618" s="118">
        <v>45757</v>
      </c>
      <c r="E618" s="39" t="s">
        <v>88</v>
      </c>
      <c r="F618" s="8" t="s">
        <v>85</v>
      </c>
      <c r="G618" s="40" t="s">
        <v>89</v>
      </c>
      <c r="H618" s="17" t="s">
        <v>26</v>
      </c>
      <c r="I618" s="17">
        <v>51</v>
      </c>
      <c r="J618" s="26">
        <v>19.715717439790964</v>
      </c>
      <c r="K618" s="8">
        <v>0.9795597794170402</v>
      </c>
      <c r="L618" s="8">
        <v>1.926199501694422</v>
      </c>
      <c r="M618" s="59"/>
    </row>
    <row r="619" spans="1:15" ht="14.25" customHeight="1" x14ac:dyDescent="0.3">
      <c r="A619" s="662" t="s">
        <v>661</v>
      </c>
      <c r="B619" s="6" t="s">
        <v>22</v>
      </c>
      <c r="D619" s="15">
        <v>45768</v>
      </c>
      <c r="E619" s="16" t="s">
        <v>23</v>
      </c>
      <c r="F619" s="8" t="s">
        <v>85</v>
      </c>
      <c r="G619" s="16" t="s">
        <v>94</v>
      </c>
      <c r="H619" s="17" t="s">
        <v>26</v>
      </c>
      <c r="I619" s="17">
        <v>50</v>
      </c>
      <c r="J619" s="6" t="s">
        <v>450</v>
      </c>
      <c r="K619" s="17" t="s">
        <v>451</v>
      </c>
      <c r="L619" s="17" t="s">
        <v>451</v>
      </c>
      <c r="M619" s="663" t="s">
        <v>451</v>
      </c>
      <c r="N619" s="44" t="s">
        <v>451</v>
      </c>
    </row>
    <row r="620" spans="1:15" ht="14.25" customHeight="1" thickBot="1" x14ac:dyDescent="0.35">
      <c r="A620" s="662" t="s">
        <v>662</v>
      </c>
      <c r="B620" s="6" t="s">
        <v>22</v>
      </c>
      <c r="D620" s="15">
        <v>45768</v>
      </c>
      <c r="E620" s="16" t="s">
        <v>23</v>
      </c>
      <c r="F620" s="8" t="s">
        <v>85</v>
      </c>
      <c r="G620" s="16" t="s">
        <v>94</v>
      </c>
      <c r="H620" s="17" t="s">
        <v>26</v>
      </c>
      <c r="I620" s="17">
        <v>50</v>
      </c>
      <c r="J620" s="6" t="s">
        <v>450</v>
      </c>
      <c r="K620" s="17" t="s">
        <v>451</v>
      </c>
      <c r="L620" s="17" t="s">
        <v>451</v>
      </c>
      <c r="M620" s="663" t="s">
        <v>451</v>
      </c>
      <c r="N620" s="663" t="s">
        <v>451</v>
      </c>
      <c r="O620" s="669"/>
    </row>
    <row r="621" spans="1:15" ht="14.25" customHeight="1" thickBot="1" x14ac:dyDescent="0.35">
      <c r="A621" s="95" t="s">
        <v>663</v>
      </c>
      <c r="B621" s="14" t="s">
        <v>22</v>
      </c>
      <c r="D621" s="125">
        <v>45817</v>
      </c>
      <c r="E621" s="39" t="s">
        <v>88</v>
      </c>
      <c r="F621" s="8" t="s">
        <v>85</v>
      </c>
      <c r="G621" s="40" t="s">
        <v>89</v>
      </c>
      <c r="H621" s="17" t="s">
        <v>26</v>
      </c>
      <c r="I621" s="17">
        <v>50</v>
      </c>
      <c r="J621" s="26">
        <v>350.80503144088163</v>
      </c>
      <c r="K621" s="8">
        <v>1.2858086614400517</v>
      </c>
      <c r="L621" s="8">
        <v>1.9669140022015532</v>
      </c>
      <c r="M621" s="59"/>
    </row>
    <row r="622" spans="1:15" ht="14.25" customHeight="1" thickBot="1" x14ac:dyDescent="0.35">
      <c r="A622" s="662" t="s">
        <v>664</v>
      </c>
      <c r="B622" s="19" t="s">
        <v>22</v>
      </c>
      <c r="D622" s="126">
        <v>45931</v>
      </c>
      <c r="E622" s="16" t="s">
        <v>23</v>
      </c>
      <c r="F622" s="8" t="s">
        <v>85</v>
      </c>
      <c r="G622" s="16" t="s">
        <v>67</v>
      </c>
      <c r="H622" s="6" t="s">
        <v>18</v>
      </c>
      <c r="I622" s="17">
        <v>50</v>
      </c>
      <c r="J622" s="19">
        <v>554.79999999999995</v>
      </c>
      <c r="K622" s="19">
        <v>1.69</v>
      </c>
      <c r="L622" s="19">
        <v>1.93</v>
      </c>
      <c r="M622" s="59"/>
    </row>
    <row r="623" spans="1:15" ht="14.25" customHeight="1" x14ac:dyDescent="0.3">
      <c r="A623" s="662" t="s">
        <v>665</v>
      </c>
      <c r="B623" s="6" t="s">
        <v>22</v>
      </c>
      <c r="D623" s="15">
        <v>45768</v>
      </c>
      <c r="E623" s="16" t="s">
        <v>23</v>
      </c>
      <c r="F623" s="8" t="s">
        <v>85</v>
      </c>
      <c r="G623" s="16" t="s">
        <v>86</v>
      </c>
      <c r="H623" s="17" t="s">
        <v>26</v>
      </c>
      <c r="I623" s="17">
        <v>50</v>
      </c>
      <c r="J623" s="6" t="s">
        <v>450</v>
      </c>
      <c r="K623" s="17" t="s">
        <v>451</v>
      </c>
      <c r="L623" s="17" t="s">
        <v>451</v>
      </c>
      <c r="M623" s="663" t="s">
        <v>451</v>
      </c>
      <c r="N623" s="663" t="s">
        <v>451</v>
      </c>
      <c r="O623" s="669"/>
    </row>
    <row r="624" spans="1:15" ht="14.25" customHeight="1" x14ac:dyDescent="0.3">
      <c r="A624" s="662" t="s">
        <v>666</v>
      </c>
      <c r="B624" s="6" t="s">
        <v>22</v>
      </c>
      <c r="D624" s="15">
        <v>45768</v>
      </c>
      <c r="E624" s="16" t="s">
        <v>23</v>
      </c>
      <c r="F624" s="8" t="s">
        <v>85</v>
      </c>
      <c r="G624" s="16" t="s">
        <v>86</v>
      </c>
      <c r="H624" s="17" t="s">
        <v>26</v>
      </c>
      <c r="I624" s="17">
        <v>50</v>
      </c>
      <c r="J624" s="6" t="s">
        <v>450</v>
      </c>
      <c r="K624" s="17" t="s">
        <v>451</v>
      </c>
      <c r="L624" s="17" t="s">
        <v>451</v>
      </c>
      <c r="M624" s="663" t="s">
        <v>451</v>
      </c>
      <c r="N624" s="663" t="s">
        <v>451</v>
      </c>
      <c r="O624" s="669"/>
    </row>
    <row r="625" spans="1:14" ht="14.25" customHeight="1" x14ac:dyDescent="0.3">
      <c r="A625" s="662" t="s">
        <v>667</v>
      </c>
      <c r="B625" s="6" t="s">
        <v>22</v>
      </c>
      <c r="D625" s="15">
        <v>45768</v>
      </c>
      <c r="E625" s="16" t="s">
        <v>23</v>
      </c>
      <c r="F625" s="8" t="s">
        <v>85</v>
      </c>
      <c r="G625" s="16" t="s">
        <v>94</v>
      </c>
      <c r="H625" s="17" t="s">
        <v>26</v>
      </c>
      <c r="I625" s="17">
        <v>50</v>
      </c>
      <c r="J625" s="6" t="s">
        <v>450</v>
      </c>
      <c r="K625" s="17" t="s">
        <v>451</v>
      </c>
      <c r="L625" s="17" t="s">
        <v>451</v>
      </c>
      <c r="M625" s="663" t="s">
        <v>451</v>
      </c>
      <c r="N625" s="663" t="s">
        <v>451</v>
      </c>
    </row>
    <row r="626" spans="1:14" ht="14.25" customHeight="1" x14ac:dyDescent="0.3">
      <c r="A626" s="662" t="s">
        <v>668</v>
      </c>
      <c r="B626" s="19" t="s">
        <v>22</v>
      </c>
      <c r="D626" s="110">
        <v>45925</v>
      </c>
      <c r="E626" s="16" t="s">
        <v>23</v>
      </c>
      <c r="F626" s="8" t="s">
        <v>85</v>
      </c>
      <c r="G626" s="16" t="s">
        <v>67</v>
      </c>
      <c r="H626" s="6" t="s">
        <v>18</v>
      </c>
      <c r="I626" s="17">
        <v>50</v>
      </c>
      <c r="J626" s="19">
        <v>100.2</v>
      </c>
      <c r="K626" s="19">
        <v>0.34</v>
      </c>
      <c r="L626" s="19">
        <v>1.18</v>
      </c>
      <c r="M626" s="59"/>
    </row>
    <row r="627" spans="1:14" ht="14.25" customHeight="1" x14ac:dyDescent="0.3">
      <c r="A627" s="44" t="s">
        <v>669</v>
      </c>
      <c r="B627" s="14" t="s">
        <v>22</v>
      </c>
      <c r="D627" s="118">
        <v>45705</v>
      </c>
      <c r="E627" s="39" t="s">
        <v>88</v>
      </c>
      <c r="F627" s="8" t="s">
        <v>85</v>
      </c>
      <c r="G627" s="40" t="s">
        <v>89</v>
      </c>
      <c r="H627" s="17" t="s">
        <v>26</v>
      </c>
      <c r="I627" s="17">
        <v>50</v>
      </c>
      <c r="J627" s="26">
        <v>140.78675336525936</v>
      </c>
      <c r="K627" s="8">
        <v>1.9521682788978401</v>
      </c>
      <c r="L627" s="8">
        <v>1.1391998641933783</v>
      </c>
      <c r="M627" s="59"/>
    </row>
    <row r="628" spans="1:14" ht="14.25" customHeight="1" x14ac:dyDescent="0.3">
      <c r="A628" s="663" t="s">
        <v>670</v>
      </c>
      <c r="B628" s="14" t="s">
        <v>22</v>
      </c>
      <c r="D628" s="118">
        <v>45705</v>
      </c>
      <c r="E628" s="39" t="s">
        <v>88</v>
      </c>
      <c r="F628" s="8" t="s">
        <v>85</v>
      </c>
      <c r="G628" s="40" t="s">
        <v>89</v>
      </c>
      <c r="H628" s="17" t="s">
        <v>26</v>
      </c>
      <c r="I628" s="17">
        <v>50</v>
      </c>
      <c r="J628" s="26">
        <v>140.78675336525936</v>
      </c>
      <c r="K628" s="8">
        <v>1.9521682788978401</v>
      </c>
      <c r="L628" s="8">
        <v>1.1391998641933783</v>
      </c>
      <c r="M628" s="59"/>
    </row>
    <row r="629" spans="1:14" ht="14.25" customHeight="1" x14ac:dyDescent="0.3">
      <c r="A629" s="95" t="s">
        <v>671</v>
      </c>
      <c r="B629" s="14" t="s">
        <v>22</v>
      </c>
      <c r="D629" s="118">
        <v>45757</v>
      </c>
      <c r="E629" s="39" t="s">
        <v>88</v>
      </c>
      <c r="F629" s="8" t="s">
        <v>85</v>
      </c>
      <c r="G629" s="40" t="s">
        <v>89</v>
      </c>
      <c r="H629" s="17" t="s">
        <v>26</v>
      </c>
      <c r="I629" s="17">
        <v>50</v>
      </c>
      <c r="J629" s="26">
        <v>54.427390415891189</v>
      </c>
      <c r="K629" s="8">
        <v>1.3081073503758041</v>
      </c>
      <c r="L629" s="8">
        <v>2.0870994450493034</v>
      </c>
      <c r="M629" s="59"/>
    </row>
    <row r="630" spans="1:14" ht="14.25" customHeight="1" thickBot="1" x14ac:dyDescent="0.35">
      <c r="A630" s="662" t="s">
        <v>672</v>
      </c>
      <c r="B630" s="19" t="s">
        <v>22</v>
      </c>
      <c r="D630" s="691">
        <v>45940</v>
      </c>
      <c r="E630" s="16" t="s">
        <v>23</v>
      </c>
      <c r="F630" s="8" t="s">
        <v>85</v>
      </c>
      <c r="G630" s="16" t="s">
        <v>67</v>
      </c>
      <c r="H630" s="6" t="s">
        <v>18</v>
      </c>
      <c r="I630" s="17">
        <v>50</v>
      </c>
      <c r="J630" s="19">
        <v>38.700000000000003</v>
      </c>
      <c r="K630" s="19">
        <v>1.64</v>
      </c>
      <c r="L630" s="19">
        <v>1.89</v>
      </c>
      <c r="M630" s="59"/>
    </row>
    <row r="631" spans="1:14" ht="14.25" customHeight="1" thickBot="1" x14ac:dyDescent="0.35">
      <c r="A631" s="662" t="s">
        <v>673</v>
      </c>
      <c r="B631" s="19" t="s">
        <v>22</v>
      </c>
      <c r="D631" s="126">
        <v>45940</v>
      </c>
      <c r="E631" s="16" t="s">
        <v>23</v>
      </c>
      <c r="F631" s="8" t="s">
        <v>85</v>
      </c>
      <c r="G631" s="16" t="s">
        <v>67</v>
      </c>
      <c r="H631" s="6" t="s">
        <v>18</v>
      </c>
      <c r="I631" s="17">
        <v>50</v>
      </c>
      <c r="J631" s="19">
        <v>5.9</v>
      </c>
      <c r="K631" s="19">
        <v>0.36</v>
      </c>
      <c r="L631" s="19">
        <v>1.61</v>
      </c>
      <c r="M631" s="59"/>
    </row>
    <row r="632" spans="1:14" ht="14.25" customHeight="1" thickBot="1" x14ac:dyDescent="0.35">
      <c r="A632" s="664" t="s">
        <v>674</v>
      </c>
      <c r="B632" s="14" t="s">
        <v>22</v>
      </c>
      <c r="D632" s="125">
        <v>45817</v>
      </c>
      <c r="E632" s="39" t="s">
        <v>88</v>
      </c>
      <c r="F632" s="8" t="s">
        <v>85</v>
      </c>
      <c r="G632" s="40" t="s">
        <v>89</v>
      </c>
      <c r="H632" s="17" t="s">
        <v>26</v>
      </c>
      <c r="I632" s="17">
        <v>50</v>
      </c>
      <c r="J632" s="26">
        <v>403.5408763988807</v>
      </c>
      <c r="K632" s="8">
        <v>1.7515619790902075</v>
      </c>
      <c r="L632" s="8">
        <v>2.0315227087357264</v>
      </c>
      <c r="M632" s="59"/>
    </row>
    <row r="633" spans="1:14" ht="14.25" customHeight="1" thickBot="1" x14ac:dyDescent="0.35">
      <c r="A633" s="662" t="s">
        <v>675</v>
      </c>
      <c r="B633" s="19" t="s">
        <v>22</v>
      </c>
      <c r="D633" s="126">
        <v>45931</v>
      </c>
      <c r="E633" s="16" t="s">
        <v>23</v>
      </c>
      <c r="F633" s="8" t="s">
        <v>85</v>
      </c>
      <c r="G633" s="16" t="s">
        <v>67</v>
      </c>
      <c r="H633" s="6" t="s">
        <v>18</v>
      </c>
      <c r="I633" s="17">
        <v>50</v>
      </c>
      <c r="J633" s="19">
        <v>2.2999999999999998</v>
      </c>
      <c r="K633" s="19">
        <v>-1.53</v>
      </c>
      <c r="L633" s="19">
        <v>1.38</v>
      </c>
      <c r="M633" s="59"/>
    </row>
    <row r="634" spans="1:14" ht="14.25" customHeight="1" thickBot="1" x14ac:dyDescent="0.35">
      <c r="A634" s="663" t="s">
        <v>676</v>
      </c>
      <c r="B634" s="14" t="s">
        <v>22</v>
      </c>
      <c r="D634" s="125">
        <v>45705</v>
      </c>
      <c r="E634" s="39" t="s">
        <v>88</v>
      </c>
      <c r="F634" s="8" t="s">
        <v>85</v>
      </c>
      <c r="G634" s="40" t="s">
        <v>89</v>
      </c>
      <c r="H634" s="17" t="s">
        <v>26</v>
      </c>
      <c r="I634" s="17">
        <v>50</v>
      </c>
      <c r="J634" s="26">
        <v>3.7833532430415575</v>
      </c>
      <c r="K634" s="8">
        <v>3.4331762197845652</v>
      </c>
      <c r="L634" s="8">
        <v>1.7217956701928396</v>
      </c>
      <c r="M634" s="674"/>
      <c r="N634" s="669"/>
    </row>
    <row r="635" spans="1:14" ht="14.25" customHeight="1" thickBot="1" x14ac:dyDescent="0.35">
      <c r="A635" s="662" t="s">
        <v>677</v>
      </c>
      <c r="B635" s="19" t="s">
        <v>22</v>
      </c>
      <c r="D635" s="127">
        <v>45940</v>
      </c>
      <c r="E635" s="16" t="s">
        <v>23</v>
      </c>
      <c r="F635" s="8" t="s">
        <v>85</v>
      </c>
      <c r="G635" s="16" t="s">
        <v>67</v>
      </c>
      <c r="H635" s="6" t="s">
        <v>18</v>
      </c>
      <c r="I635" s="17">
        <v>50</v>
      </c>
      <c r="J635" s="19">
        <v>51.1</v>
      </c>
      <c r="K635" s="19">
        <v>0.25</v>
      </c>
      <c r="L635" s="19">
        <v>1.66</v>
      </c>
      <c r="M635" s="59"/>
    </row>
    <row r="636" spans="1:14" ht="14.25" customHeight="1" thickBot="1" x14ac:dyDescent="0.35">
      <c r="A636" s="662" t="s">
        <v>678</v>
      </c>
      <c r="B636" s="19" t="s">
        <v>22</v>
      </c>
      <c r="D636" s="125">
        <v>45705</v>
      </c>
      <c r="E636" s="16" t="s">
        <v>23</v>
      </c>
      <c r="F636" s="8" t="s">
        <v>85</v>
      </c>
      <c r="G636" s="16" t="s">
        <v>67</v>
      </c>
      <c r="H636" s="17" t="s">
        <v>26</v>
      </c>
      <c r="I636" s="17">
        <v>50</v>
      </c>
      <c r="J636" s="19">
        <v>12.9</v>
      </c>
      <c r="K636" s="19">
        <v>3.27</v>
      </c>
      <c r="L636" s="19">
        <v>1.47</v>
      </c>
      <c r="M636" s="674"/>
      <c r="N636" s="669"/>
    </row>
    <row r="637" spans="1:14" ht="13.8" customHeight="1" thickBot="1" x14ac:dyDescent="0.35">
      <c r="A637" s="44" t="s">
        <v>679</v>
      </c>
      <c r="B637" s="14" t="s">
        <v>22</v>
      </c>
      <c r="D637" s="126">
        <v>45940</v>
      </c>
      <c r="E637" s="39" t="s">
        <v>88</v>
      </c>
      <c r="F637" s="8" t="s">
        <v>85</v>
      </c>
      <c r="G637" s="40" t="s">
        <v>89</v>
      </c>
      <c r="H637" s="669" t="s">
        <v>468</v>
      </c>
      <c r="I637" s="17">
        <v>50</v>
      </c>
      <c r="J637" s="26">
        <v>11.270854738293689</v>
      </c>
      <c r="K637" s="8">
        <v>1.9434402417527312</v>
      </c>
      <c r="L637" s="8">
        <v>1.488524075033494</v>
      </c>
      <c r="M637" s="59"/>
    </row>
    <row r="638" spans="1:14" ht="14.25" customHeight="1" x14ac:dyDescent="0.3">
      <c r="A638" s="44" t="s">
        <v>680</v>
      </c>
      <c r="B638" s="14" t="s">
        <v>22</v>
      </c>
      <c r="D638" s="118">
        <v>45705</v>
      </c>
      <c r="E638" s="39" t="s">
        <v>88</v>
      </c>
      <c r="F638" s="8" t="s">
        <v>85</v>
      </c>
      <c r="G638" s="40" t="s">
        <v>89</v>
      </c>
      <c r="H638" s="17" t="s">
        <v>26</v>
      </c>
      <c r="I638" s="17">
        <v>50</v>
      </c>
      <c r="J638" s="26">
        <v>186.30538697693788</v>
      </c>
      <c r="K638" s="8">
        <v>1.9397174974263403</v>
      </c>
      <c r="L638" s="8">
        <v>2.0785508983792766</v>
      </c>
      <c r="M638" s="59"/>
    </row>
    <row r="639" spans="1:14" ht="14.25" customHeight="1" x14ac:dyDescent="0.3">
      <c r="A639" s="44" t="s">
        <v>681</v>
      </c>
      <c r="B639" s="14" t="s">
        <v>22</v>
      </c>
      <c r="D639" s="118">
        <v>45705</v>
      </c>
      <c r="E639" s="39" t="s">
        <v>88</v>
      </c>
      <c r="F639" s="8" t="s">
        <v>85</v>
      </c>
      <c r="G639" s="40" t="s">
        <v>89</v>
      </c>
      <c r="H639" s="17" t="s">
        <v>26</v>
      </c>
      <c r="I639" s="17">
        <v>50</v>
      </c>
      <c r="J639" s="26">
        <v>186.30538697693788</v>
      </c>
      <c r="K639" s="8">
        <v>1.9397174974263403</v>
      </c>
      <c r="L639" s="8">
        <v>2.0785508983792766</v>
      </c>
      <c r="M639" s="59"/>
    </row>
    <row r="640" spans="1:14" ht="14.25" customHeight="1" x14ac:dyDescent="0.3">
      <c r="A640" s="662" t="s">
        <v>682</v>
      </c>
      <c r="B640" s="19" t="s">
        <v>22</v>
      </c>
      <c r="D640" s="110">
        <v>45925</v>
      </c>
      <c r="E640" s="16" t="s">
        <v>23</v>
      </c>
      <c r="F640" s="8" t="s">
        <v>85</v>
      </c>
      <c r="G640" s="16" t="s">
        <v>67</v>
      </c>
      <c r="H640" s="6" t="s">
        <v>18</v>
      </c>
      <c r="I640" s="17">
        <v>50</v>
      </c>
      <c r="J640" s="19">
        <v>15.9</v>
      </c>
      <c r="K640" s="19">
        <v>0.75</v>
      </c>
      <c r="L640" s="19">
        <v>1.29</v>
      </c>
      <c r="M640" s="59"/>
    </row>
    <row r="641" spans="1:14" ht="14.25" customHeight="1" x14ac:dyDescent="0.3">
      <c r="A641" s="662" t="s">
        <v>683</v>
      </c>
      <c r="B641" s="19" t="s">
        <v>22</v>
      </c>
      <c r="D641" s="110">
        <v>45925</v>
      </c>
      <c r="E641" s="16" t="s">
        <v>23</v>
      </c>
      <c r="F641" s="8" t="s">
        <v>85</v>
      </c>
      <c r="G641" s="16" t="s">
        <v>67</v>
      </c>
      <c r="H641" s="6" t="s">
        <v>18</v>
      </c>
      <c r="I641" s="17">
        <v>50</v>
      </c>
      <c r="J641" s="19">
        <v>36.200000000000003</v>
      </c>
      <c r="K641" s="19">
        <v>0.43</v>
      </c>
      <c r="L641" s="19">
        <v>1.46</v>
      </c>
      <c r="M641" s="59"/>
    </row>
    <row r="642" spans="1:14" ht="14.25" customHeight="1" x14ac:dyDescent="0.3">
      <c r="A642" s="663" t="s">
        <v>684</v>
      </c>
      <c r="B642" s="14" t="s">
        <v>22</v>
      </c>
      <c r="D642" s="689">
        <v>45817</v>
      </c>
      <c r="E642" s="39" t="s">
        <v>88</v>
      </c>
      <c r="F642" s="8" t="s">
        <v>85</v>
      </c>
      <c r="G642" s="40" t="s">
        <v>89</v>
      </c>
      <c r="H642" s="17" t="s">
        <v>26</v>
      </c>
      <c r="I642" s="17" t="s">
        <v>580</v>
      </c>
      <c r="J642" s="26">
        <v>64.882622287836966</v>
      </c>
      <c r="K642" s="8">
        <v>1.4972295271454159</v>
      </c>
      <c r="L642" s="8">
        <v>1.9094861207254814</v>
      </c>
      <c r="M642" s="59"/>
    </row>
    <row r="643" spans="1:14" ht="14.25" customHeight="1" x14ac:dyDescent="0.3">
      <c r="A643" s="663" t="s">
        <v>685</v>
      </c>
      <c r="B643" s="14" t="s">
        <v>22</v>
      </c>
      <c r="D643" s="118">
        <v>45817</v>
      </c>
      <c r="E643" s="39" t="s">
        <v>88</v>
      </c>
      <c r="F643" s="8" t="s">
        <v>85</v>
      </c>
      <c r="G643" s="40" t="s">
        <v>89</v>
      </c>
      <c r="H643" s="17" t="s">
        <v>26</v>
      </c>
      <c r="I643" s="17">
        <v>50</v>
      </c>
      <c r="J643" s="26">
        <v>55.561010230538287</v>
      </c>
      <c r="K643" s="8">
        <v>1.9710581005245769</v>
      </c>
      <c r="L643" s="8">
        <v>1.8354121111227248</v>
      </c>
      <c r="M643" s="59"/>
    </row>
    <row r="644" spans="1:14" ht="14.25" customHeight="1" x14ac:dyDescent="0.3">
      <c r="A644" s="662" t="s">
        <v>686</v>
      </c>
      <c r="B644" s="19" t="s">
        <v>22</v>
      </c>
      <c r="D644" s="110">
        <v>45925</v>
      </c>
      <c r="E644" s="16" t="s">
        <v>23</v>
      </c>
      <c r="F644" s="8" t="s">
        <v>85</v>
      </c>
      <c r="G644" s="16" t="s">
        <v>67</v>
      </c>
      <c r="H644" s="6" t="s">
        <v>18</v>
      </c>
      <c r="I644" s="17">
        <v>50</v>
      </c>
      <c r="J644" s="19">
        <v>75.5</v>
      </c>
      <c r="K644" s="19">
        <v>0.26</v>
      </c>
      <c r="L644" s="19">
        <v>1.36</v>
      </c>
      <c r="M644" s="59"/>
    </row>
    <row r="645" spans="1:14" ht="14.25" customHeight="1" x14ac:dyDescent="0.3">
      <c r="A645" s="17" t="s">
        <v>687</v>
      </c>
      <c r="B645" s="14" t="s">
        <v>22</v>
      </c>
      <c r="D645" s="118">
        <v>45705</v>
      </c>
      <c r="E645" s="39" t="s">
        <v>88</v>
      </c>
      <c r="F645" s="8" t="s">
        <v>85</v>
      </c>
      <c r="G645" s="40" t="s">
        <v>89</v>
      </c>
      <c r="H645" s="17" t="s">
        <v>26</v>
      </c>
      <c r="I645" s="17">
        <v>50</v>
      </c>
      <c r="J645" s="26">
        <v>139.81378814905727</v>
      </c>
      <c r="K645" s="8">
        <v>1.8961794475462506</v>
      </c>
      <c r="L645" s="8">
        <v>1.3294543459748758</v>
      </c>
      <c r="M645" s="59"/>
    </row>
    <row r="646" spans="1:14" ht="14.25" customHeight="1" x14ac:dyDescent="0.3">
      <c r="A646" s="19" t="s">
        <v>688</v>
      </c>
      <c r="B646" s="19" t="s">
        <v>22</v>
      </c>
      <c r="D646" s="691">
        <v>45925</v>
      </c>
      <c r="E646" s="16" t="s">
        <v>23</v>
      </c>
      <c r="F646" s="8" t="s">
        <v>85</v>
      </c>
      <c r="G646" s="16" t="s">
        <v>67</v>
      </c>
      <c r="H646" s="6" t="s">
        <v>18</v>
      </c>
      <c r="I646" s="17">
        <v>50</v>
      </c>
      <c r="J646" s="19">
        <v>9.1999999999999993</v>
      </c>
      <c r="K646" s="19">
        <v>0.28000000000000003</v>
      </c>
      <c r="L646" s="19">
        <v>1.54</v>
      </c>
      <c r="M646" s="59"/>
    </row>
    <row r="647" spans="1:14" ht="14.25" customHeight="1" x14ac:dyDescent="0.3">
      <c r="A647" s="14" t="s">
        <v>689</v>
      </c>
      <c r="B647" s="14" t="s">
        <v>22</v>
      </c>
      <c r="D647" s="689">
        <v>45817</v>
      </c>
      <c r="E647" s="39" t="s">
        <v>88</v>
      </c>
      <c r="F647" s="8" t="s">
        <v>85</v>
      </c>
      <c r="G647" s="40" t="s">
        <v>89</v>
      </c>
      <c r="H647" s="17" t="s">
        <v>26</v>
      </c>
      <c r="I647" s="17">
        <v>50</v>
      </c>
      <c r="J647" s="26">
        <v>1259.3052798697449</v>
      </c>
      <c r="K647" s="8">
        <v>1.9226706684216144</v>
      </c>
      <c r="L647" s="8">
        <v>1.9663061653414917</v>
      </c>
      <c r="M647" s="59"/>
    </row>
    <row r="648" spans="1:14" ht="14.25" customHeight="1" x14ac:dyDescent="0.3">
      <c r="A648" s="19" t="s">
        <v>689</v>
      </c>
      <c r="B648" s="19" t="s">
        <v>22</v>
      </c>
      <c r="D648" s="124">
        <v>45931</v>
      </c>
      <c r="E648" s="16" t="s">
        <v>23</v>
      </c>
      <c r="F648" s="8" t="s">
        <v>85</v>
      </c>
      <c r="G648" s="16" t="s">
        <v>67</v>
      </c>
      <c r="H648" s="6" t="s">
        <v>18</v>
      </c>
      <c r="I648" s="17">
        <v>50</v>
      </c>
      <c r="J648" s="19">
        <v>398.9</v>
      </c>
      <c r="K648" s="19">
        <v>1.9</v>
      </c>
      <c r="L648" s="19">
        <v>2.04</v>
      </c>
      <c r="M648" s="59"/>
    </row>
    <row r="649" spans="1:14" ht="14.25" customHeight="1" thickBot="1" x14ac:dyDescent="0.35">
      <c r="A649" s="19" t="s">
        <v>690</v>
      </c>
      <c r="B649" s="19" t="s">
        <v>22</v>
      </c>
      <c r="D649" s="110">
        <v>45940</v>
      </c>
      <c r="E649" s="16" t="s">
        <v>23</v>
      </c>
      <c r="F649" s="8" t="s">
        <v>85</v>
      </c>
      <c r="G649" s="16" t="s">
        <v>67</v>
      </c>
      <c r="H649" s="6" t="s">
        <v>18</v>
      </c>
      <c r="I649" s="17">
        <v>50</v>
      </c>
      <c r="J649" s="19">
        <v>45.6</v>
      </c>
      <c r="K649" s="19">
        <v>0.55000000000000004</v>
      </c>
      <c r="L649" s="19">
        <v>1.73</v>
      </c>
      <c r="M649" s="59"/>
    </row>
    <row r="650" spans="1:14" ht="14.25" customHeight="1" thickBot="1" x14ac:dyDescent="0.35">
      <c r="A650" s="17" t="s">
        <v>691</v>
      </c>
      <c r="B650" s="14" t="s">
        <v>22</v>
      </c>
      <c r="D650" s="128">
        <v>45705</v>
      </c>
      <c r="E650" s="39" t="s">
        <v>88</v>
      </c>
      <c r="F650" s="8" t="s">
        <v>85</v>
      </c>
      <c r="G650" s="40" t="s">
        <v>89</v>
      </c>
      <c r="H650" s="17" t="s">
        <v>26</v>
      </c>
      <c r="I650" s="17">
        <v>50</v>
      </c>
      <c r="J650" s="26">
        <v>50.028950740218804</v>
      </c>
      <c r="K650" s="8">
        <v>1.8577879436227056</v>
      </c>
      <c r="L650" s="8">
        <v>0.41731150313603538</v>
      </c>
      <c r="M650" s="59"/>
    </row>
    <row r="651" spans="1:14" ht="14.25" customHeight="1" thickBot="1" x14ac:dyDescent="0.35">
      <c r="A651" s="19" t="s">
        <v>691</v>
      </c>
      <c r="B651" s="19" t="s">
        <v>22</v>
      </c>
      <c r="D651" s="691">
        <v>45933</v>
      </c>
      <c r="E651" s="16" t="s">
        <v>23</v>
      </c>
      <c r="F651" s="8" t="s">
        <v>85</v>
      </c>
      <c r="G651" s="16" t="s">
        <v>67</v>
      </c>
      <c r="H651" s="6" t="s">
        <v>18</v>
      </c>
      <c r="I651" s="17">
        <v>50</v>
      </c>
      <c r="J651" s="19">
        <v>37</v>
      </c>
      <c r="K651" s="19">
        <v>0.99</v>
      </c>
      <c r="L651" s="19">
        <v>1.96</v>
      </c>
      <c r="M651" s="59"/>
    </row>
    <row r="652" spans="1:14" ht="14.25" customHeight="1" thickBot="1" x14ac:dyDescent="0.35">
      <c r="A652" s="19" t="s">
        <v>692</v>
      </c>
      <c r="B652" s="19" t="s">
        <v>22</v>
      </c>
      <c r="D652" s="129">
        <v>45931</v>
      </c>
      <c r="E652" s="16" t="s">
        <v>23</v>
      </c>
      <c r="F652" s="8" t="s">
        <v>85</v>
      </c>
      <c r="G652" s="16" t="s">
        <v>67</v>
      </c>
      <c r="H652" s="6" t="s">
        <v>18</v>
      </c>
      <c r="I652" s="17">
        <v>50</v>
      </c>
      <c r="J652" s="19">
        <v>16.399999999999999</v>
      </c>
      <c r="K652" s="19">
        <v>1.21</v>
      </c>
      <c r="L652" s="19">
        <v>1.74</v>
      </c>
      <c r="M652" s="59"/>
    </row>
    <row r="653" spans="1:14" ht="14.25" customHeight="1" thickBot="1" x14ac:dyDescent="0.35">
      <c r="A653" s="17" t="s">
        <v>693</v>
      </c>
      <c r="B653" s="6" t="s">
        <v>477</v>
      </c>
      <c r="D653" s="130">
        <v>45772</v>
      </c>
      <c r="E653" s="39" t="s">
        <v>88</v>
      </c>
      <c r="F653" s="8" t="s">
        <v>85</v>
      </c>
      <c r="G653" s="40" t="s">
        <v>89</v>
      </c>
      <c r="H653" s="17" t="s">
        <v>26</v>
      </c>
      <c r="I653" s="663">
        <v>50</v>
      </c>
      <c r="J653" s="6" t="s">
        <v>694</v>
      </c>
      <c r="K653" s="17"/>
      <c r="L653" s="17"/>
      <c r="M653" s="674"/>
      <c r="N653" s="669"/>
    </row>
    <row r="654" spans="1:14" ht="14.25" customHeight="1" thickBot="1" x14ac:dyDescent="0.35">
      <c r="A654" s="19" t="s">
        <v>695</v>
      </c>
      <c r="B654" s="19" t="s">
        <v>22</v>
      </c>
      <c r="D654" s="110">
        <v>45925</v>
      </c>
      <c r="E654" s="16" t="s">
        <v>23</v>
      </c>
      <c r="F654" s="8" t="s">
        <v>85</v>
      </c>
      <c r="G654" s="16" t="s">
        <v>67</v>
      </c>
      <c r="H654" s="6" t="s">
        <v>18</v>
      </c>
      <c r="I654" s="17">
        <v>50</v>
      </c>
      <c r="J654" s="19">
        <v>1.5</v>
      </c>
      <c r="K654" s="19">
        <v>0.31</v>
      </c>
      <c r="L654" s="19">
        <v>1.99</v>
      </c>
      <c r="M654" s="59"/>
    </row>
    <row r="655" spans="1:14" ht="14.25" customHeight="1" thickBot="1" x14ac:dyDescent="0.35">
      <c r="A655" s="19" t="s">
        <v>696</v>
      </c>
      <c r="B655" s="19" t="s">
        <v>22</v>
      </c>
      <c r="D655" s="131">
        <v>45933</v>
      </c>
      <c r="E655" s="16" t="s">
        <v>23</v>
      </c>
      <c r="F655" s="8" t="s">
        <v>85</v>
      </c>
      <c r="G655" s="16" t="s">
        <v>67</v>
      </c>
      <c r="H655" s="6" t="s">
        <v>18</v>
      </c>
      <c r="I655" s="17">
        <v>50</v>
      </c>
      <c r="J655" s="19">
        <v>759.4</v>
      </c>
      <c r="K655" s="19">
        <v>2.11</v>
      </c>
      <c r="L655" s="19">
        <v>1.96</v>
      </c>
      <c r="M655" s="674"/>
      <c r="N655" s="669"/>
    </row>
    <row r="656" spans="1:14" ht="14.25" customHeight="1" thickBot="1" x14ac:dyDescent="0.35">
      <c r="A656" s="14" t="s">
        <v>697</v>
      </c>
      <c r="B656" s="14" t="s">
        <v>22</v>
      </c>
      <c r="D656" s="689">
        <v>45817</v>
      </c>
      <c r="E656" s="39" t="s">
        <v>88</v>
      </c>
      <c r="F656" s="8" t="s">
        <v>85</v>
      </c>
      <c r="G656" s="40" t="s">
        <v>89</v>
      </c>
      <c r="H656" s="17" t="s">
        <v>26</v>
      </c>
      <c r="I656" s="17">
        <v>50</v>
      </c>
      <c r="J656" s="26">
        <v>576.14989854891962</v>
      </c>
      <c r="K656" s="8">
        <v>1.3516188050702922</v>
      </c>
      <c r="L656" s="8">
        <v>1.8836720413845998</v>
      </c>
      <c r="M656" s="59"/>
    </row>
    <row r="657" spans="1:15" ht="14.25" customHeight="1" thickBot="1" x14ac:dyDescent="0.35">
      <c r="A657" s="19" t="s">
        <v>697</v>
      </c>
      <c r="B657" s="19" t="s">
        <v>22</v>
      </c>
      <c r="D657" s="131">
        <v>45933</v>
      </c>
      <c r="E657" s="16" t="s">
        <v>23</v>
      </c>
      <c r="F657" s="8" t="s">
        <v>85</v>
      </c>
      <c r="G657" s="16" t="s">
        <v>67</v>
      </c>
      <c r="H657" s="6" t="s">
        <v>18</v>
      </c>
      <c r="I657" s="17">
        <v>50</v>
      </c>
      <c r="J657" s="19">
        <v>392.8</v>
      </c>
      <c r="K657" s="19">
        <v>1.3</v>
      </c>
      <c r="L657" s="19">
        <v>1.89</v>
      </c>
      <c r="M657" s="59"/>
    </row>
    <row r="658" spans="1:15" ht="14.25" customHeight="1" x14ac:dyDescent="0.3">
      <c r="A658" s="19" t="s">
        <v>698</v>
      </c>
      <c r="B658" s="19" t="s">
        <v>22</v>
      </c>
      <c r="D658" s="110">
        <v>45925</v>
      </c>
      <c r="E658" s="16" t="s">
        <v>23</v>
      </c>
      <c r="F658" s="8" t="s">
        <v>85</v>
      </c>
      <c r="G658" s="16" t="s">
        <v>67</v>
      </c>
      <c r="H658" s="6" t="s">
        <v>18</v>
      </c>
      <c r="I658" s="44">
        <v>50</v>
      </c>
      <c r="J658" s="19">
        <v>281.2</v>
      </c>
      <c r="K658" s="19">
        <v>0.5</v>
      </c>
      <c r="L658" s="19">
        <v>1.38</v>
      </c>
      <c r="M658" s="59"/>
    </row>
    <row r="659" spans="1:15" ht="14.25" customHeight="1" thickBot="1" x14ac:dyDescent="0.35">
      <c r="A659" s="19" t="s">
        <v>699</v>
      </c>
      <c r="B659" s="19" t="s">
        <v>22</v>
      </c>
      <c r="D659" s="110">
        <v>45933</v>
      </c>
      <c r="E659" s="16" t="s">
        <v>23</v>
      </c>
      <c r="F659" s="8" t="s">
        <v>85</v>
      </c>
      <c r="G659" s="16" t="s">
        <v>67</v>
      </c>
      <c r="H659" s="6" t="s">
        <v>18</v>
      </c>
      <c r="I659" s="44">
        <v>50</v>
      </c>
      <c r="J659" s="19">
        <v>8.6</v>
      </c>
      <c r="K659" s="19">
        <v>0.94</v>
      </c>
      <c r="L659" s="19">
        <v>2.0299999999999998</v>
      </c>
      <c r="M659" s="59"/>
    </row>
    <row r="660" spans="1:15" ht="14.25" customHeight="1" thickBot="1" x14ac:dyDescent="0.35">
      <c r="A660" s="17" t="s">
        <v>700</v>
      </c>
      <c r="B660" s="14" t="s">
        <v>22</v>
      </c>
      <c r="D660" s="116">
        <v>45705</v>
      </c>
      <c r="E660" s="39" t="s">
        <v>88</v>
      </c>
      <c r="F660" s="8" t="s">
        <v>85</v>
      </c>
      <c r="G660" s="40" t="s">
        <v>89</v>
      </c>
      <c r="H660" s="17" t="s">
        <v>26</v>
      </c>
      <c r="I660" s="663">
        <v>50</v>
      </c>
      <c r="J660" s="132">
        <v>15.634761640266547</v>
      </c>
      <c r="K660" s="8">
        <v>2.5563571649332548</v>
      </c>
      <c r="L660" s="8">
        <v>3.0312807597583951</v>
      </c>
      <c r="M660" s="674"/>
      <c r="N660" s="669"/>
      <c r="O660" s="669"/>
    </row>
    <row r="661" spans="1:15" ht="14.25" customHeight="1" thickBot="1" x14ac:dyDescent="0.35">
      <c r="A661" s="19" t="s">
        <v>700</v>
      </c>
      <c r="B661" s="19" t="s">
        <v>22</v>
      </c>
      <c r="D661" s="120">
        <v>45940</v>
      </c>
      <c r="E661" s="16" t="s">
        <v>23</v>
      </c>
      <c r="F661" s="8" t="s">
        <v>85</v>
      </c>
      <c r="G661" s="16" t="s">
        <v>67</v>
      </c>
      <c r="H661" s="6" t="s">
        <v>18</v>
      </c>
      <c r="I661" s="44">
        <v>50</v>
      </c>
      <c r="J661" s="19">
        <v>2.2000000000000002</v>
      </c>
      <c r="K661" s="19">
        <v>0.2</v>
      </c>
      <c r="L661" s="19">
        <v>1.5</v>
      </c>
      <c r="M661" s="59"/>
    </row>
    <row r="662" spans="1:15" ht="14.25" customHeight="1" thickBot="1" x14ac:dyDescent="0.35">
      <c r="A662" s="17" t="s">
        <v>701</v>
      </c>
      <c r="B662" s="6" t="s">
        <v>477</v>
      </c>
      <c r="D662" s="130">
        <v>45772</v>
      </c>
      <c r="E662" s="39" t="s">
        <v>88</v>
      </c>
      <c r="F662" s="8" t="s">
        <v>85</v>
      </c>
      <c r="G662" s="40" t="s">
        <v>89</v>
      </c>
      <c r="H662" s="17" t="s">
        <v>26</v>
      </c>
      <c r="I662" s="663">
        <v>50</v>
      </c>
      <c r="J662" s="6" t="s">
        <v>694</v>
      </c>
      <c r="K662" s="17"/>
      <c r="L662" s="17"/>
      <c r="M662" s="674"/>
      <c r="N662" s="669"/>
    </row>
    <row r="663" spans="1:15" ht="13.8" customHeight="1" thickBot="1" x14ac:dyDescent="0.35">
      <c r="A663" s="19" t="s">
        <v>702</v>
      </c>
      <c r="B663" s="19" t="s">
        <v>22</v>
      </c>
      <c r="D663" s="122">
        <v>45925</v>
      </c>
      <c r="E663" s="16" t="s">
        <v>23</v>
      </c>
      <c r="F663" s="8" t="s">
        <v>85</v>
      </c>
      <c r="G663" s="16" t="s">
        <v>67</v>
      </c>
      <c r="H663" s="6" t="s">
        <v>18</v>
      </c>
      <c r="I663" s="44">
        <v>50</v>
      </c>
      <c r="J663" s="19">
        <v>103.5</v>
      </c>
      <c r="K663" s="19">
        <v>0.42</v>
      </c>
      <c r="L663" s="19">
        <v>1.66</v>
      </c>
      <c r="M663" s="59"/>
    </row>
    <row r="664" spans="1:15" ht="14.25" customHeight="1" thickBot="1" x14ac:dyDescent="0.35">
      <c r="A664" s="14" t="s">
        <v>703</v>
      </c>
      <c r="B664" s="14" t="s">
        <v>22</v>
      </c>
      <c r="D664" s="121">
        <v>45817</v>
      </c>
      <c r="E664" s="39" t="s">
        <v>88</v>
      </c>
      <c r="F664" s="8" t="s">
        <v>85</v>
      </c>
      <c r="G664" s="40" t="s">
        <v>89</v>
      </c>
      <c r="H664" s="17" t="s">
        <v>26</v>
      </c>
      <c r="I664" s="663">
        <v>50</v>
      </c>
      <c r="J664" s="26">
        <v>555.8538220483664</v>
      </c>
      <c r="K664" s="8">
        <v>1.0448111854196518</v>
      </c>
      <c r="L664" s="8">
        <v>1.8049284375131505</v>
      </c>
      <c r="M664" s="59"/>
    </row>
    <row r="665" spans="1:15" ht="14.25" customHeight="1" thickBot="1" x14ac:dyDescent="0.35">
      <c r="A665" s="19" t="s">
        <v>704</v>
      </c>
      <c r="B665" s="19" t="s">
        <v>22</v>
      </c>
      <c r="D665" s="122">
        <v>45933</v>
      </c>
      <c r="E665" s="16" t="s">
        <v>23</v>
      </c>
      <c r="F665" s="8" t="s">
        <v>85</v>
      </c>
      <c r="G665" s="16" t="s">
        <v>67</v>
      </c>
      <c r="H665" s="6" t="s">
        <v>18</v>
      </c>
      <c r="I665" s="663">
        <v>50</v>
      </c>
      <c r="J665" s="19">
        <v>18.399999999999999</v>
      </c>
      <c r="K665" s="19">
        <v>1.66</v>
      </c>
      <c r="L665" s="19">
        <v>1.95</v>
      </c>
      <c r="M665" s="59"/>
    </row>
    <row r="666" spans="1:15" ht="14.25" customHeight="1" thickBot="1" x14ac:dyDescent="0.35">
      <c r="A666" s="17" t="s">
        <v>705</v>
      </c>
      <c r="B666" s="14" t="s">
        <v>22</v>
      </c>
      <c r="D666" s="121">
        <v>45705</v>
      </c>
      <c r="E666" s="39" t="s">
        <v>88</v>
      </c>
      <c r="F666" s="8" t="s">
        <v>85</v>
      </c>
      <c r="G666" s="40" t="s">
        <v>89</v>
      </c>
      <c r="H666" s="17" t="s">
        <v>26</v>
      </c>
      <c r="I666" s="663">
        <v>50</v>
      </c>
      <c r="J666" s="132">
        <v>15.550210454600821</v>
      </c>
      <c r="K666" s="8">
        <v>2.0089728023068987</v>
      </c>
      <c r="L666" s="8">
        <v>2.2998267626401883</v>
      </c>
      <c r="M666" s="674"/>
      <c r="N666" s="669"/>
    </row>
    <row r="667" spans="1:15" ht="14.25" customHeight="1" thickBot="1" x14ac:dyDescent="0.35">
      <c r="A667" s="19" t="s">
        <v>706</v>
      </c>
      <c r="B667" s="19" t="s">
        <v>22</v>
      </c>
      <c r="D667" s="120">
        <v>45940</v>
      </c>
      <c r="E667" s="16" t="s">
        <v>23</v>
      </c>
      <c r="F667" s="8" t="s">
        <v>85</v>
      </c>
      <c r="G667" s="16" t="s">
        <v>67</v>
      </c>
      <c r="H667" s="6" t="s">
        <v>18</v>
      </c>
      <c r="I667" s="663">
        <v>50</v>
      </c>
      <c r="J667" s="19">
        <v>703</v>
      </c>
      <c r="K667" s="19">
        <v>1.38</v>
      </c>
      <c r="L667" s="19">
        <v>1.99</v>
      </c>
      <c r="M667" s="59"/>
    </row>
    <row r="668" spans="1:15" ht="14.25" customHeight="1" x14ac:dyDescent="0.3">
      <c r="A668" s="17" t="s">
        <v>707</v>
      </c>
      <c r="B668" s="14" t="s">
        <v>22</v>
      </c>
      <c r="D668" s="111">
        <v>45733</v>
      </c>
      <c r="E668" s="39" t="s">
        <v>88</v>
      </c>
      <c r="F668" s="8" t="s">
        <v>85</v>
      </c>
      <c r="G668" s="40" t="s">
        <v>89</v>
      </c>
      <c r="H668" s="17" t="s">
        <v>26</v>
      </c>
      <c r="I668" s="663">
        <v>50</v>
      </c>
      <c r="J668" s="17" t="s">
        <v>230</v>
      </c>
      <c r="K668" s="17"/>
      <c r="L668" s="17"/>
      <c r="M668" s="674"/>
      <c r="N668" s="669"/>
    </row>
    <row r="669" spans="1:15" ht="14.25" customHeight="1" thickBot="1" x14ac:dyDescent="0.35">
      <c r="A669" s="19" t="s">
        <v>708</v>
      </c>
      <c r="B669" s="19" t="s">
        <v>22</v>
      </c>
      <c r="D669" s="110">
        <v>45933</v>
      </c>
      <c r="E669" s="16" t="s">
        <v>23</v>
      </c>
      <c r="F669" s="8" t="s">
        <v>85</v>
      </c>
      <c r="G669" s="16" t="s">
        <v>67</v>
      </c>
      <c r="H669" s="6" t="s">
        <v>18</v>
      </c>
      <c r="I669" s="44">
        <v>50</v>
      </c>
      <c r="J669" s="19">
        <v>52.7</v>
      </c>
      <c r="K669" s="19">
        <v>1.04</v>
      </c>
      <c r="L669" s="19">
        <v>1.86</v>
      </c>
      <c r="M669" s="59"/>
    </row>
    <row r="670" spans="1:15" ht="14.25" customHeight="1" thickBot="1" x14ac:dyDescent="0.35">
      <c r="A670" s="19" t="s">
        <v>709</v>
      </c>
      <c r="B670" s="19" t="s">
        <v>22</v>
      </c>
      <c r="D670" s="130">
        <v>45772</v>
      </c>
      <c r="E670" s="16" t="s">
        <v>23</v>
      </c>
      <c r="F670" s="8" t="s">
        <v>85</v>
      </c>
      <c r="G670" s="16" t="s">
        <v>67</v>
      </c>
      <c r="H670" s="17" t="s">
        <v>26</v>
      </c>
      <c r="I670" s="44">
        <v>50</v>
      </c>
      <c r="J670" s="19">
        <v>143.6</v>
      </c>
      <c r="K670" s="19">
        <v>0.38</v>
      </c>
      <c r="L670" s="19">
        <v>1.49</v>
      </c>
      <c r="M670" s="59"/>
    </row>
    <row r="671" spans="1:15" ht="14.25" customHeight="1" thickBot="1" x14ac:dyDescent="0.35">
      <c r="A671" s="17" t="s">
        <v>710</v>
      </c>
      <c r="B671" s="6" t="s">
        <v>477</v>
      </c>
      <c r="D671" s="130">
        <v>45772</v>
      </c>
      <c r="E671" s="39" t="s">
        <v>88</v>
      </c>
      <c r="F671" s="8" t="s">
        <v>85</v>
      </c>
      <c r="G671" s="40" t="s">
        <v>89</v>
      </c>
      <c r="H671" s="17" t="s">
        <v>26</v>
      </c>
      <c r="I671" s="663">
        <v>50</v>
      </c>
      <c r="J671" s="6" t="s">
        <v>694</v>
      </c>
      <c r="K671" s="17"/>
      <c r="L671" s="17"/>
      <c r="M671" s="674"/>
      <c r="N671" s="669"/>
    </row>
    <row r="672" spans="1:15" ht="14.25" customHeight="1" x14ac:dyDescent="0.3">
      <c r="A672" s="19" t="s">
        <v>711</v>
      </c>
      <c r="B672" s="6" t="s">
        <v>477</v>
      </c>
      <c r="D672" s="98">
        <v>45922</v>
      </c>
      <c r="E672" s="39" t="s">
        <v>88</v>
      </c>
      <c r="F672" s="8" t="s">
        <v>85</v>
      </c>
      <c r="G672" s="40" t="s">
        <v>89</v>
      </c>
      <c r="H672" s="669"/>
      <c r="I672" s="663"/>
      <c r="J672" s="6"/>
      <c r="K672" s="17"/>
      <c r="L672" s="17"/>
      <c r="M672" s="674"/>
      <c r="N672" s="669"/>
    </row>
    <row r="673" spans="1:14" ht="14.25" customHeight="1" thickBot="1" x14ac:dyDescent="0.35">
      <c r="A673" s="19" t="s">
        <v>712</v>
      </c>
      <c r="B673" s="19" t="s">
        <v>22</v>
      </c>
      <c r="D673" s="110">
        <v>45925</v>
      </c>
      <c r="E673" s="16" t="s">
        <v>23</v>
      </c>
      <c r="F673" s="8" t="s">
        <v>85</v>
      </c>
      <c r="G673" s="16" t="s">
        <v>67</v>
      </c>
      <c r="H673" s="6" t="s">
        <v>18</v>
      </c>
      <c r="I673" s="44">
        <v>50</v>
      </c>
      <c r="J673" s="19">
        <v>69.5</v>
      </c>
      <c r="K673" s="19">
        <v>0.38</v>
      </c>
      <c r="L673" s="19">
        <v>1.43</v>
      </c>
      <c r="M673" s="59"/>
    </row>
    <row r="674" spans="1:14" ht="14.25" customHeight="1" thickBot="1" x14ac:dyDescent="0.35">
      <c r="A674" s="17" t="s">
        <v>713</v>
      </c>
      <c r="B674" s="6" t="s">
        <v>477</v>
      </c>
      <c r="D674" s="130">
        <v>45772</v>
      </c>
      <c r="E674" s="39" t="s">
        <v>88</v>
      </c>
      <c r="F674" s="8" t="s">
        <v>85</v>
      </c>
      <c r="G674" s="40" t="s">
        <v>89</v>
      </c>
      <c r="H674" s="17" t="s">
        <v>26</v>
      </c>
      <c r="I674" s="663">
        <v>50</v>
      </c>
      <c r="J674" s="6" t="s">
        <v>694</v>
      </c>
      <c r="K674" s="17"/>
      <c r="L674" s="17"/>
      <c r="M674" s="674"/>
      <c r="N674" s="669"/>
    </row>
    <row r="675" spans="1:14" ht="14.25" customHeight="1" thickBot="1" x14ac:dyDescent="0.35">
      <c r="A675" s="19" t="s">
        <v>714</v>
      </c>
      <c r="B675" s="19" t="s">
        <v>22</v>
      </c>
      <c r="D675" s="123">
        <v>45925</v>
      </c>
      <c r="E675" s="16" t="s">
        <v>23</v>
      </c>
      <c r="F675" s="8" t="s">
        <v>85</v>
      </c>
      <c r="G675" s="16" t="s">
        <v>67</v>
      </c>
      <c r="H675" s="6" t="s">
        <v>18</v>
      </c>
      <c r="I675" s="44">
        <v>50</v>
      </c>
      <c r="J675" s="19">
        <v>70.900000000000006</v>
      </c>
      <c r="K675" s="19">
        <v>0.39</v>
      </c>
      <c r="L675" s="19">
        <v>1.4</v>
      </c>
      <c r="M675" s="59"/>
    </row>
    <row r="676" spans="1:14" ht="14.25" customHeight="1" thickBot="1" x14ac:dyDescent="0.35">
      <c r="A676" s="14" t="s">
        <v>715</v>
      </c>
      <c r="B676" s="14" t="s">
        <v>22</v>
      </c>
      <c r="D676" s="121">
        <v>45817</v>
      </c>
      <c r="E676" s="39" t="s">
        <v>88</v>
      </c>
      <c r="F676" s="8" t="s">
        <v>85</v>
      </c>
      <c r="G676" s="40" t="s">
        <v>89</v>
      </c>
      <c r="H676" s="17" t="s">
        <v>26</v>
      </c>
      <c r="I676" s="44">
        <v>50</v>
      </c>
      <c r="J676" s="26">
        <v>132.45966942600765</v>
      </c>
      <c r="K676" s="8">
        <v>0.78166900146409524</v>
      </c>
      <c r="L676" s="8">
        <v>1.9827471458849475</v>
      </c>
      <c r="M676" s="59"/>
    </row>
    <row r="677" spans="1:14" ht="14.25" customHeight="1" thickBot="1" x14ac:dyDescent="0.35">
      <c r="A677" s="19" t="s">
        <v>716</v>
      </c>
      <c r="B677" s="19" t="s">
        <v>22</v>
      </c>
      <c r="D677" s="117">
        <v>45930</v>
      </c>
      <c r="E677" s="16" t="s">
        <v>23</v>
      </c>
      <c r="F677" s="8" t="s">
        <v>85</v>
      </c>
      <c r="G677" s="16" t="s">
        <v>67</v>
      </c>
      <c r="H677" s="6" t="s">
        <v>18</v>
      </c>
      <c r="I677" s="663">
        <v>50</v>
      </c>
      <c r="J677" s="19">
        <v>203.2</v>
      </c>
      <c r="K677" s="19">
        <v>1.2</v>
      </c>
      <c r="L677" s="19">
        <v>1.77</v>
      </c>
      <c r="M677" s="59"/>
    </row>
    <row r="678" spans="1:14" ht="14.25" customHeight="1" thickBot="1" x14ac:dyDescent="0.35">
      <c r="A678" s="14" t="s">
        <v>717</v>
      </c>
      <c r="B678" s="14" t="s">
        <v>22</v>
      </c>
      <c r="D678" s="121">
        <v>45817</v>
      </c>
      <c r="E678" s="39" t="s">
        <v>88</v>
      </c>
      <c r="F678" s="8" t="s">
        <v>85</v>
      </c>
      <c r="G678" s="40" t="s">
        <v>89</v>
      </c>
      <c r="H678" s="17" t="s">
        <v>26</v>
      </c>
      <c r="I678" s="663">
        <v>50</v>
      </c>
      <c r="J678" s="26">
        <v>107.30745512118429</v>
      </c>
      <c r="K678" s="8">
        <v>1.5394552153463683</v>
      </c>
      <c r="L678" s="8">
        <v>2.1437440635254448</v>
      </c>
      <c r="M678" s="59"/>
    </row>
    <row r="679" spans="1:14" ht="14.25" customHeight="1" x14ac:dyDescent="0.3">
      <c r="A679" s="17" t="s">
        <v>718</v>
      </c>
      <c r="B679" s="14" t="s">
        <v>22</v>
      </c>
      <c r="D679" s="111">
        <v>45705</v>
      </c>
      <c r="E679" s="39" t="s">
        <v>88</v>
      </c>
      <c r="F679" s="8" t="s">
        <v>85</v>
      </c>
      <c r="G679" s="40" t="s">
        <v>89</v>
      </c>
      <c r="H679" s="17" t="s">
        <v>26</v>
      </c>
      <c r="I679" s="663">
        <v>50</v>
      </c>
      <c r="J679" s="26">
        <v>295.2268048417979</v>
      </c>
      <c r="K679" s="8">
        <v>1.8583244844319242</v>
      </c>
      <c r="L679" s="8">
        <v>1.7662810670798876</v>
      </c>
      <c r="M679" s="59"/>
    </row>
    <row r="680" spans="1:14" ht="14.25" customHeight="1" x14ac:dyDescent="0.3">
      <c r="A680" s="17" t="s">
        <v>719</v>
      </c>
      <c r="B680" s="14" t="s">
        <v>22</v>
      </c>
      <c r="D680" s="111">
        <v>45705</v>
      </c>
      <c r="E680" s="39" t="s">
        <v>88</v>
      </c>
      <c r="F680" s="8" t="s">
        <v>85</v>
      </c>
      <c r="G680" s="40" t="s">
        <v>89</v>
      </c>
      <c r="H680" s="17" t="s">
        <v>26</v>
      </c>
      <c r="I680" s="663">
        <v>50</v>
      </c>
      <c r="J680" s="6"/>
      <c r="K680" s="17"/>
      <c r="L680" s="17"/>
      <c r="M680" s="674"/>
      <c r="N680" s="669"/>
    </row>
    <row r="681" spans="1:14" ht="14.25" customHeight="1" x14ac:dyDescent="0.3">
      <c r="A681" s="19" t="s">
        <v>720</v>
      </c>
      <c r="B681" s="19" t="s">
        <v>22</v>
      </c>
      <c r="D681" s="110">
        <v>45925</v>
      </c>
      <c r="E681" s="16" t="s">
        <v>23</v>
      </c>
      <c r="F681" s="8" t="s">
        <v>85</v>
      </c>
      <c r="G681" s="16" t="s">
        <v>67</v>
      </c>
      <c r="H681" s="6" t="s">
        <v>18</v>
      </c>
      <c r="I681" s="663">
        <v>50</v>
      </c>
      <c r="J681" s="19">
        <v>78.599999999999994</v>
      </c>
      <c r="K681" s="19">
        <v>1.1499999999999999</v>
      </c>
      <c r="L681" s="19">
        <v>1.88</v>
      </c>
      <c r="M681" s="59"/>
    </row>
    <row r="682" spans="1:14" ht="14.25" customHeight="1" x14ac:dyDescent="0.3">
      <c r="A682" s="19" t="s">
        <v>721</v>
      </c>
      <c r="B682" s="19" t="s">
        <v>22</v>
      </c>
      <c r="D682" s="691">
        <v>45940</v>
      </c>
      <c r="E682" s="16" t="s">
        <v>23</v>
      </c>
      <c r="F682" s="8" t="s">
        <v>85</v>
      </c>
      <c r="G682" s="16" t="s">
        <v>67</v>
      </c>
      <c r="H682" s="6" t="s">
        <v>18</v>
      </c>
      <c r="I682" s="663">
        <v>50</v>
      </c>
      <c r="J682" s="19">
        <v>78.099999999999994</v>
      </c>
      <c r="K682" s="19">
        <v>1.34</v>
      </c>
      <c r="L682" s="19">
        <v>1.79</v>
      </c>
      <c r="M682" s="59"/>
    </row>
    <row r="683" spans="1:14" ht="14.25" customHeight="1" x14ac:dyDescent="0.3">
      <c r="A683" s="19" t="s">
        <v>723</v>
      </c>
      <c r="B683" s="19" t="s">
        <v>22</v>
      </c>
      <c r="D683" s="691">
        <v>45933</v>
      </c>
      <c r="E683" s="16" t="s">
        <v>23</v>
      </c>
      <c r="F683" s="8" t="s">
        <v>85</v>
      </c>
      <c r="G683" s="16" t="s">
        <v>67</v>
      </c>
      <c r="H683" s="6" t="s">
        <v>18</v>
      </c>
      <c r="I683" s="663">
        <v>50</v>
      </c>
      <c r="J683" s="19">
        <v>135.9</v>
      </c>
      <c r="K683" s="19">
        <v>1.94</v>
      </c>
      <c r="L683" s="19">
        <v>1.92</v>
      </c>
      <c r="M683" s="674"/>
      <c r="N683" s="669"/>
    </row>
    <row r="684" spans="1:14" ht="14.25" customHeight="1" thickBot="1" x14ac:dyDescent="0.35">
      <c r="A684" s="17" t="s">
        <v>722</v>
      </c>
      <c r="B684" s="14" t="s">
        <v>22</v>
      </c>
      <c r="D684" s="111">
        <v>45705</v>
      </c>
      <c r="E684" s="39" t="s">
        <v>88</v>
      </c>
      <c r="F684" s="8" t="s">
        <v>85</v>
      </c>
      <c r="G684" s="40" t="s">
        <v>89</v>
      </c>
      <c r="H684" s="17" t="s">
        <v>26</v>
      </c>
      <c r="I684" s="663">
        <v>50</v>
      </c>
      <c r="J684" s="26">
        <v>69.33999339437257</v>
      </c>
      <c r="K684" s="8">
        <v>1.8679245491808543</v>
      </c>
      <c r="L684" s="8">
        <v>1.7639168887142429</v>
      </c>
      <c r="M684" s="59"/>
    </row>
    <row r="685" spans="1:14" ht="14.25" customHeight="1" thickBot="1" x14ac:dyDescent="0.35">
      <c r="A685" s="17" t="s">
        <v>724</v>
      </c>
      <c r="B685" s="6" t="s">
        <v>477</v>
      </c>
      <c r="D685" s="130">
        <v>45772</v>
      </c>
      <c r="E685" s="39" t="s">
        <v>88</v>
      </c>
      <c r="F685" s="8" t="s">
        <v>85</v>
      </c>
      <c r="G685" s="40" t="s">
        <v>89</v>
      </c>
      <c r="H685" s="17" t="s">
        <v>26</v>
      </c>
      <c r="I685" s="663">
        <v>50</v>
      </c>
      <c r="J685" s="6" t="s">
        <v>694</v>
      </c>
      <c r="K685" s="17"/>
      <c r="L685" s="17"/>
      <c r="M685" s="674"/>
      <c r="N685" s="669"/>
    </row>
    <row r="686" spans="1:14" ht="14.25" customHeight="1" thickBot="1" x14ac:dyDescent="0.35">
      <c r="A686" s="19" t="s">
        <v>725</v>
      </c>
      <c r="B686" s="19" t="s">
        <v>22</v>
      </c>
      <c r="D686" s="110">
        <v>45925</v>
      </c>
      <c r="E686" s="16" t="s">
        <v>23</v>
      </c>
      <c r="F686" s="8" t="s">
        <v>85</v>
      </c>
      <c r="G686" s="16" t="s">
        <v>67</v>
      </c>
      <c r="H686" s="6" t="s">
        <v>18</v>
      </c>
      <c r="I686" s="44">
        <v>50</v>
      </c>
      <c r="J686" s="19">
        <v>278.7</v>
      </c>
      <c r="K686" s="19">
        <v>0.46</v>
      </c>
      <c r="L686" s="19">
        <v>1.48</v>
      </c>
      <c r="M686" s="59"/>
    </row>
    <row r="687" spans="1:14" ht="14.25" customHeight="1" thickBot="1" x14ac:dyDescent="0.35">
      <c r="A687" s="17" t="s">
        <v>726</v>
      </c>
      <c r="B687" s="6" t="s">
        <v>477</v>
      </c>
      <c r="D687" s="130">
        <v>45772</v>
      </c>
      <c r="E687" s="39" t="s">
        <v>88</v>
      </c>
      <c r="F687" s="8" t="s">
        <v>85</v>
      </c>
      <c r="G687" s="40" t="s">
        <v>89</v>
      </c>
      <c r="H687" s="17" t="s">
        <v>26</v>
      </c>
      <c r="I687" s="663">
        <v>50</v>
      </c>
      <c r="J687" s="6" t="s">
        <v>694</v>
      </c>
      <c r="K687" s="17"/>
      <c r="L687" s="17"/>
      <c r="M687" s="674"/>
      <c r="N687" s="669"/>
    </row>
    <row r="688" spans="1:14" ht="14.25" customHeight="1" thickBot="1" x14ac:dyDescent="0.35">
      <c r="A688" s="19" t="s">
        <v>727</v>
      </c>
      <c r="B688" s="19" t="s">
        <v>22</v>
      </c>
      <c r="D688" s="122">
        <v>45925</v>
      </c>
      <c r="E688" s="16" t="s">
        <v>23</v>
      </c>
      <c r="F688" s="8" t="s">
        <v>85</v>
      </c>
      <c r="G688" s="16" t="s">
        <v>67</v>
      </c>
      <c r="H688" s="6" t="s">
        <v>18</v>
      </c>
      <c r="I688" s="663">
        <v>50</v>
      </c>
      <c r="J688" s="19">
        <v>242.2</v>
      </c>
      <c r="K688" s="17" t="s">
        <v>451</v>
      </c>
      <c r="L688" s="19">
        <v>1.39</v>
      </c>
      <c r="M688" s="674"/>
    </row>
    <row r="689" spans="1:14" ht="14.25" customHeight="1" thickBot="1" x14ac:dyDescent="0.35">
      <c r="A689" s="19" t="s">
        <v>728</v>
      </c>
      <c r="B689" s="19" t="s">
        <v>22</v>
      </c>
      <c r="D689" s="120">
        <v>45940</v>
      </c>
      <c r="E689" s="16" t="s">
        <v>23</v>
      </c>
      <c r="F689" s="8" t="s">
        <v>85</v>
      </c>
      <c r="G689" s="16" t="s">
        <v>67</v>
      </c>
      <c r="H689" s="6" t="s">
        <v>18</v>
      </c>
      <c r="I689" s="663">
        <v>50</v>
      </c>
      <c r="J689" s="19">
        <v>135.9</v>
      </c>
      <c r="K689" s="19">
        <v>1.57</v>
      </c>
      <c r="L689" s="19">
        <v>1.84</v>
      </c>
      <c r="M689" s="59"/>
    </row>
    <row r="690" spans="1:14" ht="14.25" customHeight="1" x14ac:dyDescent="0.3">
      <c r="A690" s="17" t="s">
        <v>729</v>
      </c>
      <c r="B690" s="14" t="s">
        <v>22</v>
      </c>
      <c r="D690" s="111">
        <v>45733</v>
      </c>
      <c r="E690" s="39" t="s">
        <v>88</v>
      </c>
      <c r="F690" s="8" t="s">
        <v>85</v>
      </c>
      <c r="G690" s="40" t="s">
        <v>89</v>
      </c>
      <c r="H690" s="17" t="s">
        <v>26</v>
      </c>
      <c r="I690" s="663">
        <v>50</v>
      </c>
      <c r="J690" s="17" t="s">
        <v>230</v>
      </c>
      <c r="K690" s="17"/>
      <c r="L690" s="17"/>
      <c r="M690" s="674"/>
      <c r="N690" s="669"/>
    </row>
    <row r="691" spans="1:14" ht="14.25" customHeight="1" thickBot="1" x14ac:dyDescent="0.35">
      <c r="A691" s="14" t="s">
        <v>730</v>
      </c>
      <c r="B691" s="14" t="s">
        <v>22</v>
      </c>
      <c r="D691" s="689">
        <v>45789</v>
      </c>
      <c r="E691" s="39" t="s">
        <v>88</v>
      </c>
      <c r="F691" s="8" t="s">
        <v>85</v>
      </c>
      <c r="G691" s="40" t="s">
        <v>89</v>
      </c>
      <c r="H691" s="17" t="s">
        <v>26</v>
      </c>
      <c r="I691" s="44">
        <v>50</v>
      </c>
      <c r="J691" s="26">
        <v>8.5856970755581532</v>
      </c>
      <c r="K691" s="8">
        <v>0.97890528174463631</v>
      </c>
      <c r="L691" s="8">
        <v>2.8406484167651245</v>
      </c>
      <c r="M691" s="59"/>
    </row>
    <row r="692" spans="1:14" ht="14.25" customHeight="1" thickBot="1" x14ac:dyDescent="0.35">
      <c r="A692" s="17" t="s">
        <v>731</v>
      </c>
      <c r="B692" s="6" t="s">
        <v>477</v>
      </c>
      <c r="D692" s="130">
        <v>45772</v>
      </c>
      <c r="E692" s="39" t="s">
        <v>88</v>
      </c>
      <c r="F692" s="8" t="s">
        <v>85</v>
      </c>
      <c r="G692" s="40" t="s">
        <v>89</v>
      </c>
      <c r="H692" s="17" t="s">
        <v>26</v>
      </c>
      <c r="I692" s="663">
        <v>50</v>
      </c>
      <c r="J692" s="6" t="s">
        <v>694</v>
      </c>
      <c r="K692" s="17"/>
      <c r="L692" s="17"/>
      <c r="M692" s="674"/>
      <c r="N692" s="669"/>
    </row>
    <row r="693" spans="1:14" ht="14.25" customHeight="1" x14ac:dyDescent="0.3">
      <c r="A693" s="19" t="s">
        <v>732</v>
      </c>
      <c r="B693" s="19" t="s">
        <v>22</v>
      </c>
      <c r="D693" s="110">
        <v>45925</v>
      </c>
      <c r="E693" s="16" t="s">
        <v>23</v>
      </c>
      <c r="F693" s="8" t="s">
        <v>85</v>
      </c>
      <c r="G693" s="16" t="s">
        <v>67</v>
      </c>
      <c r="H693" s="6" t="s">
        <v>18</v>
      </c>
      <c r="I693" s="44">
        <v>50</v>
      </c>
      <c r="J693" s="19">
        <v>224.5</v>
      </c>
      <c r="K693" s="19">
        <v>0.36</v>
      </c>
      <c r="L693" s="19">
        <v>1.31</v>
      </c>
      <c r="M693" s="59"/>
    </row>
    <row r="694" spans="1:14" ht="14.25" customHeight="1" x14ac:dyDescent="0.3">
      <c r="A694" s="17" t="s">
        <v>733</v>
      </c>
      <c r="B694" s="14" t="s">
        <v>22</v>
      </c>
      <c r="D694" s="111">
        <v>45705</v>
      </c>
      <c r="E694" s="39" t="s">
        <v>88</v>
      </c>
      <c r="F694" s="8" t="s">
        <v>85</v>
      </c>
      <c r="G694" s="40" t="s">
        <v>89</v>
      </c>
      <c r="H694" s="17" t="s">
        <v>26</v>
      </c>
      <c r="I694" s="663">
        <v>50</v>
      </c>
      <c r="J694" s="17" t="s">
        <v>230</v>
      </c>
      <c r="K694" s="17"/>
      <c r="L694" s="17"/>
      <c r="M694" s="674"/>
      <c r="N694" s="669"/>
    </row>
    <row r="695" spans="1:14" ht="14.25" customHeight="1" x14ac:dyDescent="0.3">
      <c r="A695" s="19" t="s">
        <v>734</v>
      </c>
      <c r="B695" s="19" t="s">
        <v>22</v>
      </c>
      <c r="D695" s="29">
        <v>45768</v>
      </c>
      <c r="E695" s="16" t="s">
        <v>23</v>
      </c>
      <c r="F695" s="8" t="s">
        <v>85</v>
      </c>
      <c r="G695" s="16" t="s">
        <v>67</v>
      </c>
      <c r="H695" s="17" t="s">
        <v>26</v>
      </c>
      <c r="I695" s="44">
        <v>50</v>
      </c>
      <c r="J695" s="19">
        <v>43.5</v>
      </c>
      <c r="K695" s="19">
        <v>0.95</v>
      </c>
      <c r="L695" s="19">
        <v>1.88</v>
      </c>
      <c r="M695" s="59"/>
    </row>
    <row r="696" spans="1:14" ht="14.25" customHeight="1" x14ac:dyDescent="0.3">
      <c r="A696" s="19" t="s">
        <v>735</v>
      </c>
      <c r="B696" s="6" t="s">
        <v>22</v>
      </c>
      <c r="D696" s="667">
        <v>45768</v>
      </c>
      <c r="E696" s="39" t="s">
        <v>88</v>
      </c>
      <c r="F696" s="8" t="s">
        <v>85</v>
      </c>
      <c r="G696" s="40" t="s">
        <v>89</v>
      </c>
      <c r="H696" s="17" t="s">
        <v>26</v>
      </c>
      <c r="I696" s="663">
        <v>50</v>
      </c>
      <c r="J696" s="6" t="s">
        <v>450</v>
      </c>
      <c r="K696" s="17" t="s">
        <v>451</v>
      </c>
      <c r="L696" s="17" t="s">
        <v>451</v>
      </c>
      <c r="M696" s="663" t="s">
        <v>451</v>
      </c>
      <c r="N696" s="663" t="s">
        <v>451</v>
      </c>
    </row>
    <row r="697" spans="1:14" ht="14.25" customHeight="1" x14ac:dyDescent="0.3">
      <c r="A697" s="17" t="s">
        <v>736</v>
      </c>
      <c r="B697" s="14" t="s">
        <v>22</v>
      </c>
      <c r="D697" s="689">
        <v>45705</v>
      </c>
      <c r="E697" s="39" t="s">
        <v>88</v>
      </c>
      <c r="F697" s="8" t="s">
        <v>85</v>
      </c>
      <c r="G697" s="40" t="s">
        <v>89</v>
      </c>
      <c r="H697" s="17" t="s">
        <v>26</v>
      </c>
      <c r="I697" s="663">
        <v>50</v>
      </c>
      <c r="J697" s="26">
        <v>81.936033926388276</v>
      </c>
      <c r="K697" s="8">
        <v>1.7882791042003428</v>
      </c>
      <c r="L697" s="8">
        <v>1.2929385275715612</v>
      </c>
      <c r="M697" s="59"/>
    </row>
    <row r="698" spans="1:14" ht="14.25" customHeight="1" x14ac:dyDescent="0.3">
      <c r="A698" s="17" t="s">
        <v>737</v>
      </c>
      <c r="B698" s="14" t="s">
        <v>22</v>
      </c>
      <c r="D698" s="689">
        <v>45705</v>
      </c>
      <c r="E698" s="39" t="s">
        <v>88</v>
      </c>
      <c r="F698" s="8" t="s">
        <v>85</v>
      </c>
      <c r="G698" s="40" t="s">
        <v>89</v>
      </c>
      <c r="H698" s="17" t="s">
        <v>26</v>
      </c>
      <c r="I698" s="663">
        <v>50</v>
      </c>
      <c r="J698" s="26">
        <v>81.936033926388276</v>
      </c>
      <c r="K698" s="8">
        <v>1.7882791042003428</v>
      </c>
      <c r="L698" s="8">
        <v>1.2929385275715612</v>
      </c>
      <c r="M698" s="59"/>
    </row>
    <row r="699" spans="1:14" ht="14.25" customHeight="1" x14ac:dyDescent="0.3">
      <c r="A699" s="14" t="s">
        <v>737</v>
      </c>
      <c r="B699" s="14" t="s">
        <v>22</v>
      </c>
      <c r="D699" s="111">
        <v>45705</v>
      </c>
      <c r="E699" s="39" t="s">
        <v>88</v>
      </c>
      <c r="F699" s="8" t="s">
        <v>85</v>
      </c>
      <c r="G699" s="40" t="s">
        <v>89</v>
      </c>
      <c r="H699" s="17" t="s">
        <v>26</v>
      </c>
      <c r="I699" s="44">
        <v>50</v>
      </c>
      <c r="J699" s="26">
        <v>82.228973577371264</v>
      </c>
      <c r="K699" s="8">
        <v>0.55363761010191326</v>
      </c>
      <c r="L699" s="8">
        <v>1.3031624796067327</v>
      </c>
      <c r="M699" s="59"/>
    </row>
    <row r="700" spans="1:14" ht="14.25" customHeight="1" x14ac:dyDescent="0.3">
      <c r="A700" s="19" t="s">
        <v>738</v>
      </c>
      <c r="B700" s="19" t="s">
        <v>22</v>
      </c>
      <c r="D700" s="29">
        <v>45768</v>
      </c>
      <c r="E700" s="16" t="s">
        <v>23</v>
      </c>
      <c r="F700" s="8" t="s">
        <v>85</v>
      </c>
      <c r="G700" s="16" t="s">
        <v>67</v>
      </c>
      <c r="H700" s="17" t="s">
        <v>26</v>
      </c>
      <c r="I700" s="663">
        <v>50</v>
      </c>
      <c r="J700" s="19">
        <v>70.400000000000006</v>
      </c>
      <c r="K700" s="19">
        <v>1.64</v>
      </c>
      <c r="L700" s="19">
        <v>1.89</v>
      </c>
      <c r="M700" s="59"/>
    </row>
    <row r="701" spans="1:14" ht="14.25" customHeight="1" x14ac:dyDescent="0.3">
      <c r="A701" s="17" t="s">
        <v>739</v>
      </c>
      <c r="B701" s="14" t="s">
        <v>22</v>
      </c>
      <c r="D701" s="689">
        <v>45705</v>
      </c>
      <c r="E701" s="39" t="s">
        <v>88</v>
      </c>
      <c r="F701" s="8" t="s">
        <v>85</v>
      </c>
      <c r="G701" s="40" t="s">
        <v>89</v>
      </c>
      <c r="H701" s="17" t="s">
        <v>26</v>
      </c>
      <c r="I701" s="44">
        <v>50</v>
      </c>
      <c r="J701" s="26">
        <v>49.812210205828109</v>
      </c>
      <c r="K701" s="8">
        <v>1.9219986349805076</v>
      </c>
      <c r="L701" s="8">
        <v>1.5853841088992171</v>
      </c>
      <c r="M701" s="59"/>
    </row>
    <row r="702" spans="1:14" ht="14.25" customHeight="1" x14ac:dyDescent="0.3">
      <c r="A702" s="19" t="s">
        <v>739</v>
      </c>
      <c r="B702" s="19" t="s">
        <v>22</v>
      </c>
      <c r="D702" s="110">
        <v>45940</v>
      </c>
      <c r="E702" s="16" t="s">
        <v>23</v>
      </c>
      <c r="F702" s="8" t="s">
        <v>85</v>
      </c>
      <c r="G702" s="16" t="s">
        <v>67</v>
      </c>
      <c r="H702" s="6" t="s">
        <v>18</v>
      </c>
      <c r="I702" s="44">
        <v>50</v>
      </c>
      <c r="J702" s="19">
        <v>21.9</v>
      </c>
      <c r="K702" s="19">
        <v>0.69</v>
      </c>
      <c r="L702" s="19">
        <v>1.81</v>
      </c>
      <c r="M702" s="59"/>
    </row>
    <row r="703" spans="1:14" ht="14.25" customHeight="1" x14ac:dyDescent="0.3">
      <c r="A703" s="17" t="s">
        <v>740</v>
      </c>
      <c r="B703" s="6" t="s">
        <v>22</v>
      </c>
      <c r="D703" s="667">
        <v>45768</v>
      </c>
      <c r="E703" s="39" t="s">
        <v>88</v>
      </c>
      <c r="F703" s="8" t="s">
        <v>85</v>
      </c>
      <c r="G703" s="40" t="s">
        <v>89</v>
      </c>
      <c r="H703" s="17" t="s">
        <v>26</v>
      </c>
      <c r="I703" s="663" t="s">
        <v>451</v>
      </c>
      <c r="J703" s="17" t="s">
        <v>450</v>
      </c>
      <c r="K703" s="17" t="s">
        <v>451</v>
      </c>
      <c r="L703" s="17" t="s">
        <v>451</v>
      </c>
      <c r="M703" s="663" t="s">
        <v>451</v>
      </c>
      <c r="N703" s="663" t="s">
        <v>451</v>
      </c>
    </row>
    <row r="704" spans="1:14" ht="14.25" customHeight="1" x14ac:dyDescent="0.3">
      <c r="A704" s="19" t="s">
        <v>741</v>
      </c>
      <c r="B704" s="6" t="s">
        <v>22</v>
      </c>
      <c r="D704" s="667">
        <v>45768</v>
      </c>
      <c r="E704" s="39" t="s">
        <v>88</v>
      </c>
      <c r="F704" s="8" t="s">
        <v>85</v>
      </c>
      <c r="G704" s="40" t="s">
        <v>89</v>
      </c>
      <c r="H704" s="17" t="s">
        <v>26</v>
      </c>
      <c r="I704" s="663">
        <v>50</v>
      </c>
      <c r="J704" s="6" t="s">
        <v>450</v>
      </c>
      <c r="K704" s="17" t="s">
        <v>451</v>
      </c>
      <c r="L704" s="17" t="s">
        <v>451</v>
      </c>
      <c r="M704" s="663" t="s">
        <v>451</v>
      </c>
      <c r="N704" s="663" t="s">
        <v>451</v>
      </c>
    </row>
    <row r="705" spans="1:15" ht="14.25" customHeight="1" x14ac:dyDescent="0.3">
      <c r="A705" s="19" t="s">
        <v>742</v>
      </c>
      <c r="B705" s="6" t="s">
        <v>22</v>
      </c>
      <c r="D705" s="667">
        <v>45768</v>
      </c>
      <c r="E705" s="39" t="s">
        <v>88</v>
      </c>
      <c r="F705" s="8" t="s">
        <v>85</v>
      </c>
      <c r="G705" s="40" t="s">
        <v>89</v>
      </c>
      <c r="H705" s="17" t="s">
        <v>26</v>
      </c>
      <c r="I705" s="663">
        <v>50</v>
      </c>
      <c r="J705" s="6" t="s">
        <v>450</v>
      </c>
      <c r="K705" s="17" t="s">
        <v>451</v>
      </c>
      <c r="L705" s="17" t="s">
        <v>451</v>
      </c>
      <c r="M705" s="663" t="s">
        <v>451</v>
      </c>
      <c r="N705" s="663" t="s">
        <v>451</v>
      </c>
    </row>
    <row r="706" spans="1:15" ht="14.25" customHeight="1" x14ac:dyDescent="0.3">
      <c r="A706" s="19" t="s">
        <v>743</v>
      </c>
      <c r="B706" s="6" t="s">
        <v>22</v>
      </c>
      <c r="D706" s="667">
        <v>45768</v>
      </c>
      <c r="E706" s="39" t="s">
        <v>88</v>
      </c>
      <c r="F706" s="8" t="s">
        <v>85</v>
      </c>
      <c r="G706" s="40" t="s">
        <v>89</v>
      </c>
      <c r="H706" s="17" t="s">
        <v>26</v>
      </c>
      <c r="I706" s="663">
        <v>50</v>
      </c>
      <c r="J706" s="6" t="s">
        <v>450</v>
      </c>
      <c r="K706" s="17" t="s">
        <v>451</v>
      </c>
      <c r="L706" s="17" t="s">
        <v>451</v>
      </c>
      <c r="M706" s="663" t="s">
        <v>451</v>
      </c>
      <c r="N706" s="663" t="s">
        <v>451</v>
      </c>
    </row>
    <row r="707" spans="1:15" ht="14.4" customHeight="1" x14ac:dyDescent="0.3">
      <c r="A707" s="19" t="s">
        <v>744</v>
      </c>
      <c r="B707" s="6" t="s">
        <v>22</v>
      </c>
      <c r="D707" s="667">
        <v>45768</v>
      </c>
      <c r="E707" s="39" t="s">
        <v>88</v>
      </c>
      <c r="F707" s="8" t="s">
        <v>85</v>
      </c>
      <c r="G707" s="40" t="s">
        <v>89</v>
      </c>
      <c r="H707" s="17" t="s">
        <v>26</v>
      </c>
      <c r="I707" s="663">
        <v>50</v>
      </c>
      <c r="J707" s="6" t="s">
        <v>450</v>
      </c>
      <c r="K707" s="17" t="s">
        <v>451</v>
      </c>
      <c r="L707" s="17" t="s">
        <v>451</v>
      </c>
      <c r="M707" s="663" t="s">
        <v>451</v>
      </c>
      <c r="N707" s="663" t="s">
        <v>451</v>
      </c>
    </row>
    <row r="708" spans="1:15" ht="14.25" customHeight="1" x14ac:dyDescent="0.3">
      <c r="A708" s="19" t="s">
        <v>744</v>
      </c>
      <c r="B708" s="19" t="s">
        <v>22</v>
      </c>
      <c r="D708" s="691">
        <v>45940</v>
      </c>
      <c r="E708" s="16" t="s">
        <v>23</v>
      </c>
      <c r="F708" s="8" t="s">
        <v>85</v>
      </c>
      <c r="G708" s="16" t="s">
        <v>67</v>
      </c>
      <c r="H708" s="6" t="s">
        <v>18</v>
      </c>
      <c r="I708" s="663">
        <v>50</v>
      </c>
      <c r="J708" s="19">
        <v>41.3</v>
      </c>
      <c r="K708" s="19">
        <v>1.17</v>
      </c>
      <c r="L708" s="19">
        <v>1.84</v>
      </c>
      <c r="M708" s="59"/>
    </row>
    <row r="709" spans="1:15" ht="14.25" customHeight="1" x14ac:dyDescent="0.3">
      <c r="A709" s="19" t="s">
        <v>745</v>
      </c>
      <c r="B709" s="6" t="s">
        <v>22</v>
      </c>
      <c r="D709" s="667">
        <v>45768</v>
      </c>
      <c r="E709" s="39" t="s">
        <v>88</v>
      </c>
      <c r="F709" s="8" t="s">
        <v>85</v>
      </c>
      <c r="G709" s="40" t="s">
        <v>89</v>
      </c>
      <c r="H709" s="17" t="s">
        <v>26</v>
      </c>
      <c r="I709" s="663">
        <v>50</v>
      </c>
      <c r="J709" s="6" t="s">
        <v>450</v>
      </c>
      <c r="K709" s="17" t="s">
        <v>451</v>
      </c>
      <c r="L709" s="17" t="s">
        <v>451</v>
      </c>
      <c r="M709" s="663" t="s">
        <v>451</v>
      </c>
      <c r="N709" s="663" t="s">
        <v>451</v>
      </c>
    </row>
    <row r="710" spans="1:15" ht="14.25" customHeight="1" x14ac:dyDescent="0.3">
      <c r="A710" s="19" t="s">
        <v>746</v>
      </c>
      <c r="B710" s="19" t="s">
        <v>22</v>
      </c>
      <c r="D710" s="691">
        <v>45940</v>
      </c>
      <c r="E710" s="16" t="s">
        <v>23</v>
      </c>
      <c r="F710" s="8" t="s">
        <v>85</v>
      </c>
      <c r="G710" s="16" t="s">
        <v>67</v>
      </c>
      <c r="H710" s="6" t="s">
        <v>18</v>
      </c>
      <c r="I710" s="44">
        <v>50</v>
      </c>
      <c r="J710" s="19">
        <v>16.2</v>
      </c>
      <c r="K710" s="19">
        <v>0.82</v>
      </c>
      <c r="L710" s="19">
        <v>1.61</v>
      </c>
      <c r="M710" s="59"/>
    </row>
    <row r="711" spans="1:15" ht="14.25" customHeight="1" x14ac:dyDescent="0.3">
      <c r="A711" s="19" t="s">
        <v>747</v>
      </c>
      <c r="B711" s="6" t="s">
        <v>22</v>
      </c>
      <c r="D711" s="667">
        <v>45768</v>
      </c>
      <c r="E711" s="39" t="s">
        <v>88</v>
      </c>
      <c r="F711" s="8" t="s">
        <v>85</v>
      </c>
      <c r="G711" s="40" t="s">
        <v>89</v>
      </c>
      <c r="H711" s="17" t="s">
        <v>26</v>
      </c>
      <c r="I711" s="663">
        <v>50</v>
      </c>
      <c r="J711" s="6" t="s">
        <v>450</v>
      </c>
      <c r="K711" s="17" t="s">
        <v>451</v>
      </c>
      <c r="L711" s="17" t="s">
        <v>451</v>
      </c>
      <c r="M711" s="663" t="s">
        <v>451</v>
      </c>
      <c r="N711" s="663" t="s">
        <v>451</v>
      </c>
    </row>
    <row r="712" spans="1:15" ht="14.25" customHeight="1" thickBot="1" x14ac:dyDescent="0.35">
      <c r="A712" s="19" t="s">
        <v>748</v>
      </c>
      <c r="B712" s="19" t="s">
        <v>22</v>
      </c>
      <c r="D712" s="668">
        <v>45789</v>
      </c>
      <c r="E712" s="16" t="s">
        <v>23</v>
      </c>
      <c r="F712" s="8" t="s">
        <v>85</v>
      </c>
      <c r="G712" s="16" t="s">
        <v>67</v>
      </c>
      <c r="H712" s="17" t="s">
        <v>26</v>
      </c>
      <c r="I712" s="663">
        <v>50</v>
      </c>
      <c r="J712" s="19">
        <v>51.3</v>
      </c>
      <c r="K712" s="19">
        <v>1.56</v>
      </c>
      <c r="L712" s="19">
        <v>1.92</v>
      </c>
      <c r="M712" s="59"/>
    </row>
    <row r="713" spans="1:15" ht="14.25" customHeight="1" thickBot="1" x14ac:dyDescent="0.35">
      <c r="A713" s="14" t="s">
        <v>748</v>
      </c>
      <c r="B713" s="14" t="s">
        <v>22</v>
      </c>
      <c r="D713" s="133">
        <v>45733</v>
      </c>
      <c r="E713" s="39" t="s">
        <v>88</v>
      </c>
      <c r="F713" s="8" t="s">
        <v>85</v>
      </c>
      <c r="G713" s="40" t="s">
        <v>89</v>
      </c>
      <c r="H713" s="17" t="s">
        <v>26</v>
      </c>
      <c r="I713" s="663">
        <v>50</v>
      </c>
      <c r="J713" s="26">
        <v>27.487718448873384</v>
      </c>
      <c r="K713" s="8">
        <v>1.2729146472630144</v>
      </c>
      <c r="L713" s="8">
        <v>1.87208948606346</v>
      </c>
      <c r="M713" s="59"/>
    </row>
    <row r="714" spans="1:15" ht="14.25" customHeight="1" thickBot="1" x14ac:dyDescent="0.35">
      <c r="A714" s="17" t="s">
        <v>748</v>
      </c>
      <c r="B714" s="14" t="s">
        <v>22</v>
      </c>
      <c r="D714" s="593">
        <v>45733</v>
      </c>
      <c r="E714" s="39" t="s">
        <v>88</v>
      </c>
      <c r="F714" s="8" t="s">
        <v>85</v>
      </c>
      <c r="G714" s="40" t="s">
        <v>89</v>
      </c>
      <c r="H714" s="17" t="s">
        <v>26</v>
      </c>
      <c r="I714" s="663">
        <v>50</v>
      </c>
      <c r="J714" s="17" t="s">
        <v>230</v>
      </c>
      <c r="K714" s="17"/>
      <c r="L714" s="17"/>
      <c r="M714" s="674"/>
      <c r="N714" s="669"/>
    </row>
    <row r="715" spans="1:15" ht="14.25" customHeight="1" thickBot="1" x14ac:dyDescent="0.35">
      <c r="A715" s="19" t="s">
        <v>749</v>
      </c>
      <c r="B715" s="6" t="s">
        <v>22</v>
      </c>
      <c r="D715" s="667">
        <v>45768</v>
      </c>
      <c r="E715" s="39" t="s">
        <v>88</v>
      </c>
      <c r="F715" s="8" t="s">
        <v>85</v>
      </c>
      <c r="G715" s="40" t="s">
        <v>89</v>
      </c>
      <c r="H715" s="17" t="s">
        <v>26</v>
      </c>
      <c r="I715" s="663">
        <v>50</v>
      </c>
      <c r="J715" s="102" t="s">
        <v>450</v>
      </c>
      <c r="K715" s="17" t="s">
        <v>451</v>
      </c>
      <c r="L715" s="17" t="s">
        <v>451</v>
      </c>
      <c r="M715" s="663" t="s">
        <v>451</v>
      </c>
      <c r="N715" s="663" t="s">
        <v>451</v>
      </c>
    </row>
    <row r="716" spans="1:15" ht="14.25" customHeight="1" x14ac:dyDescent="0.3">
      <c r="A716" s="19" t="s">
        <v>750</v>
      </c>
      <c r="B716" s="19" t="s">
        <v>22</v>
      </c>
      <c r="D716" s="689">
        <v>45705</v>
      </c>
      <c r="E716" s="16" t="s">
        <v>23</v>
      </c>
      <c r="F716" s="8" t="s">
        <v>85</v>
      </c>
      <c r="G716" s="16" t="s">
        <v>67</v>
      </c>
      <c r="H716" s="17" t="s">
        <v>26</v>
      </c>
      <c r="I716" s="663">
        <v>50</v>
      </c>
      <c r="J716" s="19">
        <v>27.3</v>
      </c>
      <c r="K716" s="19">
        <v>1.31</v>
      </c>
      <c r="L716" s="19">
        <v>1.81</v>
      </c>
      <c r="M716" s="59"/>
    </row>
    <row r="717" spans="1:15" ht="14.25" customHeight="1" x14ac:dyDescent="0.3">
      <c r="A717" s="19" t="s">
        <v>751</v>
      </c>
      <c r="B717" s="6" t="s">
        <v>22</v>
      </c>
      <c r="D717" s="667">
        <v>45768</v>
      </c>
      <c r="E717" s="39" t="s">
        <v>88</v>
      </c>
      <c r="F717" s="8" t="s">
        <v>85</v>
      </c>
      <c r="G717" s="40" t="s">
        <v>89</v>
      </c>
      <c r="H717" s="17" t="s">
        <v>26</v>
      </c>
      <c r="I717" s="663">
        <v>50</v>
      </c>
      <c r="J717" s="6" t="s">
        <v>450</v>
      </c>
      <c r="K717" s="17" t="s">
        <v>451</v>
      </c>
      <c r="L717" s="17" t="s">
        <v>451</v>
      </c>
      <c r="M717" s="663" t="s">
        <v>451</v>
      </c>
      <c r="N717" s="663" t="s">
        <v>451</v>
      </c>
    </row>
    <row r="718" spans="1:15" ht="14.25" customHeight="1" x14ac:dyDescent="0.3">
      <c r="A718" s="17" t="s">
        <v>751</v>
      </c>
      <c r="B718" s="14" t="s">
        <v>22</v>
      </c>
      <c r="D718" s="111">
        <v>45705</v>
      </c>
      <c r="E718" s="39" t="s">
        <v>88</v>
      </c>
      <c r="F718" s="8" t="s">
        <v>85</v>
      </c>
      <c r="G718" s="40" t="s">
        <v>89</v>
      </c>
      <c r="H718" s="17" t="s">
        <v>26</v>
      </c>
      <c r="I718" s="663">
        <v>50</v>
      </c>
      <c r="J718" s="8">
        <v>1.5818983840198599</v>
      </c>
      <c r="K718" s="8">
        <v>1.4138911753626919</v>
      </c>
      <c r="L718" s="8">
        <v>0.56119654775188099</v>
      </c>
      <c r="M718" s="59"/>
    </row>
    <row r="719" spans="1:15" ht="14.25" customHeight="1" x14ac:dyDescent="0.3">
      <c r="A719" s="19" t="s">
        <v>752</v>
      </c>
      <c r="B719" s="6" t="s">
        <v>22</v>
      </c>
      <c r="D719" s="667">
        <v>45768</v>
      </c>
      <c r="E719" s="39" t="s">
        <v>88</v>
      </c>
      <c r="F719" s="8" t="s">
        <v>85</v>
      </c>
      <c r="G719" s="40" t="s">
        <v>89</v>
      </c>
      <c r="H719" s="17" t="s">
        <v>26</v>
      </c>
      <c r="I719" s="663">
        <v>50</v>
      </c>
      <c r="J719" s="6" t="s">
        <v>450</v>
      </c>
      <c r="K719" s="17" t="s">
        <v>451</v>
      </c>
      <c r="L719" s="17" t="s">
        <v>451</v>
      </c>
      <c r="M719" s="663" t="s">
        <v>451</v>
      </c>
      <c r="N719" s="663" t="s">
        <v>451</v>
      </c>
      <c r="O719" s="669"/>
    </row>
    <row r="720" spans="1:15" ht="14.25" customHeight="1" x14ac:dyDescent="0.3">
      <c r="A720" s="19" t="s">
        <v>753</v>
      </c>
      <c r="B720" s="6" t="s">
        <v>22</v>
      </c>
      <c r="D720" s="29">
        <v>45768</v>
      </c>
      <c r="E720" s="39" t="s">
        <v>88</v>
      </c>
      <c r="F720" s="8" t="s">
        <v>85</v>
      </c>
      <c r="G720" s="40" t="s">
        <v>89</v>
      </c>
      <c r="H720" s="17" t="s">
        <v>26</v>
      </c>
      <c r="I720" s="44">
        <v>50</v>
      </c>
      <c r="J720" s="6" t="s">
        <v>450</v>
      </c>
      <c r="K720" s="17" t="s">
        <v>451</v>
      </c>
      <c r="L720" s="17" t="s">
        <v>451</v>
      </c>
      <c r="M720" s="44" t="s">
        <v>451</v>
      </c>
      <c r="N720" s="44" t="s">
        <v>451</v>
      </c>
    </row>
    <row r="721" spans="1:15" ht="14.25" customHeight="1" x14ac:dyDescent="0.3">
      <c r="A721" s="19" t="s">
        <v>754</v>
      </c>
      <c r="B721" s="19" t="s">
        <v>22</v>
      </c>
      <c r="D721" s="691">
        <v>45933</v>
      </c>
      <c r="E721" s="16" t="s">
        <v>23</v>
      </c>
      <c r="F721" s="8" t="s">
        <v>85</v>
      </c>
      <c r="G721" s="16" t="s">
        <v>67</v>
      </c>
      <c r="H721" s="6" t="s">
        <v>18</v>
      </c>
      <c r="I721" s="44">
        <v>50</v>
      </c>
      <c r="J721" s="19">
        <v>2.2000000000000002</v>
      </c>
      <c r="K721" s="19">
        <v>0.37</v>
      </c>
      <c r="L721" s="19">
        <v>3.28</v>
      </c>
      <c r="M721" s="59"/>
    </row>
    <row r="722" spans="1:15" ht="14.25" customHeight="1" x14ac:dyDescent="0.3">
      <c r="A722" s="17" t="s">
        <v>755</v>
      </c>
      <c r="B722" s="14" t="s">
        <v>22</v>
      </c>
      <c r="D722" s="111">
        <v>45733</v>
      </c>
      <c r="E722" s="39" t="s">
        <v>88</v>
      </c>
      <c r="F722" s="8" t="s">
        <v>85</v>
      </c>
      <c r="G722" s="40" t="s">
        <v>89</v>
      </c>
      <c r="H722" s="17" t="s">
        <v>26</v>
      </c>
      <c r="I722" s="663">
        <v>50</v>
      </c>
      <c r="J722" s="17" t="s">
        <v>230</v>
      </c>
      <c r="K722" s="17"/>
      <c r="L722" s="17"/>
      <c r="M722" s="674"/>
      <c r="N722" s="669"/>
    </row>
    <row r="723" spans="1:15" ht="14.25" customHeight="1" x14ac:dyDescent="0.3">
      <c r="A723" s="19" t="s">
        <v>756</v>
      </c>
      <c r="B723" s="6" t="s">
        <v>22</v>
      </c>
      <c r="D723" s="667">
        <v>45768</v>
      </c>
      <c r="E723" s="39" t="s">
        <v>88</v>
      </c>
      <c r="F723" s="8" t="s">
        <v>85</v>
      </c>
      <c r="G723" s="40" t="s">
        <v>89</v>
      </c>
      <c r="H723" s="17" t="s">
        <v>26</v>
      </c>
      <c r="I723" s="663">
        <v>50</v>
      </c>
      <c r="J723" s="6" t="s">
        <v>450</v>
      </c>
      <c r="K723" s="17" t="s">
        <v>451</v>
      </c>
      <c r="L723" s="17" t="s">
        <v>451</v>
      </c>
      <c r="M723" s="663" t="s">
        <v>451</v>
      </c>
      <c r="N723" s="663" t="s">
        <v>451</v>
      </c>
      <c r="O723" s="669"/>
    </row>
    <row r="724" spans="1:15" ht="14.25" customHeight="1" thickBot="1" x14ac:dyDescent="0.35">
      <c r="A724" s="19" t="s">
        <v>757</v>
      </c>
      <c r="B724" s="6" t="s">
        <v>22</v>
      </c>
      <c r="D724" s="667">
        <v>45768</v>
      </c>
      <c r="E724" s="39" t="s">
        <v>88</v>
      </c>
      <c r="F724" s="8" t="s">
        <v>85</v>
      </c>
      <c r="G724" s="40" t="s">
        <v>89</v>
      </c>
      <c r="H724" s="17" t="s">
        <v>26</v>
      </c>
      <c r="I724" s="663">
        <v>50</v>
      </c>
      <c r="J724" s="6" t="s">
        <v>450</v>
      </c>
      <c r="K724" s="17" t="s">
        <v>451</v>
      </c>
      <c r="L724" s="17" t="s">
        <v>451</v>
      </c>
      <c r="M724" s="663" t="s">
        <v>451</v>
      </c>
      <c r="N724" s="663" t="s">
        <v>451</v>
      </c>
      <c r="O724" s="669"/>
    </row>
    <row r="725" spans="1:15" ht="14.25" customHeight="1" thickBot="1" x14ac:dyDescent="0.35">
      <c r="A725" s="19" t="s">
        <v>758</v>
      </c>
      <c r="B725" s="6" t="s">
        <v>22</v>
      </c>
      <c r="D725" s="667">
        <v>45768</v>
      </c>
      <c r="E725" s="39" t="s">
        <v>88</v>
      </c>
      <c r="F725" s="8" t="s">
        <v>85</v>
      </c>
      <c r="G725" s="40" t="s">
        <v>89</v>
      </c>
      <c r="H725" s="17" t="s">
        <v>26</v>
      </c>
      <c r="I725" s="663">
        <v>50</v>
      </c>
      <c r="J725" s="102" t="s">
        <v>450</v>
      </c>
      <c r="K725" s="17" t="s">
        <v>451</v>
      </c>
      <c r="L725" s="17" t="s">
        <v>451</v>
      </c>
      <c r="M725" s="663" t="s">
        <v>451</v>
      </c>
      <c r="N725" s="663" t="s">
        <v>451</v>
      </c>
      <c r="O725" s="669"/>
    </row>
    <row r="726" spans="1:15" ht="14.25" customHeight="1" x14ac:dyDescent="0.3">
      <c r="A726" s="19" t="s">
        <v>759</v>
      </c>
      <c r="B726" s="6" t="s">
        <v>22</v>
      </c>
      <c r="D726" s="667">
        <v>45768</v>
      </c>
      <c r="E726" s="39" t="s">
        <v>88</v>
      </c>
      <c r="F726" s="8" t="s">
        <v>85</v>
      </c>
      <c r="G726" s="40" t="s">
        <v>89</v>
      </c>
      <c r="H726" s="17" t="s">
        <v>26</v>
      </c>
      <c r="I726" s="663">
        <v>50</v>
      </c>
      <c r="J726" s="6" t="s">
        <v>450</v>
      </c>
      <c r="K726" s="17" t="s">
        <v>451</v>
      </c>
      <c r="L726" s="17" t="s">
        <v>451</v>
      </c>
      <c r="M726" s="663" t="s">
        <v>451</v>
      </c>
      <c r="N726" s="663" t="s">
        <v>451</v>
      </c>
      <c r="O726" s="669"/>
    </row>
    <row r="727" spans="1:15" ht="14.25" customHeight="1" x14ac:dyDescent="0.3">
      <c r="A727" s="19" t="s">
        <v>760</v>
      </c>
      <c r="B727" s="6" t="s">
        <v>22</v>
      </c>
      <c r="D727" s="667">
        <v>45768</v>
      </c>
      <c r="E727" s="39" t="s">
        <v>88</v>
      </c>
      <c r="F727" s="8" t="s">
        <v>85</v>
      </c>
      <c r="G727" s="40" t="s">
        <v>89</v>
      </c>
      <c r="H727" s="17" t="s">
        <v>26</v>
      </c>
      <c r="I727" s="663">
        <v>50</v>
      </c>
      <c r="J727" s="6" t="s">
        <v>450</v>
      </c>
      <c r="K727" s="17" t="s">
        <v>451</v>
      </c>
      <c r="L727" s="17" t="s">
        <v>451</v>
      </c>
      <c r="M727" s="663" t="s">
        <v>451</v>
      </c>
      <c r="N727" s="663" t="s">
        <v>451</v>
      </c>
      <c r="O727" s="669"/>
    </row>
    <row r="728" spans="1:15" ht="14.25" customHeight="1" x14ac:dyDescent="0.3">
      <c r="A728" s="17" t="s">
        <v>761</v>
      </c>
      <c r="B728" s="14" t="s">
        <v>22</v>
      </c>
      <c r="D728" s="111">
        <v>45848</v>
      </c>
      <c r="E728" s="39" t="s">
        <v>88</v>
      </c>
      <c r="F728" s="8" t="s">
        <v>85</v>
      </c>
      <c r="G728" s="40" t="s">
        <v>89</v>
      </c>
      <c r="H728" s="17" t="s">
        <v>26</v>
      </c>
      <c r="I728" s="663">
        <v>50</v>
      </c>
      <c r="J728" s="17" t="s">
        <v>230</v>
      </c>
      <c r="K728" s="17"/>
      <c r="L728" s="17"/>
      <c r="M728" s="674"/>
      <c r="N728" s="669"/>
    </row>
    <row r="729" spans="1:15" ht="14.25" customHeight="1" x14ac:dyDescent="0.3">
      <c r="A729" s="19" t="s">
        <v>762</v>
      </c>
      <c r="B729" s="6" t="s">
        <v>22</v>
      </c>
      <c r="D729" s="29">
        <v>45768</v>
      </c>
      <c r="E729" s="39" t="s">
        <v>88</v>
      </c>
      <c r="F729" s="8" t="s">
        <v>85</v>
      </c>
      <c r="G729" s="40" t="s">
        <v>89</v>
      </c>
      <c r="H729" s="17" t="s">
        <v>26</v>
      </c>
      <c r="I729" s="663">
        <v>50</v>
      </c>
      <c r="J729" s="6" t="s">
        <v>450</v>
      </c>
      <c r="K729" s="17" t="s">
        <v>451</v>
      </c>
      <c r="L729" s="17" t="s">
        <v>451</v>
      </c>
      <c r="M729" s="663" t="s">
        <v>451</v>
      </c>
      <c r="N729" s="663" t="s">
        <v>451</v>
      </c>
    </row>
    <row r="730" spans="1:15" ht="14.25" customHeight="1" x14ac:dyDescent="0.3">
      <c r="A730" s="19" t="s">
        <v>763</v>
      </c>
      <c r="B730" s="6" t="s">
        <v>22</v>
      </c>
      <c r="D730" s="667">
        <v>45768</v>
      </c>
      <c r="E730" s="39" t="s">
        <v>88</v>
      </c>
      <c r="F730" s="8" t="s">
        <v>85</v>
      </c>
      <c r="G730" s="40" t="s">
        <v>89</v>
      </c>
      <c r="H730" s="17" t="s">
        <v>26</v>
      </c>
      <c r="I730" s="663">
        <v>50</v>
      </c>
      <c r="J730" s="6" t="s">
        <v>450</v>
      </c>
      <c r="K730" s="17" t="s">
        <v>451</v>
      </c>
      <c r="L730" s="17" t="s">
        <v>451</v>
      </c>
      <c r="M730" s="663" t="s">
        <v>451</v>
      </c>
      <c r="N730" s="44" t="s">
        <v>451</v>
      </c>
    </row>
    <row r="731" spans="1:15" ht="14.25" customHeight="1" x14ac:dyDescent="0.3">
      <c r="A731" s="19" t="s">
        <v>764</v>
      </c>
      <c r="B731" s="6" t="s">
        <v>22</v>
      </c>
      <c r="D731" s="29">
        <v>45768</v>
      </c>
      <c r="E731" s="39" t="s">
        <v>88</v>
      </c>
      <c r="F731" s="8" t="s">
        <v>85</v>
      </c>
      <c r="G731" s="40" t="s">
        <v>89</v>
      </c>
      <c r="H731" s="17" t="s">
        <v>26</v>
      </c>
      <c r="I731" s="663">
        <v>50</v>
      </c>
      <c r="J731" s="6" t="s">
        <v>450</v>
      </c>
      <c r="K731" s="17" t="s">
        <v>451</v>
      </c>
      <c r="L731" s="17" t="s">
        <v>451</v>
      </c>
      <c r="M731" s="663" t="s">
        <v>451</v>
      </c>
      <c r="N731" s="663" t="s">
        <v>451</v>
      </c>
    </row>
    <row r="732" spans="1:15" ht="14.25" customHeight="1" x14ac:dyDescent="0.3">
      <c r="A732" s="19" t="s">
        <v>765</v>
      </c>
      <c r="B732" s="19" t="s">
        <v>22</v>
      </c>
      <c r="D732" s="110">
        <v>45933</v>
      </c>
      <c r="E732" s="16" t="s">
        <v>23</v>
      </c>
      <c r="F732" s="8" t="s">
        <v>85</v>
      </c>
      <c r="G732" s="16" t="s">
        <v>67</v>
      </c>
      <c r="H732" s="6" t="s">
        <v>18</v>
      </c>
      <c r="I732" s="663">
        <v>50</v>
      </c>
      <c r="J732" s="19">
        <v>63.3</v>
      </c>
      <c r="K732" s="19">
        <v>1.06</v>
      </c>
      <c r="L732" s="19">
        <v>1.23</v>
      </c>
      <c r="M732" s="59"/>
    </row>
    <row r="733" spans="1:15" ht="14.25" customHeight="1" x14ac:dyDescent="0.3">
      <c r="A733" s="19" t="s">
        <v>766</v>
      </c>
      <c r="B733" s="6" t="s">
        <v>22</v>
      </c>
      <c r="D733" s="667">
        <v>45768</v>
      </c>
      <c r="E733" s="39" t="s">
        <v>88</v>
      </c>
      <c r="F733" s="8" t="s">
        <v>85</v>
      </c>
      <c r="G733" s="40" t="s">
        <v>89</v>
      </c>
      <c r="H733" s="17" t="s">
        <v>26</v>
      </c>
      <c r="I733" s="663">
        <v>50</v>
      </c>
      <c r="J733" s="6" t="s">
        <v>450</v>
      </c>
      <c r="K733" s="17" t="s">
        <v>451</v>
      </c>
      <c r="L733" s="17" t="s">
        <v>451</v>
      </c>
      <c r="M733" s="663" t="s">
        <v>451</v>
      </c>
      <c r="N733" s="44" t="s">
        <v>451</v>
      </c>
    </row>
    <row r="734" spans="1:15" ht="14.25" customHeight="1" x14ac:dyDescent="0.3">
      <c r="A734" s="17" t="s">
        <v>766</v>
      </c>
      <c r="B734" s="14" t="s">
        <v>22</v>
      </c>
      <c r="D734" s="689">
        <v>45705</v>
      </c>
      <c r="E734" s="39" t="s">
        <v>88</v>
      </c>
      <c r="F734" s="8" t="s">
        <v>85</v>
      </c>
      <c r="G734" s="40" t="s">
        <v>89</v>
      </c>
      <c r="H734" s="17" t="s">
        <v>26</v>
      </c>
      <c r="I734" s="663">
        <v>50</v>
      </c>
      <c r="J734" s="26">
        <v>51.786532743011684</v>
      </c>
      <c r="K734" s="8">
        <v>1.5461234385506104</v>
      </c>
      <c r="L734" s="8">
        <v>0.71124765615083763</v>
      </c>
      <c r="M734" s="59"/>
    </row>
    <row r="735" spans="1:15" ht="14.25" customHeight="1" thickBot="1" x14ac:dyDescent="0.35">
      <c r="A735" s="17" t="s">
        <v>767</v>
      </c>
      <c r="B735" s="6" t="s">
        <v>477</v>
      </c>
      <c r="D735" s="29">
        <v>45772</v>
      </c>
      <c r="E735" s="39" t="s">
        <v>88</v>
      </c>
      <c r="F735" s="8" t="s">
        <v>85</v>
      </c>
      <c r="G735" s="40" t="s">
        <v>89</v>
      </c>
      <c r="H735" s="17" t="s">
        <v>26</v>
      </c>
      <c r="I735" s="663"/>
      <c r="J735" s="6"/>
      <c r="K735" s="17"/>
      <c r="L735" s="17"/>
      <c r="M735" s="674"/>
      <c r="N735" s="669"/>
    </row>
    <row r="736" spans="1:15" ht="14.25" customHeight="1" thickBot="1" x14ac:dyDescent="0.35">
      <c r="A736" s="19" t="s">
        <v>768</v>
      </c>
      <c r="B736" s="19" t="s">
        <v>22</v>
      </c>
      <c r="D736" s="134">
        <v>45925</v>
      </c>
      <c r="E736" s="16" t="s">
        <v>23</v>
      </c>
      <c r="F736" s="8" t="s">
        <v>85</v>
      </c>
      <c r="G736" s="16" t="s">
        <v>67</v>
      </c>
      <c r="H736" s="6" t="s">
        <v>18</v>
      </c>
      <c r="I736" s="44">
        <v>50</v>
      </c>
      <c r="J736" s="19">
        <v>139.19999999999999</v>
      </c>
      <c r="K736" s="19">
        <v>0.23</v>
      </c>
      <c r="L736" s="19">
        <v>1.34</v>
      </c>
      <c r="M736" s="59"/>
    </row>
    <row r="737" spans="1:14" ht="14.25" customHeight="1" thickBot="1" x14ac:dyDescent="0.35">
      <c r="A737" s="14" t="s">
        <v>769</v>
      </c>
      <c r="B737" s="14" t="s">
        <v>22</v>
      </c>
      <c r="D737" s="133">
        <v>45817</v>
      </c>
      <c r="E737" s="39" t="s">
        <v>88</v>
      </c>
      <c r="F737" s="8" t="s">
        <v>85</v>
      </c>
      <c r="G737" s="40" t="s">
        <v>89</v>
      </c>
      <c r="H737" s="17" t="s">
        <v>26</v>
      </c>
      <c r="I737" s="44">
        <v>50</v>
      </c>
      <c r="J737" s="26">
        <v>367.78666712210207</v>
      </c>
      <c r="K737" s="8">
        <v>1.9621032851248843</v>
      </c>
      <c r="L737" s="8">
        <v>1.8900036685351704</v>
      </c>
      <c r="M737" s="59"/>
    </row>
    <row r="738" spans="1:14" ht="14.25" customHeight="1" x14ac:dyDescent="0.3">
      <c r="A738" s="17" t="s">
        <v>770</v>
      </c>
      <c r="B738" s="6" t="s">
        <v>477</v>
      </c>
      <c r="D738" s="29">
        <v>45772</v>
      </c>
      <c r="E738" s="39" t="s">
        <v>88</v>
      </c>
      <c r="F738" s="8" t="s">
        <v>85</v>
      </c>
      <c r="G738" s="40" t="s">
        <v>89</v>
      </c>
      <c r="H738" s="17" t="s">
        <v>26</v>
      </c>
      <c r="I738" s="663"/>
      <c r="J738" s="6"/>
      <c r="K738" s="17"/>
      <c r="L738" s="17"/>
      <c r="M738" s="674"/>
      <c r="N738" s="669"/>
    </row>
    <row r="739" spans="1:14" ht="14.25" customHeight="1" x14ac:dyDescent="0.3">
      <c r="A739" s="19" t="s">
        <v>771</v>
      </c>
      <c r="B739" s="19" t="s">
        <v>22</v>
      </c>
      <c r="D739" s="110">
        <v>45925</v>
      </c>
      <c r="E739" s="16" t="s">
        <v>23</v>
      </c>
      <c r="F739" s="8" t="s">
        <v>85</v>
      </c>
      <c r="G739" s="16" t="s">
        <v>67</v>
      </c>
      <c r="H739" s="6" t="s">
        <v>18</v>
      </c>
      <c r="I739" s="44">
        <v>50</v>
      </c>
      <c r="J739" s="19">
        <v>2.6</v>
      </c>
      <c r="K739" s="19">
        <v>0.5</v>
      </c>
      <c r="L739" s="19">
        <v>1.66</v>
      </c>
      <c r="M739" s="59"/>
    </row>
    <row r="740" spans="1:14" ht="14.25" customHeight="1" x14ac:dyDescent="0.3">
      <c r="A740" s="17" t="s">
        <v>772</v>
      </c>
      <c r="B740" s="6" t="s">
        <v>477</v>
      </c>
      <c r="D740" s="29">
        <v>45772</v>
      </c>
      <c r="E740" s="39" t="s">
        <v>88</v>
      </c>
      <c r="F740" s="8" t="s">
        <v>85</v>
      </c>
      <c r="G740" s="40" t="s">
        <v>89</v>
      </c>
      <c r="H740" s="17" t="s">
        <v>26</v>
      </c>
      <c r="I740" s="663"/>
      <c r="J740" s="6"/>
      <c r="K740" s="17"/>
      <c r="L740" s="17"/>
      <c r="M740" s="674"/>
      <c r="N740" s="669"/>
    </row>
    <row r="741" spans="1:14" ht="14.25" customHeight="1" x14ac:dyDescent="0.3">
      <c r="A741" s="19" t="s">
        <v>773</v>
      </c>
      <c r="B741" s="19" t="s">
        <v>22</v>
      </c>
      <c r="D741" s="691">
        <v>45925</v>
      </c>
      <c r="E741" s="16" t="s">
        <v>23</v>
      </c>
      <c r="F741" s="8" t="s">
        <v>85</v>
      </c>
      <c r="G741" s="16" t="s">
        <v>67</v>
      </c>
      <c r="H741" s="6" t="s">
        <v>18</v>
      </c>
      <c r="I741" s="663">
        <v>50</v>
      </c>
      <c r="J741" s="19">
        <v>624.29999999999995</v>
      </c>
      <c r="K741" s="17" t="s">
        <v>451</v>
      </c>
      <c r="L741" s="19">
        <v>1.5</v>
      </c>
      <c r="M741" s="674"/>
    </row>
    <row r="742" spans="1:14" ht="14.25" customHeight="1" x14ac:dyDescent="0.3">
      <c r="A742" s="17" t="s">
        <v>774</v>
      </c>
      <c r="B742" s="6" t="s">
        <v>477</v>
      </c>
      <c r="D742" s="667">
        <v>45772</v>
      </c>
      <c r="E742" s="39" t="s">
        <v>88</v>
      </c>
      <c r="F742" s="8" t="s">
        <v>85</v>
      </c>
      <c r="G742" s="40" t="s">
        <v>89</v>
      </c>
      <c r="H742" s="17" t="s">
        <v>26</v>
      </c>
      <c r="I742" s="663"/>
      <c r="J742" s="6"/>
      <c r="K742" s="17"/>
      <c r="L742" s="17"/>
      <c r="M742" s="674"/>
      <c r="N742" s="669"/>
    </row>
    <row r="743" spans="1:14" ht="14.25" customHeight="1" x14ac:dyDescent="0.3">
      <c r="A743" s="19" t="s">
        <v>775</v>
      </c>
      <c r="B743" s="19" t="s">
        <v>22</v>
      </c>
      <c r="D743" s="110">
        <v>45925</v>
      </c>
      <c r="E743" s="16" t="s">
        <v>23</v>
      </c>
      <c r="F743" s="8" t="s">
        <v>85</v>
      </c>
      <c r="G743" s="16" t="s">
        <v>67</v>
      </c>
      <c r="H743" s="6" t="s">
        <v>18</v>
      </c>
      <c r="I743" s="44">
        <v>50</v>
      </c>
      <c r="J743" s="19">
        <v>37.4</v>
      </c>
      <c r="K743" s="19">
        <v>0.3</v>
      </c>
      <c r="L743" s="19">
        <v>1.24</v>
      </c>
      <c r="M743" s="59"/>
    </row>
    <row r="744" spans="1:14" ht="14.25" customHeight="1" x14ac:dyDescent="0.3">
      <c r="A744" s="17" t="s">
        <v>776</v>
      </c>
      <c r="B744" s="6" t="s">
        <v>477</v>
      </c>
      <c r="D744" s="667">
        <v>45772</v>
      </c>
      <c r="E744" s="39" t="s">
        <v>88</v>
      </c>
      <c r="F744" s="8" t="s">
        <v>85</v>
      </c>
      <c r="G744" s="40" t="s">
        <v>89</v>
      </c>
      <c r="H744" s="17" t="s">
        <v>26</v>
      </c>
      <c r="I744" s="663"/>
      <c r="J744" s="6"/>
      <c r="K744" s="17"/>
      <c r="L744" s="17"/>
      <c r="M744" s="674"/>
      <c r="N744" s="669"/>
    </row>
    <row r="745" spans="1:14" ht="14.25" customHeight="1" x14ac:dyDescent="0.3">
      <c r="A745" s="19" t="s">
        <v>777</v>
      </c>
      <c r="B745" s="19" t="s">
        <v>22</v>
      </c>
      <c r="D745" s="110">
        <v>45925</v>
      </c>
      <c r="E745" s="16" t="s">
        <v>23</v>
      </c>
      <c r="F745" s="8" t="s">
        <v>85</v>
      </c>
      <c r="G745" s="16" t="s">
        <v>67</v>
      </c>
      <c r="H745" s="6" t="s">
        <v>18</v>
      </c>
      <c r="I745" s="44">
        <v>50</v>
      </c>
      <c r="J745" s="19">
        <v>35.9</v>
      </c>
      <c r="K745" s="19">
        <v>0.47</v>
      </c>
      <c r="L745" s="19">
        <v>1.38</v>
      </c>
      <c r="M745" s="59"/>
    </row>
    <row r="746" spans="1:14" ht="14.25" customHeight="1" thickBot="1" x14ac:dyDescent="0.35">
      <c r="A746" s="17" t="s">
        <v>778</v>
      </c>
      <c r="B746" s="6" t="s">
        <v>477</v>
      </c>
      <c r="D746" s="667">
        <v>45772</v>
      </c>
      <c r="E746" s="39" t="s">
        <v>88</v>
      </c>
      <c r="F746" s="8" t="s">
        <v>85</v>
      </c>
      <c r="G746" s="40" t="s">
        <v>89</v>
      </c>
      <c r="H746" s="17" t="s">
        <v>26</v>
      </c>
      <c r="I746" s="663"/>
      <c r="J746" s="6"/>
      <c r="K746" s="17"/>
      <c r="L746" s="17"/>
      <c r="M746" s="674"/>
      <c r="N746" s="669"/>
    </row>
    <row r="747" spans="1:14" ht="14.25" customHeight="1" thickBot="1" x14ac:dyDescent="0.35">
      <c r="A747" s="19" t="s">
        <v>779</v>
      </c>
      <c r="B747" s="19" t="s">
        <v>22</v>
      </c>
      <c r="D747" s="135">
        <v>45925</v>
      </c>
      <c r="E747" s="16" t="s">
        <v>23</v>
      </c>
      <c r="F747" s="8" t="s">
        <v>85</v>
      </c>
      <c r="G747" s="16" t="s">
        <v>67</v>
      </c>
      <c r="H747" s="6" t="s">
        <v>18</v>
      </c>
      <c r="I747" s="44">
        <v>50</v>
      </c>
      <c r="J747" s="19">
        <v>60.6</v>
      </c>
      <c r="K747" s="19">
        <v>0.39</v>
      </c>
      <c r="L747" s="19">
        <v>1.39</v>
      </c>
      <c r="M747" s="59"/>
    </row>
    <row r="748" spans="1:14" ht="14.25" customHeight="1" thickBot="1" x14ac:dyDescent="0.35">
      <c r="A748" s="19" t="s">
        <v>780</v>
      </c>
      <c r="B748" s="19" t="s">
        <v>22</v>
      </c>
      <c r="D748" s="134">
        <v>45925</v>
      </c>
      <c r="E748" s="16" t="s">
        <v>23</v>
      </c>
      <c r="F748" s="8" t="s">
        <v>85</v>
      </c>
      <c r="G748" s="16" t="s">
        <v>67</v>
      </c>
      <c r="H748" s="6" t="s">
        <v>18</v>
      </c>
      <c r="I748" s="44">
        <v>50</v>
      </c>
      <c r="J748" s="19">
        <v>110.7</v>
      </c>
      <c r="K748" s="19">
        <v>0.41</v>
      </c>
      <c r="L748" s="19">
        <v>1.42</v>
      </c>
      <c r="M748" s="59"/>
    </row>
    <row r="749" spans="1:14" ht="14.25" customHeight="1" thickBot="1" x14ac:dyDescent="0.35">
      <c r="A749" s="19" t="s">
        <v>781</v>
      </c>
      <c r="B749" s="19" t="s">
        <v>22</v>
      </c>
      <c r="D749" s="135">
        <v>45925</v>
      </c>
      <c r="E749" s="16" t="s">
        <v>23</v>
      </c>
      <c r="F749" s="8" t="s">
        <v>85</v>
      </c>
      <c r="G749" s="16" t="s">
        <v>67</v>
      </c>
      <c r="H749" s="6" t="s">
        <v>18</v>
      </c>
      <c r="I749" s="663">
        <v>50</v>
      </c>
      <c r="J749" s="19">
        <v>719.6</v>
      </c>
      <c r="K749" s="17" t="s">
        <v>451</v>
      </c>
      <c r="L749" s="19">
        <v>1.62</v>
      </c>
      <c r="M749" s="674"/>
    </row>
    <row r="750" spans="1:14" ht="14.25" customHeight="1" thickBot="1" x14ac:dyDescent="0.35">
      <c r="A750" s="17" t="s">
        <v>782</v>
      </c>
      <c r="B750" s="14" t="s">
        <v>22</v>
      </c>
      <c r="D750" s="133">
        <v>45733</v>
      </c>
      <c r="E750" s="39" t="s">
        <v>88</v>
      </c>
      <c r="F750" s="8" t="s">
        <v>85</v>
      </c>
      <c r="G750" s="40" t="s">
        <v>89</v>
      </c>
      <c r="H750" s="17" t="s">
        <v>26</v>
      </c>
      <c r="I750" s="663">
        <v>50</v>
      </c>
      <c r="J750" s="17" t="s">
        <v>230</v>
      </c>
      <c r="K750" s="17"/>
      <c r="L750" s="17"/>
      <c r="M750" s="674"/>
      <c r="N750" s="669"/>
    </row>
    <row r="751" spans="1:14" ht="14.25" customHeight="1" x14ac:dyDescent="0.3">
      <c r="A751" s="19" t="s">
        <v>783</v>
      </c>
      <c r="B751" s="19" t="s">
        <v>22</v>
      </c>
      <c r="D751" s="691">
        <v>45933</v>
      </c>
      <c r="E751" s="16" t="s">
        <v>23</v>
      </c>
      <c r="F751" s="8" t="s">
        <v>85</v>
      </c>
      <c r="G751" s="16" t="s">
        <v>67</v>
      </c>
      <c r="H751" s="6" t="s">
        <v>18</v>
      </c>
      <c r="I751" s="44">
        <v>50</v>
      </c>
      <c r="J751" s="19">
        <v>25.4</v>
      </c>
      <c r="K751" s="19">
        <v>0.91</v>
      </c>
      <c r="L751" s="19">
        <v>1.69</v>
      </c>
      <c r="M751" s="59"/>
    </row>
    <row r="752" spans="1:14" ht="14.25" customHeight="1" thickBot="1" x14ac:dyDescent="0.35">
      <c r="A752" s="17" t="s">
        <v>784</v>
      </c>
      <c r="B752" s="14" t="s">
        <v>22</v>
      </c>
      <c r="D752" s="689">
        <v>45705</v>
      </c>
      <c r="E752" s="39" t="s">
        <v>88</v>
      </c>
      <c r="F752" s="8" t="s">
        <v>85</v>
      </c>
      <c r="G752" s="40" t="s">
        <v>89</v>
      </c>
      <c r="H752" s="17" t="s">
        <v>26</v>
      </c>
      <c r="I752" s="663">
        <v>50</v>
      </c>
      <c r="J752" s="26">
        <v>16.091765039956819</v>
      </c>
      <c r="K752" s="8">
        <v>1.3339934655286043</v>
      </c>
      <c r="L752" s="8">
        <v>0.96309114931130668</v>
      </c>
      <c r="M752" s="59"/>
    </row>
    <row r="753" spans="1:15" ht="14.25" customHeight="1" thickBot="1" x14ac:dyDescent="0.35">
      <c r="A753" s="19" t="s">
        <v>785</v>
      </c>
      <c r="B753" s="19" t="s">
        <v>22</v>
      </c>
      <c r="D753" s="135">
        <v>45933</v>
      </c>
      <c r="E753" s="16" t="s">
        <v>23</v>
      </c>
      <c r="F753" s="8" t="s">
        <v>85</v>
      </c>
      <c r="G753" s="16" t="s">
        <v>67</v>
      </c>
      <c r="H753" s="6" t="s">
        <v>18</v>
      </c>
      <c r="I753" s="44">
        <v>50</v>
      </c>
      <c r="J753" s="19">
        <v>456.6</v>
      </c>
      <c r="K753" s="19">
        <v>2.0499999999999998</v>
      </c>
      <c r="L753" s="19">
        <v>1.96</v>
      </c>
      <c r="M753" s="59"/>
    </row>
    <row r="754" spans="1:15" ht="14.25" customHeight="1" thickBot="1" x14ac:dyDescent="0.35">
      <c r="A754" s="14" t="s">
        <v>785</v>
      </c>
      <c r="B754" s="14" t="s">
        <v>22</v>
      </c>
      <c r="D754" s="133">
        <v>45817</v>
      </c>
      <c r="E754" s="39" t="s">
        <v>88</v>
      </c>
      <c r="F754" s="8" t="s">
        <v>85</v>
      </c>
      <c r="G754" s="40" t="s">
        <v>89</v>
      </c>
      <c r="H754" s="17" t="s">
        <v>26</v>
      </c>
      <c r="I754" s="663">
        <v>50</v>
      </c>
      <c r="J754" s="26">
        <v>23.377604259609285</v>
      </c>
      <c r="K754" s="8">
        <v>1.0479390249637404</v>
      </c>
      <c r="L754" s="8">
        <v>2.1066520176354651</v>
      </c>
      <c r="M754" s="59"/>
    </row>
    <row r="755" spans="1:15" ht="14.25" customHeight="1" x14ac:dyDescent="0.3">
      <c r="A755" s="17" t="s">
        <v>786</v>
      </c>
      <c r="B755" s="6" t="s">
        <v>477</v>
      </c>
      <c r="D755" s="29">
        <v>45772</v>
      </c>
      <c r="E755" s="39" t="s">
        <v>88</v>
      </c>
      <c r="F755" s="8" t="s">
        <v>85</v>
      </c>
      <c r="G755" s="40" t="s">
        <v>89</v>
      </c>
      <c r="H755" s="17" t="s">
        <v>26</v>
      </c>
      <c r="I755" s="663"/>
      <c r="J755" s="6"/>
      <c r="K755" s="17"/>
      <c r="L755" s="17"/>
      <c r="M755" s="674"/>
      <c r="N755" s="669"/>
    </row>
    <row r="756" spans="1:15" ht="14.25" customHeight="1" x14ac:dyDescent="0.3">
      <c r="A756" s="19" t="s">
        <v>787</v>
      </c>
      <c r="B756" s="19" t="s">
        <v>22</v>
      </c>
      <c r="D756" s="691">
        <v>45933</v>
      </c>
      <c r="E756" s="16" t="s">
        <v>23</v>
      </c>
      <c r="F756" s="8" t="s">
        <v>85</v>
      </c>
      <c r="G756" s="16" t="s">
        <v>67</v>
      </c>
      <c r="H756" s="6" t="s">
        <v>18</v>
      </c>
      <c r="I756" s="663">
        <v>50</v>
      </c>
      <c r="J756" s="19">
        <v>48.6</v>
      </c>
      <c r="K756" s="19">
        <v>1.36</v>
      </c>
      <c r="L756" s="19">
        <v>1.79</v>
      </c>
      <c r="M756" s="59"/>
    </row>
    <row r="757" spans="1:15" ht="14.25" customHeight="1" x14ac:dyDescent="0.3">
      <c r="A757" s="17" t="s">
        <v>788</v>
      </c>
      <c r="B757" s="14" t="s">
        <v>22</v>
      </c>
      <c r="D757" s="111">
        <v>45848</v>
      </c>
      <c r="E757" s="39" t="s">
        <v>88</v>
      </c>
      <c r="F757" s="8" t="s">
        <v>85</v>
      </c>
      <c r="G757" s="40" t="s">
        <v>89</v>
      </c>
      <c r="H757" s="17" t="s">
        <v>26</v>
      </c>
      <c r="I757" s="663">
        <v>50</v>
      </c>
      <c r="J757" s="17" t="s">
        <v>230</v>
      </c>
      <c r="K757" s="17"/>
      <c r="L757" s="17"/>
      <c r="M757" s="674"/>
      <c r="N757" s="669"/>
    </row>
    <row r="758" spans="1:15" ht="14.25" customHeight="1" x14ac:dyDescent="0.3">
      <c r="A758" s="19" t="s">
        <v>789</v>
      </c>
      <c r="B758" s="6" t="s">
        <v>477</v>
      </c>
      <c r="D758" s="98">
        <v>45938</v>
      </c>
      <c r="E758" s="39" t="s">
        <v>88</v>
      </c>
      <c r="F758" s="8" t="s">
        <v>85</v>
      </c>
      <c r="G758" s="40" t="s">
        <v>89</v>
      </c>
      <c r="H758" s="6"/>
      <c r="I758" s="663"/>
      <c r="J758" s="6"/>
      <c r="K758" s="17"/>
      <c r="L758" s="17"/>
      <c r="M758" s="674"/>
      <c r="N758" s="669"/>
    </row>
    <row r="759" spans="1:15" ht="14.25" customHeight="1" x14ac:dyDescent="0.3">
      <c r="A759" s="19" t="s">
        <v>790</v>
      </c>
      <c r="B759" s="6" t="s">
        <v>477</v>
      </c>
      <c r="D759" s="666">
        <v>45938</v>
      </c>
      <c r="E759" s="39" t="s">
        <v>88</v>
      </c>
      <c r="F759" s="8" t="s">
        <v>85</v>
      </c>
      <c r="G759" s="40" t="s">
        <v>89</v>
      </c>
      <c r="H759" s="6"/>
      <c r="I759" s="663"/>
      <c r="J759" s="6"/>
      <c r="K759" s="17"/>
      <c r="L759" s="17"/>
      <c r="M759" s="674"/>
      <c r="N759" s="669"/>
    </row>
    <row r="760" spans="1:15" ht="14.25" customHeight="1" x14ac:dyDescent="0.3">
      <c r="A760" s="19" t="s">
        <v>791</v>
      </c>
      <c r="B760" s="6" t="s">
        <v>477</v>
      </c>
      <c r="D760" s="666">
        <v>45938</v>
      </c>
      <c r="E760" s="39" t="s">
        <v>88</v>
      </c>
      <c r="F760" s="8" t="s">
        <v>85</v>
      </c>
      <c r="G760" s="40" t="s">
        <v>89</v>
      </c>
      <c r="H760" s="6"/>
      <c r="I760" s="663"/>
      <c r="J760" s="6"/>
      <c r="K760" s="17"/>
      <c r="L760" s="17"/>
      <c r="M760" s="674"/>
      <c r="N760" s="669"/>
    </row>
    <row r="761" spans="1:15" ht="14.25" customHeight="1" x14ac:dyDescent="0.3">
      <c r="A761" s="19" t="s">
        <v>792</v>
      </c>
      <c r="B761" s="6" t="s">
        <v>477</v>
      </c>
      <c r="D761" s="666">
        <v>45938</v>
      </c>
      <c r="E761" s="39" t="s">
        <v>88</v>
      </c>
      <c r="F761" s="8" t="s">
        <v>85</v>
      </c>
      <c r="G761" s="40" t="s">
        <v>89</v>
      </c>
      <c r="H761" s="6"/>
      <c r="I761" s="663"/>
      <c r="J761" s="6"/>
      <c r="K761" s="17"/>
      <c r="L761" s="17"/>
      <c r="M761" s="674"/>
      <c r="N761" s="669"/>
    </row>
    <row r="762" spans="1:15" ht="14.25" customHeight="1" x14ac:dyDescent="0.3">
      <c r="A762" s="17" t="s">
        <v>793</v>
      </c>
      <c r="B762" s="6" t="s">
        <v>22</v>
      </c>
      <c r="D762" s="667">
        <v>45768</v>
      </c>
      <c r="E762" s="39" t="s">
        <v>88</v>
      </c>
      <c r="F762" s="8" t="s">
        <v>85</v>
      </c>
      <c r="G762" s="40" t="s">
        <v>89</v>
      </c>
      <c r="H762" s="17" t="s">
        <v>26</v>
      </c>
      <c r="I762" s="663">
        <v>50</v>
      </c>
      <c r="J762" s="17" t="s">
        <v>450</v>
      </c>
      <c r="K762" s="17" t="s">
        <v>451</v>
      </c>
      <c r="L762" s="17" t="s">
        <v>451</v>
      </c>
      <c r="M762" s="663" t="s">
        <v>451</v>
      </c>
      <c r="N762" s="44" t="s">
        <v>451</v>
      </c>
    </row>
    <row r="763" spans="1:15" ht="14.25" customHeight="1" thickBot="1" x14ac:dyDescent="0.35">
      <c r="A763" s="19" t="s">
        <v>794</v>
      </c>
      <c r="B763" s="19" t="s">
        <v>22</v>
      </c>
      <c r="D763" s="686">
        <v>45938</v>
      </c>
      <c r="E763" s="16" t="s">
        <v>23</v>
      </c>
      <c r="F763" s="8" t="s">
        <v>85</v>
      </c>
      <c r="G763" s="16" t="s">
        <v>67</v>
      </c>
      <c r="H763" s="6" t="s">
        <v>18</v>
      </c>
      <c r="I763" s="44">
        <v>50</v>
      </c>
      <c r="J763" s="19">
        <v>55.3</v>
      </c>
      <c r="K763" s="19">
        <v>0.17</v>
      </c>
      <c r="L763" s="19">
        <v>0.91</v>
      </c>
      <c r="M763" s="59"/>
    </row>
    <row r="764" spans="1:15" ht="14.25" customHeight="1" thickBot="1" x14ac:dyDescent="0.35">
      <c r="A764" s="19" t="s">
        <v>794</v>
      </c>
      <c r="B764" s="6" t="s">
        <v>477</v>
      </c>
      <c r="D764" s="619">
        <v>45938</v>
      </c>
      <c r="E764" s="39" t="s">
        <v>88</v>
      </c>
      <c r="F764" s="8" t="s">
        <v>85</v>
      </c>
      <c r="G764" s="40" t="s">
        <v>89</v>
      </c>
      <c r="H764" s="6"/>
      <c r="I764" s="663"/>
      <c r="J764" s="102"/>
      <c r="K764" s="17"/>
      <c r="L764" s="17"/>
      <c r="M764" s="674"/>
      <c r="N764" s="669"/>
    </row>
    <row r="765" spans="1:15" ht="14.25" customHeight="1" thickBot="1" x14ac:dyDescent="0.35">
      <c r="A765" s="17" t="s">
        <v>795</v>
      </c>
      <c r="B765" s="6" t="s">
        <v>22</v>
      </c>
      <c r="D765" s="136">
        <v>45768</v>
      </c>
      <c r="E765" s="39" t="s">
        <v>88</v>
      </c>
      <c r="F765" s="8" t="s">
        <v>85</v>
      </c>
      <c r="G765" s="40" t="s">
        <v>89</v>
      </c>
      <c r="H765" s="17" t="s">
        <v>26</v>
      </c>
      <c r="I765" s="663">
        <v>50</v>
      </c>
      <c r="J765" s="17" t="s">
        <v>450</v>
      </c>
      <c r="K765" s="17" t="s">
        <v>451</v>
      </c>
      <c r="L765" s="17" t="s">
        <v>451</v>
      </c>
      <c r="M765" s="663" t="s">
        <v>451</v>
      </c>
      <c r="N765" s="44" t="s">
        <v>451</v>
      </c>
    </row>
    <row r="766" spans="1:15" ht="14.25" customHeight="1" thickBot="1" x14ac:dyDescent="0.35">
      <c r="A766" s="19" t="s">
        <v>796</v>
      </c>
      <c r="B766" s="19" t="s">
        <v>22</v>
      </c>
      <c r="D766" s="135">
        <v>45938</v>
      </c>
      <c r="E766" s="16" t="s">
        <v>23</v>
      </c>
      <c r="F766" s="8" t="s">
        <v>85</v>
      </c>
      <c r="G766" s="16" t="s">
        <v>67</v>
      </c>
      <c r="H766" s="6" t="s">
        <v>18</v>
      </c>
      <c r="I766" s="44">
        <v>50</v>
      </c>
      <c r="J766" s="19">
        <v>106.1</v>
      </c>
      <c r="K766" s="19">
        <v>0.17</v>
      </c>
      <c r="L766" s="19">
        <v>0.85</v>
      </c>
      <c r="M766" s="59"/>
    </row>
    <row r="767" spans="1:15" ht="14.25" customHeight="1" thickBot="1" x14ac:dyDescent="0.35">
      <c r="A767" s="19" t="s">
        <v>796</v>
      </c>
      <c r="B767" s="6" t="s">
        <v>477</v>
      </c>
      <c r="D767" s="135">
        <v>45940</v>
      </c>
      <c r="E767" s="39" t="s">
        <v>88</v>
      </c>
      <c r="F767" s="8" t="s">
        <v>85</v>
      </c>
      <c r="G767" s="40" t="s">
        <v>89</v>
      </c>
      <c r="H767" s="6"/>
      <c r="I767" s="663"/>
      <c r="J767" s="6"/>
      <c r="K767" s="17"/>
      <c r="L767" s="17"/>
      <c r="M767" s="674"/>
      <c r="N767" s="669"/>
    </row>
    <row r="768" spans="1:15" ht="14.25" customHeight="1" thickBot="1" x14ac:dyDescent="0.35">
      <c r="A768" s="17" t="s">
        <v>797</v>
      </c>
      <c r="B768" s="6" t="s">
        <v>22</v>
      </c>
      <c r="D768" s="136">
        <v>45768</v>
      </c>
      <c r="E768" s="39" t="s">
        <v>88</v>
      </c>
      <c r="F768" s="8" t="s">
        <v>85</v>
      </c>
      <c r="G768" s="40" t="s">
        <v>89</v>
      </c>
      <c r="H768" s="17" t="s">
        <v>26</v>
      </c>
      <c r="I768" s="663">
        <v>50</v>
      </c>
      <c r="J768" s="17" t="s">
        <v>450</v>
      </c>
      <c r="K768" s="17" t="s">
        <v>451</v>
      </c>
      <c r="L768" s="17" t="s">
        <v>451</v>
      </c>
      <c r="M768" s="663" t="s">
        <v>451</v>
      </c>
      <c r="N768" s="663" t="s">
        <v>451</v>
      </c>
      <c r="O768" s="669"/>
    </row>
    <row r="769" spans="1:14" ht="14.25" customHeight="1" thickBot="1" x14ac:dyDescent="0.35">
      <c r="A769" s="19" t="s">
        <v>798</v>
      </c>
      <c r="B769" s="19" t="s">
        <v>22</v>
      </c>
      <c r="D769" s="134">
        <v>45938</v>
      </c>
      <c r="E769" s="16" t="s">
        <v>23</v>
      </c>
      <c r="F769" s="8" t="s">
        <v>85</v>
      </c>
      <c r="G769" s="16" t="s">
        <v>67</v>
      </c>
      <c r="H769" s="6" t="s">
        <v>18</v>
      </c>
      <c r="I769" s="663">
        <v>50</v>
      </c>
      <c r="J769" s="19">
        <v>52</v>
      </c>
      <c r="K769" s="19">
        <v>1.8</v>
      </c>
      <c r="L769" s="19">
        <v>1.67</v>
      </c>
      <c r="M769" s="59"/>
    </row>
    <row r="770" spans="1:14" ht="14.25" customHeight="1" thickBot="1" x14ac:dyDescent="0.35">
      <c r="A770" s="19" t="s">
        <v>798</v>
      </c>
      <c r="B770" s="6" t="s">
        <v>477</v>
      </c>
      <c r="D770" s="134">
        <v>45940</v>
      </c>
      <c r="E770" s="39" t="s">
        <v>88</v>
      </c>
      <c r="F770" s="8" t="s">
        <v>85</v>
      </c>
      <c r="G770" s="40" t="s">
        <v>89</v>
      </c>
      <c r="H770" s="6"/>
      <c r="I770" s="663"/>
      <c r="J770" s="6"/>
      <c r="K770" s="17"/>
      <c r="L770" s="17"/>
      <c r="M770" s="674"/>
      <c r="N770" s="669"/>
    </row>
    <row r="771" spans="1:14" ht="14.25" customHeight="1" x14ac:dyDescent="0.3">
      <c r="A771" s="19" t="s">
        <v>799</v>
      </c>
      <c r="B771" s="6" t="s">
        <v>477</v>
      </c>
      <c r="D771" s="666">
        <v>45938</v>
      </c>
      <c r="E771" s="39" t="s">
        <v>88</v>
      </c>
      <c r="F771" s="8" t="s">
        <v>85</v>
      </c>
      <c r="G771" s="40" t="s">
        <v>89</v>
      </c>
      <c r="H771" s="6"/>
      <c r="I771" s="663"/>
      <c r="J771" s="6"/>
      <c r="K771" s="17"/>
      <c r="L771" s="17"/>
      <c r="M771" s="674"/>
      <c r="N771" s="669"/>
    </row>
    <row r="772" spans="1:14" ht="14.25" customHeight="1" x14ac:dyDescent="0.3">
      <c r="A772" s="14" t="s">
        <v>800</v>
      </c>
      <c r="B772" s="14" t="s">
        <v>22</v>
      </c>
      <c r="D772" s="689">
        <v>45757</v>
      </c>
      <c r="E772" s="39" t="s">
        <v>88</v>
      </c>
      <c r="F772" s="8" t="s">
        <v>85</v>
      </c>
      <c r="G772" s="40" t="s">
        <v>89</v>
      </c>
      <c r="H772" s="17" t="s">
        <v>26</v>
      </c>
      <c r="I772" s="44">
        <v>50</v>
      </c>
      <c r="J772" s="26">
        <v>530.17794800392483</v>
      </c>
      <c r="K772" s="8">
        <v>2.2489974072002226</v>
      </c>
      <c r="L772" s="8">
        <v>1.9927011158158483</v>
      </c>
      <c r="M772" s="59"/>
    </row>
    <row r="773" spans="1:14" ht="14.25" customHeight="1" x14ac:dyDescent="0.3">
      <c r="A773" s="14" t="s">
        <v>800</v>
      </c>
      <c r="B773" s="14" t="s">
        <v>22</v>
      </c>
      <c r="D773" s="689">
        <v>45757</v>
      </c>
      <c r="E773" s="39" t="s">
        <v>88</v>
      </c>
      <c r="F773" s="8" t="s">
        <v>85</v>
      </c>
      <c r="G773" s="40" t="s">
        <v>89</v>
      </c>
      <c r="H773" s="17" t="s">
        <v>26</v>
      </c>
      <c r="I773" s="663">
        <v>50</v>
      </c>
      <c r="J773" s="26">
        <v>7.3912745308537753</v>
      </c>
      <c r="K773" s="8">
        <v>1.1647238577979189</v>
      </c>
      <c r="L773" s="8">
        <v>1.4605442473795094</v>
      </c>
      <c r="M773" s="59"/>
    </row>
    <row r="774" spans="1:14" ht="14.25" customHeight="1" x14ac:dyDescent="0.3">
      <c r="A774" s="19" t="s">
        <v>801</v>
      </c>
      <c r="B774" s="19" t="s">
        <v>22</v>
      </c>
      <c r="D774" s="110">
        <v>45933</v>
      </c>
      <c r="E774" s="16" t="s">
        <v>23</v>
      </c>
      <c r="F774" s="8" t="s">
        <v>85</v>
      </c>
      <c r="G774" s="16" t="s">
        <v>67</v>
      </c>
      <c r="H774" s="6" t="s">
        <v>18</v>
      </c>
      <c r="I774" s="44">
        <v>50</v>
      </c>
      <c r="J774" s="19">
        <v>17.5</v>
      </c>
      <c r="K774" s="19">
        <v>0.41</v>
      </c>
      <c r="L774" s="19">
        <v>1.41</v>
      </c>
      <c r="M774" s="59"/>
    </row>
    <row r="775" spans="1:14" ht="14.25" customHeight="1" x14ac:dyDescent="0.3">
      <c r="A775" s="19" t="s">
        <v>802</v>
      </c>
      <c r="B775" s="6" t="s">
        <v>477</v>
      </c>
      <c r="D775" s="666">
        <v>45922</v>
      </c>
      <c r="E775" s="39" t="s">
        <v>88</v>
      </c>
      <c r="F775" s="8" t="s">
        <v>85</v>
      </c>
      <c r="G775" s="40" t="s">
        <v>89</v>
      </c>
      <c r="H775" s="6"/>
      <c r="I775" s="663"/>
      <c r="J775" s="6"/>
      <c r="K775" s="17"/>
      <c r="L775" s="17"/>
      <c r="M775" s="674"/>
      <c r="N775" s="669"/>
    </row>
    <row r="776" spans="1:14" ht="14.25" customHeight="1" x14ac:dyDescent="0.3">
      <c r="A776" s="17" t="s">
        <v>802</v>
      </c>
      <c r="B776" s="14" t="s">
        <v>22</v>
      </c>
      <c r="D776" s="691">
        <v>45922</v>
      </c>
      <c r="E776" s="39" t="s">
        <v>88</v>
      </c>
      <c r="F776" s="8" t="s">
        <v>85</v>
      </c>
      <c r="G776" s="40" t="s">
        <v>89</v>
      </c>
      <c r="H776" s="6" t="s">
        <v>18</v>
      </c>
      <c r="I776" s="663">
        <v>50</v>
      </c>
      <c r="J776" s="17" t="s">
        <v>230</v>
      </c>
      <c r="K776" s="17"/>
      <c r="L776" s="17"/>
      <c r="M776" s="674"/>
      <c r="N776" s="669"/>
    </row>
    <row r="777" spans="1:14" ht="14.25" customHeight="1" x14ac:dyDescent="0.3">
      <c r="A777" s="17" t="s">
        <v>803</v>
      </c>
      <c r="B777" s="6" t="s">
        <v>22</v>
      </c>
      <c r="D777" s="29">
        <v>45768</v>
      </c>
      <c r="E777" s="39" t="s">
        <v>88</v>
      </c>
      <c r="F777" s="8" t="s">
        <v>85</v>
      </c>
      <c r="G777" s="40" t="s">
        <v>89</v>
      </c>
      <c r="H777" s="17" t="s">
        <v>26</v>
      </c>
      <c r="I777" s="44">
        <v>50</v>
      </c>
      <c r="J777" s="17" t="s">
        <v>450</v>
      </c>
      <c r="K777" s="17" t="s">
        <v>451</v>
      </c>
      <c r="L777" s="17" t="s">
        <v>451</v>
      </c>
      <c r="M777" s="44" t="s">
        <v>451</v>
      </c>
      <c r="N777" s="44" t="s">
        <v>451</v>
      </c>
    </row>
    <row r="778" spans="1:14" ht="14.25" customHeight="1" thickBot="1" x14ac:dyDescent="0.35">
      <c r="A778" s="19" t="s">
        <v>803</v>
      </c>
      <c r="B778" s="6" t="s">
        <v>477</v>
      </c>
      <c r="D778" s="666">
        <v>45922</v>
      </c>
      <c r="E778" s="39" t="s">
        <v>88</v>
      </c>
      <c r="F778" s="8" t="s">
        <v>85</v>
      </c>
      <c r="G778" s="40" t="s">
        <v>89</v>
      </c>
      <c r="H778" s="6"/>
      <c r="I778" s="663"/>
      <c r="J778" s="6"/>
      <c r="K778" s="17"/>
      <c r="L778" s="17"/>
      <c r="M778" s="674"/>
      <c r="N778" s="669"/>
    </row>
    <row r="779" spans="1:14" ht="14.25" customHeight="1" thickBot="1" x14ac:dyDescent="0.35">
      <c r="A779" s="19" t="s">
        <v>804</v>
      </c>
      <c r="B779" s="19" t="s">
        <v>22</v>
      </c>
      <c r="D779" s="136">
        <v>45768</v>
      </c>
      <c r="E779" s="16" t="s">
        <v>23</v>
      </c>
      <c r="F779" s="8" t="s">
        <v>85</v>
      </c>
      <c r="G779" s="16" t="s">
        <v>67</v>
      </c>
      <c r="H779" s="17" t="s">
        <v>26</v>
      </c>
      <c r="I779" s="44">
        <v>50</v>
      </c>
      <c r="J779" s="19">
        <v>38.700000000000003</v>
      </c>
      <c r="K779" s="19">
        <v>0.14000000000000001</v>
      </c>
      <c r="L779" s="19">
        <v>0.79</v>
      </c>
      <c r="M779" s="59"/>
    </row>
    <row r="780" spans="1:14" ht="14.25" customHeight="1" thickBot="1" x14ac:dyDescent="0.35">
      <c r="A780" s="19" t="s">
        <v>805</v>
      </c>
      <c r="B780" s="6" t="s">
        <v>477</v>
      </c>
      <c r="D780" s="134">
        <v>45922</v>
      </c>
      <c r="E780" s="39" t="s">
        <v>88</v>
      </c>
      <c r="F780" s="8" t="s">
        <v>85</v>
      </c>
      <c r="G780" s="40" t="s">
        <v>89</v>
      </c>
      <c r="H780" s="6"/>
      <c r="I780" s="663"/>
      <c r="J780" s="6"/>
      <c r="K780" s="17"/>
      <c r="L780" s="17"/>
      <c r="M780" s="674"/>
      <c r="N780" s="669"/>
    </row>
    <row r="781" spans="1:14" ht="14.25" customHeight="1" thickBot="1" x14ac:dyDescent="0.35">
      <c r="A781" s="17" t="s">
        <v>805</v>
      </c>
      <c r="B781" s="14" t="s">
        <v>22</v>
      </c>
      <c r="D781" s="135">
        <v>45940</v>
      </c>
      <c r="E781" s="39" t="s">
        <v>88</v>
      </c>
      <c r="F781" s="8" t="s">
        <v>85</v>
      </c>
      <c r="G781" s="40" t="s">
        <v>89</v>
      </c>
      <c r="H781" s="6" t="s">
        <v>18</v>
      </c>
      <c r="I781" s="663">
        <v>50</v>
      </c>
      <c r="J781" s="17" t="s">
        <v>230</v>
      </c>
      <c r="K781" s="17"/>
      <c r="L781" s="17"/>
      <c r="M781" s="674"/>
      <c r="N781" s="669"/>
    </row>
    <row r="782" spans="1:14" ht="14.25" customHeight="1" thickBot="1" x14ac:dyDescent="0.35">
      <c r="A782" s="137" t="s">
        <v>806</v>
      </c>
      <c r="B782" s="662" t="s">
        <v>22</v>
      </c>
      <c r="D782" s="136">
        <v>45848</v>
      </c>
      <c r="E782" s="138" t="s">
        <v>23</v>
      </c>
      <c r="F782" s="8" t="s">
        <v>85</v>
      </c>
      <c r="G782" s="139" t="s">
        <v>67</v>
      </c>
      <c r="H782" s="17" t="s">
        <v>26</v>
      </c>
      <c r="I782" s="140">
        <v>50</v>
      </c>
      <c r="J782" s="141">
        <v>153.19999999999999</v>
      </c>
      <c r="K782" s="142">
        <v>0.15</v>
      </c>
      <c r="L782" s="142">
        <v>0.78</v>
      </c>
      <c r="M782" s="143"/>
      <c r="N782" s="144"/>
    </row>
    <row r="783" spans="1:14" ht="14.25" customHeight="1" thickBot="1" x14ac:dyDescent="0.35">
      <c r="A783" s="145" t="s">
        <v>807</v>
      </c>
      <c r="B783" s="4" t="s">
        <v>22</v>
      </c>
      <c r="D783" s="135">
        <v>45922</v>
      </c>
      <c r="E783" s="146" t="s">
        <v>88</v>
      </c>
      <c r="F783" s="8" t="s">
        <v>85</v>
      </c>
      <c r="G783" s="147" t="s">
        <v>89</v>
      </c>
      <c r="H783" s="6" t="s">
        <v>18</v>
      </c>
      <c r="I783" s="148">
        <v>50</v>
      </c>
      <c r="J783" s="149" t="s">
        <v>450</v>
      </c>
      <c r="K783" s="150" t="s">
        <v>451</v>
      </c>
      <c r="L783" s="151" t="s">
        <v>451</v>
      </c>
      <c r="M783" s="149" t="s">
        <v>451</v>
      </c>
      <c r="N783" s="152" t="s">
        <v>451</v>
      </c>
    </row>
    <row r="784" spans="1:14" ht="14.25" customHeight="1" thickBot="1" x14ac:dyDescent="0.35">
      <c r="A784" s="153" t="s">
        <v>807</v>
      </c>
      <c r="B784" s="4" t="s">
        <v>477</v>
      </c>
      <c r="D784" s="134">
        <v>45940</v>
      </c>
      <c r="E784" s="146" t="s">
        <v>88</v>
      </c>
      <c r="F784" s="8" t="s">
        <v>85</v>
      </c>
      <c r="G784" s="154" t="s">
        <v>89</v>
      </c>
      <c r="H784" s="6"/>
      <c r="I784" s="148"/>
      <c r="J784" s="155"/>
      <c r="K784" s="156"/>
      <c r="L784" s="151"/>
      <c r="M784" s="157"/>
      <c r="N784" s="158"/>
    </row>
    <row r="785" spans="1:14" ht="14.25" customHeight="1" thickBot="1" x14ac:dyDescent="0.35">
      <c r="A785" s="159" t="s">
        <v>808</v>
      </c>
      <c r="B785" s="662" t="s">
        <v>22</v>
      </c>
      <c r="D785" s="136">
        <v>45768</v>
      </c>
      <c r="E785" s="160" t="s">
        <v>23</v>
      </c>
      <c r="F785" s="8" t="s">
        <v>85</v>
      </c>
      <c r="G785" s="161" t="s">
        <v>67</v>
      </c>
      <c r="H785" s="17" t="s">
        <v>26</v>
      </c>
      <c r="I785" s="148">
        <v>50</v>
      </c>
      <c r="J785" s="162">
        <v>23.8</v>
      </c>
      <c r="K785" s="163">
        <v>0.18</v>
      </c>
      <c r="L785" s="163">
        <v>0.94</v>
      </c>
      <c r="M785" s="164"/>
      <c r="N785" s="158"/>
    </row>
    <row r="786" spans="1:14" ht="14.25" customHeight="1" thickBot="1" x14ac:dyDescent="0.35">
      <c r="A786" s="153" t="s">
        <v>809</v>
      </c>
      <c r="B786" s="4" t="s">
        <v>477</v>
      </c>
      <c r="D786" s="134">
        <v>45922</v>
      </c>
      <c r="E786" s="165" t="s">
        <v>88</v>
      </c>
      <c r="F786" s="8" t="s">
        <v>85</v>
      </c>
      <c r="G786" s="154" t="s">
        <v>89</v>
      </c>
      <c r="H786" s="6"/>
      <c r="I786" s="166"/>
      <c r="J786" s="155"/>
      <c r="K786" s="151"/>
      <c r="L786" s="151"/>
      <c r="M786" s="157"/>
      <c r="N786" s="158"/>
    </row>
    <row r="787" spans="1:14" ht="14.25" customHeight="1" thickBot="1" x14ac:dyDescent="0.35">
      <c r="A787" s="145" t="s">
        <v>809</v>
      </c>
      <c r="B787" s="95" t="s">
        <v>22</v>
      </c>
      <c r="D787" s="135">
        <v>45940</v>
      </c>
      <c r="E787" s="16" t="s">
        <v>23</v>
      </c>
      <c r="F787" s="8" t="s">
        <v>85</v>
      </c>
      <c r="G787" s="161" t="s">
        <v>94</v>
      </c>
      <c r="H787" s="6" t="s">
        <v>18</v>
      </c>
      <c r="I787" s="148">
        <v>50</v>
      </c>
      <c r="J787" s="149" t="s">
        <v>230</v>
      </c>
      <c r="K787" s="151"/>
      <c r="L787" s="151"/>
      <c r="M787" s="164"/>
      <c r="N787" s="158"/>
    </row>
    <row r="788" spans="1:14" ht="14.25" customHeight="1" thickBot="1" x14ac:dyDescent="0.35">
      <c r="A788" s="153" t="s">
        <v>810</v>
      </c>
      <c r="B788" s="4" t="s">
        <v>477</v>
      </c>
      <c r="D788" s="136">
        <v>45848</v>
      </c>
      <c r="E788" s="39" t="s">
        <v>88</v>
      </c>
      <c r="F788" s="8" t="s">
        <v>85</v>
      </c>
      <c r="G788" s="154" t="s">
        <v>89</v>
      </c>
      <c r="H788" s="17" t="s">
        <v>26</v>
      </c>
      <c r="I788" s="148"/>
      <c r="J788" s="155"/>
      <c r="K788" s="151"/>
      <c r="L788" s="151"/>
      <c r="M788" s="157"/>
      <c r="N788" s="158"/>
    </row>
    <row r="789" spans="1:14" ht="14.25" customHeight="1" thickBot="1" x14ac:dyDescent="0.35">
      <c r="A789" s="145" t="s">
        <v>811</v>
      </c>
      <c r="B789" s="95" t="s">
        <v>22</v>
      </c>
      <c r="D789" s="135">
        <v>45922</v>
      </c>
      <c r="E789" s="16" t="s">
        <v>23</v>
      </c>
      <c r="F789" s="8" t="s">
        <v>85</v>
      </c>
      <c r="G789" s="161" t="s">
        <v>94</v>
      </c>
      <c r="H789" s="6" t="s">
        <v>18</v>
      </c>
      <c r="I789" s="148">
        <v>50</v>
      </c>
      <c r="J789" s="149" t="s">
        <v>230</v>
      </c>
      <c r="K789" s="151"/>
      <c r="L789" s="151"/>
      <c r="M789" s="164"/>
      <c r="N789" s="158"/>
    </row>
    <row r="790" spans="1:14" ht="14.25" customHeight="1" thickBot="1" x14ac:dyDescent="0.35">
      <c r="A790" s="159" t="s">
        <v>812</v>
      </c>
      <c r="B790" s="4" t="s">
        <v>477</v>
      </c>
      <c r="D790" s="167">
        <v>45922</v>
      </c>
      <c r="E790" s="39" t="s">
        <v>88</v>
      </c>
      <c r="F790" s="8" t="s">
        <v>85</v>
      </c>
      <c r="G790" s="147" t="s">
        <v>89</v>
      </c>
      <c r="H790" s="6"/>
      <c r="I790" s="148"/>
      <c r="J790" s="168"/>
      <c r="K790" s="156"/>
      <c r="L790" s="151"/>
      <c r="M790" s="164"/>
      <c r="N790" s="158"/>
    </row>
    <row r="791" spans="1:14" ht="14.25" customHeight="1" thickBot="1" x14ac:dyDescent="0.35">
      <c r="A791" s="153" t="s">
        <v>813</v>
      </c>
      <c r="B791" s="97" t="s">
        <v>22</v>
      </c>
      <c r="D791" s="130">
        <v>45768</v>
      </c>
      <c r="E791" s="160" t="s">
        <v>23</v>
      </c>
      <c r="F791" s="8" t="s">
        <v>85</v>
      </c>
      <c r="G791" s="169" t="s">
        <v>67</v>
      </c>
      <c r="H791" s="17" t="s">
        <v>26</v>
      </c>
      <c r="I791" s="148">
        <v>50</v>
      </c>
      <c r="J791" s="170">
        <v>252.3</v>
      </c>
      <c r="K791" s="163" t="s">
        <v>451</v>
      </c>
      <c r="L791" s="163">
        <v>0.8</v>
      </c>
      <c r="M791" s="157"/>
      <c r="N791" s="158"/>
    </row>
    <row r="792" spans="1:14" ht="14.25" customHeight="1" thickBot="1" x14ac:dyDescent="0.35">
      <c r="A792" s="159" t="s">
        <v>814</v>
      </c>
      <c r="B792" s="4" t="s">
        <v>477</v>
      </c>
      <c r="D792" s="98">
        <v>45922</v>
      </c>
      <c r="E792" s="146" t="s">
        <v>88</v>
      </c>
      <c r="F792" s="8" t="s">
        <v>85</v>
      </c>
      <c r="G792" s="147" t="s">
        <v>89</v>
      </c>
      <c r="H792" s="6"/>
      <c r="I792" s="148"/>
      <c r="J792" s="168"/>
      <c r="K792" s="151"/>
      <c r="L792" s="151"/>
      <c r="M792" s="164"/>
      <c r="N792" s="158"/>
    </row>
    <row r="793" spans="1:14" ht="14.25" customHeight="1" thickBot="1" x14ac:dyDescent="0.35">
      <c r="A793" s="153" t="s">
        <v>815</v>
      </c>
      <c r="B793" s="4" t="s">
        <v>477</v>
      </c>
      <c r="D793" s="98">
        <v>45938</v>
      </c>
      <c r="E793" s="146" t="s">
        <v>88</v>
      </c>
      <c r="F793" s="8" t="s">
        <v>85</v>
      </c>
      <c r="G793" s="154" t="s">
        <v>89</v>
      </c>
      <c r="H793" s="6"/>
      <c r="I793" s="148"/>
      <c r="J793" s="155"/>
      <c r="K793" s="151"/>
      <c r="L793" s="151"/>
      <c r="M793" s="157"/>
      <c r="N793" s="158"/>
    </row>
    <row r="794" spans="1:14" ht="14.25" customHeight="1" thickBot="1" x14ac:dyDescent="0.35">
      <c r="A794" s="159" t="s">
        <v>816</v>
      </c>
      <c r="B794" s="4" t="s">
        <v>477</v>
      </c>
      <c r="D794" s="98">
        <v>45938</v>
      </c>
      <c r="E794" s="146" t="s">
        <v>88</v>
      </c>
      <c r="F794" s="8" t="s">
        <v>85</v>
      </c>
      <c r="G794" s="147" t="s">
        <v>89</v>
      </c>
      <c r="H794" s="6"/>
      <c r="I794" s="148"/>
      <c r="J794" s="168"/>
      <c r="K794" s="156"/>
      <c r="L794" s="151"/>
      <c r="M794" s="164"/>
      <c r="N794" s="158"/>
    </row>
    <row r="795" spans="1:14" ht="14.25" customHeight="1" thickBot="1" x14ac:dyDescent="0.35">
      <c r="A795" s="153" t="s">
        <v>817</v>
      </c>
      <c r="B795" s="4" t="s">
        <v>477</v>
      </c>
      <c r="D795" s="98">
        <v>45938</v>
      </c>
      <c r="E795" s="146" t="s">
        <v>88</v>
      </c>
      <c r="F795" s="8" t="s">
        <v>85</v>
      </c>
      <c r="G795" s="154" t="s">
        <v>89</v>
      </c>
      <c r="H795" s="6"/>
      <c r="I795" s="148"/>
      <c r="J795" s="155"/>
      <c r="K795" s="151"/>
      <c r="L795" s="151"/>
      <c r="M795" s="157"/>
      <c r="N795" s="158"/>
    </row>
    <row r="796" spans="1:14" ht="14.25" customHeight="1" thickBot="1" x14ac:dyDescent="0.35">
      <c r="A796" s="159" t="s">
        <v>818</v>
      </c>
      <c r="B796" s="4" t="s">
        <v>477</v>
      </c>
      <c r="D796" s="98">
        <v>45938</v>
      </c>
      <c r="E796" s="146" t="s">
        <v>88</v>
      </c>
      <c r="F796" s="8" t="s">
        <v>85</v>
      </c>
      <c r="G796" s="147" t="s">
        <v>89</v>
      </c>
      <c r="H796" s="6"/>
      <c r="I796" s="148"/>
      <c r="J796" s="168"/>
      <c r="K796" s="151"/>
      <c r="L796" s="151"/>
      <c r="M796" s="164"/>
      <c r="N796" s="158"/>
    </row>
    <row r="797" spans="1:14" ht="14.25" customHeight="1" thickBot="1" x14ac:dyDescent="0.35">
      <c r="A797" s="171" t="s">
        <v>819</v>
      </c>
      <c r="B797" s="664" t="s">
        <v>22</v>
      </c>
      <c r="D797" s="689">
        <v>45705</v>
      </c>
      <c r="E797" s="146" t="s">
        <v>88</v>
      </c>
      <c r="F797" s="8" t="s">
        <v>85</v>
      </c>
      <c r="G797" s="154" t="s">
        <v>89</v>
      </c>
      <c r="H797" s="17" t="s">
        <v>26</v>
      </c>
      <c r="I797" s="148">
        <v>50</v>
      </c>
      <c r="J797" s="172">
        <v>73.949841424530149</v>
      </c>
      <c r="K797" s="173">
        <v>1.97818732111319</v>
      </c>
      <c r="L797" s="173">
        <v>1.9037136487573958</v>
      </c>
      <c r="M797" s="157"/>
      <c r="N797" s="158"/>
    </row>
    <row r="798" spans="1:14" ht="14.25" customHeight="1" thickBot="1" x14ac:dyDescent="0.35">
      <c r="A798" s="145" t="s">
        <v>820</v>
      </c>
      <c r="B798" s="664" t="s">
        <v>22</v>
      </c>
      <c r="D798" s="111">
        <v>45705</v>
      </c>
      <c r="E798" s="146" t="s">
        <v>88</v>
      </c>
      <c r="F798" s="8" t="s">
        <v>85</v>
      </c>
      <c r="G798" s="147" t="s">
        <v>89</v>
      </c>
      <c r="H798" s="17" t="s">
        <v>26</v>
      </c>
      <c r="I798" s="148">
        <v>50</v>
      </c>
      <c r="J798" s="174">
        <v>149.25713807052608</v>
      </c>
      <c r="K798" s="173">
        <v>1.8877025388235216</v>
      </c>
      <c r="L798" s="173">
        <v>1.6166286528899707</v>
      </c>
      <c r="M798" s="164"/>
      <c r="N798" s="158"/>
    </row>
    <row r="799" spans="1:14" ht="14.25" customHeight="1" thickBot="1" x14ac:dyDescent="0.35">
      <c r="A799" s="171" t="s">
        <v>821</v>
      </c>
      <c r="B799" s="95" t="s">
        <v>22</v>
      </c>
      <c r="D799" s="111">
        <v>45733</v>
      </c>
      <c r="E799" s="146" t="s">
        <v>88</v>
      </c>
      <c r="F799" s="8" t="s">
        <v>85</v>
      </c>
      <c r="G799" s="154" t="s">
        <v>89</v>
      </c>
      <c r="H799" s="17" t="s">
        <v>26</v>
      </c>
      <c r="I799" s="148">
        <v>50</v>
      </c>
      <c r="J799" s="175" t="s">
        <v>230</v>
      </c>
      <c r="K799" s="151"/>
      <c r="L799" s="151"/>
      <c r="M799" s="157"/>
      <c r="N799" s="158"/>
    </row>
    <row r="800" spans="1:14" ht="14.25" customHeight="1" thickBot="1" x14ac:dyDescent="0.35">
      <c r="A800" s="153" t="s">
        <v>822</v>
      </c>
      <c r="B800" s="662" t="s">
        <v>22</v>
      </c>
      <c r="D800" s="29">
        <v>45768</v>
      </c>
      <c r="E800" s="160" t="s">
        <v>23</v>
      </c>
      <c r="F800" s="8" t="s">
        <v>85</v>
      </c>
      <c r="G800" s="169" t="s">
        <v>67</v>
      </c>
      <c r="H800" s="17" t="s">
        <v>26</v>
      </c>
      <c r="I800" s="148">
        <v>50</v>
      </c>
      <c r="J800" s="170">
        <v>13.5</v>
      </c>
      <c r="K800" s="163">
        <v>0.2</v>
      </c>
      <c r="L800" s="163">
        <v>1.04</v>
      </c>
      <c r="M800" s="157"/>
      <c r="N800" s="158"/>
    </row>
    <row r="801" spans="1:14" ht="14.25" customHeight="1" thickBot="1" x14ac:dyDescent="0.35">
      <c r="A801" s="153" t="s">
        <v>823</v>
      </c>
      <c r="B801" s="662" t="s">
        <v>22</v>
      </c>
      <c r="D801" s="111">
        <v>45733</v>
      </c>
      <c r="E801" s="160" t="s">
        <v>23</v>
      </c>
      <c r="F801" s="8" t="s">
        <v>85</v>
      </c>
      <c r="G801" s="169" t="s">
        <v>67</v>
      </c>
      <c r="H801" s="17" t="s">
        <v>26</v>
      </c>
      <c r="I801" s="148">
        <v>50</v>
      </c>
      <c r="J801" s="170">
        <v>25.5</v>
      </c>
      <c r="K801" s="163">
        <v>1.71</v>
      </c>
      <c r="L801" s="163">
        <v>1.74</v>
      </c>
      <c r="M801" s="157"/>
      <c r="N801" s="158"/>
    </row>
    <row r="802" spans="1:14" ht="14.25" customHeight="1" thickBot="1" x14ac:dyDescent="0.35">
      <c r="A802" s="145" t="s">
        <v>824</v>
      </c>
      <c r="B802" s="4" t="s">
        <v>22</v>
      </c>
      <c r="D802" s="29">
        <v>45768</v>
      </c>
      <c r="E802" s="146" t="s">
        <v>88</v>
      </c>
      <c r="F802" s="8" t="s">
        <v>85</v>
      </c>
      <c r="G802" s="147" t="s">
        <v>89</v>
      </c>
      <c r="H802" s="17" t="s">
        <v>26</v>
      </c>
      <c r="I802" s="148">
        <v>50</v>
      </c>
      <c r="J802" s="149" t="s">
        <v>450</v>
      </c>
      <c r="K802" s="151" t="s">
        <v>451</v>
      </c>
      <c r="L802" s="151" t="s">
        <v>451</v>
      </c>
      <c r="M802" s="149" t="s">
        <v>451</v>
      </c>
      <c r="N802" s="152" t="s">
        <v>451</v>
      </c>
    </row>
    <row r="803" spans="1:14" ht="14.25" customHeight="1" thickBot="1" x14ac:dyDescent="0.35">
      <c r="A803" s="153" t="s">
        <v>825</v>
      </c>
      <c r="B803" s="662" t="s">
        <v>22</v>
      </c>
      <c r="D803" s="98">
        <v>45922</v>
      </c>
      <c r="E803" s="160" t="s">
        <v>23</v>
      </c>
      <c r="F803" s="8" t="s">
        <v>85</v>
      </c>
      <c r="G803" s="169" t="s">
        <v>67</v>
      </c>
      <c r="H803" s="6" t="s">
        <v>18</v>
      </c>
      <c r="I803" s="148">
        <v>50</v>
      </c>
      <c r="J803" s="170">
        <v>164.2</v>
      </c>
      <c r="K803" s="179">
        <v>0.57999999999999996</v>
      </c>
      <c r="L803" s="163">
        <v>1.99</v>
      </c>
      <c r="M803" s="157"/>
      <c r="N803" s="158"/>
    </row>
    <row r="804" spans="1:14" ht="14.25" customHeight="1" thickBot="1" x14ac:dyDescent="0.35">
      <c r="A804" s="159" t="s">
        <v>825</v>
      </c>
      <c r="B804" s="4" t="s">
        <v>477</v>
      </c>
      <c r="D804" s="666">
        <v>45929</v>
      </c>
      <c r="E804" s="146" t="s">
        <v>88</v>
      </c>
      <c r="F804" s="8" t="s">
        <v>85</v>
      </c>
      <c r="G804" s="147" t="s">
        <v>89</v>
      </c>
      <c r="H804" s="6"/>
      <c r="I804" s="148"/>
      <c r="J804" s="168"/>
      <c r="K804" s="151"/>
      <c r="L804" s="151"/>
      <c r="M804" s="164"/>
      <c r="N804" s="158"/>
    </row>
    <row r="805" spans="1:14" ht="14.25" customHeight="1" thickBot="1" x14ac:dyDescent="0.35">
      <c r="A805" s="145" t="s">
        <v>826</v>
      </c>
      <c r="B805" s="95" t="s">
        <v>22</v>
      </c>
      <c r="D805" s="689">
        <v>45848</v>
      </c>
      <c r="E805" s="160" t="s">
        <v>23</v>
      </c>
      <c r="F805" s="8" t="s">
        <v>85</v>
      </c>
      <c r="G805" s="161" t="s">
        <v>94</v>
      </c>
      <c r="H805" s="17" t="s">
        <v>26</v>
      </c>
      <c r="I805" s="148">
        <v>50</v>
      </c>
      <c r="J805" s="149" t="s">
        <v>230</v>
      </c>
      <c r="K805" s="151"/>
      <c r="L805" s="151"/>
      <c r="M805" s="164"/>
      <c r="N805" s="158"/>
    </row>
    <row r="806" spans="1:14" ht="14.25" customHeight="1" thickBot="1" x14ac:dyDescent="0.35">
      <c r="A806" s="153" t="s">
        <v>827</v>
      </c>
      <c r="B806" s="4" t="s">
        <v>477</v>
      </c>
      <c r="D806" s="666">
        <v>45940</v>
      </c>
      <c r="E806" s="146" t="s">
        <v>88</v>
      </c>
      <c r="F806" s="8" t="s">
        <v>85</v>
      </c>
      <c r="G806" s="154" t="s">
        <v>89</v>
      </c>
      <c r="H806" s="6"/>
      <c r="I806" s="148"/>
      <c r="J806" s="155"/>
      <c r="K806" s="156"/>
      <c r="L806" s="151"/>
      <c r="M806" s="157"/>
      <c r="N806" s="158"/>
    </row>
    <row r="807" spans="1:14" ht="14.25" customHeight="1" thickBot="1" x14ac:dyDescent="0.35">
      <c r="A807" s="145" t="s">
        <v>828</v>
      </c>
      <c r="B807" s="95" t="s">
        <v>22</v>
      </c>
      <c r="D807" s="689">
        <v>45848</v>
      </c>
      <c r="E807" s="160" t="s">
        <v>23</v>
      </c>
      <c r="F807" s="8" t="s">
        <v>85</v>
      </c>
      <c r="G807" s="161" t="s">
        <v>94</v>
      </c>
      <c r="H807" s="17" t="s">
        <v>26</v>
      </c>
      <c r="I807" s="148">
        <v>50</v>
      </c>
      <c r="J807" s="149" t="s">
        <v>230</v>
      </c>
      <c r="K807" s="151"/>
      <c r="L807" s="151"/>
      <c r="M807" s="164"/>
      <c r="N807" s="158"/>
    </row>
    <row r="808" spans="1:14" ht="14.25" customHeight="1" thickBot="1" x14ac:dyDescent="0.35">
      <c r="A808" s="153" t="s">
        <v>829</v>
      </c>
      <c r="B808" s="4" t="s">
        <v>477</v>
      </c>
      <c r="D808" s="666">
        <v>45940</v>
      </c>
      <c r="E808" s="146" t="s">
        <v>88</v>
      </c>
      <c r="F808" s="8" t="s">
        <v>85</v>
      </c>
      <c r="G808" s="154" t="s">
        <v>89</v>
      </c>
      <c r="H808" s="6"/>
      <c r="I808" s="148"/>
      <c r="J808" s="155"/>
      <c r="K808" s="151"/>
      <c r="L808" s="151"/>
      <c r="M808" s="157"/>
      <c r="N808" s="158"/>
    </row>
    <row r="809" spans="1:14" ht="13.8" customHeight="1" thickBot="1" x14ac:dyDescent="0.35">
      <c r="A809" s="159" t="s">
        <v>830</v>
      </c>
      <c r="B809" s="4" t="s">
        <v>477</v>
      </c>
      <c r="D809" s="666">
        <v>45938</v>
      </c>
      <c r="E809" s="146" t="s">
        <v>88</v>
      </c>
      <c r="F809" s="8" t="s">
        <v>85</v>
      </c>
      <c r="G809" s="147" t="s">
        <v>89</v>
      </c>
      <c r="H809" s="6"/>
      <c r="I809" s="148"/>
      <c r="J809" s="168"/>
      <c r="K809" s="156"/>
      <c r="L809" s="151"/>
      <c r="M809" s="164"/>
      <c r="N809" s="158"/>
    </row>
    <row r="810" spans="1:14" ht="14.25" customHeight="1" thickBot="1" x14ac:dyDescent="0.35">
      <c r="A810" s="153" t="s">
        <v>831</v>
      </c>
      <c r="B810" s="97" t="s">
        <v>22</v>
      </c>
      <c r="D810" s="98">
        <v>45938</v>
      </c>
      <c r="E810" s="160" t="s">
        <v>23</v>
      </c>
      <c r="F810" s="8" t="s">
        <v>85</v>
      </c>
      <c r="G810" s="169" t="s">
        <v>67</v>
      </c>
      <c r="H810" s="6" t="s">
        <v>18</v>
      </c>
      <c r="I810" s="148">
        <v>50</v>
      </c>
      <c r="J810" s="170">
        <v>4.9000000000000004</v>
      </c>
      <c r="K810" s="163" t="s">
        <v>451</v>
      </c>
      <c r="L810" s="163" t="s">
        <v>451</v>
      </c>
      <c r="M810" s="157"/>
      <c r="N810" s="158"/>
    </row>
    <row r="811" spans="1:14" ht="14.25" customHeight="1" thickBot="1" x14ac:dyDescent="0.35">
      <c r="A811" s="145" t="s">
        <v>832</v>
      </c>
      <c r="B811" s="95" t="s">
        <v>22</v>
      </c>
      <c r="D811" s="176">
        <v>45938</v>
      </c>
      <c r="E811" s="160" t="s">
        <v>23</v>
      </c>
      <c r="F811" s="8" t="s">
        <v>85</v>
      </c>
      <c r="G811" s="161" t="s">
        <v>94</v>
      </c>
      <c r="H811" s="6" t="s">
        <v>18</v>
      </c>
      <c r="I811" s="148">
        <v>50</v>
      </c>
      <c r="J811" s="149" t="s">
        <v>230</v>
      </c>
      <c r="K811" s="156"/>
      <c r="L811" s="151"/>
      <c r="M811" s="164"/>
      <c r="N811" s="158"/>
    </row>
    <row r="812" spans="1:14" ht="14.25" customHeight="1" thickBot="1" x14ac:dyDescent="0.35">
      <c r="A812" s="153" t="s">
        <v>833</v>
      </c>
      <c r="B812" s="4" t="s">
        <v>477</v>
      </c>
      <c r="D812" s="176">
        <v>45938</v>
      </c>
      <c r="E812" s="146" t="s">
        <v>88</v>
      </c>
      <c r="F812" s="8" t="s">
        <v>85</v>
      </c>
      <c r="G812" s="154" t="s">
        <v>89</v>
      </c>
      <c r="H812" s="6"/>
      <c r="I812" s="148"/>
      <c r="J812" s="155"/>
      <c r="K812" s="151"/>
      <c r="L812" s="151"/>
      <c r="M812" s="157"/>
      <c r="N812" s="158"/>
    </row>
    <row r="813" spans="1:14" ht="14.25" customHeight="1" thickBot="1" x14ac:dyDescent="0.35">
      <c r="A813" s="159" t="s">
        <v>834</v>
      </c>
      <c r="B813" s="97" t="s">
        <v>22</v>
      </c>
      <c r="D813" s="176">
        <v>45938</v>
      </c>
      <c r="E813" s="160" t="s">
        <v>23</v>
      </c>
      <c r="F813" s="8" t="s">
        <v>85</v>
      </c>
      <c r="G813" s="161" t="s">
        <v>67</v>
      </c>
      <c r="H813" s="6" t="s">
        <v>18</v>
      </c>
      <c r="I813" s="148">
        <v>50</v>
      </c>
      <c r="J813" s="162">
        <v>25</v>
      </c>
      <c r="K813" s="163" t="s">
        <v>451</v>
      </c>
      <c r="L813" s="163" t="s">
        <v>451</v>
      </c>
      <c r="M813" s="164"/>
      <c r="N813" s="158"/>
    </row>
    <row r="814" spans="1:14" ht="14.25" customHeight="1" thickBot="1" x14ac:dyDescent="0.35">
      <c r="A814" s="145" t="s">
        <v>835</v>
      </c>
      <c r="B814" s="95" t="s">
        <v>22</v>
      </c>
      <c r="D814" s="177">
        <v>45733</v>
      </c>
      <c r="E814" s="146" t="s">
        <v>88</v>
      </c>
      <c r="F814" s="8" t="s">
        <v>85</v>
      </c>
      <c r="G814" s="147" t="s">
        <v>89</v>
      </c>
      <c r="H814" s="17" t="s">
        <v>26</v>
      </c>
      <c r="I814" s="148">
        <v>50</v>
      </c>
      <c r="J814" s="149" t="s">
        <v>230</v>
      </c>
      <c r="K814" s="156"/>
      <c r="L814" s="151"/>
      <c r="M814" s="164"/>
      <c r="N814" s="158"/>
    </row>
    <row r="815" spans="1:14" ht="14.25" customHeight="1" thickBot="1" x14ac:dyDescent="0.35">
      <c r="A815" s="153" t="s">
        <v>836</v>
      </c>
      <c r="B815" s="97" t="s">
        <v>22</v>
      </c>
      <c r="D815" s="135">
        <v>45933</v>
      </c>
      <c r="E815" s="160" t="s">
        <v>23</v>
      </c>
      <c r="F815" s="8" t="s">
        <v>85</v>
      </c>
      <c r="G815" s="169" t="s">
        <v>67</v>
      </c>
      <c r="H815" s="6" t="s">
        <v>18</v>
      </c>
      <c r="I815" s="148">
        <v>50</v>
      </c>
      <c r="J815" s="170">
        <v>14.4</v>
      </c>
      <c r="K815" s="163" t="s">
        <v>451</v>
      </c>
      <c r="L815" s="163" t="s">
        <v>451</v>
      </c>
      <c r="M815" s="157"/>
      <c r="N815" s="158"/>
    </row>
    <row r="816" spans="1:14" ht="14.25" customHeight="1" thickBot="1" x14ac:dyDescent="0.35">
      <c r="A816" s="178" t="s">
        <v>837</v>
      </c>
      <c r="B816" s="664" t="s">
        <v>22</v>
      </c>
      <c r="D816" s="133">
        <v>45789</v>
      </c>
      <c r="E816" s="146" t="s">
        <v>88</v>
      </c>
      <c r="F816" s="8" t="s">
        <v>85</v>
      </c>
      <c r="G816" s="147" t="s">
        <v>89</v>
      </c>
      <c r="H816" s="17" t="s">
        <v>26</v>
      </c>
      <c r="I816" s="148">
        <v>50</v>
      </c>
      <c r="J816" s="174">
        <v>7.0947988307717296</v>
      </c>
      <c r="K816" s="173">
        <v>0.20153005862507881</v>
      </c>
      <c r="L816" s="173">
        <v>1.4896678861158081</v>
      </c>
      <c r="M816" s="164"/>
      <c r="N816" s="158"/>
    </row>
    <row r="817" spans="1:14" ht="14.25" customHeight="1" thickBot="1" x14ac:dyDescent="0.35">
      <c r="A817" s="153" t="s">
        <v>838</v>
      </c>
      <c r="B817" s="97" t="s">
        <v>22</v>
      </c>
      <c r="D817" s="134">
        <v>45933</v>
      </c>
      <c r="E817" s="160" t="s">
        <v>23</v>
      </c>
      <c r="F817" s="8" t="s">
        <v>85</v>
      </c>
      <c r="G817" s="169" t="s">
        <v>67</v>
      </c>
      <c r="H817" s="6" t="s">
        <v>18</v>
      </c>
      <c r="I817" s="148">
        <v>50</v>
      </c>
      <c r="J817" s="170">
        <v>8.1</v>
      </c>
      <c r="K817" s="163" t="s">
        <v>451</v>
      </c>
      <c r="L817" s="163" t="s">
        <v>451</v>
      </c>
      <c r="M817" s="157"/>
      <c r="N817" s="158"/>
    </row>
    <row r="818" spans="1:14" ht="14.25" customHeight="1" thickBot="1" x14ac:dyDescent="0.35">
      <c r="A818" s="159" t="s">
        <v>839</v>
      </c>
      <c r="B818" s="97" t="s">
        <v>22</v>
      </c>
      <c r="D818" s="135">
        <v>45933</v>
      </c>
      <c r="E818" s="160" t="s">
        <v>23</v>
      </c>
      <c r="F818" s="8" t="s">
        <v>85</v>
      </c>
      <c r="G818" s="161" t="s">
        <v>67</v>
      </c>
      <c r="H818" s="6" t="s">
        <v>18</v>
      </c>
      <c r="I818" s="148">
        <v>50</v>
      </c>
      <c r="J818" s="162">
        <v>72.599999999999994</v>
      </c>
      <c r="K818" s="179" t="s">
        <v>451</v>
      </c>
      <c r="L818" s="163" t="s">
        <v>451</v>
      </c>
      <c r="M818" s="164"/>
      <c r="N818" s="158"/>
    </row>
    <row r="819" spans="1:14" ht="14.25" customHeight="1" thickBot="1" x14ac:dyDescent="0.35">
      <c r="A819" s="153" t="s">
        <v>840</v>
      </c>
      <c r="B819" s="4" t="s">
        <v>477</v>
      </c>
      <c r="D819" s="135">
        <v>45938</v>
      </c>
      <c r="E819" s="146" t="s">
        <v>88</v>
      </c>
      <c r="F819" s="8" t="s">
        <v>85</v>
      </c>
      <c r="G819" s="154" t="s">
        <v>89</v>
      </c>
      <c r="H819" s="6"/>
      <c r="I819" s="148"/>
      <c r="J819" s="155"/>
      <c r="K819" s="151"/>
      <c r="L819" s="151"/>
      <c r="M819" s="157"/>
      <c r="N819" s="158"/>
    </row>
    <row r="820" spans="1:14" ht="14.25" customHeight="1" thickBot="1" x14ac:dyDescent="0.35">
      <c r="A820" s="159" t="s">
        <v>841</v>
      </c>
      <c r="B820" s="4" t="s">
        <v>477</v>
      </c>
      <c r="D820" s="180">
        <v>45938</v>
      </c>
      <c r="E820" s="146" t="s">
        <v>88</v>
      </c>
      <c r="F820" s="8" t="s">
        <v>85</v>
      </c>
      <c r="G820" s="147" t="s">
        <v>89</v>
      </c>
      <c r="H820" s="6"/>
      <c r="I820" s="148"/>
      <c r="J820" s="168"/>
      <c r="K820" s="156"/>
      <c r="L820" s="151"/>
      <c r="M820" s="164"/>
      <c r="N820" s="158"/>
    </row>
    <row r="821" spans="1:14" ht="14.25" customHeight="1" thickBot="1" x14ac:dyDescent="0.35">
      <c r="A821" s="153" t="s">
        <v>842</v>
      </c>
      <c r="B821" s="4" t="s">
        <v>477</v>
      </c>
      <c r="D821" s="176">
        <v>45922</v>
      </c>
      <c r="E821" s="146" t="s">
        <v>88</v>
      </c>
      <c r="F821" s="8" t="s">
        <v>85</v>
      </c>
      <c r="G821" s="154" t="s">
        <v>89</v>
      </c>
      <c r="H821" s="6"/>
      <c r="I821" s="148"/>
      <c r="J821" s="155"/>
      <c r="K821" s="151"/>
      <c r="L821" s="151"/>
      <c r="M821" s="157"/>
      <c r="N821" s="158"/>
    </row>
    <row r="822" spans="1:14" ht="14.25" customHeight="1" thickBot="1" x14ac:dyDescent="0.35">
      <c r="A822" s="159" t="s">
        <v>843</v>
      </c>
      <c r="B822" s="662" t="s">
        <v>22</v>
      </c>
      <c r="D822" s="110">
        <v>45940</v>
      </c>
      <c r="E822" s="160" t="s">
        <v>23</v>
      </c>
      <c r="F822" s="8" t="s">
        <v>85</v>
      </c>
      <c r="G822" s="161" t="s">
        <v>67</v>
      </c>
      <c r="H822" s="6" t="s">
        <v>18</v>
      </c>
      <c r="I822" s="148">
        <v>50</v>
      </c>
      <c r="J822" s="162">
        <v>30.7</v>
      </c>
      <c r="K822" s="181">
        <v>1.1200000000000001</v>
      </c>
      <c r="L822" s="163">
        <v>1.8</v>
      </c>
      <c r="M822" s="164"/>
      <c r="N822" s="158"/>
    </row>
    <row r="823" spans="1:14" ht="14.25" customHeight="1" thickBot="1" x14ac:dyDescent="0.35">
      <c r="A823" s="153" t="s">
        <v>844</v>
      </c>
      <c r="B823" s="4" t="s">
        <v>477</v>
      </c>
      <c r="D823" s="176">
        <v>45926</v>
      </c>
      <c r="E823" s="160" t="s">
        <v>23</v>
      </c>
      <c r="F823" s="8" t="s">
        <v>85</v>
      </c>
      <c r="G823" s="169" t="s">
        <v>67</v>
      </c>
      <c r="H823" s="6"/>
      <c r="I823" s="148"/>
      <c r="J823" s="155"/>
      <c r="K823" s="156"/>
      <c r="L823" s="151"/>
      <c r="M823" s="157"/>
      <c r="N823" s="158"/>
    </row>
    <row r="824" spans="1:14" ht="14.25" customHeight="1" thickBot="1" x14ac:dyDescent="0.35">
      <c r="A824" s="159" t="s">
        <v>845</v>
      </c>
      <c r="B824" s="4" t="s">
        <v>22</v>
      </c>
      <c r="D824" s="180">
        <v>45926</v>
      </c>
      <c r="E824" s="160" t="s">
        <v>23</v>
      </c>
      <c r="F824" s="8" t="s">
        <v>85</v>
      </c>
      <c r="G824" s="161" t="s">
        <v>67</v>
      </c>
      <c r="H824" s="6" t="s">
        <v>18</v>
      </c>
      <c r="I824" s="148">
        <v>50</v>
      </c>
      <c r="J824" s="168" t="s">
        <v>450</v>
      </c>
      <c r="K824" s="151"/>
      <c r="L824" s="151"/>
      <c r="M824" s="164"/>
      <c r="N824" s="158"/>
    </row>
    <row r="825" spans="1:14" ht="14.25" customHeight="1" thickBot="1" x14ac:dyDescent="0.35">
      <c r="A825" s="153" t="s">
        <v>846</v>
      </c>
      <c r="B825" s="4" t="s">
        <v>477</v>
      </c>
      <c r="D825" s="176">
        <v>45926</v>
      </c>
      <c r="E825" s="160" t="s">
        <v>23</v>
      </c>
      <c r="F825" s="8" t="s">
        <v>85</v>
      </c>
      <c r="G825" s="169" t="s">
        <v>67</v>
      </c>
      <c r="H825" s="6"/>
      <c r="I825" s="148"/>
      <c r="J825" s="155"/>
      <c r="K825" s="182"/>
      <c r="L825" s="151"/>
      <c r="M825" s="157"/>
      <c r="N825" s="158"/>
    </row>
    <row r="826" spans="1:14" ht="14.25" customHeight="1" thickBot="1" x14ac:dyDescent="0.35">
      <c r="A826" s="159" t="s">
        <v>847</v>
      </c>
      <c r="B826" s="4" t="s">
        <v>477</v>
      </c>
      <c r="D826" s="180">
        <v>45926</v>
      </c>
      <c r="E826" s="160" t="s">
        <v>23</v>
      </c>
      <c r="F826" s="8" t="s">
        <v>85</v>
      </c>
      <c r="G826" s="161" t="s">
        <v>67</v>
      </c>
      <c r="H826" s="6"/>
      <c r="I826" s="148"/>
      <c r="J826" s="168"/>
      <c r="K826" s="156"/>
      <c r="L826" s="151"/>
      <c r="M826" s="164"/>
      <c r="N826" s="158"/>
    </row>
    <row r="827" spans="1:14" ht="14.25" customHeight="1" thickBot="1" x14ac:dyDescent="0.35">
      <c r="A827" s="171" t="s">
        <v>848</v>
      </c>
      <c r="B827" s="95" t="s">
        <v>22</v>
      </c>
      <c r="D827" s="691">
        <v>45926</v>
      </c>
      <c r="E827" s="160" t="s">
        <v>23</v>
      </c>
      <c r="F827" s="8" t="s">
        <v>85</v>
      </c>
      <c r="G827" s="169" t="s">
        <v>94</v>
      </c>
      <c r="H827" s="6" t="s">
        <v>18</v>
      </c>
      <c r="I827" s="148">
        <v>50</v>
      </c>
      <c r="J827" s="175" t="s">
        <v>230</v>
      </c>
      <c r="K827" s="151"/>
      <c r="L827" s="151"/>
      <c r="M827" s="157"/>
      <c r="N827" s="158"/>
    </row>
    <row r="828" spans="1:14" ht="14.25" customHeight="1" thickBot="1" x14ac:dyDescent="0.35">
      <c r="A828" s="159" t="s">
        <v>849</v>
      </c>
      <c r="B828" s="4" t="s">
        <v>477</v>
      </c>
      <c r="D828" s="180">
        <v>45926</v>
      </c>
      <c r="E828" s="160" t="s">
        <v>23</v>
      </c>
      <c r="F828" s="8" t="s">
        <v>85</v>
      </c>
      <c r="G828" s="161" t="s">
        <v>67</v>
      </c>
      <c r="H828" s="6"/>
      <c r="I828" s="148"/>
      <c r="J828" s="168"/>
      <c r="K828" s="151"/>
      <c r="L828" s="151"/>
      <c r="M828" s="164"/>
      <c r="N828" s="158"/>
    </row>
    <row r="829" spans="1:14" ht="14.25" customHeight="1" thickBot="1" x14ac:dyDescent="0.35">
      <c r="A829" s="153" t="s">
        <v>850</v>
      </c>
      <c r="B829" s="4" t="s">
        <v>477</v>
      </c>
      <c r="D829" s="176">
        <v>45926</v>
      </c>
      <c r="E829" s="160" t="s">
        <v>23</v>
      </c>
      <c r="F829" s="8" t="s">
        <v>85</v>
      </c>
      <c r="G829" s="169" t="s">
        <v>67</v>
      </c>
      <c r="H829" s="6"/>
      <c r="I829" s="148"/>
      <c r="J829" s="155"/>
      <c r="K829" s="151"/>
      <c r="L829" s="151"/>
      <c r="M829" s="157"/>
      <c r="N829" s="158"/>
    </row>
    <row r="830" spans="1:14" ht="14.25" customHeight="1" thickBot="1" x14ac:dyDescent="0.35">
      <c r="A830" s="159" t="s">
        <v>851</v>
      </c>
      <c r="B830" s="4" t="s">
        <v>477</v>
      </c>
      <c r="D830" s="180">
        <v>45926</v>
      </c>
      <c r="E830" s="16" t="s">
        <v>23</v>
      </c>
      <c r="F830" s="8" t="s">
        <v>85</v>
      </c>
      <c r="G830" s="161" t="s">
        <v>67</v>
      </c>
      <c r="H830" s="6"/>
      <c r="I830" s="148"/>
      <c r="J830" s="168"/>
      <c r="K830" s="151"/>
      <c r="L830" s="151"/>
      <c r="M830" s="164"/>
      <c r="N830" s="158"/>
    </row>
    <row r="831" spans="1:14" ht="14.25" customHeight="1" thickBot="1" x14ac:dyDescent="0.35">
      <c r="A831" s="153" t="s">
        <v>852</v>
      </c>
      <c r="B831" s="4" t="s">
        <v>477</v>
      </c>
      <c r="D831" s="176">
        <v>45926</v>
      </c>
      <c r="E831" s="160" t="s">
        <v>23</v>
      </c>
      <c r="F831" s="8" t="s">
        <v>85</v>
      </c>
      <c r="G831" s="169" t="s">
        <v>67</v>
      </c>
      <c r="H831" s="6"/>
      <c r="I831" s="148"/>
      <c r="J831" s="155"/>
      <c r="K831" s="150"/>
      <c r="L831" s="151"/>
      <c r="M831" s="157"/>
      <c r="N831" s="158"/>
    </row>
    <row r="832" spans="1:14" ht="14.25" customHeight="1" thickBot="1" x14ac:dyDescent="0.35">
      <c r="A832" s="159" t="s">
        <v>853</v>
      </c>
      <c r="B832" s="4" t="s">
        <v>477</v>
      </c>
      <c r="D832" s="180">
        <v>45926</v>
      </c>
      <c r="E832" s="160" t="s">
        <v>23</v>
      </c>
      <c r="F832" s="8" t="s">
        <v>85</v>
      </c>
      <c r="G832" s="161" t="s">
        <v>67</v>
      </c>
      <c r="H832" s="6"/>
      <c r="I832" s="148"/>
      <c r="J832" s="168"/>
      <c r="K832" s="156"/>
      <c r="L832" s="151"/>
      <c r="M832" s="164"/>
      <c r="N832" s="158"/>
    </row>
    <row r="833" spans="1:14" ht="14.25" customHeight="1" thickBot="1" x14ac:dyDescent="0.35">
      <c r="A833" s="153" t="s">
        <v>854</v>
      </c>
      <c r="B833" s="4" t="s">
        <v>477</v>
      </c>
      <c r="D833" s="666">
        <v>45926</v>
      </c>
      <c r="E833" s="169" t="s">
        <v>23</v>
      </c>
      <c r="F833" s="183" t="s">
        <v>85</v>
      </c>
      <c r="G833" s="169" t="s">
        <v>67</v>
      </c>
      <c r="H833" s="6"/>
      <c r="I833" s="148"/>
      <c r="J833" s="155"/>
      <c r="K833" s="151"/>
      <c r="L833" s="151"/>
      <c r="M833" s="157"/>
      <c r="N833" s="158"/>
    </row>
    <row r="834" spans="1:14" ht="14.25" customHeight="1" thickBot="1" x14ac:dyDescent="0.35">
      <c r="A834" s="159" t="s">
        <v>855</v>
      </c>
      <c r="B834" s="4" t="s">
        <v>477</v>
      </c>
      <c r="D834" s="666">
        <v>45926</v>
      </c>
      <c r="E834" s="161" t="s">
        <v>23</v>
      </c>
      <c r="F834" s="184" t="s">
        <v>85</v>
      </c>
      <c r="G834" s="169" t="s">
        <v>67</v>
      </c>
      <c r="H834" s="6"/>
      <c r="I834" s="148"/>
      <c r="J834" s="168"/>
      <c r="K834" s="150"/>
      <c r="L834" s="151"/>
      <c r="M834" s="164"/>
      <c r="N834" s="158"/>
    </row>
    <row r="835" spans="1:14" ht="14.25" customHeight="1" thickBot="1" x14ac:dyDescent="0.35">
      <c r="A835" s="153" t="s">
        <v>856</v>
      </c>
      <c r="B835" s="4" t="s">
        <v>477</v>
      </c>
      <c r="D835" s="666">
        <v>45926</v>
      </c>
      <c r="E835" s="169" t="s">
        <v>23</v>
      </c>
      <c r="F835" s="183" t="s">
        <v>85</v>
      </c>
      <c r="G835" s="169" t="s">
        <v>67</v>
      </c>
      <c r="H835" s="6"/>
      <c r="I835" s="148"/>
      <c r="J835" s="155"/>
      <c r="K835" s="150"/>
      <c r="L835" s="151"/>
      <c r="M835" s="157"/>
      <c r="N835" s="158"/>
    </row>
    <row r="836" spans="1:14" ht="14.25" customHeight="1" thickBot="1" x14ac:dyDescent="0.35">
      <c r="A836" s="159" t="s">
        <v>857</v>
      </c>
      <c r="B836" s="4" t="s">
        <v>477</v>
      </c>
      <c r="D836" s="666">
        <v>45926</v>
      </c>
      <c r="E836" s="161" t="s">
        <v>23</v>
      </c>
      <c r="F836" s="184" t="s">
        <v>85</v>
      </c>
      <c r="G836" s="169" t="s">
        <v>67</v>
      </c>
      <c r="H836" s="6"/>
      <c r="I836" s="148"/>
      <c r="J836" s="168"/>
      <c r="K836" s="150"/>
      <c r="L836" s="151"/>
      <c r="M836" s="164"/>
      <c r="N836" s="158"/>
    </row>
    <row r="837" spans="1:14" ht="14.25" customHeight="1" thickBot="1" x14ac:dyDescent="0.35">
      <c r="A837" s="153" t="s">
        <v>858</v>
      </c>
      <c r="B837" s="4" t="s">
        <v>477</v>
      </c>
      <c r="D837" s="666">
        <v>45926</v>
      </c>
      <c r="E837" s="169" t="s">
        <v>23</v>
      </c>
      <c r="F837" s="183" t="s">
        <v>85</v>
      </c>
      <c r="G837" s="169" t="s">
        <v>67</v>
      </c>
      <c r="H837" s="6"/>
      <c r="I837" s="148"/>
      <c r="J837" s="155"/>
      <c r="K837" s="150"/>
      <c r="L837" s="151"/>
      <c r="M837" s="157"/>
      <c r="N837" s="158"/>
    </row>
    <row r="838" spans="1:14" ht="14.25" customHeight="1" thickBot="1" x14ac:dyDescent="0.35">
      <c r="A838" s="159" t="s">
        <v>859</v>
      </c>
      <c r="B838" s="4" t="s">
        <v>477</v>
      </c>
      <c r="D838" s="666">
        <v>45926</v>
      </c>
      <c r="E838" s="161" t="s">
        <v>23</v>
      </c>
      <c r="F838" s="184" t="s">
        <v>85</v>
      </c>
      <c r="G838" s="169" t="s">
        <v>67</v>
      </c>
      <c r="H838" s="6"/>
      <c r="I838" s="148"/>
      <c r="J838" s="168"/>
      <c r="K838" s="150"/>
      <c r="L838" s="151"/>
      <c r="M838" s="164"/>
      <c r="N838" s="158"/>
    </row>
    <row r="839" spans="1:14" ht="14.25" customHeight="1" thickBot="1" x14ac:dyDescent="0.35">
      <c r="A839" s="153" t="s">
        <v>860</v>
      </c>
      <c r="B839" s="4" t="s">
        <v>477</v>
      </c>
      <c r="D839" s="666">
        <v>45926</v>
      </c>
      <c r="E839" s="169" t="s">
        <v>23</v>
      </c>
      <c r="F839" s="183" t="s">
        <v>85</v>
      </c>
      <c r="G839" s="169" t="s">
        <v>67</v>
      </c>
      <c r="H839" s="6"/>
      <c r="I839" s="148"/>
      <c r="J839" s="155"/>
      <c r="K839" s="150"/>
      <c r="L839" s="151"/>
      <c r="M839" s="157"/>
      <c r="N839" s="158"/>
    </row>
    <row r="840" spans="1:14" ht="14.25" customHeight="1" thickBot="1" x14ac:dyDescent="0.35">
      <c r="A840" s="159" t="s">
        <v>861</v>
      </c>
      <c r="B840" s="4" t="s">
        <v>477</v>
      </c>
      <c r="D840" s="666">
        <v>45926</v>
      </c>
      <c r="E840" s="161" t="s">
        <v>23</v>
      </c>
      <c r="F840" s="184" t="s">
        <v>85</v>
      </c>
      <c r="G840" s="169" t="s">
        <v>67</v>
      </c>
      <c r="H840" s="6"/>
      <c r="I840" s="148"/>
      <c r="J840" s="168"/>
      <c r="K840" s="150"/>
      <c r="L840" s="151"/>
      <c r="M840" s="164"/>
      <c r="N840" s="158"/>
    </row>
    <row r="841" spans="1:14" ht="14.25" customHeight="1" thickBot="1" x14ac:dyDescent="0.35">
      <c r="A841" s="153" t="s">
        <v>862</v>
      </c>
      <c r="B841" s="4" t="s">
        <v>477</v>
      </c>
      <c r="D841" s="666">
        <v>45926</v>
      </c>
      <c r="E841" s="169" t="s">
        <v>23</v>
      </c>
      <c r="F841" s="183" t="s">
        <v>85</v>
      </c>
      <c r="G841" s="169" t="s">
        <v>67</v>
      </c>
      <c r="H841" s="6"/>
      <c r="I841" s="148"/>
      <c r="J841" s="155"/>
      <c r="K841" s="150"/>
      <c r="L841" s="151"/>
      <c r="M841" s="157"/>
      <c r="N841" s="158"/>
    </row>
    <row r="842" spans="1:14" ht="14.25" customHeight="1" thickBot="1" x14ac:dyDescent="0.35">
      <c r="A842" s="159" t="s">
        <v>863</v>
      </c>
      <c r="B842" s="4" t="s">
        <v>477</v>
      </c>
      <c r="D842" s="666">
        <v>45926</v>
      </c>
      <c r="E842" s="161" t="s">
        <v>23</v>
      </c>
      <c r="F842" s="184" t="s">
        <v>85</v>
      </c>
      <c r="G842" s="169" t="s">
        <v>67</v>
      </c>
      <c r="H842" s="6"/>
      <c r="I842" s="148"/>
      <c r="J842" s="168"/>
      <c r="K842" s="156"/>
      <c r="L842" s="151"/>
      <c r="M842" s="164"/>
      <c r="N842" s="158"/>
    </row>
    <row r="843" spans="1:14" ht="14.25" customHeight="1" thickBot="1" x14ac:dyDescent="0.35">
      <c r="A843" s="153" t="s">
        <v>864</v>
      </c>
      <c r="B843" s="4" t="s">
        <v>477</v>
      </c>
      <c r="D843" s="666">
        <v>45926</v>
      </c>
      <c r="E843" s="185" t="s">
        <v>23</v>
      </c>
      <c r="F843" s="8" t="s">
        <v>85</v>
      </c>
      <c r="G843" s="169" t="s">
        <v>67</v>
      </c>
      <c r="H843" s="6"/>
      <c r="I843" s="148"/>
      <c r="J843" s="155"/>
      <c r="K843" s="151"/>
      <c r="L843" s="151"/>
      <c r="M843" s="157"/>
      <c r="N843" s="158"/>
    </row>
    <row r="844" spans="1:14" ht="14.25" customHeight="1" thickBot="1" x14ac:dyDescent="0.35">
      <c r="A844" s="159" t="s">
        <v>865</v>
      </c>
      <c r="B844" s="4" t="s">
        <v>477</v>
      </c>
      <c r="D844" s="666">
        <v>45926</v>
      </c>
      <c r="E844" s="16" t="s">
        <v>23</v>
      </c>
      <c r="F844" s="8" t="s">
        <v>85</v>
      </c>
      <c r="G844" s="161" t="s">
        <v>67</v>
      </c>
      <c r="H844" s="6"/>
      <c r="I844" s="148"/>
      <c r="J844" s="168"/>
      <c r="K844" s="151"/>
      <c r="L844" s="151"/>
      <c r="M844" s="164"/>
      <c r="N844" s="158"/>
    </row>
    <row r="845" spans="1:14" ht="14.25" customHeight="1" thickBot="1" x14ac:dyDescent="0.35">
      <c r="A845" s="153" t="s">
        <v>866</v>
      </c>
      <c r="B845" s="4" t="s">
        <v>477</v>
      </c>
      <c r="D845" s="666">
        <v>45926</v>
      </c>
      <c r="E845" s="16" t="s">
        <v>23</v>
      </c>
      <c r="F845" s="8" t="s">
        <v>85</v>
      </c>
      <c r="G845" s="169" t="s">
        <v>67</v>
      </c>
      <c r="H845" s="6"/>
      <c r="I845" s="148"/>
      <c r="J845" s="155"/>
      <c r="K845" s="151"/>
      <c r="L845" s="151"/>
      <c r="M845" s="157"/>
      <c r="N845" s="158"/>
    </row>
    <row r="846" spans="1:14" ht="14.25" customHeight="1" thickBot="1" x14ac:dyDescent="0.35">
      <c r="A846" s="159" t="s">
        <v>867</v>
      </c>
      <c r="B846" s="4" t="s">
        <v>477</v>
      </c>
      <c r="D846" s="666">
        <v>45926</v>
      </c>
      <c r="E846" s="16" t="s">
        <v>23</v>
      </c>
      <c r="F846" s="8" t="s">
        <v>85</v>
      </c>
      <c r="G846" s="161" t="s">
        <v>67</v>
      </c>
      <c r="H846" s="6"/>
      <c r="I846" s="148"/>
      <c r="J846" s="168"/>
      <c r="K846" s="150"/>
      <c r="L846" s="151"/>
      <c r="M846" s="164"/>
      <c r="N846" s="158"/>
    </row>
    <row r="847" spans="1:14" ht="14.25" customHeight="1" thickBot="1" x14ac:dyDescent="0.35">
      <c r="A847" s="153" t="s">
        <v>868</v>
      </c>
      <c r="B847" s="4" t="s">
        <v>477</v>
      </c>
      <c r="D847" s="666">
        <v>45926</v>
      </c>
      <c r="E847" s="16" t="s">
        <v>23</v>
      </c>
      <c r="F847" s="8" t="s">
        <v>85</v>
      </c>
      <c r="G847" s="169" t="s">
        <v>67</v>
      </c>
      <c r="H847" s="6"/>
      <c r="I847" s="148"/>
      <c r="J847" s="155"/>
      <c r="K847" s="156"/>
      <c r="L847" s="151"/>
      <c r="M847" s="157"/>
      <c r="N847" s="158"/>
    </row>
    <row r="848" spans="1:14" ht="14.25" customHeight="1" thickBot="1" x14ac:dyDescent="0.35">
      <c r="A848" s="159" t="s">
        <v>869</v>
      </c>
      <c r="B848" s="4" t="s">
        <v>477</v>
      </c>
      <c r="D848" s="666">
        <v>45924</v>
      </c>
      <c r="E848" s="39" t="s">
        <v>88</v>
      </c>
      <c r="F848" s="8" t="s">
        <v>85</v>
      </c>
      <c r="G848" s="147" t="s">
        <v>89</v>
      </c>
      <c r="H848" s="6"/>
      <c r="I848" s="148"/>
      <c r="J848" s="168"/>
      <c r="K848" s="151"/>
      <c r="L848" s="151"/>
      <c r="M848" s="164"/>
      <c r="N848" s="158"/>
    </row>
    <row r="849" spans="1:14" ht="14.25" customHeight="1" thickBot="1" x14ac:dyDescent="0.35">
      <c r="A849" s="153" t="s">
        <v>870</v>
      </c>
      <c r="B849" s="4" t="s">
        <v>477</v>
      </c>
      <c r="D849" s="666">
        <v>45926</v>
      </c>
      <c r="E849" s="16" t="s">
        <v>23</v>
      </c>
      <c r="F849" s="8" t="s">
        <v>85</v>
      </c>
      <c r="G849" s="169" t="s">
        <v>67</v>
      </c>
      <c r="H849" s="6"/>
      <c r="I849" s="148"/>
      <c r="J849" s="155"/>
      <c r="K849" s="151"/>
      <c r="L849" s="151"/>
      <c r="M849" s="157"/>
      <c r="N849" s="158"/>
    </row>
    <row r="850" spans="1:14" ht="14.25" customHeight="1" thickBot="1" x14ac:dyDescent="0.35">
      <c r="A850" s="159" t="s">
        <v>871</v>
      </c>
      <c r="B850" s="4" t="s">
        <v>477</v>
      </c>
      <c r="D850" s="666">
        <v>45926</v>
      </c>
      <c r="E850" s="16" t="s">
        <v>23</v>
      </c>
      <c r="F850" s="8" t="s">
        <v>85</v>
      </c>
      <c r="G850" s="161" t="s">
        <v>67</v>
      </c>
      <c r="H850" s="6"/>
      <c r="I850" s="148"/>
      <c r="J850" s="168"/>
      <c r="K850" s="156"/>
      <c r="L850" s="151"/>
      <c r="M850" s="164"/>
      <c r="N850" s="158"/>
    </row>
    <row r="851" spans="1:14" ht="14.25" customHeight="1" thickBot="1" x14ac:dyDescent="0.35">
      <c r="A851" s="153" t="s">
        <v>872</v>
      </c>
      <c r="B851" s="4" t="s">
        <v>477</v>
      </c>
      <c r="D851" s="666">
        <v>45926</v>
      </c>
      <c r="E851" s="16" t="s">
        <v>23</v>
      </c>
      <c r="F851" s="8" t="s">
        <v>85</v>
      </c>
      <c r="G851" s="169" t="s">
        <v>67</v>
      </c>
      <c r="H851" s="6"/>
      <c r="I851" s="148"/>
      <c r="J851" s="155"/>
      <c r="K851" s="151"/>
      <c r="L851" s="151"/>
      <c r="M851" s="157"/>
      <c r="N851" s="158"/>
    </row>
    <row r="852" spans="1:14" ht="14.25" customHeight="1" thickBot="1" x14ac:dyDescent="0.35">
      <c r="A852" s="159" t="s">
        <v>873</v>
      </c>
      <c r="B852" s="4" t="s">
        <v>477</v>
      </c>
      <c r="D852" s="666">
        <v>45926</v>
      </c>
      <c r="E852" s="16" t="s">
        <v>23</v>
      </c>
      <c r="F852" s="8" t="s">
        <v>85</v>
      </c>
      <c r="G852" s="161" t="s">
        <v>67</v>
      </c>
      <c r="H852" s="6"/>
      <c r="I852" s="148"/>
      <c r="J852" s="168"/>
      <c r="K852" s="156"/>
      <c r="L852" s="151"/>
      <c r="M852" s="164"/>
      <c r="N852" s="158"/>
    </row>
    <row r="853" spans="1:14" ht="14.25" customHeight="1" thickBot="1" x14ac:dyDescent="0.35">
      <c r="A853" s="153" t="s">
        <v>874</v>
      </c>
      <c r="B853" s="4" t="s">
        <v>477</v>
      </c>
      <c r="D853" s="666">
        <v>45926</v>
      </c>
      <c r="E853" s="169" t="s">
        <v>23</v>
      </c>
      <c r="F853" s="8" t="s">
        <v>85</v>
      </c>
      <c r="G853" s="169" t="s">
        <v>67</v>
      </c>
      <c r="H853" s="6"/>
      <c r="I853" s="148"/>
      <c r="J853" s="155"/>
      <c r="K853" s="151"/>
      <c r="L853" s="151"/>
      <c r="M853" s="157"/>
      <c r="N853" s="158"/>
    </row>
    <row r="854" spans="1:14" ht="14.25" customHeight="1" thickBot="1" x14ac:dyDescent="0.35">
      <c r="A854" s="159" t="s">
        <v>875</v>
      </c>
      <c r="B854" s="4" t="s">
        <v>477</v>
      </c>
      <c r="D854" s="666">
        <v>45926</v>
      </c>
      <c r="E854" s="161" t="s">
        <v>23</v>
      </c>
      <c r="F854" s="8" t="s">
        <v>85</v>
      </c>
      <c r="G854" s="169" t="s">
        <v>67</v>
      </c>
      <c r="H854" s="6"/>
      <c r="I854" s="148"/>
      <c r="J854" s="168"/>
      <c r="K854" s="151"/>
      <c r="L854" s="151"/>
      <c r="M854" s="164"/>
      <c r="N854" s="158"/>
    </row>
    <row r="855" spans="1:14" ht="14.25" customHeight="1" thickBot="1" x14ac:dyDescent="0.35">
      <c r="A855" s="153" t="s">
        <v>876</v>
      </c>
      <c r="B855" s="4" t="s">
        <v>477</v>
      </c>
      <c r="D855" s="666">
        <v>45926</v>
      </c>
      <c r="E855" s="169" t="s">
        <v>23</v>
      </c>
      <c r="F855" s="8" t="s">
        <v>85</v>
      </c>
      <c r="G855" s="169" t="s">
        <v>67</v>
      </c>
      <c r="H855" s="6"/>
      <c r="I855" s="148"/>
      <c r="J855" s="155"/>
      <c r="K855" s="151"/>
      <c r="L855" s="151"/>
      <c r="M855" s="157"/>
      <c r="N855" s="158"/>
    </row>
    <row r="856" spans="1:14" ht="14.25" customHeight="1" thickBot="1" x14ac:dyDescent="0.35">
      <c r="A856" s="159" t="s">
        <v>877</v>
      </c>
      <c r="B856" s="4" t="s">
        <v>477</v>
      </c>
      <c r="D856" s="666">
        <v>45926</v>
      </c>
      <c r="E856" s="161" t="s">
        <v>23</v>
      </c>
      <c r="F856" s="8" t="s">
        <v>85</v>
      </c>
      <c r="G856" s="169" t="s">
        <v>67</v>
      </c>
      <c r="H856" s="6"/>
      <c r="I856" s="148"/>
      <c r="J856" s="168"/>
      <c r="K856" s="156"/>
      <c r="L856" s="151"/>
      <c r="M856" s="164"/>
      <c r="N856" s="158"/>
    </row>
    <row r="857" spans="1:14" ht="14.25" customHeight="1" thickBot="1" x14ac:dyDescent="0.35">
      <c r="A857" s="153" t="s">
        <v>878</v>
      </c>
      <c r="B857" s="4" t="s">
        <v>477</v>
      </c>
      <c r="D857" s="666">
        <v>45926</v>
      </c>
      <c r="E857" s="169" t="s">
        <v>23</v>
      </c>
      <c r="F857" s="8" t="s">
        <v>85</v>
      </c>
      <c r="G857" s="169" t="s">
        <v>67</v>
      </c>
      <c r="H857" s="6"/>
      <c r="I857" s="148"/>
      <c r="J857" s="155"/>
      <c r="K857" s="151"/>
      <c r="L857" s="151"/>
      <c r="M857" s="157"/>
      <c r="N857" s="158"/>
    </row>
    <row r="858" spans="1:14" ht="14.25" customHeight="1" thickBot="1" x14ac:dyDescent="0.35">
      <c r="A858" s="159" t="s">
        <v>879</v>
      </c>
      <c r="B858" s="4" t="s">
        <v>477</v>
      </c>
      <c r="D858" s="98">
        <v>45926</v>
      </c>
      <c r="E858" s="161" t="s">
        <v>23</v>
      </c>
      <c r="F858" s="8" t="s">
        <v>85</v>
      </c>
      <c r="G858" s="169" t="s">
        <v>67</v>
      </c>
      <c r="H858" s="6"/>
      <c r="I858" s="148"/>
      <c r="J858" s="168"/>
      <c r="K858" s="150"/>
      <c r="L858" s="151"/>
      <c r="M858" s="164"/>
      <c r="N858" s="158"/>
    </row>
    <row r="859" spans="1:14" ht="14.25" customHeight="1" thickBot="1" x14ac:dyDescent="0.35">
      <c r="A859" s="153" t="s">
        <v>880</v>
      </c>
      <c r="B859" s="4" t="s">
        <v>477</v>
      </c>
      <c r="D859" s="666">
        <v>45926</v>
      </c>
      <c r="E859" s="169" t="s">
        <v>23</v>
      </c>
      <c r="F859" s="8" t="s">
        <v>85</v>
      </c>
      <c r="G859" s="169" t="s">
        <v>67</v>
      </c>
      <c r="H859" s="6"/>
      <c r="I859" s="148"/>
      <c r="J859" s="155"/>
      <c r="K859" s="150"/>
      <c r="L859" s="151"/>
      <c r="M859" s="157"/>
      <c r="N859" s="158"/>
    </row>
    <row r="860" spans="1:14" ht="14.25" customHeight="1" thickBot="1" x14ac:dyDescent="0.35">
      <c r="A860" s="159" t="s">
        <v>881</v>
      </c>
      <c r="B860" s="4" t="s">
        <v>477</v>
      </c>
      <c r="D860" s="666">
        <v>45926</v>
      </c>
      <c r="E860" s="161" t="s">
        <v>23</v>
      </c>
      <c r="F860" s="8" t="s">
        <v>85</v>
      </c>
      <c r="G860" s="169" t="s">
        <v>67</v>
      </c>
      <c r="H860" s="6"/>
      <c r="I860" s="148"/>
      <c r="J860" s="168"/>
      <c r="K860" s="156"/>
      <c r="L860" s="151"/>
      <c r="M860" s="164"/>
      <c r="N860" s="158"/>
    </row>
    <row r="861" spans="1:14" ht="14.25" customHeight="1" thickBot="1" x14ac:dyDescent="0.35">
      <c r="A861" s="171" t="s">
        <v>882</v>
      </c>
      <c r="B861" s="4" t="s">
        <v>22</v>
      </c>
      <c r="D861" s="29">
        <v>45768</v>
      </c>
      <c r="E861" s="186" t="s">
        <v>88</v>
      </c>
      <c r="F861" s="8" t="s">
        <v>85</v>
      </c>
      <c r="G861" s="154" t="s">
        <v>89</v>
      </c>
      <c r="H861" s="17" t="s">
        <v>26</v>
      </c>
      <c r="I861" s="148">
        <v>50</v>
      </c>
      <c r="J861" s="175" t="s">
        <v>450</v>
      </c>
      <c r="K861" s="151" t="s">
        <v>451</v>
      </c>
      <c r="L861" s="151" t="s">
        <v>451</v>
      </c>
      <c r="M861" s="175" t="s">
        <v>451</v>
      </c>
      <c r="N861" s="152" t="s">
        <v>451</v>
      </c>
    </row>
    <row r="862" spans="1:14" ht="14.25" customHeight="1" thickBot="1" x14ac:dyDescent="0.35">
      <c r="A862" s="159" t="s">
        <v>883</v>
      </c>
      <c r="B862" s="4" t="s">
        <v>477</v>
      </c>
      <c r="D862" s="666">
        <v>45926</v>
      </c>
      <c r="E862" s="161" t="s">
        <v>23</v>
      </c>
      <c r="F862" s="8" t="s">
        <v>85</v>
      </c>
      <c r="G862" s="169" t="s">
        <v>67</v>
      </c>
      <c r="H862" s="6"/>
      <c r="I862" s="148"/>
      <c r="J862" s="168"/>
      <c r="K862" s="156"/>
      <c r="L862" s="151"/>
      <c r="M862" s="164"/>
      <c r="N862" s="158"/>
    </row>
    <row r="863" spans="1:14" ht="14.25" customHeight="1" thickBot="1" x14ac:dyDescent="0.35">
      <c r="A863" s="171" t="s">
        <v>884</v>
      </c>
      <c r="B863" s="4" t="s">
        <v>22</v>
      </c>
      <c r="D863" s="29">
        <v>45768</v>
      </c>
      <c r="E863" s="186" t="s">
        <v>88</v>
      </c>
      <c r="F863" s="8" t="s">
        <v>85</v>
      </c>
      <c r="G863" s="154" t="s">
        <v>89</v>
      </c>
      <c r="H863" s="17" t="s">
        <v>26</v>
      </c>
      <c r="I863" s="148">
        <v>50</v>
      </c>
      <c r="J863" s="175" t="s">
        <v>450</v>
      </c>
      <c r="K863" s="151" t="s">
        <v>451</v>
      </c>
      <c r="L863" s="151" t="s">
        <v>451</v>
      </c>
      <c r="M863" s="175" t="s">
        <v>451</v>
      </c>
      <c r="N863" s="152" t="s">
        <v>451</v>
      </c>
    </row>
    <row r="864" spans="1:14" ht="14.25" customHeight="1" thickBot="1" x14ac:dyDescent="0.35">
      <c r="A864" s="153" t="s">
        <v>885</v>
      </c>
      <c r="B864" s="662" t="s">
        <v>22</v>
      </c>
      <c r="D864" s="98">
        <v>45926</v>
      </c>
      <c r="E864" s="169" t="s">
        <v>23</v>
      </c>
      <c r="F864" s="8" t="s">
        <v>85</v>
      </c>
      <c r="G864" s="169" t="s">
        <v>67</v>
      </c>
      <c r="H864" s="6" t="s">
        <v>18</v>
      </c>
      <c r="I864" s="148">
        <v>50</v>
      </c>
      <c r="J864" s="170">
        <v>128.30000000000001</v>
      </c>
      <c r="K864" s="163">
        <v>2.4300000000000002</v>
      </c>
      <c r="L864" s="163">
        <v>1.78</v>
      </c>
      <c r="M864" s="157"/>
      <c r="N864" s="158"/>
    </row>
    <row r="865" spans="1:14" ht="14.25" customHeight="1" thickBot="1" x14ac:dyDescent="0.35">
      <c r="A865" s="159" t="s">
        <v>886</v>
      </c>
      <c r="B865" s="4" t="s">
        <v>477</v>
      </c>
      <c r="D865" s="666">
        <v>45926</v>
      </c>
      <c r="E865" s="187" t="s">
        <v>23</v>
      </c>
      <c r="F865" s="8" t="s">
        <v>85</v>
      </c>
      <c r="G865" s="169" t="s">
        <v>67</v>
      </c>
      <c r="H865" s="6"/>
      <c r="I865" s="148"/>
      <c r="J865" s="168"/>
      <c r="K865" s="150"/>
      <c r="L865" s="151"/>
      <c r="M865" s="164"/>
      <c r="N865" s="158"/>
    </row>
    <row r="866" spans="1:14" ht="14.25" customHeight="1" thickBot="1" x14ac:dyDescent="0.35">
      <c r="A866" s="171" t="s">
        <v>887</v>
      </c>
      <c r="B866" s="4" t="s">
        <v>22</v>
      </c>
      <c r="D866" s="29">
        <v>45768</v>
      </c>
      <c r="E866" s="146" t="s">
        <v>88</v>
      </c>
      <c r="F866" s="8" t="s">
        <v>85</v>
      </c>
      <c r="G866" s="154" t="s">
        <v>89</v>
      </c>
      <c r="H866" s="17" t="s">
        <v>26</v>
      </c>
      <c r="I866" s="148">
        <v>50</v>
      </c>
      <c r="J866" s="175" t="s">
        <v>450</v>
      </c>
      <c r="K866" s="150" t="s">
        <v>451</v>
      </c>
      <c r="L866" s="151" t="s">
        <v>451</v>
      </c>
      <c r="M866" s="175" t="s">
        <v>451</v>
      </c>
      <c r="N866" s="152" t="s">
        <v>451</v>
      </c>
    </row>
    <row r="867" spans="1:14" ht="14.25" customHeight="1" thickBot="1" x14ac:dyDescent="0.35">
      <c r="A867" s="159" t="s">
        <v>888</v>
      </c>
      <c r="B867" s="4" t="s">
        <v>477</v>
      </c>
      <c r="D867" s="98">
        <v>45926</v>
      </c>
      <c r="E867" s="160" t="s">
        <v>23</v>
      </c>
      <c r="F867" s="8" t="s">
        <v>85</v>
      </c>
      <c r="G867" s="161" t="s">
        <v>67</v>
      </c>
      <c r="H867" s="6"/>
      <c r="I867" s="148"/>
      <c r="J867" s="168"/>
      <c r="K867" s="150"/>
      <c r="L867" s="151"/>
      <c r="M867" s="164"/>
      <c r="N867" s="158"/>
    </row>
    <row r="868" spans="1:14" ht="14.25" customHeight="1" thickBot="1" x14ac:dyDescent="0.35">
      <c r="A868" s="171" t="s">
        <v>889</v>
      </c>
      <c r="B868" s="95" t="s">
        <v>22</v>
      </c>
      <c r="D868" s="666">
        <v>45926</v>
      </c>
      <c r="E868" s="16" t="s">
        <v>23</v>
      </c>
      <c r="F868" s="8" t="s">
        <v>85</v>
      </c>
      <c r="G868" s="169" t="s">
        <v>67</v>
      </c>
      <c r="H868" s="6" t="s">
        <v>18</v>
      </c>
      <c r="I868" s="188">
        <v>50</v>
      </c>
      <c r="J868" s="175" t="s">
        <v>230</v>
      </c>
      <c r="K868" s="150"/>
      <c r="L868" s="189"/>
      <c r="M868" s="157"/>
      <c r="N868" s="158"/>
    </row>
    <row r="869" spans="1:14" ht="14.4" customHeight="1" thickBot="1" x14ac:dyDescent="0.35">
      <c r="A869" s="171" t="s">
        <v>890</v>
      </c>
      <c r="B869" s="95" t="s">
        <v>22</v>
      </c>
      <c r="D869" s="98">
        <v>45926</v>
      </c>
      <c r="E869" s="160" t="s">
        <v>23</v>
      </c>
      <c r="F869" s="8" t="s">
        <v>85</v>
      </c>
      <c r="G869" s="169" t="s">
        <v>67</v>
      </c>
      <c r="H869" s="6" t="s">
        <v>18</v>
      </c>
      <c r="I869" s="148">
        <v>50</v>
      </c>
      <c r="J869" s="175" t="s">
        <v>230</v>
      </c>
      <c r="K869" s="151"/>
      <c r="L869" s="151"/>
      <c r="M869" s="157"/>
      <c r="N869" s="158"/>
    </row>
    <row r="870" spans="1:14" ht="14.25" customHeight="1" thickBot="1" x14ac:dyDescent="0.35">
      <c r="A870" s="153" t="s">
        <v>891</v>
      </c>
      <c r="B870" s="4" t="s">
        <v>477</v>
      </c>
      <c r="D870" s="666">
        <v>45926</v>
      </c>
      <c r="E870" s="160" t="s">
        <v>23</v>
      </c>
      <c r="F870" s="8" t="s">
        <v>85</v>
      </c>
      <c r="G870" s="169" t="s">
        <v>67</v>
      </c>
      <c r="H870" s="6"/>
      <c r="I870" s="148"/>
      <c r="J870" s="155"/>
      <c r="K870" s="150"/>
      <c r="L870" s="151"/>
      <c r="M870" s="157"/>
      <c r="N870" s="158"/>
    </row>
    <row r="871" spans="1:14" ht="14.25" customHeight="1" thickBot="1" x14ac:dyDescent="0.35">
      <c r="A871" s="145" t="s">
        <v>892</v>
      </c>
      <c r="B871" s="4" t="s">
        <v>22</v>
      </c>
      <c r="D871" s="29">
        <v>45768</v>
      </c>
      <c r="E871" s="146" t="s">
        <v>88</v>
      </c>
      <c r="F871" s="8" t="s">
        <v>85</v>
      </c>
      <c r="G871" s="147" t="s">
        <v>89</v>
      </c>
      <c r="H871" s="17" t="s">
        <v>26</v>
      </c>
      <c r="I871" s="148">
        <v>50</v>
      </c>
      <c r="J871" s="149" t="s">
        <v>450</v>
      </c>
      <c r="K871" s="150" t="s">
        <v>451</v>
      </c>
      <c r="L871" s="151" t="s">
        <v>451</v>
      </c>
      <c r="M871" s="149" t="s">
        <v>451</v>
      </c>
      <c r="N871" s="152" t="s">
        <v>451</v>
      </c>
    </row>
    <row r="872" spans="1:14" ht="14.25" customHeight="1" thickBot="1" x14ac:dyDescent="0.35">
      <c r="A872" s="171" t="s">
        <v>893</v>
      </c>
      <c r="B872" s="95" t="s">
        <v>22</v>
      </c>
      <c r="D872" s="98">
        <v>45926</v>
      </c>
      <c r="E872" s="160" t="s">
        <v>23</v>
      </c>
      <c r="F872" s="8" t="s">
        <v>85</v>
      </c>
      <c r="G872" s="169" t="s">
        <v>67</v>
      </c>
      <c r="H872" s="6" t="s">
        <v>18</v>
      </c>
      <c r="I872" s="148">
        <v>50</v>
      </c>
      <c r="J872" s="175" t="s">
        <v>230</v>
      </c>
      <c r="K872" s="156"/>
      <c r="L872" s="151"/>
      <c r="M872" s="157"/>
      <c r="N872" s="158"/>
    </row>
    <row r="873" spans="1:14" ht="14.25" customHeight="1" thickBot="1" x14ac:dyDescent="0.35">
      <c r="A873" s="153" t="s">
        <v>894</v>
      </c>
      <c r="B873" s="662" t="s">
        <v>22</v>
      </c>
      <c r="D873" s="111">
        <v>45848</v>
      </c>
      <c r="E873" s="160" t="s">
        <v>23</v>
      </c>
      <c r="F873" s="8" t="s">
        <v>85</v>
      </c>
      <c r="G873" s="169" t="s">
        <v>67</v>
      </c>
      <c r="H873" s="17" t="s">
        <v>26</v>
      </c>
      <c r="I873" s="148">
        <v>50</v>
      </c>
      <c r="J873" s="170">
        <v>96.9</v>
      </c>
      <c r="K873" s="181">
        <v>1.1000000000000001</v>
      </c>
      <c r="L873" s="163">
        <v>1.84</v>
      </c>
      <c r="M873" s="157"/>
      <c r="N873" s="158"/>
    </row>
    <row r="874" spans="1:14" ht="14.25" customHeight="1" thickBot="1" x14ac:dyDescent="0.35">
      <c r="A874" s="145" t="s">
        <v>895</v>
      </c>
      <c r="B874" s="95" t="s">
        <v>22</v>
      </c>
      <c r="D874" s="111">
        <v>45848</v>
      </c>
      <c r="E874" s="160" t="s">
        <v>23</v>
      </c>
      <c r="F874" s="8" t="s">
        <v>85</v>
      </c>
      <c r="G874" s="161" t="s">
        <v>67</v>
      </c>
      <c r="H874" s="17" t="s">
        <v>26</v>
      </c>
      <c r="I874" s="148">
        <v>50</v>
      </c>
      <c r="J874" s="149" t="s">
        <v>230</v>
      </c>
      <c r="K874" s="150"/>
      <c r="L874" s="151"/>
      <c r="M874" s="164"/>
      <c r="N874" s="158"/>
    </row>
    <row r="875" spans="1:14" ht="14.25" customHeight="1" thickBot="1" x14ac:dyDescent="0.35">
      <c r="A875" s="153" t="s">
        <v>896</v>
      </c>
      <c r="B875" s="4" t="s">
        <v>477</v>
      </c>
      <c r="D875" s="666">
        <v>45926</v>
      </c>
      <c r="E875" s="169" t="s">
        <v>23</v>
      </c>
      <c r="F875" s="8" t="s">
        <v>85</v>
      </c>
      <c r="G875" s="169" t="s">
        <v>67</v>
      </c>
      <c r="H875" s="6"/>
      <c r="I875" s="148"/>
      <c r="J875" s="155"/>
      <c r="K875" s="150"/>
      <c r="L875" s="151"/>
      <c r="M875" s="157"/>
      <c r="N875" s="158"/>
    </row>
    <row r="876" spans="1:14" ht="14.25" customHeight="1" thickBot="1" x14ac:dyDescent="0.35">
      <c r="A876" s="159" t="s">
        <v>897</v>
      </c>
      <c r="B876" s="4" t="s">
        <v>477</v>
      </c>
      <c r="D876" s="98">
        <v>45926</v>
      </c>
      <c r="E876" s="187" t="s">
        <v>23</v>
      </c>
      <c r="F876" s="8" t="s">
        <v>85</v>
      </c>
      <c r="G876" s="161" t="s">
        <v>67</v>
      </c>
      <c r="H876" s="6"/>
      <c r="I876" s="148"/>
      <c r="J876" s="168"/>
      <c r="K876" s="150"/>
      <c r="L876" s="151"/>
      <c r="M876" s="164"/>
      <c r="N876" s="158"/>
    </row>
    <row r="877" spans="1:14" ht="14.25" customHeight="1" thickBot="1" x14ac:dyDescent="0.35">
      <c r="A877" s="171" t="s">
        <v>898</v>
      </c>
      <c r="B877" s="4" t="s">
        <v>22</v>
      </c>
      <c r="D877" s="29">
        <v>45768</v>
      </c>
      <c r="E877" s="146" t="s">
        <v>88</v>
      </c>
      <c r="F877" s="8" t="s">
        <v>85</v>
      </c>
      <c r="G877" s="154" t="s">
        <v>89</v>
      </c>
      <c r="H877" s="17" t="s">
        <v>26</v>
      </c>
      <c r="I877" s="148">
        <v>50</v>
      </c>
      <c r="J877" s="175" t="s">
        <v>450</v>
      </c>
      <c r="K877" s="150" t="s">
        <v>451</v>
      </c>
      <c r="L877" s="151" t="s">
        <v>451</v>
      </c>
      <c r="M877" s="175" t="s">
        <v>451</v>
      </c>
      <c r="N877" s="152" t="s">
        <v>451</v>
      </c>
    </row>
    <row r="878" spans="1:14" ht="14.25" customHeight="1" thickBot="1" x14ac:dyDescent="0.35">
      <c r="A878" s="145" t="s">
        <v>898</v>
      </c>
      <c r="B878" s="95" t="s">
        <v>22</v>
      </c>
      <c r="D878" s="135">
        <v>45926</v>
      </c>
      <c r="E878" s="160" t="s">
        <v>23</v>
      </c>
      <c r="F878" s="8" t="s">
        <v>85</v>
      </c>
      <c r="G878" s="161" t="s">
        <v>67</v>
      </c>
      <c r="H878" s="6" t="s">
        <v>18</v>
      </c>
      <c r="I878" s="148">
        <v>50</v>
      </c>
      <c r="J878" s="149" t="s">
        <v>230</v>
      </c>
      <c r="K878" s="182"/>
      <c r="L878" s="151"/>
      <c r="M878" s="164"/>
      <c r="N878" s="158"/>
    </row>
    <row r="879" spans="1:14" ht="14.25" customHeight="1" thickBot="1" x14ac:dyDescent="0.35">
      <c r="A879" s="153" t="s">
        <v>899</v>
      </c>
      <c r="B879" s="662" t="s">
        <v>22</v>
      </c>
      <c r="D879" s="136">
        <v>45768</v>
      </c>
      <c r="E879" s="160" t="s">
        <v>23</v>
      </c>
      <c r="F879" s="8" t="s">
        <v>85</v>
      </c>
      <c r="G879" s="169" t="s">
        <v>67</v>
      </c>
      <c r="H879" s="17" t="s">
        <v>26</v>
      </c>
      <c r="I879" s="148">
        <v>50</v>
      </c>
      <c r="J879" s="170">
        <v>156.5</v>
      </c>
      <c r="K879" s="181">
        <v>1.66</v>
      </c>
      <c r="L879" s="163">
        <v>1.81</v>
      </c>
      <c r="M879" s="157"/>
      <c r="N879" s="158"/>
    </row>
    <row r="880" spans="1:14" ht="14.25" customHeight="1" thickBot="1" x14ac:dyDescent="0.35">
      <c r="A880" s="159" t="s">
        <v>899</v>
      </c>
      <c r="B880" s="4" t="s">
        <v>477</v>
      </c>
      <c r="D880" s="136">
        <v>45848</v>
      </c>
      <c r="E880" s="160" t="s">
        <v>23</v>
      </c>
      <c r="F880" s="8" t="s">
        <v>85</v>
      </c>
      <c r="G880" s="161" t="s">
        <v>67</v>
      </c>
      <c r="H880" s="17" t="s">
        <v>26</v>
      </c>
      <c r="I880" s="148"/>
      <c r="J880" s="168"/>
      <c r="K880" s="150"/>
      <c r="L880" s="151"/>
      <c r="M880" s="164"/>
      <c r="N880" s="158"/>
    </row>
    <row r="881" spans="1:14" ht="14.25" customHeight="1" thickBot="1" x14ac:dyDescent="0.35">
      <c r="A881" s="171" t="s">
        <v>900</v>
      </c>
      <c r="B881" s="95" t="s">
        <v>22</v>
      </c>
      <c r="D881" s="689">
        <v>45848</v>
      </c>
      <c r="E881" s="160" t="s">
        <v>23</v>
      </c>
      <c r="F881" s="8" t="s">
        <v>85</v>
      </c>
      <c r="G881" s="169" t="s">
        <v>67</v>
      </c>
      <c r="H881" s="17" t="s">
        <v>26</v>
      </c>
      <c r="I881" s="148">
        <v>50</v>
      </c>
      <c r="J881" s="175" t="s">
        <v>230</v>
      </c>
      <c r="K881" s="150"/>
      <c r="L881" s="151"/>
      <c r="M881" s="157"/>
      <c r="N881" s="158"/>
    </row>
    <row r="882" spans="1:14" ht="14.25" customHeight="1" thickBot="1" x14ac:dyDescent="0.35">
      <c r="A882" s="159" t="s">
        <v>901</v>
      </c>
      <c r="B882" s="4" t="s">
        <v>477</v>
      </c>
      <c r="D882" s="666">
        <v>45926</v>
      </c>
      <c r="E882" s="161" t="s">
        <v>23</v>
      </c>
      <c r="F882" s="8" t="s">
        <v>85</v>
      </c>
      <c r="G882" s="169" t="s">
        <v>67</v>
      </c>
      <c r="H882" s="6"/>
      <c r="I882" s="148"/>
      <c r="J882" s="168"/>
      <c r="K882" s="150"/>
      <c r="L882" s="151"/>
      <c r="M882" s="164"/>
      <c r="N882" s="158"/>
    </row>
    <row r="883" spans="1:14" ht="14.25" customHeight="1" thickBot="1" x14ac:dyDescent="0.35">
      <c r="A883" s="153" t="s">
        <v>902</v>
      </c>
      <c r="B883" s="662" t="s">
        <v>22</v>
      </c>
      <c r="D883" s="110">
        <v>45933</v>
      </c>
      <c r="E883" s="169" t="s">
        <v>23</v>
      </c>
      <c r="F883" s="8" t="s">
        <v>85</v>
      </c>
      <c r="G883" s="169" t="s">
        <v>67</v>
      </c>
      <c r="H883" s="6" t="s">
        <v>18</v>
      </c>
      <c r="I883" s="148">
        <v>50</v>
      </c>
      <c r="J883" s="170">
        <v>58</v>
      </c>
      <c r="K883" s="181" t="s">
        <v>451</v>
      </c>
      <c r="L883" s="163" t="s">
        <v>451</v>
      </c>
      <c r="M883" s="157"/>
      <c r="N883" s="158"/>
    </row>
    <row r="884" spans="1:14" ht="14.25" customHeight="1" thickBot="1" x14ac:dyDescent="0.35">
      <c r="A884" s="159" t="s">
        <v>903</v>
      </c>
      <c r="B884" s="4" t="s">
        <v>477</v>
      </c>
      <c r="D884" s="98">
        <v>45926</v>
      </c>
      <c r="E884" s="190" t="s">
        <v>23</v>
      </c>
      <c r="F884" s="8" t="s">
        <v>85</v>
      </c>
      <c r="G884" s="161" t="s">
        <v>67</v>
      </c>
      <c r="H884" s="6"/>
      <c r="I884" s="148"/>
      <c r="J884" s="168"/>
      <c r="K884" s="182"/>
      <c r="L884" s="151"/>
      <c r="M884" s="164"/>
      <c r="N884" s="158"/>
    </row>
    <row r="885" spans="1:14" ht="14.25" customHeight="1" thickBot="1" x14ac:dyDescent="0.35">
      <c r="A885" s="171" t="s">
        <v>904</v>
      </c>
      <c r="B885" s="669" t="s">
        <v>22</v>
      </c>
      <c r="D885" s="191">
        <v>45768</v>
      </c>
      <c r="E885" s="39" t="s">
        <v>88</v>
      </c>
      <c r="F885" s="8" t="s">
        <v>85</v>
      </c>
      <c r="G885" s="154" t="s">
        <v>89</v>
      </c>
      <c r="H885" s="17" t="s">
        <v>26</v>
      </c>
      <c r="I885" s="148">
        <v>50</v>
      </c>
      <c r="J885" s="175" t="s">
        <v>450</v>
      </c>
      <c r="K885" s="150" t="s">
        <v>451</v>
      </c>
      <c r="L885" s="151" t="s">
        <v>451</v>
      </c>
      <c r="M885" s="175" t="s">
        <v>451</v>
      </c>
      <c r="N885" s="152" t="s">
        <v>451</v>
      </c>
    </row>
    <row r="886" spans="1:14" ht="14.25" customHeight="1" thickBot="1" x14ac:dyDescent="0.35">
      <c r="A886" s="153" t="s">
        <v>905</v>
      </c>
      <c r="B886" s="662" t="s">
        <v>22</v>
      </c>
      <c r="D886" s="192">
        <v>45933</v>
      </c>
      <c r="E886" s="16" t="s">
        <v>23</v>
      </c>
      <c r="F886" s="8" t="s">
        <v>85</v>
      </c>
      <c r="G886" s="169" t="s">
        <v>67</v>
      </c>
      <c r="H886" s="6" t="s">
        <v>18</v>
      </c>
      <c r="I886" s="148">
        <v>50</v>
      </c>
      <c r="J886" s="170" t="s">
        <v>906</v>
      </c>
      <c r="K886" s="163" t="s">
        <v>451</v>
      </c>
      <c r="L886" s="193" t="s">
        <v>906</v>
      </c>
      <c r="M886" s="157"/>
      <c r="N886" s="158"/>
    </row>
    <row r="887" spans="1:14" ht="14.25" customHeight="1" thickBot="1" x14ac:dyDescent="0.35">
      <c r="A887" s="159" t="s">
        <v>907</v>
      </c>
      <c r="B887" s="4" t="s">
        <v>477</v>
      </c>
      <c r="D887" s="180">
        <v>45926</v>
      </c>
      <c r="E887" s="16" t="s">
        <v>23</v>
      </c>
      <c r="F887" s="8" t="s">
        <v>85</v>
      </c>
      <c r="G887" s="161" t="s">
        <v>67</v>
      </c>
      <c r="H887" s="6"/>
      <c r="I887" s="148"/>
      <c r="J887" s="168"/>
      <c r="K887" s="156"/>
      <c r="L887" s="151"/>
      <c r="M887" s="164"/>
      <c r="N887" s="158"/>
    </row>
    <row r="888" spans="1:14" ht="14.25" customHeight="1" thickBot="1" x14ac:dyDescent="0.35">
      <c r="A888" s="171" t="s">
        <v>908</v>
      </c>
      <c r="B888" s="669" t="s">
        <v>22</v>
      </c>
      <c r="D888" s="191">
        <v>45768</v>
      </c>
      <c r="E888" s="39" t="s">
        <v>88</v>
      </c>
      <c r="F888" s="8" t="s">
        <v>85</v>
      </c>
      <c r="G888" s="154" t="s">
        <v>89</v>
      </c>
      <c r="H888" s="17" t="s">
        <v>26</v>
      </c>
      <c r="I888" s="148">
        <v>50</v>
      </c>
      <c r="J888" s="175" t="s">
        <v>450</v>
      </c>
      <c r="K888" s="151" t="s">
        <v>451</v>
      </c>
      <c r="L888" s="151" t="s">
        <v>451</v>
      </c>
      <c r="M888" s="175" t="s">
        <v>451</v>
      </c>
      <c r="N888" s="152" t="s">
        <v>451</v>
      </c>
    </row>
    <row r="889" spans="1:14" ht="14.25" customHeight="1" thickBot="1" x14ac:dyDescent="0.35">
      <c r="A889" s="159" t="s">
        <v>909</v>
      </c>
      <c r="B889" s="4" t="s">
        <v>477</v>
      </c>
      <c r="D889" s="180">
        <v>45926</v>
      </c>
      <c r="E889" s="16" t="s">
        <v>23</v>
      </c>
      <c r="F889" s="8" t="s">
        <v>85</v>
      </c>
      <c r="G889" s="161" t="s">
        <v>67</v>
      </c>
      <c r="H889" s="6"/>
      <c r="I889" s="148"/>
      <c r="J889" s="168"/>
      <c r="K889" s="151"/>
      <c r="L889" s="151"/>
      <c r="M889" s="164"/>
      <c r="N889" s="158"/>
    </row>
    <row r="890" spans="1:14" ht="14.25" customHeight="1" thickBot="1" x14ac:dyDescent="0.35">
      <c r="A890" s="171" t="s">
        <v>910</v>
      </c>
      <c r="B890" s="664" t="s">
        <v>22</v>
      </c>
      <c r="D890" s="111">
        <v>45817</v>
      </c>
      <c r="E890" s="39" t="s">
        <v>88</v>
      </c>
      <c r="F890" s="8" t="s">
        <v>85</v>
      </c>
      <c r="G890" s="154" t="s">
        <v>89</v>
      </c>
      <c r="H890" s="17" t="s">
        <v>26</v>
      </c>
      <c r="I890" s="148" t="s">
        <v>580</v>
      </c>
      <c r="J890" s="172">
        <v>42.035864920565672</v>
      </c>
      <c r="K890" s="194">
        <v>1.8538886219034665</v>
      </c>
      <c r="L890" s="173">
        <v>1.7915087148209685</v>
      </c>
      <c r="M890" s="157"/>
      <c r="N890" s="158"/>
    </row>
    <row r="891" spans="1:14" ht="14.25" customHeight="1" thickBot="1" x14ac:dyDescent="0.35">
      <c r="A891" s="145" t="s">
        <v>911</v>
      </c>
      <c r="B891" s="95" t="s">
        <v>22</v>
      </c>
      <c r="D891" s="134">
        <v>45933</v>
      </c>
      <c r="E891" s="39" t="s">
        <v>88</v>
      </c>
      <c r="F891" s="8" t="s">
        <v>85</v>
      </c>
      <c r="G891" s="147" t="s">
        <v>89</v>
      </c>
      <c r="H891" s="6" t="s">
        <v>18</v>
      </c>
      <c r="I891" s="148">
        <v>50</v>
      </c>
      <c r="J891" s="149" t="s">
        <v>230</v>
      </c>
      <c r="K891" s="156"/>
      <c r="L891" s="151"/>
      <c r="M891" s="164"/>
      <c r="N891" s="158"/>
    </row>
    <row r="892" spans="1:14" ht="14.25" customHeight="1" thickBot="1" x14ac:dyDescent="0.35">
      <c r="A892" s="153" t="s">
        <v>912</v>
      </c>
      <c r="B892" s="662" t="s">
        <v>22</v>
      </c>
      <c r="D892" s="135">
        <v>45938</v>
      </c>
      <c r="E892" s="16" t="s">
        <v>23</v>
      </c>
      <c r="F892" s="8" t="s">
        <v>85</v>
      </c>
      <c r="G892" s="169" t="s">
        <v>67</v>
      </c>
      <c r="H892" s="6" t="s">
        <v>18</v>
      </c>
      <c r="I892" s="148">
        <v>50</v>
      </c>
      <c r="J892" s="170">
        <v>38.5</v>
      </c>
      <c r="K892" s="163" t="s">
        <v>451</v>
      </c>
      <c r="L892" s="163" t="s">
        <v>451</v>
      </c>
      <c r="M892" s="157"/>
      <c r="N892" s="158"/>
    </row>
    <row r="893" spans="1:14" ht="14.25" customHeight="1" thickBot="1" x14ac:dyDescent="0.35">
      <c r="A893" s="153" t="s">
        <v>913</v>
      </c>
      <c r="B893" s="662" t="s">
        <v>22</v>
      </c>
      <c r="D893" s="135">
        <v>45933</v>
      </c>
      <c r="E893" s="16" t="s">
        <v>23</v>
      </c>
      <c r="F893" s="8" t="s">
        <v>85</v>
      </c>
      <c r="G893" s="169" t="s">
        <v>67</v>
      </c>
      <c r="H893" s="6" t="s">
        <v>18</v>
      </c>
      <c r="I893" s="148">
        <v>50</v>
      </c>
      <c r="J893" s="170">
        <v>28.7</v>
      </c>
      <c r="K893" s="163" t="s">
        <v>451</v>
      </c>
      <c r="L893" s="163" t="s">
        <v>451</v>
      </c>
      <c r="M893" s="157"/>
      <c r="N893" s="158"/>
    </row>
    <row r="894" spans="1:14" ht="14.25" customHeight="1" thickBot="1" x14ac:dyDescent="0.35">
      <c r="A894" s="153" t="s">
        <v>914</v>
      </c>
      <c r="B894" s="662" t="s">
        <v>22</v>
      </c>
      <c r="D894" s="133">
        <v>45733</v>
      </c>
      <c r="E894" s="16" t="s">
        <v>23</v>
      </c>
      <c r="F894" s="8" t="s">
        <v>85</v>
      </c>
      <c r="G894" s="169" t="s">
        <v>67</v>
      </c>
      <c r="H894" s="17" t="s">
        <v>26</v>
      </c>
      <c r="I894" s="148">
        <v>50</v>
      </c>
      <c r="J894" s="170">
        <v>12.9</v>
      </c>
      <c r="K894" s="163" t="s">
        <v>451</v>
      </c>
      <c r="L894" s="163" t="s">
        <v>451</v>
      </c>
      <c r="M894" s="157"/>
      <c r="N894" s="158"/>
    </row>
    <row r="895" spans="1:14" ht="14.25" customHeight="1" thickBot="1" x14ac:dyDescent="0.35">
      <c r="A895" s="145" t="s">
        <v>914</v>
      </c>
      <c r="B895" s="95" t="s">
        <v>22</v>
      </c>
      <c r="D895" s="134">
        <v>45938</v>
      </c>
      <c r="E895" s="39" t="s">
        <v>88</v>
      </c>
      <c r="F895" s="8" t="s">
        <v>85</v>
      </c>
      <c r="G895" s="147" t="s">
        <v>89</v>
      </c>
      <c r="H895" s="6" t="s">
        <v>18</v>
      </c>
      <c r="I895" s="148">
        <v>50</v>
      </c>
      <c r="J895" s="149" t="s">
        <v>230</v>
      </c>
      <c r="K895" s="151"/>
      <c r="L895" s="151"/>
      <c r="M895" s="164"/>
      <c r="N895" s="158"/>
    </row>
    <row r="896" spans="1:14" ht="14.25" customHeight="1" thickBot="1" x14ac:dyDescent="0.35">
      <c r="A896" s="171" t="s">
        <v>915</v>
      </c>
      <c r="B896" s="95" t="s">
        <v>22</v>
      </c>
      <c r="D896" s="133">
        <v>45733</v>
      </c>
      <c r="E896" s="39" t="s">
        <v>88</v>
      </c>
      <c r="F896" s="8" t="s">
        <v>85</v>
      </c>
      <c r="G896" s="154" t="s">
        <v>89</v>
      </c>
      <c r="H896" s="17" t="s">
        <v>26</v>
      </c>
      <c r="I896" s="148">
        <v>50</v>
      </c>
      <c r="J896" s="175" t="s">
        <v>230</v>
      </c>
      <c r="K896" s="151"/>
      <c r="L896" s="151"/>
      <c r="M896" s="157"/>
      <c r="N896" s="158"/>
    </row>
    <row r="897" spans="1:15" ht="14.25" customHeight="1" thickBot="1" x14ac:dyDescent="0.35">
      <c r="A897" s="159" t="s">
        <v>916</v>
      </c>
      <c r="B897" s="662" t="s">
        <v>22</v>
      </c>
      <c r="D897" s="135">
        <v>45933</v>
      </c>
      <c r="E897" s="16" t="s">
        <v>23</v>
      </c>
      <c r="F897" s="8" t="s">
        <v>85</v>
      </c>
      <c r="G897" s="161" t="s">
        <v>67</v>
      </c>
      <c r="H897" s="6" t="s">
        <v>18</v>
      </c>
      <c r="I897" s="148">
        <v>50</v>
      </c>
      <c r="J897" s="162">
        <v>45.9</v>
      </c>
      <c r="K897" s="181" t="s">
        <v>451</v>
      </c>
      <c r="L897" s="163" t="s">
        <v>451</v>
      </c>
      <c r="M897" s="164"/>
      <c r="N897" s="158"/>
    </row>
    <row r="898" spans="1:15" ht="14.25" customHeight="1" thickBot="1" x14ac:dyDescent="0.35">
      <c r="A898" s="195" t="s">
        <v>917</v>
      </c>
      <c r="B898" s="664" t="s">
        <v>22</v>
      </c>
      <c r="D898" s="133">
        <v>45763</v>
      </c>
      <c r="E898" s="39" t="s">
        <v>88</v>
      </c>
      <c r="F898" s="8" t="s">
        <v>85</v>
      </c>
      <c r="G898" s="154" t="s">
        <v>89</v>
      </c>
      <c r="H898" s="17" t="s">
        <v>26</v>
      </c>
      <c r="I898" s="148">
        <v>50</v>
      </c>
      <c r="J898" s="172">
        <v>134.6</v>
      </c>
      <c r="K898" s="196">
        <v>2.0099999999999998</v>
      </c>
      <c r="L898" s="173">
        <v>1.39</v>
      </c>
      <c r="M898" s="157"/>
      <c r="N898" s="158"/>
    </row>
    <row r="899" spans="1:15" ht="14.25" customHeight="1" thickBot="1" x14ac:dyDescent="0.35">
      <c r="A899" s="178" t="s">
        <v>918</v>
      </c>
      <c r="B899" s="664" t="s">
        <v>22</v>
      </c>
      <c r="D899" s="133">
        <v>45817</v>
      </c>
      <c r="E899" s="146" t="s">
        <v>88</v>
      </c>
      <c r="F899" s="8" t="s">
        <v>85</v>
      </c>
      <c r="G899" s="147" t="s">
        <v>89</v>
      </c>
      <c r="H899" s="17" t="s">
        <v>26</v>
      </c>
      <c r="I899" s="148" t="s">
        <v>580</v>
      </c>
      <c r="J899" s="174">
        <v>64.685635050181332</v>
      </c>
      <c r="K899" s="173">
        <v>1.4290867620317524</v>
      </c>
      <c r="L899" s="173">
        <v>1.9903880231930318</v>
      </c>
      <c r="M899" s="164"/>
      <c r="N899" s="158"/>
    </row>
    <row r="900" spans="1:15" ht="14.25" customHeight="1" thickBot="1" x14ac:dyDescent="0.35">
      <c r="A900" s="195" t="s">
        <v>919</v>
      </c>
      <c r="B900" s="664" t="s">
        <v>22</v>
      </c>
      <c r="D900" s="133">
        <v>45817</v>
      </c>
      <c r="E900" s="146" t="s">
        <v>88</v>
      </c>
      <c r="F900" s="8" t="s">
        <v>85</v>
      </c>
      <c r="G900" s="154" t="s">
        <v>89</v>
      </c>
      <c r="H900" s="17" t="s">
        <v>26</v>
      </c>
      <c r="I900" s="148" t="s">
        <v>580</v>
      </c>
      <c r="J900" s="172">
        <v>51.090550415603609</v>
      </c>
      <c r="K900" s="194">
        <v>1.4859928214339366</v>
      </c>
      <c r="L900" s="173">
        <v>1.984669612173475</v>
      </c>
      <c r="M900" s="157"/>
      <c r="N900" s="158"/>
    </row>
    <row r="901" spans="1:15" ht="14.25" customHeight="1" thickBot="1" x14ac:dyDescent="0.35">
      <c r="A901" s="145" t="s">
        <v>920</v>
      </c>
      <c r="B901" s="95" t="s">
        <v>22</v>
      </c>
      <c r="D901" s="133">
        <v>45733</v>
      </c>
      <c r="E901" s="146" t="s">
        <v>88</v>
      </c>
      <c r="F901" s="8" t="s">
        <v>85</v>
      </c>
      <c r="G901" s="147" t="s">
        <v>89</v>
      </c>
      <c r="H901" s="17" t="s">
        <v>26</v>
      </c>
      <c r="I901" s="148">
        <v>50</v>
      </c>
      <c r="J901" s="149" t="s">
        <v>230</v>
      </c>
      <c r="K901" s="150"/>
      <c r="L901" s="151"/>
      <c r="M901" s="164"/>
      <c r="N901" s="158"/>
    </row>
    <row r="902" spans="1:15" ht="14.25" customHeight="1" thickBot="1" x14ac:dyDescent="0.35">
      <c r="A902" s="153" t="s">
        <v>921</v>
      </c>
      <c r="B902" s="4" t="s">
        <v>477</v>
      </c>
      <c r="D902" s="666">
        <v>45924</v>
      </c>
      <c r="E902" s="146" t="s">
        <v>88</v>
      </c>
      <c r="F902" s="8" t="s">
        <v>85</v>
      </c>
      <c r="G902" s="154" t="s">
        <v>89</v>
      </c>
      <c r="H902" s="6"/>
      <c r="I902" s="148"/>
      <c r="J902" s="155"/>
      <c r="K902" s="150"/>
      <c r="L902" s="151"/>
      <c r="M902" s="157"/>
      <c r="N902" s="158"/>
    </row>
    <row r="903" spans="1:15" ht="13.8" customHeight="1" thickBot="1" x14ac:dyDescent="0.35">
      <c r="A903" s="145" t="s">
        <v>922</v>
      </c>
      <c r="B903" s="664" t="s">
        <v>22</v>
      </c>
      <c r="D903" s="689">
        <v>45789</v>
      </c>
      <c r="E903" s="146" t="s">
        <v>88</v>
      </c>
      <c r="F903" s="8" t="s">
        <v>85</v>
      </c>
      <c r="G903" s="147" t="s">
        <v>89</v>
      </c>
      <c r="H903" s="17" t="s">
        <v>26</v>
      </c>
      <c r="I903" s="148">
        <v>50</v>
      </c>
      <c r="J903" s="174">
        <v>12.219015031618353</v>
      </c>
      <c r="K903" s="197">
        <v>1.2233465531050551</v>
      </c>
      <c r="L903" s="173">
        <v>2.0379078962670394</v>
      </c>
      <c r="M903" s="164"/>
      <c r="N903" s="158"/>
    </row>
    <row r="904" spans="1:15" ht="14.25" customHeight="1" thickBot="1" x14ac:dyDescent="0.35">
      <c r="A904" s="159" t="s">
        <v>923</v>
      </c>
      <c r="B904" s="4" t="s">
        <v>477</v>
      </c>
      <c r="D904" s="666">
        <v>45940</v>
      </c>
      <c r="E904" s="146" t="s">
        <v>88</v>
      </c>
      <c r="F904" s="8" t="s">
        <v>85</v>
      </c>
      <c r="G904" s="147" t="s">
        <v>89</v>
      </c>
      <c r="H904" s="6"/>
      <c r="I904" s="166"/>
      <c r="J904" s="168"/>
      <c r="K904" s="150"/>
      <c r="L904" s="198"/>
      <c r="M904" s="164"/>
      <c r="N904" s="158"/>
    </row>
    <row r="905" spans="1:15" ht="14.25" customHeight="1" thickBot="1" x14ac:dyDescent="0.35">
      <c r="A905" s="171" t="s">
        <v>924</v>
      </c>
      <c r="B905" s="95" t="s">
        <v>22</v>
      </c>
      <c r="D905" s="689">
        <v>45733</v>
      </c>
      <c r="E905" s="146" t="s">
        <v>88</v>
      </c>
      <c r="F905" s="8" t="s">
        <v>85</v>
      </c>
      <c r="G905" s="154" t="s">
        <v>89</v>
      </c>
      <c r="H905" s="17" t="s">
        <v>26</v>
      </c>
      <c r="I905" s="148">
        <v>50</v>
      </c>
      <c r="J905" s="175" t="s">
        <v>230</v>
      </c>
      <c r="K905" s="150"/>
      <c r="L905" s="151"/>
      <c r="M905" s="157"/>
      <c r="N905" s="158"/>
      <c r="O905" s="669"/>
    </row>
    <row r="906" spans="1:15" ht="14.25" customHeight="1" thickBot="1" x14ac:dyDescent="0.35">
      <c r="A906" s="145" t="s">
        <v>925</v>
      </c>
      <c r="B906" s="95" t="s">
        <v>22</v>
      </c>
      <c r="D906" s="689">
        <v>45733</v>
      </c>
      <c r="E906" s="146" t="s">
        <v>88</v>
      </c>
      <c r="F906" s="8" t="s">
        <v>85</v>
      </c>
      <c r="G906" s="147" t="s">
        <v>89</v>
      </c>
      <c r="H906" s="17" t="s">
        <v>26</v>
      </c>
      <c r="I906" s="148">
        <v>50</v>
      </c>
      <c r="J906" s="149" t="s">
        <v>230</v>
      </c>
      <c r="K906" s="150"/>
      <c r="L906" s="151"/>
      <c r="M906" s="164"/>
      <c r="N906" s="158"/>
      <c r="O906" s="669"/>
    </row>
    <row r="907" spans="1:15" ht="14.25" customHeight="1" thickBot="1" x14ac:dyDescent="0.35">
      <c r="A907" s="153" t="s">
        <v>926</v>
      </c>
      <c r="B907" s="662" t="s">
        <v>22</v>
      </c>
      <c r="D907" s="110">
        <v>45933</v>
      </c>
      <c r="E907" s="160" t="s">
        <v>23</v>
      </c>
      <c r="F907" s="8" t="s">
        <v>85</v>
      </c>
      <c r="G907" s="169" t="s">
        <v>67</v>
      </c>
      <c r="H907" s="6" t="s">
        <v>18</v>
      </c>
      <c r="I907" s="148">
        <v>50</v>
      </c>
      <c r="J907" s="170">
        <v>5.0999999999999996</v>
      </c>
      <c r="K907" s="179" t="s">
        <v>451</v>
      </c>
      <c r="L907" s="163" t="s">
        <v>451</v>
      </c>
      <c r="M907" s="157"/>
      <c r="N907" s="158"/>
    </row>
    <row r="908" spans="1:15" ht="14.25" customHeight="1" thickBot="1" x14ac:dyDescent="0.35">
      <c r="A908" s="145" t="s">
        <v>926</v>
      </c>
      <c r="B908" s="95" t="s">
        <v>22</v>
      </c>
      <c r="D908" s="689">
        <v>45733</v>
      </c>
      <c r="E908" s="146" t="s">
        <v>88</v>
      </c>
      <c r="F908" s="8" t="s">
        <v>85</v>
      </c>
      <c r="G908" s="147" t="s">
        <v>89</v>
      </c>
      <c r="H908" s="17" t="s">
        <v>26</v>
      </c>
      <c r="I908" s="148">
        <v>50</v>
      </c>
      <c r="J908" s="149" t="s">
        <v>230</v>
      </c>
      <c r="K908" s="151"/>
      <c r="L908" s="151"/>
      <c r="M908" s="164"/>
      <c r="N908" s="158"/>
      <c r="O908" s="669"/>
    </row>
    <row r="909" spans="1:15" ht="14.25" customHeight="1" thickBot="1" x14ac:dyDescent="0.35">
      <c r="A909" s="195" t="s">
        <v>927</v>
      </c>
      <c r="B909" s="664" t="s">
        <v>22</v>
      </c>
      <c r="D909" s="133">
        <v>45763</v>
      </c>
      <c r="E909" s="146" t="s">
        <v>88</v>
      </c>
      <c r="F909" s="8" t="s">
        <v>85</v>
      </c>
      <c r="G909" s="154" t="s">
        <v>89</v>
      </c>
      <c r="H909" s="17" t="s">
        <v>26</v>
      </c>
      <c r="I909" s="148">
        <v>30</v>
      </c>
      <c r="J909" s="172">
        <v>20.10673420242713</v>
      </c>
      <c r="K909" s="197">
        <v>1.8747340162791</v>
      </c>
      <c r="L909" s="173">
        <v>0.75039242203161494</v>
      </c>
      <c r="M909" s="157"/>
      <c r="N909" s="158"/>
    </row>
    <row r="910" spans="1:15" ht="14.25" customHeight="1" thickBot="1" x14ac:dyDescent="0.35">
      <c r="A910" s="178" t="s">
        <v>928</v>
      </c>
      <c r="B910" s="664" t="s">
        <v>22</v>
      </c>
      <c r="D910" s="133">
        <v>45763</v>
      </c>
      <c r="E910" s="146" t="s">
        <v>88</v>
      </c>
      <c r="F910" s="8" t="s">
        <v>85</v>
      </c>
      <c r="G910" s="147" t="s">
        <v>89</v>
      </c>
      <c r="H910" s="17" t="s">
        <v>26</v>
      </c>
      <c r="I910" s="148">
        <v>30</v>
      </c>
      <c r="J910" s="174">
        <v>478.47424293092683</v>
      </c>
      <c r="K910" s="194">
        <v>1.9651236741082216</v>
      </c>
      <c r="L910" s="173">
        <v>1.8946007580346378</v>
      </c>
      <c r="M910" s="164"/>
      <c r="N910" s="158"/>
    </row>
    <row r="911" spans="1:15" ht="14.25" customHeight="1" thickBot="1" x14ac:dyDescent="0.35">
      <c r="A911" s="195" t="s">
        <v>929</v>
      </c>
      <c r="B911" s="664" t="s">
        <v>22</v>
      </c>
      <c r="D911" s="133">
        <v>45763</v>
      </c>
      <c r="E911" s="146" t="s">
        <v>88</v>
      </c>
      <c r="F911" s="8" t="s">
        <v>85</v>
      </c>
      <c r="G911" s="154" t="s">
        <v>89</v>
      </c>
      <c r="H911" s="17" t="s">
        <v>26</v>
      </c>
      <c r="I911" s="148">
        <v>50</v>
      </c>
      <c r="J911" s="172">
        <v>227.7</v>
      </c>
      <c r="K911" s="197">
        <v>1.98</v>
      </c>
      <c r="L911" s="173">
        <v>1.32</v>
      </c>
      <c r="M911" s="157"/>
      <c r="N911" s="158"/>
    </row>
    <row r="912" spans="1:15" ht="14.25" customHeight="1" thickBot="1" x14ac:dyDescent="0.35">
      <c r="A912" s="178" t="s">
        <v>930</v>
      </c>
      <c r="B912" s="664" t="s">
        <v>22</v>
      </c>
      <c r="D912" s="133">
        <v>45817</v>
      </c>
      <c r="E912" s="199" t="s">
        <v>88</v>
      </c>
      <c r="F912" s="184" t="s">
        <v>85</v>
      </c>
      <c r="G912" s="147" t="s">
        <v>89</v>
      </c>
      <c r="H912" s="17" t="s">
        <v>26</v>
      </c>
      <c r="I912" s="188" t="s">
        <v>580</v>
      </c>
      <c r="J912" s="174">
        <v>12.75179860318435</v>
      </c>
      <c r="K912" s="197">
        <v>1.1356041325033757</v>
      </c>
      <c r="L912" s="200">
        <v>1.7978077700339108</v>
      </c>
      <c r="M912" s="164"/>
      <c r="N912" s="158"/>
    </row>
    <row r="913" spans="1:15" ht="14.25" customHeight="1" thickBot="1" x14ac:dyDescent="0.35">
      <c r="A913" s="195" t="s">
        <v>931</v>
      </c>
      <c r="B913" s="664" t="s">
        <v>22</v>
      </c>
      <c r="D913" s="133">
        <v>45817</v>
      </c>
      <c r="E913" s="186" t="s">
        <v>88</v>
      </c>
      <c r="F913" s="183" t="s">
        <v>85</v>
      </c>
      <c r="G913" s="147" t="s">
        <v>89</v>
      </c>
      <c r="H913" s="17" t="s">
        <v>26</v>
      </c>
      <c r="I913" s="166" t="s">
        <v>580</v>
      </c>
      <c r="J913" s="172">
        <v>11.228118218184653</v>
      </c>
      <c r="K913" s="197">
        <v>1.1002781344083514</v>
      </c>
      <c r="L913" s="201">
        <v>1.8129169991239467</v>
      </c>
      <c r="M913" s="157"/>
      <c r="N913" s="158"/>
    </row>
    <row r="914" spans="1:15" ht="14.25" customHeight="1" thickBot="1" x14ac:dyDescent="0.35">
      <c r="A914" s="178" t="s">
        <v>932</v>
      </c>
      <c r="B914" s="664" t="s">
        <v>22</v>
      </c>
      <c r="D914" s="133">
        <v>45817</v>
      </c>
      <c r="E914" s="199" t="s">
        <v>88</v>
      </c>
      <c r="F914" s="184" t="s">
        <v>85</v>
      </c>
      <c r="G914" s="147" t="s">
        <v>89</v>
      </c>
      <c r="H914" s="17" t="s">
        <v>26</v>
      </c>
      <c r="I914" s="148" t="s">
        <v>580</v>
      </c>
      <c r="J914" s="174">
        <v>114.17443587484715</v>
      </c>
      <c r="K914" s="197">
        <v>1.1648467284173636</v>
      </c>
      <c r="L914" s="173">
        <v>1.9320382104928409</v>
      </c>
      <c r="M914" s="164"/>
      <c r="N914" s="158"/>
    </row>
    <row r="915" spans="1:15" ht="14.25" customHeight="1" thickBot="1" x14ac:dyDescent="0.35">
      <c r="A915" s="195" t="s">
        <v>933</v>
      </c>
      <c r="B915" s="664" t="s">
        <v>22</v>
      </c>
      <c r="D915" s="133">
        <v>45817</v>
      </c>
      <c r="E915" s="165" t="s">
        <v>88</v>
      </c>
      <c r="F915" s="183" t="s">
        <v>85</v>
      </c>
      <c r="G915" s="147" t="s">
        <v>89</v>
      </c>
      <c r="H915" s="17" t="s">
        <v>26</v>
      </c>
      <c r="I915" s="148" t="s">
        <v>580</v>
      </c>
      <c r="J915" s="172">
        <v>162.26414828770857</v>
      </c>
      <c r="K915" s="197">
        <v>1.1452163851358319</v>
      </c>
      <c r="L915" s="173">
        <v>1.9036406602495308</v>
      </c>
      <c r="M915" s="157"/>
      <c r="N915" s="158"/>
    </row>
    <row r="916" spans="1:15" ht="14.25" customHeight="1" thickBot="1" x14ac:dyDescent="0.35">
      <c r="A916" s="159" t="s">
        <v>934</v>
      </c>
      <c r="B916" s="4" t="s">
        <v>477</v>
      </c>
      <c r="D916" s="180">
        <v>45938</v>
      </c>
      <c r="E916" s="39" t="s">
        <v>88</v>
      </c>
      <c r="F916" s="202" t="s">
        <v>85</v>
      </c>
      <c r="G916" s="147" t="s">
        <v>89</v>
      </c>
      <c r="H916" s="6"/>
      <c r="I916" s="148"/>
      <c r="J916" s="168"/>
      <c r="K916" s="150"/>
      <c r="L916" s="151"/>
      <c r="M916" s="164"/>
      <c r="N916" s="158"/>
      <c r="O916" s="669"/>
    </row>
    <row r="917" spans="1:15" ht="14.25" customHeight="1" thickBot="1" x14ac:dyDescent="0.35">
      <c r="A917" s="153" t="s">
        <v>935</v>
      </c>
      <c r="B917" s="4" t="s">
        <v>477</v>
      </c>
      <c r="D917" s="176">
        <v>45938</v>
      </c>
      <c r="E917" s="186" t="s">
        <v>88</v>
      </c>
      <c r="F917" s="183" t="s">
        <v>85</v>
      </c>
      <c r="G917" s="147" t="s">
        <v>89</v>
      </c>
      <c r="H917" s="6"/>
      <c r="I917" s="148"/>
      <c r="J917" s="155"/>
      <c r="K917" s="150"/>
      <c r="L917" s="151"/>
      <c r="M917" s="157"/>
      <c r="N917" s="158"/>
      <c r="O917" s="669"/>
    </row>
    <row r="918" spans="1:15" ht="14.25" customHeight="1" thickBot="1" x14ac:dyDescent="0.35">
      <c r="A918" s="159" t="s">
        <v>936</v>
      </c>
      <c r="B918" s="4" t="s">
        <v>477</v>
      </c>
      <c r="D918" s="180">
        <v>45938</v>
      </c>
      <c r="E918" s="199" t="s">
        <v>88</v>
      </c>
      <c r="F918" s="184" t="s">
        <v>85</v>
      </c>
      <c r="G918" s="147" t="s">
        <v>89</v>
      </c>
      <c r="H918" s="6"/>
      <c r="I918" s="148"/>
      <c r="J918" s="168"/>
      <c r="K918" s="150"/>
      <c r="L918" s="151"/>
      <c r="M918" s="164"/>
      <c r="N918" s="158"/>
      <c r="O918" s="669"/>
    </row>
    <row r="919" spans="1:15" ht="14.25" customHeight="1" thickBot="1" x14ac:dyDescent="0.35">
      <c r="A919" s="153" t="s">
        <v>937</v>
      </c>
      <c r="B919" s="662" t="s">
        <v>22</v>
      </c>
      <c r="D919" s="110">
        <v>45933</v>
      </c>
      <c r="E919" s="169" t="s">
        <v>23</v>
      </c>
      <c r="F919" s="183" t="s">
        <v>85</v>
      </c>
      <c r="G919" s="161" t="s">
        <v>67</v>
      </c>
      <c r="H919" s="6" t="s">
        <v>18</v>
      </c>
      <c r="I919" s="148">
        <v>50</v>
      </c>
      <c r="J919" s="170">
        <v>24.1</v>
      </c>
      <c r="K919" s="181" t="s">
        <v>451</v>
      </c>
      <c r="L919" s="163" t="s">
        <v>451</v>
      </c>
      <c r="M919" s="157"/>
      <c r="N919" s="158"/>
    </row>
    <row r="920" spans="1:15" ht="14.25" customHeight="1" thickBot="1" x14ac:dyDescent="0.35">
      <c r="A920" s="159" t="s">
        <v>938</v>
      </c>
      <c r="B920" s="662" t="s">
        <v>22</v>
      </c>
      <c r="D920" s="110">
        <v>45933</v>
      </c>
      <c r="E920" s="161" t="s">
        <v>23</v>
      </c>
      <c r="F920" s="184" t="s">
        <v>85</v>
      </c>
      <c r="G920" s="161" t="s">
        <v>67</v>
      </c>
      <c r="H920" s="6" t="s">
        <v>18</v>
      </c>
      <c r="I920" s="148">
        <v>50</v>
      </c>
      <c r="J920" s="162">
        <v>10.6</v>
      </c>
      <c r="K920" s="181" t="s">
        <v>451</v>
      </c>
      <c r="L920" s="163" t="s">
        <v>451</v>
      </c>
      <c r="M920" s="164"/>
      <c r="N920" s="158"/>
    </row>
    <row r="921" spans="1:15" ht="14.25" customHeight="1" thickBot="1" x14ac:dyDescent="0.35">
      <c r="A921" s="153" t="s">
        <v>939</v>
      </c>
      <c r="B921" s="4" t="s">
        <v>477</v>
      </c>
      <c r="D921" s="176">
        <v>45924</v>
      </c>
      <c r="E921" s="203" t="s">
        <v>88</v>
      </c>
      <c r="F921" s="183" t="s">
        <v>85</v>
      </c>
      <c r="G921" s="147" t="s">
        <v>89</v>
      </c>
      <c r="H921" s="6"/>
      <c r="I921" s="148"/>
      <c r="J921" s="155"/>
      <c r="K921" s="150"/>
      <c r="L921" s="151"/>
      <c r="M921" s="157"/>
      <c r="N921" s="158"/>
      <c r="O921" s="669"/>
    </row>
    <row r="922" spans="1:15" ht="14.25" customHeight="1" thickBot="1" x14ac:dyDescent="0.35">
      <c r="A922" s="159" t="s">
        <v>940</v>
      </c>
      <c r="B922" s="4" t="s">
        <v>477</v>
      </c>
      <c r="D922" s="180">
        <v>45924</v>
      </c>
      <c r="E922" s="146" t="s">
        <v>88</v>
      </c>
      <c r="F922" s="8" t="s">
        <v>85</v>
      </c>
      <c r="G922" s="147" t="s">
        <v>89</v>
      </c>
      <c r="H922" s="6"/>
      <c r="I922" s="148"/>
      <c r="J922" s="168"/>
      <c r="K922" s="182"/>
      <c r="L922" s="151"/>
      <c r="M922" s="164"/>
      <c r="N922" s="158"/>
      <c r="O922" s="669"/>
    </row>
    <row r="923" spans="1:15" ht="14.25" customHeight="1" thickBot="1" x14ac:dyDescent="0.35">
      <c r="A923" s="153" t="s">
        <v>941</v>
      </c>
      <c r="B923" s="4" t="s">
        <v>477</v>
      </c>
      <c r="D923" s="176">
        <v>45924</v>
      </c>
      <c r="E923" s="146" t="s">
        <v>88</v>
      </c>
      <c r="F923" s="8" t="s">
        <v>85</v>
      </c>
      <c r="G923" s="154" t="s">
        <v>89</v>
      </c>
      <c r="H923" s="6"/>
      <c r="I923" s="148"/>
      <c r="J923" s="155"/>
      <c r="K923" s="182"/>
      <c r="L923" s="151"/>
      <c r="M923" s="157"/>
      <c r="N923" s="158"/>
      <c r="O923" s="669"/>
    </row>
    <row r="924" spans="1:15" ht="14.25" customHeight="1" thickBot="1" x14ac:dyDescent="0.35">
      <c r="A924" s="145" t="s">
        <v>942</v>
      </c>
      <c r="B924" s="95" t="s">
        <v>22</v>
      </c>
      <c r="D924" s="689">
        <v>45848</v>
      </c>
      <c r="E924" s="160" t="s">
        <v>23</v>
      </c>
      <c r="F924" s="8" t="s">
        <v>85</v>
      </c>
      <c r="G924" s="161" t="s">
        <v>67</v>
      </c>
      <c r="H924" s="17" t="s">
        <v>26</v>
      </c>
      <c r="I924" s="148">
        <v>50</v>
      </c>
      <c r="J924" s="149" t="s">
        <v>230</v>
      </c>
      <c r="K924" s="182"/>
      <c r="L924" s="151"/>
      <c r="M924" s="164"/>
      <c r="N924" s="158"/>
      <c r="O924" s="669"/>
    </row>
    <row r="925" spans="1:15" ht="14.25" customHeight="1" thickBot="1" x14ac:dyDescent="0.35">
      <c r="A925" s="153" t="s">
        <v>943</v>
      </c>
      <c r="B925" s="4" t="s">
        <v>477</v>
      </c>
      <c r="D925" s="176">
        <v>45924</v>
      </c>
      <c r="E925" s="146" t="s">
        <v>88</v>
      </c>
      <c r="F925" s="8" t="s">
        <v>85</v>
      </c>
      <c r="G925" s="154" t="s">
        <v>89</v>
      </c>
      <c r="H925" s="6"/>
      <c r="I925" s="148"/>
      <c r="J925" s="155"/>
      <c r="K925" s="150"/>
      <c r="L925" s="151"/>
      <c r="M925" s="157"/>
      <c r="N925" s="158"/>
      <c r="O925" s="669"/>
    </row>
    <row r="926" spans="1:15" ht="14.25" customHeight="1" thickBot="1" x14ac:dyDescent="0.35">
      <c r="A926" s="159" t="s">
        <v>943</v>
      </c>
      <c r="B926" s="4" t="s">
        <v>477</v>
      </c>
      <c r="D926" s="180">
        <v>45924</v>
      </c>
      <c r="E926" s="146" t="s">
        <v>88</v>
      </c>
      <c r="F926" s="8" t="s">
        <v>85</v>
      </c>
      <c r="G926" s="147" t="s">
        <v>89</v>
      </c>
      <c r="H926" s="6"/>
      <c r="I926" s="148"/>
      <c r="J926" s="168"/>
      <c r="K926" s="150"/>
      <c r="L926" s="151"/>
      <c r="M926" s="164"/>
      <c r="N926" s="152"/>
      <c r="O926" s="669"/>
    </row>
    <row r="927" spans="1:15" ht="14.25" customHeight="1" thickBot="1" x14ac:dyDescent="0.35">
      <c r="A927" s="153" t="s">
        <v>944</v>
      </c>
      <c r="B927" s="4" t="s">
        <v>477</v>
      </c>
      <c r="D927" s="176">
        <v>45924</v>
      </c>
      <c r="E927" s="146" t="s">
        <v>88</v>
      </c>
      <c r="F927" s="8" t="s">
        <v>85</v>
      </c>
      <c r="G927" s="154" t="s">
        <v>89</v>
      </c>
      <c r="H927" s="6"/>
      <c r="I927" s="148"/>
      <c r="J927" s="155"/>
      <c r="K927" s="182"/>
      <c r="L927" s="151"/>
      <c r="M927" s="157"/>
      <c r="N927" s="152"/>
      <c r="O927" s="669"/>
    </row>
    <row r="928" spans="1:15" ht="14.25" customHeight="1" thickBot="1" x14ac:dyDescent="0.35">
      <c r="A928" s="159" t="s">
        <v>945</v>
      </c>
      <c r="B928" s="4" t="s">
        <v>477</v>
      </c>
      <c r="D928" s="180">
        <v>45924</v>
      </c>
      <c r="E928" s="146" t="s">
        <v>88</v>
      </c>
      <c r="F928" s="8" t="s">
        <v>85</v>
      </c>
      <c r="G928" s="147" t="s">
        <v>89</v>
      </c>
      <c r="H928" s="6"/>
      <c r="I928" s="148"/>
      <c r="J928" s="168"/>
      <c r="K928" s="182"/>
      <c r="L928" s="151"/>
      <c r="M928" s="164"/>
      <c r="N928" s="152"/>
      <c r="O928" s="669"/>
    </row>
    <row r="929" spans="1:15" ht="14.25" customHeight="1" thickBot="1" x14ac:dyDescent="0.35">
      <c r="A929" s="195" t="s">
        <v>946</v>
      </c>
      <c r="B929" s="664" t="s">
        <v>22</v>
      </c>
      <c r="D929" s="133">
        <v>45817</v>
      </c>
      <c r="E929" s="146" t="s">
        <v>88</v>
      </c>
      <c r="F929" s="8" t="s">
        <v>85</v>
      </c>
      <c r="G929" s="154" t="s">
        <v>89</v>
      </c>
      <c r="H929" s="17" t="s">
        <v>26</v>
      </c>
      <c r="I929" s="148" t="s">
        <v>580</v>
      </c>
      <c r="J929" s="172">
        <v>8.1140602085448705</v>
      </c>
      <c r="K929" s="194">
        <v>0.76123839687617556</v>
      </c>
      <c r="L929" s="173">
        <v>1.8568655605368423</v>
      </c>
      <c r="M929" s="157"/>
      <c r="N929" s="158"/>
    </row>
    <row r="930" spans="1:15" ht="14.25" customHeight="1" thickBot="1" x14ac:dyDescent="0.35">
      <c r="A930" s="159" t="s">
        <v>947</v>
      </c>
      <c r="B930" s="662" t="s">
        <v>22</v>
      </c>
      <c r="D930" s="135">
        <v>45933</v>
      </c>
      <c r="E930" s="160" t="s">
        <v>23</v>
      </c>
      <c r="F930" s="8" t="s">
        <v>85</v>
      </c>
      <c r="G930" s="161" t="s">
        <v>67</v>
      </c>
      <c r="H930" s="6" t="s">
        <v>18</v>
      </c>
      <c r="I930" s="148">
        <v>50</v>
      </c>
      <c r="J930" s="162">
        <v>8.6</v>
      </c>
      <c r="K930" s="204" t="s">
        <v>451</v>
      </c>
      <c r="L930" s="163" t="s">
        <v>451</v>
      </c>
      <c r="M930" s="164"/>
      <c r="N930" s="158"/>
    </row>
    <row r="931" spans="1:15" ht="14.25" customHeight="1" thickBot="1" x14ac:dyDescent="0.35">
      <c r="A931" s="153" t="s">
        <v>948</v>
      </c>
      <c r="B931" s="662" t="s">
        <v>22</v>
      </c>
      <c r="D931" s="134">
        <v>45933</v>
      </c>
      <c r="E931" s="160" t="s">
        <v>23</v>
      </c>
      <c r="F931" s="8" t="s">
        <v>85</v>
      </c>
      <c r="G931" s="169" t="s">
        <v>67</v>
      </c>
      <c r="H931" s="6" t="s">
        <v>18</v>
      </c>
      <c r="I931" s="148">
        <v>50</v>
      </c>
      <c r="J931" s="170">
        <v>30.7</v>
      </c>
      <c r="K931" s="204" t="s">
        <v>451</v>
      </c>
      <c r="L931" s="163" t="s">
        <v>451</v>
      </c>
      <c r="M931" s="157"/>
      <c r="N931" s="158"/>
    </row>
    <row r="932" spans="1:15" ht="14.25" customHeight="1" thickBot="1" x14ac:dyDescent="0.35">
      <c r="A932" s="159" t="s">
        <v>949</v>
      </c>
      <c r="B932" s="4" t="s">
        <v>477</v>
      </c>
      <c r="D932" s="180">
        <v>45924</v>
      </c>
      <c r="E932" s="146" t="s">
        <v>88</v>
      </c>
      <c r="F932" s="8" t="s">
        <v>85</v>
      </c>
      <c r="G932" s="147" t="s">
        <v>89</v>
      </c>
      <c r="H932" s="6"/>
      <c r="I932" s="148"/>
      <c r="J932" s="168"/>
      <c r="K932" s="182"/>
      <c r="L932" s="151"/>
      <c r="M932" s="164"/>
      <c r="N932" s="205"/>
      <c r="O932" s="711"/>
    </row>
    <row r="933" spans="1:15" ht="14.25" customHeight="1" thickBot="1" x14ac:dyDescent="0.35">
      <c r="A933" s="153" t="s">
        <v>950</v>
      </c>
      <c r="B933" s="4" t="s">
        <v>477</v>
      </c>
      <c r="D933" s="176">
        <v>45924</v>
      </c>
      <c r="E933" s="146" t="s">
        <v>88</v>
      </c>
      <c r="F933" s="8" t="s">
        <v>85</v>
      </c>
      <c r="G933" s="154" t="s">
        <v>89</v>
      </c>
      <c r="H933" s="6"/>
      <c r="I933" s="148"/>
      <c r="J933" s="155"/>
      <c r="K933" s="182"/>
      <c r="L933" s="151"/>
      <c r="M933" s="157"/>
      <c r="N933" s="158"/>
      <c r="O933" s="669"/>
    </row>
    <row r="934" spans="1:15" ht="14.25" customHeight="1" thickBot="1" x14ac:dyDescent="0.35">
      <c r="A934" s="159" t="s">
        <v>951</v>
      </c>
      <c r="B934" s="4" t="s">
        <v>477</v>
      </c>
      <c r="D934" s="180">
        <v>45924</v>
      </c>
      <c r="E934" s="146" t="s">
        <v>88</v>
      </c>
      <c r="F934" s="8" t="s">
        <v>85</v>
      </c>
      <c r="G934" s="147" t="s">
        <v>89</v>
      </c>
      <c r="H934" s="6"/>
      <c r="I934" s="148"/>
      <c r="J934" s="168"/>
      <c r="K934" s="182"/>
      <c r="L934" s="151"/>
      <c r="M934" s="164"/>
      <c r="N934" s="158"/>
      <c r="O934" s="669"/>
    </row>
    <row r="935" spans="1:15" ht="14.25" customHeight="1" thickBot="1" x14ac:dyDescent="0.35">
      <c r="A935" s="195" t="s">
        <v>952</v>
      </c>
      <c r="B935" s="664" t="s">
        <v>22</v>
      </c>
      <c r="D935" s="133">
        <v>45817</v>
      </c>
      <c r="E935" s="146" t="s">
        <v>88</v>
      </c>
      <c r="F935" s="8" t="s">
        <v>85</v>
      </c>
      <c r="G935" s="154" t="s">
        <v>89</v>
      </c>
      <c r="H935" s="17" t="s">
        <v>26</v>
      </c>
      <c r="I935" s="148">
        <v>50</v>
      </c>
      <c r="J935" s="172">
        <v>586.15207313422923</v>
      </c>
      <c r="K935" s="194">
        <v>1.4253238838479256</v>
      </c>
      <c r="L935" s="173">
        <v>2.01271353870739</v>
      </c>
      <c r="M935" s="157"/>
      <c r="N935" s="158"/>
    </row>
    <row r="936" spans="1:15" ht="14.25" customHeight="1" thickBot="1" x14ac:dyDescent="0.35">
      <c r="A936" s="145" t="s">
        <v>953</v>
      </c>
      <c r="B936" s="664" t="s">
        <v>22</v>
      </c>
      <c r="D936" s="133">
        <v>45733</v>
      </c>
      <c r="E936" s="146" t="s">
        <v>88</v>
      </c>
      <c r="F936" s="8" t="s">
        <v>85</v>
      </c>
      <c r="G936" s="147" t="s">
        <v>89</v>
      </c>
      <c r="H936" s="17" t="s">
        <v>26</v>
      </c>
      <c r="I936" s="148" t="s">
        <v>580</v>
      </c>
      <c r="J936" s="174">
        <v>79.547201888868059</v>
      </c>
      <c r="K936" s="194">
        <v>0.13113021743137007</v>
      </c>
      <c r="L936" s="173">
        <v>0.8829123926882475</v>
      </c>
      <c r="M936" s="164"/>
      <c r="N936" s="158"/>
    </row>
    <row r="937" spans="1:15" ht="14.25" customHeight="1" thickBot="1" x14ac:dyDescent="0.35">
      <c r="A937" s="171" t="s">
        <v>954</v>
      </c>
      <c r="B937" s="95" t="s">
        <v>22</v>
      </c>
      <c r="D937" s="206">
        <v>45733</v>
      </c>
      <c r="E937" s="146" t="s">
        <v>88</v>
      </c>
      <c r="F937" s="8" t="s">
        <v>85</v>
      </c>
      <c r="G937" s="154" t="s">
        <v>89</v>
      </c>
      <c r="H937" s="17" t="s">
        <v>26</v>
      </c>
      <c r="I937" s="148">
        <v>50</v>
      </c>
      <c r="J937" s="175" t="s">
        <v>230</v>
      </c>
      <c r="K937" s="182"/>
      <c r="L937" s="151"/>
      <c r="M937" s="157"/>
      <c r="N937" s="158"/>
      <c r="O937" s="669"/>
    </row>
    <row r="938" spans="1:15" ht="14.25" customHeight="1" thickBot="1" x14ac:dyDescent="0.35">
      <c r="A938" s="159" t="s">
        <v>955</v>
      </c>
      <c r="B938" s="662" t="s">
        <v>22</v>
      </c>
      <c r="D938" s="135">
        <v>45933</v>
      </c>
      <c r="E938" s="16" t="s">
        <v>23</v>
      </c>
      <c r="F938" s="8" t="s">
        <v>85</v>
      </c>
      <c r="G938" s="161" t="s">
        <v>67</v>
      </c>
      <c r="H938" s="6" t="s">
        <v>18</v>
      </c>
      <c r="I938" s="148">
        <v>50</v>
      </c>
      <c r="J938" s="162">
        <v>4.9000000000000004</v>
      </c>
      <c r="K938" s="179" t="s">
        <v>451</v>
      </c>
      <c r="L938" s="163" t="s">
        <v>451</v>
      </c>
      <c r="M938" s="164"/>
      <c r="N938" s="158"/>
    </row>
    <row r="939" spans="1:15" ht="14.25" customHeight="1" thickBot="1" x14ac:dyDescent="0.35">
      <c r="A939" s="171" t="s">
        <v>956</v>
      </c>
      <c r="B939" s="664" t="s">
        <v>22</v>
      </c>
      <c r="D939" s="133">
        <v>45817</v>
      </c>
      <c r="E939" s="39" t="s">
        <v>88</v>
      </c>
      <c r="F939" s="8" t="s">
        <v>85</v>
      </c>
      <c r="G939" s="154" t="s">
        <v>89</v>
      </c>
      <c r="H939" s="17" t="s">
        <v>26</v>
      </c>
      <c r="I939" s="148">
        <v>50</v>
      </c>
      <c r="J939" s="172">
        <v>60.084866864819844</v>
      </c>
      <c r="K939" s="173">
        <v>1.1542171597096207</v>
      </c>
      <c r="L939" s="173">
        <v>1.9451062154838086</v>
      </c>
      <c r="M939" s="157"/>
      <c r="N939" s="158"/>
    </row>
    <row r="940" spans="1:15" ht="14.25" customHeight="1" thickBot="1" x14ac:dyDescent="0.35">
      <c r="A940" s="145" t="s">
        <v>957</v>
      </c>
      <c r="B940" s="664" t="s">
        <v>22</v>
      </c>
      <c r="D940" s="133">
        <v>45817</v>
      </c>
      <c r="E940" s="146" t="s">
        <v>88</v>
      </c>
      <c r="F940" s="8" t="s">
        <v>85</v>
      </c>
      <c r="G940" s="147" t="s">
        <v>89</v>
      </c>
      <c r="H940" s="17" t="s">
        <v>26</v>
      </c>
      <c r="I940" s="148">
        <v>50</v>
      </c>
      <c r="J940" s="174">
        <v>30.281976329915274</v>
      </c>
      <c r="K940" s="196">
        <v>1.2717680405132419</v>
      </c>
      <c r="L940" s="173">
        <v>2.1321092559905255</v>
      </c>
      <c r="M940" s="164"/>
      <c r="N940" s="158"/>
    </row>
    <row r="941" spans="1:15" ht="14.25" customHeight="1" thickBot="1" x14ac:dyDescent="0.35">
      <c r="A941" s="171" t="s">
        <v>958</v>
      </c>
      <c r="B941" s="664" t="s">
        <v>22</v>
      </c>
      <c r="D941" s="133">
        <v>45789</v>
      </c>
      <c r="E941" s="146" t="s">
        <v>88</v>
      </c>
      <c r="F941" s="8" t="s">
        <v>85</v>
      </c>
      <c r="G941" s="154" t="s">
        <v>89</v>
      </c>
      <c r="H941" s="17" t="s">
        <v>26</v>
      </c>
      <c r="I941" s="148">
        <v>50</v>
      </c>
      <c r="J941" s="172">
        <v>34.010676844453954</v>
      </c>
      <c r="K941" s="173">
        <v>0.65677182852264315</v>
      </c>
      <c r="L941" s="173">
        <v>1.9664793773888185</v>
      </c>
      <c r="M941" s="157"/>
      <c r="N941" s="158"/>
    </row>
    <row r="942" spans="1:15" ht="14.25" customHeight="1" thickBot="1" x14ac:dyDescent="0.35">
      <c r="A942" s="178" t="s">
        <v>959</v>
      </c>
      <c r="B942" s="664" t="s">
        <v>22</v>
      </c>
      <c r="D942" s="133">
        <v>45817</v>
      </c>
      <c r="E942" s="39" t="s">
        <v>88</v>
      </c>
      <c r="F942" s="8" t="s">
        <v>85</v>
      </c>
      <c r="G942" s="147" t="s">
        <v>89</v>
      </c>
      <c r="H942" s="17" t="s">
        <v>26</v>
      </c>
      <c r="I942" s="148" t="s">
        <v>580</v>
      </c>
      <c r="J942" s="174">
        <v>36.740603309174226</v>
      </c>
      <c r="K942" s="173">
        <v>0.41609495804569052</v>
      </c>
      <c r="L942" s="173">
        <v>1.5327598075309548</v>
      </c>
      <c r="M942" s="164"/>
      <c r="N942" s="158"/>
    </row>
    <row r="943" spans="1:15" ht="14.25" customHeight="1" thickBot="1" x14ac:dyDescent="0.35">
      <c r="A943" s="159" t="s">
        <v>960</v>
      </c>
      <c r="B943" s="97" t="s">
        <v>22</v>
      </c>
      <c r="D943" s="207">
        <v>45940</v>
      </c>
      <c r="E943" s="16" t="s">
        <v>23</v>
      </c>
      <c r="F943" s="8" t="s">
        <v>85</v>
      </c>
      <c r="G943" s="161" t="s">
        <v>67</v>
      </c>
      <c r="H943" s="6" t="s">
        <v>18</v>
      </c>
      <c r="I943" s="148">
        <v>50</v>
      </c>
      <c r="J943" s="162" t="s">
        <v>906</v>
      </c>
      <c r="K943" s="669"/>
      <c r="L943" s="669"/>
      <c r="M943" s="164"/>
      <c r="N943" s="158"/>
      <c r="O943" s="669"/>
    </row>
    <row r="944" spans="1:15" ht="14.25" customHeight="1" thickBot="1" x14ac:dyDescent="0.35">
      <c r="A944" s="153" t="s">
        <v>961</v>
      </c>
      <c r="B944" s="662" t="s">
        <v>22</v>
      </c>
      <c r="D944" s="208">
        <v>45940</v>
      </c>
      <c r="E944" s="16" t="s">
        <v>23</v>
      </c>
      <c r="F944" s="8" t="s">
        <v>85</v>
      </c>
      <c r="G944" s="169" t="s">
        <v>67</v>
      </c>
      <c r="H944" s="6" t="s">
        <v>18</v>
      </c>
      <c r="I944" s="148">
        <v>50</v>
      </c>
      <c r="J944" s="170" t="s">
        <v>906</v>
      </c>
      <c r="K944" s="163">
        <v>3.83</v>
      </c>
      <c r="L944" s="163">
        <v>2.0099999999999998</v>
      </c>
      <c r="M944" s="157"/>
      <c r="N944" s="158"/>
    </row>
    <row r="945" spans="1:15" ht="14.25" customHeight="1" thickBot="1" x14ac:dyDescent="0.35">
      <c r="A945" s="159" t="s">
        <v>962</v>
      </c>
      <c r="B945" s="662" t="s">
        <v>22</v>
      </c>
      <c r="D945" s="207">
        <v>45940</v>
      </c>
      <c r="E945" s="16" t="s">
        <v>23</v>
      </c>
      <c r="F945" s="8" t="s">
        <v>85</v>
      </c>
      <c r="G945" s="161" t="s">
        <v>67</v>
      </c>
      <c r="H945" s="6" t="s">
        <v>18</v>
      </c>
      <c r="I945" s="148">
        <v>50</v>
      </c>
      <c r="J945" s="162">
        <v>149.6</v>
      </c>
      <c r="K945" s="163">
        <v>0.85</v>
      </c>
      <c r="L945" s="163">
        <v>1.3</v>
      </c>
      <c r="M945" s="164"/>
      <c r="N945" s="158"/>
    </row>
    <row r="946" spans="1:15" ht="14.25" customHeight="1" thickBot="1" x14ac:dyDescent="0.35">
      <c r="A946" s="153" t="s">
        <v>963</v>
      </c>
      <c r="B946" s="662" t="s">
        <v>22</v>
      </c>
      <c r="D946" s="208">
        <v>45940</v>
      </c>
      <c r="E946" s="16" t="s">
        <v>23</v>
      </c>
      <c r="F946" s="8" t="s">
        <v>85</v>
      </c>
      <c r="G946" s="169" t="s">
        <v>67</v>
      </c>
      <c r="H946" s="6" t="s">
        <v>18</v>
      </c>
      <c r="I946" s="148">
        <v>50</v>
      </c>
      <c r="J946" s="170">
        <v>127</v>
      </c>
      <c r="K946" s="163">
        <v>1.29</v>
      </c>
      <c r="L946" s="163">
        <v>1.35</v>
      </c>
      <c r="M946" s="157"/>
      <c r="N946" s="158"/>
    </row>
    <row r="947" spans="1:15" ht="14.25" customHeight="1" thickBot="1" x14ac:dyDescent="0.35">
      <c r="A947" s="159" t="s">
        <v>964</v>
      </c>
      <c r="B947" s="4" t="s">
        <v>477</v>
      </c>
      <c r="D947" s="180">
        <v>45940</v>
      </c>
      <c r="E947" s="39" t="s">
        <v>88</v>
      </c>
      <c r="F947" s="8" t="s">
        <v>85</v>
      </c>
      <c r="G947" s="147" t="s">
        <v>89</v>
      </c>
      <c r="H947" s="6"/>
      <c r="I947" s="148"/>
      <c r="J947" s="168"/>
      <c r="K947" s="151"/>
      <c r="L947" s="151"/>
      <c r="M947" s="164"/>
      <c r="N947" s="158"/>
      <c r="O947" s="669"/>
    </row>
    <row r="948" spans="1:15" ht="14.25" customHeight="1" thickBot="1" x14ac:dyDescent="0.35">
      <c r="A948" s="153" t="s">
        <v>965</v>
      </c>
      <c r="B948" s="4" t="s">
        <v>477</v>
      </c>
      <c r="D948" s="176">
        <v>45926</v>
      </c>
      <c r="E948" s="16" t="s">
        <v>23</v>
      </c>
      <c r="F948" s="8" t="s">
        <v>85</v>
      </c>
      <c r="G948" s="169" t="s">
        <v>67</v>
      </c>
      <c r="H948" s="6"/>
      <c r="I948" s="148"/>
      <c r="J948" s="155"/>
      <c r="K948" s="151"/>
      <c r="L948" s="151"/>
      <c r="M948" s="157"/>
      <c r="N948" s="158"/>
      <c r="O948" s="669"/>
    </row>
    <row r="949" spans="1:15" ht="14.25" customHeight="1" thickBot="1" x14ac:dyDescent="0.35">
      <c r="A949" s="159" t="s">
        <v>966</v>
      </c>
      <c r="B949" s="4" t="s">
        <v>477</v>
      </c>
      <c r="D949" s="180">
        <v>45926</v>
      </c>
      <c r="E949" s="160" t="s">
        <v>23</v>
      </c>
      <c r="F949" s="209" t="s">
        <v>85</v>
      </c>
      <c r="G949" s="161" t="s">
        <v>67</v>
      </c>
      <c r="H949" s="6"/>
      <c r="I949" s="166"/>
      <c r="J949" s="168"/>
      <c r="K949" s="150"/>
      <c r="L949" s="189"/>
      <c r="M949" s="164"/>
      <c r="N949" s="158"/>
      <c r="O949" s="669"/>
    </row>
    <row r="950" spans="1:15" ht="14.25" customHeight="1" thickBot="1" x14ac:dyDescent="0.35">
      <c r="A950" s="153" t="s">
        <v>967</v>
      </c>
      <c r="B950" s="4" t="s">
        <v>477</v>
      </c>
      <c r="D950" s="176">
        <v>45929</v>
      </c>
      <c r="E950" s="146" t="s">
        <v>88</v>
      </c>
      <c r="F950" s="209" t="s">
        <v>85</v>
      </c>
      <c r="G950" s="154" t="s">
        <v>89</v>
      </c>
      <c r="H950" s="6"/>
      <c r="I950" s="148"/>
      <c r="J950" s="155"/>
      <c r="K950" s="150"/>
      <c r="L950" s="151"/>
      <c r="M950" s="157"/>
      <c r="N950" s="158"/>
      <c r="O950" s="669"/>
    </row>
    <row r="951" spans="1:15" ht="14.25" customHeight="1" thickBot="1" x14ac:dyDescent="0.35">
      <c r="A951" s="159" t="s">
        <v>968</v>
      </c>
      <c r="B951" s="662" t="s">
        <v>22</v>
      </c>
      <c r="D951" s="207">
        <v>45940</v>
      </c>
      <c r="E951" s="160" t="s">
        <v>23</v>
      </c>
      <c r="F951" s="209" t="s">
        <v>85</v>
      </c>
      <c r="G951" s="161" t="s">
        <v>67</v>
      </c>
      <c r="H951" s="6" t="s">
        <v>18</v>
      </c>
      <c r="I951" s="148">
        <v>50</v>
      </c>
      <c r="J951" s="162">
        <v>253.9</v>
      </c>
      <c r="K951" s="181">
        <v>1.67</v>
      </c>
      <c r="L951" s="163">
        <v>1.84</v>
      </c>
      <c r="M951" s="164"/>
      <c r="N951" s="158"/>
    </row>
    <row r="952" spans="1:15" ht="14.25" customHeight="1" thickBot="1" x14ac:dyDescent="0.35">
      <c r="A952" s="153" t="s">
        <v>968</v>
      </c>
      <c r="B952" s="4" t="s">
        <v>477</v>
      </c>
      <c r="D952" s="176">
        <v>45932</v>
      </c>
      <c r="E952" s="160" t="s">
        <v>23</v>
      </c>
      <c r="F952" s="210" t="s">
        <v>24</v>
      </c>
      <c r="G952" s="169" t="s">
        <v>67</v>
      </c>
      <c r="H952" s="6"/>
      <c r="I952" s="148"/>
      <c r="J952" s="155"/>
      <c r="K952" s="150"/>
      <c r="L952" s="151"/>
      <c r="M952" s="157"/>
      <c r="N952" s="158"/>
      <c r="O952" s="669"/>
    </row>
    <row r="953" spans="1:15" ht="14.25" customHeight="1" thickBot="1" x14ac:dyDescent="0.35">
      <c r="A953" s="159" t="s">
        <v>969</v>
      </c>
      <c r="B953" s="662" t="s">
        <v>22</v>
      </c>
      <c r="D953" s="211">
        <v>45940</v>
      </c>
      <c r="E953" s="160" t="s">
        <v>23</v>
      </c>
      <c r="F953" s="209" t="s">
        <v>85</v>
      </c>
      <c r="G953" s="161" t="s">
        <v>67</v>
      </c>
      <c r="H953" s="6" t="s">
        <v>18</v>
      </c>
      <c r="I953" s="148">
        <v>50</v>
      </c>
      <c r="J953" s="162">
        <v>385.6</v>
      </c>
      <c r="K953" s="181" t="s">
        <v>451</v>
      </c>
      <c r="L953" s="163">
        <v>1.89</v>
      </c>
      <c r="M953" s="164"/>
      <c r="N953" s="158"/>
    </row>
    <row r="954" spans="1:15" ht="14.25" customHeight="1" thickBot="1" x14ac:dyDescent="0.35">
      <c r="A954" s="153" t="s">
        <v>970</v>
      </c>
      <c r="B954" s="662" t="s">
        <v>22</v>
      </c>
      <c r="D954" s="208">
        <v>45940</v>
      </c>
      <c r="E954" s="160" t="s">
        <v>23</v>
      </c>
      <c r="F954" s="8" t="s">
        <v>85</v>
      </c>
      <c r="G954" s="169" t="s">
        <v>67</v>
      </c>
      <c r="H954" s="6" t="s">
        <v>18</v>
      </c>
      <c r="I954" s="148">
        <v>50</v>
      </c>
      <c r="J954" s="170">
        <v>236.5</v>
      </c>
      <c r="K954" s="181">
        <v>0.94</v>
      </c>
      <c r="L954" s="163">
        <v>1.82</v>
      </c>
      <c r="M954" s="157"/>
      <c r="N954" s="158"/>
    </row>
    <row r="955" spans="1:15" ht="14.25" customHeight="1" thickBot="1" x14ac:dyDescent="0.35">
      <c r="A955" s="159" t="s">
        <v>971</v>
      </c>
      <c r="B955" s="662" t="s">
        <v>22</v>
      </c>
      <c r="D955" s="211">
        <v>45940</v>
      </c>
      <c r="E955" s="160" t="s">
        <v>23</v>
      </c>
      <c r="F955" s="8" t="s">
        <v>85</v>
      </c>
      <c r="G955" s="161" t="s">
        <v>67</v>
      </c>
      <c r="H955" s="6" t="s">
        <v>18</v>
      </c>
      <c r="I955" s="148">
        <v>50</v>
      </c>
      <c r="J955" s="162">
        <v>89.7</v>
      </c>
      <c r="K955" s="181">
        <v>1.6</v>
      </c>
      <c r="L955" s="163">
        <v>1.59</v>
      </c>
      <c r="M955" s="164"/>
      <c r="N955" s="158"/>
    </row>
    <row r="956" spans="1:15" ht="14.25" customHeight="1" thickBot="1" x14ac:dyDescent="0.35">
      <c r="A956" s="171" t="s">
        <v>972</v>
      </c>
      <c r="B956" s="95" t="s">
        <v>22</v>
      </c>
      <c r="D956" s="689">
        <v>45768</v>
      </c>
      <c r="E956" s="160" t="s">
        <v>23</v>
      </c>
      <c r="F956" s="15" t="s">
        <v>973</v>
      </c>
      <c r="G956" s="169" t="s">
        <v>67</v>
      </c>
      <c r="H956" s="17" t="s">
        <v>26</v>
      </c>
      <c r="I956" s="166"/>
      <c r="J956" s="175" t="s">
        <v>974</v>
      </c>
      <c r="K956" s="197"/>
      <c r="L956" s="201"/>
      <c r="M956" s="157"/>
      <c r="N956" s="158"/>
      <c r="O956" s="669"/>
    </row>
    <row r="957" spans="1:15" ht="14.25" customHeight="1" thickBot="1" x14ac:dyDescent="0.35">
      <c r="A957" s="178" t="s">
        <v>975</v>
      </c>
      <c r="B957" s="95" t="s">
        <v>22</v>
      </c>
      <c r="D957" s="177">
        <v>45817</v>
      </c>
      <c r="E957" s="160" t="s">
        <v>23</v>
      </c>
      <c r="F957" s="15" t="s">
        <v>973</v>
      </c>
      <c r="G957" s="161" t="s">
        <v>67</v>
      </c>
      <c r="H957" s="17" t="s">
        <v>26</v>
      </c>
      <c r="I957" s="148">
        <v>50</v>
      </c>
      <c r="J957" s="149" t="s">
        <v>976</v>
      </c>
      <c r="K957" s="182"/>
      <c r="L957" s="151"/>
      <c r="M957" s="164"/>
      <c r="N957" s="158"/>
      <c r="O957" s="669"/>
    </row>
    <row r="958" spans="1:15" ht="14.25" customHeight="1" thickBot="1" x14ac:dyDescent="0.35">
      <c r="A958" s="171" t="s">
        <v>977</v>
      </c>
      <c r="B958" s="95" t="s">
        <v>22</v>
      </c>
      <c r="D958" s="206">
        <v>45817</v>
      </c>
      <c r="E958" s="160" t="s">
        <v>23</v>
      </c>
      <c r="F958" s="15" t="s">
        <v>973</v>
      </c>
      <c r="G958" s="169" t="s">
        <v>67</v>
      </c>
      <c r="H958" s="17" t="s">
        <v>26</v>
      </c>
      <c r="I958" s="148">
        <v>50</v>
      </c>
      <c r="J958" s="175" t="s">
        <v>976</v>
      </c>
      <c r="K958" s="150"/>
      <c r="L958" s="151"/>
      <c r="M958" s="157"/>
      <c r="N958" s="158"/>
      <c r="O958" s="669"/>
    </row>
    <row r="959" spans="1:15" ht="14.25" customHeight="1" thickBot="1" x14ac:dyDescent="0.35">
      <c r="A959" s="145" t="s">
        <v>978</v>
      </c>
      <c r="B959" s="95" t="s">
        <v>22</v>
      </c>
      <c r="D959" s="177">
        <v>45817</v>
      </c>
      <c r="E959" s="160" t="s">
        <v>23</v>
      </c>
      <c r="F959" s="15" t="s">
        <v>973</v>
      </c>
      <c r="G959" s="161" t="s">
        <v>67</v>
      </c>
      <c r="H959" s="17" t="s">
        <v>26</v>
      </c>
      <c r="I959" s="148">
        <v>50</v>
      </c>
      <c r="J959" s="149" t="s">
        <v>976</v>
      </c>
      <c r="K959" s="150"/>
      <c r="L959" s="151"/>
      <c r="M959" s="164"/>
      <c r="N959" s="158"/>
      <c r="O959" s="669"/>
    </row>
    <row r="960" spans="1:15" ht="14.25" customHeight="1" thickBot="1" x14ac:dyDescent="0.35">
      <c r="A960" s="195" t="s">
        <v>979</v>
      </c>
      <c r="B960" s="664" t="s">
        <v>22</v>
      </c>
      <c r="D960" s="206">
        <v>45756</v>
      </c>
      <c r="E960" s="160" t="s">
        <v>23</v>
      </c>
      <c r="F960" s="15" t="s">
        <v>973</v>
      </c>
      <c r="G960" s="169" t="s">
        <v>67</v>
      </c>
      <c r="H960" s="17" t="s">
        <v>26</v>
      </c>
      <c r="I960" s="148">
        <v>50</v>
      </c>
      <c r="J960" s="172">
        <v>87.123963357466153</v>
      </c>
      <c r="K960" s="194">
        <v>1.9351585124959458</v>
      </c>
      <c r="L960" s="173">
        <v>2.0611017614676199</v>
      </c>
      <c r="M960" s="157"/>
      <c r="N960" s="158"/>
    </row>
    <row r="961" spans="1:15" ht="15" customHeight="1" thickBot="1" x14ac:dyDescent="0.35">
      <c r="A961" s="178" t="s">
        <v>980</v>
      </c>
      <c r="B961" s="663" t="s">
        <v>22</v>
      </c>
      <c r="D961" s="689">
        <v>45848</v>
      </c>
      <c r="E961" s="160" t="s">
        <v>23</v>
      </c>
      <c r="F961" s="15" t="s">
        <v>973</v>
      </c>
      <c r="G961" s="161" t="s">
        <v>67</v>
      </c>
      <c r="H961" s="17" t="s">
        <v>26</v>
      </c>
      <c r="I961" s="148">
        <v>50</v>
      </c>
      <c r="J961" s="174">
        <v>12.512630948855136</v>
      </c>
      <c r="K961" s="197">
        <v>1.26749556226519</v>
      </c>
      <c r="L961" s="173">
        <v>0.18578520417649125</v>
      </c>
      <c r="M961" s="164"/>
      <c r="N961" s="158"/>
    </row>
    <row r="962" spans="1:15" ht="15" customHeight="1" thickBot="1" x14ac:dyDescent="0.35">
      <c r="A962" s="195" t="s">
        <v>981</v>
      </c>
      <c r="B962" s="95" t="s">
        <v>22</v>
      </c>
      <c r="D962" s="206">
        <v>45817</v>
      </c>
      <c r="E962" s="160" t="s">
        <v>23</v>
      </c>
      <c r="F962" s="15" t="s">
        <v>973</v>
      </c>
      <c r="G962" s="169" t="s">
        <v>67</v>
      </c>
      <c r="H962" s="17" t="s">
        <v>26</v>
      </c>
      <c r="I962" s="148">
        <v>50</v>
      </c>
      <c r="J962" s="175" t="s">
        <v>976</v>
      </c>
      <c r="K962" s="150"/>
      <c r="L962" s="151"/>
      <c r="M962" s="157"/>
      <c r="N962" s="158"/>
      <c r="O962" s="669"/>
    </row>
    <row r="963" spans="1:15" ht="15" customHeight="1" thickBot="1" x14ac:dyDescent="0.35">
      <c r="A963" s="145" t="s">
        <v>982</v>
      </c>
      <c r="B963" s="95" t="s">
        <v>22</v>
      </c>
      <c r="D963" s="689">
        <v>45848</v>
      </c>
      <c r="E963" s="160" t="s">
        <v>23</v>
      </c>
      <c r="F963" s="15" t="s">
        <v>973</v>
      </c>
      <c r="G963" s="161" t="s">
        <v>67</v>
      </c>
      <c r="H963" s="17" t="s">
        <v>26</v>
      </c>
      <c r="I963" s="148">
        <v>50</v>
      </c>
      <c r="J963" s="149" t="s">
        <v>230</v>
      </c>
      <c r="K963" s="156"/>
      <c r="L963" s="151"/>
      <c r="M963" s="164"/>
      <c r="N963" s="158"/>
      <c r="O963" s="669"/>
    </row>
    <row r="964" spans="1:15" ht="15" customHeight="1" thickBot="1" x14ac:dyDescent="0.35">
      <c r="A964" s="212" t="s">
        <v>983</v>
      </c>
      <c r="B964" s="669" t="s">
        <v>14</v>
      </c>
      <c r="D964" s="213">
        <v>45947</v>
      </c>
      <c r="E964" s="214" t="s">
        <v>15</v>
      </c>
      <c r="F964" s="8" t="s">
        <v>85</v>
      </c>
      <c r="G964" s="215" t="s">
        <v>17</v>
      </c>
      <c r="H964" s="6" t="s">
        <v>18</v>
      </c>
      <c r="I964" s="216">
        <v>50</v>
      </c>
      <c r="J964" s="217">
        <v>54.3</v>
      </c>
      <c r="K964" s="218">
        <v>2.09</v>
      </c>
      <c r="L964" s="219">
        <v>1.57</v>
      </c>
      <c r="M964" s="217">
        <v>1.0900000000000001</v>
      </c>
      <c r="N964" s="220"/>
    </row>
    <row r="965" spans="1:15" ht="15" customHeight="1" thickBot="1" x14ac:dyDescent="0.35">
      <c r="A965" s="159" t="s">
        <v>984</v>
      </c>
      <c r="B965" s="662" t="s">
        <v>22</v>
      </c>
      <c r="D965" s="691">
        <v>45922</v>
      </c>
      <c r="E965" s="160" t="s">
        <v>23</v>
      </c>
      <c r="F965" s="15" t="s">
        <v>24</v>
      </c>
      <c r="G965" s="161" t="s">
        <v>67</v>
      </c>
      <c r="H965" s="6" t="s">
        <v>18</v>
      </c>
      <c r="I965" s="148">
        <v>50</v>
      </c>
      <c r="J965" s="162">
        <v>52.5</v>
      </c>
      <c r="K965" s="163">
        <v>1.69</v>
      </c>
      <c r="L965" s="163">
        <v>2.09</v>
      </c>
      <c r="M965" s="164"/>
      <c r="N965" s="158"/>
    </row>
    <row r="966" spans="1:15" ht="15" customHeight="1" thickBot="1" x14ac:dyDescent="0.35">
      <c r="A966" s="153" t="s">
        <v>985</v>
      </c>
      <c r="B966" s="662" t="s">
        <v>22</v>
      </c>
      <c r="D966" s="691">
        <v>45931</v>
      </c>
      <c r="E966" s="160" t="s">
        <v>23</v>
      </c>
      <c r="F966" s="19" t="s">
        <v>24</v>
      </c>
      <c r="G966" s="169" t="s">
        <v>67</v>
      </c>
      <c r="H966" s="6" t="s">
        <v>18</v>
      </c>
      <c r="I966" s="148">
        <v>50</v>
      </c>
      <c r="J966" s="170">
        <v>24</v>
      </c>
      <c r="K966" s="163">
        <v>1.1499999999999999</v>
      </c>
      <c r="L966" s="163">
        <v>1.99</v>
      </c>
      <c r="M966" s="157"/>
      <c r="N966" s="158"/>
    </row>
    <row r="967" spans="1:15" ht="15" customHeight="1" thickBot="1" x14ac:dyDescent="0.35">
      <c r="A967" s="212" t="s">
        <v>986</v>
      </c>
      <c r="B967" s="669" t="s">
        <v>14</v>
      </c>
      <c r="D967" s="208">
        <v>45966</v>
      </c>
      <c r="E967" s="214" t="s">
        <v>15</v>
      </c>
      <c r="F967" s="5" t="s">
        <v>34</v>
      </c>
      <c r="G967" s="221" t="s">
        <v>67</v>
      </c>
      <c r="H967" s="6" t="s">
        <v>18</v>
      </c>
      <c r="I967" s="216">
        <v>50</v>
      </c>
      <c r="J967" s="217">
        <v>189.7</v>
      </c>
      <c r="K967" s="222">
        <v>1.99</v>
      </c>
      <c r="L967" s="223">
        <v>1.82</v>
      </c>
      <c r="M967" s="217">
        <v>3.79</v>
      </c>
      <c r="N967" s="220"/>
    </row>
    <row r="968" spans="1:15" ht="15" customHeight="1" thickBot="1" x14ac:dyDescent="0.35">
      <c r="A968" s="159" t="s">
        <v>987</v>
      </c>
      <c r="B968" s="662" t="s">
        <v>22</v>
      </c>
      <c r="D968" s="110">
        <v>45931</v>
      </c>
      <c r="E968" s="16" t="s">
        <v>23</v>
      </c>
      <c r="F968" s="19" t="s">
        <v>24</v>
      </c>
      <c r="G968" s="161" t="s">
        <v>67</v>
      </c>
      <c r="H968" s="6" t="s">
        <v>18</v>
      </c>
      <c r="I968" s="148">
        <v>50</v>
      </c>
      <c r="J968" s="662">
        <v>20.100000000000001</v>
      </c>
      <c r="K968" s="163">
        <v>0.61</v>
      </c>
      <c r="L968" s="162">
        <v>1.86</v>
      </c>
      <c r="M968" s="164"/>
      <c r="N968" s="158"/>
    </row>
    <row r="969" spans="1:15" ht="15" customHeight="1" thickBot="1" x14ac:dyDescent="0.35">
      <c r="A969" s="153" t="s">
        <v>988</v>
      </c>
      <c r="B969" s="662" t="s">
        <v>22</v>
      </c>
      <c r="D969" s="192">
        <v>45931</v>
      </c>
      <c r="E969" s="160" t="s">
        <v>23</v>
      </c>
      <c r="F969" s="19" t="s">
        <v>24</v>
      </c>
      <c r="G969" s="169" t="s">
        <v>67</v>
      </c>
      <c r="H969" s="6" t="s">
        <v>18</v>
      </c>
      <c r="I969" s="148">
        <v>50</v>
      </c>
      <c r="J969" s="662">
        <v>27.9</v>
      </c>
      <c r="K969" s="163">
        <v>1.18</v>
      </c>
      <c r="L969" s="170">
        <v>1.88</v>
      </c>
      <c r="M969" s="157"/>
      <c r="N969" s="158"/>
    </row>
    <row r="970" spans="1:15" ht="15" customHeight="1" thickBot="1" x14ac:dyDescent="0.35">
      <c r="A970" s="159" t="s">
        <v>989</v>
      </c>
      <c r="B970" s="662" t="s">
        <v>22</v>
      </c>
      <c r="D970" s="224">
        <v>45931</v>
      </c>
      <c r="E970" s="160" t="s">
        <v>23</v>
      </c>
      <c r="F970" s="19" t="s">
        <v>24</v>
      </c>
      <c r="G970" s="161" t="s">
        <v>67</v>
      </c>
      <c r="H970" s="6" t="s">
        <v>18</v>
      </c>
      <c r="I970" s="148">
        <v>50</v>
      </c>
      <c r="J970" s="662">
        <v>22.7</v>
      </c>
      <c r="K970" s="163">
        <v>1.1599999999999999</v>
      </c>
      <c r="L970" s="162">
        <v>1.87</v>
      </c>
      <c r="M970" s="164"/>
      <c r="N970" s="158"/>
    </row>
    <row r="971" spans="1:15" ht="15" customHeight="1" thickBot="1" x14ac:dyDescent="0.35">
      <c r="A971" s="153" t="s">
        <v>990</v>
      </c>
      <c r="B971" s="662" t="s">
        <v>22</v>
      </c>
      <c r="D971" s="192">
        <v>45931</v>
      </c>
      <c r="E971" s="160" t="s">
        <v>23</v>
      </c>
      <c r="F971" s="19" t="s">
        <v>24</v>
      </c>
      <c r="G971" s="169" t="s">
        <v>67</v>
      </c>
      <c r="H971" s="6" t="s">
        <v>18</v>
      </c>
      <c r="I971" s="148">
        <v>50</v>
      </c>
      <c r="J971" s="662">
        <v>52.7</v>
      </c>
      <c r="K971" s="163">
        <v>1.06</v>
      </c>
      <c r="L971" s="170">
        <v>1.83</v>
      </c>
      <c r="M971" s="157"/>
      <c r="N971" s="158"/>
    </row>
    <row r="972" spans="1:15" ht="15" customHeight="1" thickBot="1" x14ac:dyDescent="0.35">
      <c r="A972" s="159" t="s">
        <v>991</v>
      </c>
      <c r="B972" s="662" t="s">
        <v>22</v>
      </c>
      <c r="D972" s="224">
        <v>45931</v>
      </c>
      <c r="E972" s="160" t="s">
        <v>23</v>
      </c>
      <c r="F972" s="19" t="s">
        <v>24</v>
      </c>
      <c r="G972" s="161" t="s">
        <v>67</v>
      </c>
      <c r="H972" s="6" t="s">
        <v>18</v>
      </c>
      <c r="I972" s="148">
        <v>50</v>
      </c>
      <c r="J972" s="662">
        <v>36</v>
      </c>
      <c r="K972" s="163">
        <v>0.87</v>
      </c>
      <c r="L972" s="162">
        <v>1.9</v>
      </c>
      <c r="M972" s="164"/>
      <c r="N972" s="158"/>
    </row>
    <row r="973" spans="1:15" ht="15" customHeight="1" thickBot="1" x14ac:dyDescent="0.35">
      <c r="A973" s="153" t="s">
        <v>992</v>
      </c>
      <c r="B973" s="662" t="s">
        <v>22</v>
      </c>
      <c r="D973" s="111">
        <v>45848</v>
      </c>
      <c r="E973" s="160" t="s">
        <v>23</v>
      </c>
      <c r="F973" s="19" t="s">
        <v>24</v>
      </c>
      <c r="G973" s="169" t="s">
        <v>67</v>
      </c>
      <c r="H973" s="17" t="s">
        <v>26</v>
      </c>
      <c r="I973" s="148">
        <v>50</v>
      </c>
      <c r="J973" s="662" t="s">
        <v>906</v>
      </c>
      <c r="K973" s="151" t="s">
        <v>451</v>
      </c>
      <c r="L973" s="170" t="s">
        <v>906</v>
      </c>
      <c r="M973" s="157"/>
      <c r="N973" s="158"/>
    </row>
    <row r="974" spans="1:15" ht="15" customHeight="1" thickBot="1" x14ac:dyDescent="0.35">
      <c r="A974" s="145" t="s">
        <v>993</v>
      </c>
      <c r="B974" s="95" t="s">
        <v>22</v>
      </c>
      <c r="D974" s="689">
        <v>45848</v>
      </c>
      <c r="E974" s="160" t="s">
        <v>23</v>
      </c>
      <c r="F974" s="15" t="s">
        <v>24</v>
      </c>
      <c r="G974" s="161" t="s">
        <v>67</v>
      </c>
      <c r="H974" s="17" t="s">
        <v>26</v>
      </c>
      <c r="I974" s="148">
        <v>50</v>
      </c>
      <c r="J974" s="44" t="s">
        <v>230</v>
      </c>
      <c r="K974" s="151"/>
      <c r="L974" s="149"/>
      <c r="M974" s="164"/>
      <c r="N974" s="158"/>
      <c r="O974" s="669"/>
    </row>
    <row r="975" spans="1:15" ht="15" customHeight="1" thickBot="1" x14ac:dyDescent="0.35">
      <c r="A975" s="153" t="s">
        <v>994</v>
      </c>
      <c r="B975" s="662" t="s">
        <v>22</v>
      </c>
      <c r="D975" s="192">
        <v>45931</v>
      </c>
      <c r="E975" s="160" t="s">
        <v>23</v>
      </c>
      <c r="F975" s="19" t="s">
        <v>24</v>
      </c>
      <c r="G975" s="169" t="s">
        <v>67</v>
      </c>
      <c r="H975" s="6" t="s">
        <v>18</v>
      </c>
      <c r="I975" s="148">
        <v>50</v>
      </c>
      <c r="J975" s="662">
        <v>74</v>
      </c>
      <c r="K975" s="163">
        <v>0.88</v>
      </c>
      <c r="L975" s="170">
        <v>1.71</v>
      </c>
      <c r="M975" s="157"/>
      <c r="N975" s="158"/>
    </row>
    <row r="976" spans="1:15" ht="15" customHeight="1" thickBot="1" x14ac:dyDescent="0.35">
      <c r="A976" s="145" t="s">
        <v>995</v>
      </c>
      <c r="B976" s="95" t="s">
        <v>22</v>
      </c>
      <c r="D976" s="689">
        <v>45848</v>
      </c>
      <c r="E976" s="160" t="s">
        <v>23</v>
      </c>
      <c r="F976" s="15" t="s">
        <v>24</v>
      </c>
      <c r="G976" s="161" t="s">
        <v>67</v>
      </c>
      <c r="H976" s="17" t="s">
        <v>26</v>
      </c>
      <c r="I976" s="148">
        <v>50</v>
      </c>
      <c r="J976" s="44" t="s">
        <v>230</v>
      </c>
      <c r="K976" s="151"/>
      <c r="L976" s="149"/>
      <c r="M976" s="164"/>
      <c r="N976" s="158"/>
      <c r="O976" s="669"/>
    </row>
    <row r="977" spans="1:15" ht="15" customHeight="1" thickBot="1" x14ac:dyDescent="0.35">
      <c r="A977" s="225" t="s">
        <v>996</v>
      </c>
      <c r="B977" s="669" t="s">
        <v>14</v>
      </c>
      <c r="D977" s="226">
        <v>45966</v>
      </c>
      <c r="E977" s="227" t="s">
        <v>15</v>
      </c>
      <c r="F977" s="12" t="s">
        <v>34</v>
      </c>
      <c r="G977" s="221" t="s">
        <v>67</v>
      </c>
      <c r="H977" s="6" t="s">
        <v>18</v>
      </c>
      <c r="I977" s="228">
        <v>50</v>
      </c>
      <c r="J977" s="33">
        <v>444.7</v>
      </c>
      <c r="K977" s="218">
        <v>1.95</v>
      </c>
      <c r="L977" s="229">
        <v>1.65</v>
      </c>
      <c r="M977" s="230">
        <v>8.89</v>
      </c>
      <c r="N977" s="231"/>
    </row>
    <row r="978" spans="1:15" ht="15" customHeight="1" thickBot="1" x14ac:dyDescent="0.35">
      <c r="A978" s="232" t="s">
        <v>997</v>
      </c>
      <c r="B978" s="669" t="s">
        <v>14</v>
      </c>
      <c r="D978" s="207">
        <v>45966</v>
      </c>
      <c r="E978" s="214" t="s">
        <v>15</v>
      </c>
      <c r="F978" s="5" t="s">
        <v>34</v>
      </c>
      <c r="G978" s="233" t="s">
        <v>67</v>
      </c>
      <c r="H978" s="6" t="s">
        <v>18</v>
      </c>
      <c r="I978" s="216">
        <v>50</v>
      </c>
      <c r="J978" s="37">
        <v>41.8</v>
      </c>
      <c r="K978" s="218">
        <v>1.93</v>
      </c>
      <c r="L978" s="234">
        <v>1.49</v>
      </c>
      <c r="M978" s="235">
        <v>0.84</v>
      </c>
      <c r="N978" s="220"/>
    </row>
    <row r="979" spans="1:15" ht="15" customHeight="1" thickBot="1" x14ac:dyDescent="0.35">
      <c r="A979" s="153" t="s">
        <v>998</v>
      </c>
      <c r="B979" s="662" t="s">
        <v>22</v>
      </c>
      <c r="D979" s="192">
        <v>45931</v>
      </c>
      <c r="E979" s="160" t="s">
        <v>23</v>
      </c>
      <c r="F979" s="19" t="s">
        <v>24</v>
      </c>
      <c r="G979" s="169" t="s">
        <v>67</v>
      </c>
      <c r="H979" s="6" t="s">
        <v>18</v>
      </c>
      <c r="I979" s="148">
        <v>50</v>
      </c>
      <c r="J979" s="662">
        <v>92.7</v>
      </c>
      <c r="K979" s="163">
        <v>1.54</v>
      </c>
      <c r="L979" s="170">
        <v>1.95</v>
      </c>
      <c r="M979" s="157"/>
      <c r="N979" s="158"/>
    </row>
    <row r="980" spans="1:15" ht="15" customHeight="1" thickBot="1" x14ac:dyDescent="0.35">
      <c r="A980" s="159" t="s">
        <v>999</v>
      </c>
      <c r="B980" s="662" t="s">
        <v>22</v>
      </c>
      <c r="D980" s="224">
        <v>45931</v>
      </c>
      <c r="E980" s="160" t="s">
        <v>23</v>
      </c>
      <c r="F980" s="19" t="s">
        <v>24</v>
      </c>
      <c r="G980" s="161" t="s">
        <v>67</v>
      </c>
      <c r="H980" s="6" t="s">
        <v>18</v>
      </c>
      <c r="I980" s="148">
        <v>50</v>
      </c>
      <c r="J980" s="662">
        <v>131.30000000000001</v>
      </c>
      <c r="K980" s="163">
        <v>2.04</v>
      </c>
      <c r="L980" s="162">
        <v>2.02</v>
      </c>
      <c r="M980" s="164"/>
      <c r="N980" s="158"/>
    </row>
    <row r="981" spans="1:15" ht="15" customHeight="1" thickBot="1" x14ac:dyDescent="0.35">
      <c r="A981" s="225" t="s">
        <v>1000</v>
      </c>
      <c r="B981" s="669" t="s">
        <v>14</v>
      </c>
      <c r="D981" s="226">
        <v>45966</v>
      </c>
      <c r="E981" s="146" t="s">
        <v>88</v>
      </c>
      <c r="F981" s="12" t="s">
        <v>34</v>
      </c>
      <c r="G981" s="230" t="s">
        <v>101</v>
      </c>
      <c r="H981" s="6" t="s">
        <v>18</v>
      </c>
      <c r="I981" s="228">
        <v>50</v>
      </c>
      <c r="J981" s="670">
        <v>786.2</v>
      </c>
      <c r="K981" s="223">
        <v>1.71</v>
      </c>
      <c r="L981" s="229">
        <v>0</v>
      </c>
      <c r="M981" s="230">
        <v>15.72</v>
      </c>
      <c r="N981" s="231"/>
    </row>
    <row r="982" spans="1:15" ht="15" customHeight="1" thickBot="1" x14ac:dyDescent="0.35">
      <c r="A982" s="232" t="s">
        <v>1001</v>
      </c>
      <c r="B982" s="669" t="s">
        <v>14</v>
      </c>
      <c r="D982" s="207">
        <v>45966</v>
      </c>
      <c r="E982" s="214" t="s">
        <v>15</v>
      </c>
      <c r="F982" s="5" t="s">
        <v>34</v>
      </c>
      <c r="G982" s="233" t="s">
        <v>67</v>
      </c>
      <c r="H982" s="6" t="s">
        <v>18</v>
      </c>
      <c r="I982" s="216">
        <v>50</v>
      </c>
      <c r="J982" s="665">
        <v>127.2</v>
      </c>
      <c r="K982" s="218">
        <v>1.84</v>
      </c>
      <c r="L982" s="234">
        <v>1.39</v>
      </c>
      <c r="M982" s="235">
        <v>2.54</v>
      </c>
      <c r="N982" s="220"/>
      <c r="O982" s="236"/>
    </row>
    <row r="983" spans="1:15" ht="15" customHeight="1" thickBot="1" x14ac:dyDescent="0.35">
      <c r="A983" s="225" t="s">
        <v>1002</v>
      </c>
      <c r="B983" s="669" t="s">
        <v>14</v>
      </c>
      <c r="D983" s="226">
        <v>45966</v>
      </c>
      <c r="E983" s="227" t="s">
        <v>15</v>
      </c>
      <c r="F983" s="12" t="s">
        <v>34</v>
      </c>
      <c r="G983" s="221" t="s">
        <v>67</v>
      </c>
      <c r="H983" s="6" t="s">
        <v>18</v>
      </c>
      <c r="I983" s="228">
        <v>50</v>
      </c>
      <c r="J983" s="33">
        <v>522.29999999999995</v>
      </c>
      <c r="K983" s="218">
        <v>1.94</v>
      </c>
      <c r="L983" s="229">
        <v>1.79</v>
      </c>
      <c r="M983" s="230">
        <v>10.45</v>
      </c>
      <c r="N983" s="231"/>
      <c r="O983" s="236"/>
    </row>
    <row r="984" spans="1:15" ht="15" customHeight="1" thickBot="1" x14ac:dyDescent="0.35">
      <c r="A984" s="232" t="s">
        <v>1003</v>
      </c>
      <c r="B984" s="669" t="s">
        <v>14</v>
      </c>
      <c r="D984" s="207">
        <v>45966</v>
      </c>
      <c r="E984" s="214" t="s">
        <v>15</v>
      </c>
      <c r="F984" s="5" t="s">
        <v>34</v>
      </c>
      <c r="G984" s="233" t="s">
        <v>67</v>
      </c>
      <c r="H984" s="6" t="s">
        <v>18</v>
      </c>
      <c r="I984" s="216">
        <v>50</v>
      </c>
      <c r="J984" s="665">
        <v>143.5</v>
      </c>
      <c r="K984" s="223">
        <v>1.79</v>
      </c>
      <c r="L984" s="234">
        <v>0.44</v>
      </c>
      <c r="M984" s="235">
        <v>2.87</v>
      </c>
      <c r="N984" s="220"/>
      <c r="O984" s="236"/>
    </row>
    <row r="985" spans="1:15" ht="15" customHeight="1" thickBot="1" x14ac:dyDescent="0.35">
      <c r="A985" s="225" t="s">
        <v>1004</v>
      </c>
      <c r="B985" s="669" t="s">
        <v>14</v>
      </c>
      <c r="D985" s="226">
        <v>45966</v>
      </c>
      <c r="E985" s="227" t="s">
        <v>15</v>
      </c>
      <c r="F985" s="12" t="s">
        <v>34</v>
      </c>
      <c r="G985" s="221" t="s">
        <v>67</v>
      </c>
      <c r="H985" s="6" t="s">
        <v>18</v>
      </c>
      <c r="I985" s="228">
        <v>50</v>
      </c>
      <c r="J985" s="670">
        <v>298.5</v>
      </c>
      <c r="K985" s="218">
        <v>1.9</v>
      </c>
      <c r="L985" s="229">
        <v>1.03</v>
      </c>
      <c r="M985" s="230">
        <v>5.97</v>
      </c>
      <c r="N985" s="231"/>
      <c r="O985" s="236"/>
    </row>
    <row r="986" spans="1:15" ht="15" customHeight="1" thickBot="1" x14ac:dyDescent="0.35">
      <c r="A986" s="232" t="s">
        <v>1005</v>
      </c>
      <c r="B986" s="669" t="s">
        <v>14</v>
      </c>
      <c r="D986" s="207">
        <v>45966</v>
      </c>
      <c r="E986" s="214" t="s">
        <v>15</v>
      </c>
      <c r="F986" s="5" t="s">
        <v>34</v>
      </c>
      <c r="G986" s="233" t="s">
        <v>67</v>
      </c>
      <c r="H986" s="6" t="s">
        <v>18</v>
      </c>
      <c r="I986" s="216">
        <v>50</v>
      </c>
      <c r="J986" s="37">
        <v>32.5</v>
      </c>
      <c r="K986" s="218">
        <v>1.94</v>
      </c>
      <c r="L986" s="234">
        <v>1.61</v>
      </c>
      <c r="M986" s="235">
        <v>0.65</v>
      </c>
      <c r="N986" s="220"/>
      <c r="O986" s="236"/>
    </row>
    <row r="987" spans="1:15" ht="15" customHeight="1" thickBot="1" x14ac:dyDescent="0.35">
      <c r="A987" s="225" t="s">
        <v>1006</v>
      </c>
      <c r="B987" s="669" t="s">
        <v>14</v>
      </c>
      <c r="D987" s="213">
        <v>45952</v>
      </c>
      <c r="E987" s="227" t="s">
        <v>15</v>
      </c>
      <c r="F987" s="8" t="s">
        <v>85</v>
      </c>
      <c r="G987" s="221" t="s">
        <v>35</v>
      </c>
      <c r="H987" s="6" t="s">
        <v>18</v>
      </c>
      <c r="I987" s="228">
        <v>100</v>
      </c>
      <c r="J987" s="670">
        <v>252</v>
      </c>
      <c r="K987" s="223">
        <v>1.72</v>
      </c>
      <c r="L987" s="229">
        <v>0.63</v>
      </c>
      <c r="M987" s="230">
        <v>2.52</v>
      </c>
      <c r="N987" s="231"/>
      <c r="O987" s="236"/>
    </row>
    <row r="988" spans="1:15" ht="15" customHeight="1" thickBot="1" x14ac:dyDescent="0.35">
      <c r="A988" s="178" t="s">
        <v>1007</v>
      </c>
      <c r="B988" s="663" t="s">
        <v>22</v>
      </c>
      <c r="D988" s="689">
        <v>45848</v>
      </c>
      <c r="E988" s="160" t="s">
        <v>23</v>
      </c>
      <c r="F988" s="15" t="s">
        <v>24</v>
      </c>
      <c r="G988" s="161" t="s">
        <v>67</v>
      </c>
      <c r="H988" s="17" t="s">
        <v>26</v>
      </c>
      <c r="I988" s="148">
        <v>50</v>
      </c>
      <c r="J988" s="672">
        <v>6.5850742313971411</v>
      </c>
      <c r="K988" s="173">
        <v>1.6322977334964839</v>
      </c>
      <c r="L988" s="184">
        <v>0.83096917737165799</v>
      </c>
      <c r="M988" s="164"/>
      <c r="N988" s="158"/>
      <c r="O988" s="236"/>
    </row>
    <row r="989" spans="1:15" ht="15" customHeight="1" thickBot="1" x14ac:dyDescent="0.35">
      <c r="A989" s="212" t="s">
        <v>1008</v>
      </c>
      <c r="B989" s="669" t="s">
        <v>14</v>
      </c>
      <c r="D989" s="213">
        <v>45946</v>
      </c>
      <c r="E989" s="214" t="s">
        <v>15</v>
      </c>
      <c r="F989" s="8" t="s">
        <v>83</v>
      </c>
      <c r="G989" s="215" t="s">
        <v>17</v>
      </c>
      <c r="H989" s="6" t="s">
        <v>18</v>
      </c>
      <c r="I989" s="216">
        <v>100</v>
      </c>
      <c r="J989" s="37">
        <v>7.4</v>
      </c>
      <c r="K989" s="219">
        <v>2.38</v>
      </c>
      <c r="L989" s="229">
        <v>0.54</v>
      </c>
      <c r="M989" s="217">
        <v>7.0000000000000007E-2</v>
      </c>
      <c r="N989" s="220"/>
      <c r="O989" s="236"/>
    </row>
    <row r="990" spans="1:15" ht="15" customHeight="1" thickBot="1" x14ac:dyDescent="0.35">
      <c r="A990" s="145" t="s">
        <v>1009</v>
      </c>
      <c r="B990" s="95" t="s">
        <v>22</v>
      </c>
      <c r="D990" s="177">
        <v>45817</v>
      </c>
      <c r="E990" s="160" t="s">
        <v>23</v>
      </c>
      <c r="F990" s="8" t="s">
        <v>85</v>
      </c>
      <c r="G990" s="161" t="s">
        <v>67</v>
      </c>
      <c r="H990" s="17" t="s">
        <v>26</v>
      </c>
      <c r="I990" s="148">
        <v>50</v>
      </c>
      <c r="J990" s="44" t="s">
        <v>976</v>
      </c>
      <c r="K990" s="151"/>
      <c r="L990" s="149"/>
      <c r="M990" s="164"/>
      <c r="N990" s="158"/>
      <c r="O990" s="236"/>
    </row>
    <row r="991" spans="1:15" ht="15" customHeight="1" thickBot="1" x14ac:dyDescent="0.35">
      <c r="A991" s="171" t="s">
        <v>1010</v>
      </c>
      <c r="B991" s="95" t="s">
        <v>22</v>
      </c>
      <c r="D991" s="206">
        <v>45817</v>
      </c>
      <c r="E991" s="160" t="s">
        <v>23</v>
      </c>
      <c r="F991" s="8" t="s">
        <v>85</v>
      </c>
      <c r="G991" s="169" t="s">
        <v>67</v>
      </c>
      <c r="H991" s="17" t="s">
        <v>26</v>
      </c>
      <c r="I991" s="148">
        <v>50</v>
      </c>
      <c r="J991" s="44" t="s">
        <v>976</v>
      </c>
      <c r="K991" s="151"/>
      <c r="L991" s="175"/>
      <c r="M991" s="157"/>
      <c r="N991" s="158"/>
      <c r="O991" s="236"/>
    </row>
    <row r="992" spans="1:15" ht="15" customHeight="1" thickBot="1" x14ac:dyDescent="0.35">
      <c r="A992" s="145" t="s">
        <v>1011</v>
      </c>
      <c r="B992" s="95" t="s">
        <v>22</v>
      </c>
      <c r="D992" s="177">
        <v>45817</v>
      </c>
      <c r="E992" s="160" t="s">
        <v>23</v>
      </c>
      <c r="F992" s="8" t="s">
        <v>85</v>
      </c>
      <c r="G992" s="161" t="s">
        <v>67</v>
      </c>
      <c r="H992" s="17" t="s">
        <v>26</v>
      </c>
      <c r="I992" s="148">
        <v>50</v>
      </c>
      <c r="J992" s="44" t="s">
        <v>976</v>
      </c>
      <c r="K992" s="151"/>
      <c r="L992" s="149"/>
      <c r="M992" s="164"/>
      <c r="N992" s="158"/>
      <c r="O992" s="236"/>
    </row>
    <row r="993" spans="1:15" ht="15" customHeight="1" thickBot="1" x14ac:dyDescent="0.35">
      <c r="A993" s="171" t="s">
        <v>1012</v>
      </c>
      <c r="B993" s="95" t="s">
        <v>22</v>
      </c>
      <c r="D993" s="206">
        <v>45817</v>
      </c>
      <c r="E993" s="160" t="s">
        <v>23</v>
      </c>
      <c r="F993" s="8" t="s">
        <v>85</v>
      </c>
      <c r="G993" s="169" t="s">
        <v>67</v>
      </c>
      <c r="H993" s="17" t="s">
        <v>26</v>
      </c>
      <c r="I993" s="148">
        <v>50</v>
      </c>
      <c r="J993" s="44" t="s">
        <v>976</v>
      </c>
      <c r="K993" s="151"/>
      <c r="L993" s="175"/>
      <c r="M993" s="157"/>
      <c r="N993" s="158"/>
      <c r="O993" s="236"/>
    </row>
    <row r="994" spans="1:15" ht="15" customHeight="1" thickBot="1" x14ac:dyDescent="0.35">
      <c r="A994" s="238" t="s">
        <v>1013</v>
      </c>
      <c r="B994" s="679" t="s">
        <v>22</v>
      </c>
      <c r="D994" s="149">
        <v>2024</v>
      </c>
      <c r="E994" s="146" t="s">
        <v>88</v>
      </c>
      <c r="F994" s="8" t="s">
        <v>85</v>
      </c>
      <c r="G994" s="147" t="s">
        <v>89</v>
      </c>
      <c r="H994" s="239"/>
      <c r="I994" s="148">
        <v>50</v>
      </c>
      <c r="J994" s="41">
        <v>24.648554326408973</v>
      </c>
      <c r="K994" s="240">
        <v>1.9513586225592128</v>
      </c>
      <c r="L994" s="241">
        <v>1.4193568276083299</v>
      </c>
      <c r="M994" s="164"/>
      <c r="N994" s="158"/>
      <c r="O994" s="236"/>
    </row>
    <row r="995" spans="1:15" ht="15" customHeight="1" thickBot="1" x14ac:dyDescent="0.35">
      <c r="A995" s="225" t="s">
        <v>1014</v>
      </c>
      <c r="B995" s="669" t="s">
        <v>14</v>
      </c>
      <c r="D995" s="226">
        <v>45971</v>
      </c>
      <c r="E995" s="146" t="s">
        <v>88</v>
      </c>
      <c r="F995" s="8" t="s">
        <v>85</v>
      </c>
      <c r="G995" s="230" t="s">
        <v>101</v>
      </c>
      <c r="H995" s="6" t="s">
        <v>18</v>
      </c>
      <c r="I995" s="228">
        <v>50</v>
      </c>
      <c r="J995" s="670">
        <v>45.9</v>
      </c>
      <c r="K995" s="223">
        <v>1.75</v>
      </c>
      <c r="L995" s="229">
        <v>1.7</v>
      </c>
      <c r="M995" s="230">
        <v>0.92</v>
      </c>
      <c r="N995" s="231"/>
      <c r="O995" s="236"/>
    </row>
    <row r="996" spans="1:15" ht="15" customHeight="1" thickBot="1" x14ac:dyDescent="0.35">
      <c r="A996" s="232" t="s">
        <v>1015</v>
      </c>
      <c r="B996" s="669" t="s">
        <v>14</v>
      </c>
      <c r="D996" s="207">
        <v>45960</v>
      </c>
      <c r="E996" s="146" t="s">
        <v>88</v>
      </c>
      <c r="F996" s="8" t="s">
        <v>85</v>
      </c>
      <c r="G996" s="235" t="s">
        <v>101</v>
      </c>
      <c r="H996" s="6" t="s">
        <v>18</v>
      </c>
      <c r="I996" s="216">
        <v>150</v>
      </c>
      <c r="J996" s="665">
        <v>540</v>
      </c>
      <c r="K996" s="223">
        <v>1.76</v>
      </c>
      <c r="L996" s="234">
        <v>0.7</v>
      </c>
      <c r="M996" s="235">
        <v>3.6</v>
      </c>
      <c r="N996" s="220"/>
      <c r="O996" s="236"/>
    </row>
    <row r="997" spans="1:15" ht="15" customHeight="1" thickBot="1" x14ac:dyDescent="0.35">
      <c r="A997" s="242" t="s">
        <v>1016</v>
      </c>
      <c r="B997" s="679" t="s">
        <v>22</v>
      </c>
      <c r="D997" s="175">
        <v>2024</v>
      </c>
      <c r="E997" s="146" t="s">
        <v>88</v>
      </c>
      <c r="F997" s="8" t="s">
        <v>85</v>
      </c>
      <c r="G997" s="154" t="s">
        <v>89</v>
      </c>
      <c r="H997" s="239"/>
      <c r="I997" s="148">
        <v>50</v>
      </c>
      <c r="J997" s="41" t="s">
        <v>451</v>
      </c>
      <c r="K997" s="240">
        <v>1.9980805912451423</v>
      </c>
      <c r="L997" s="243">
        <v>1.9494150953804257</v>
      </c>
      <c r="M997" s="157"/>
      <c r="N997" s="158"/>
      <c r="O997" s="236"/>
    </row>
    <row r="998" spans="1:15" ht="15" customHeight="1" thickBot="1" x14ac:dyDescent="0.35">
      <c r="A998" s="238" t="s">
        <v>1017</v>
      </c>
      <c r="B998" s="679" t="s">
        <v>22</v>
      </c>
      <c r="D998" s="149">
        <v>2024</v>
      </c>
      <c r="E998" s="146" t="s">
        <v>88</v>
      </c>
      <c r="F998" s="8" t="s">
        <v>85</v>
      </c>
      <c r="G998" s="147" t="s">
        <v>89</v>
      </c>
      <c r="H998" s="239"/>
      <c r="I998" s="148">
        <v>50</v>
      </c>
      <c r="J998" s="41">
        <v>977.24611677787527</v>
      </c>
      <c r="K998" s="240">
        <v>1.9397280980575</v>
      </c>
      <c r="L998" s="241">
        <v>1.5924299293664046</v>
      </c>
      <c r="M998" s="164"/>
      <c r="N998" s="158"/>
      <c r="O998" s="236"/>
    </row>
    <row r="999" spans="1:15" ht="15" customHeight="1" thickBot="1" x14ac:dyDescent="0.35">
      <c r="A999" s="212" t="s">
        <v>1018</v>
      </c>
      <c r="B999" s="669" t="s">
        <v>14</v>
      </c>
      <c r="D999" s="135">
        <v>45924</v>
      </c>
      <c r="E999" s="146" t="s">
        <v>88</v>
      </c>
      <c r="F999" s="8" t="s">
        <v>85</v>
      </c>
      <c r="G999" s="217" t="s">
        <v>101</v>
      </c>
      <c r="H999" s="6" t="s">
        <v>18</v>
      </c>
      <c r="I999" s="216">
        <v>50</v>
      </c>
      <c r="J999" s="665">
        <v>11.5</v>
      </c>
      <c r="K999" s="219">
        <v>1.49</v>
      </c>
      <c r="L999" s="229">
        <v>0.36</v>
      </c>
      <c r="M999" s="217">
        <v>0.23</v>
      </c>
      <c r="N999" s="220"/>
      <c r="O999" s="236"/>
    </row>
    <row r="1000" spans="1:15" ht="15" customHeight="1" thickBot="1" x14ac:dyDescent="0.35">
      <c r="A1000" s="244" t="s">
        <v>1019</v>
      </c>
      <c r="B1000" s="669" t="s">
        <v>14</v>
      </c>
      <c r="D1000" s="134">
        <v>45924</v>
      </c>
      <c r="E1000" s="245" t="s">
        <v>23</v>
      </c>
      <c r="F1000" s="8" t="s">
        <v>85</v>
      </c>
      <c r="G1000" s="246" t="s">
        <v>1020</v>
      </c>
      <c r="H1000" s="6" t="s">
        <v>18</v>
      </c>
      <c r="I1000" s="228">
        <v>50</v>
      </c>
      <c r="J1000" s="670">
        <v>57.1</v>
      </c>
      <c r="K1000" s="218">
        <v>1.8</v>
      </c>
      <c r="L1000" s="234">
        <v>1.56</v>
      </c>
      <c r="M1000" s="246">
        <v>1.1399999999999999</v>
      </c>
      <c r="N1000" s="231"/>
      <c r="O1000" s="236"/>
    </row>
    <row r="1001" spans="1:15" ht="15" customHeight="1" thickBot="1" x14ac:dyDescent="0.35">
      <c r="A1001" s="212" t="s">
        <v>1021</v>
      </c>
      <c r="B1001" s="669" t="s">
        <v>14</v>
      </c>
      <c r="D1001" s="208">
        <v>45971</v>
      </c>
      <c r="E1001" s="245" t="s">
        <v>23</v>
      </c>
      <c r="F1001" s="8" t="s">
        <v>85</v>
      </c>
      <c r="G1001" s="217" t="s">
        <v>1020</v>
      </c>
      <c r="H1001" s="6" t="s">
        <v>18</v>
      </c>
      <c r="I1001" s="216">
        <v>50</v>
      </c>
      <c r="J1001" s="665">
        <v>14.2</v>
      </c>
      <c r="K1001" s="219">
        <v>1.56</v>
      </c>
      <c r="L1001" s="229">
        <v>1.65</v>
      </c>
      <c r="M1001" s="217">
        <v>0.28000000000000003</v>
      </c>
      <c r="N1001" s="220"/>
      <c r="O1001" s="236"/>
    </row>
    <row r="1002" spans="1:15" ht="15" customHeight="1" thickBot="1" x14ac:dyDescent="0.35">
      <c r="A1002" s="159" t="s">
        <v>1022</v>
      </c>
      <c r="B1002" s="4" t="s">
        <v>477</v>
      </c>
      <c r="D1002" s="180">
        <v>45924</v>
      </c>
      <c r="E1002" s="146" t="s">
        <v>88</v>
      </c>
      <c r="F1002" s="8" t="s">
        <v>85</v>
      </c>
      <c r="G1002" s="147" t="s">
        <v>89</v>
      </c>
      <c r="H1002" s="6"/>
      <c r="I1002" s="148"/>
      <c r="K1002" s="151"/>
      <c r="L1002" s="149"/>
      <c r="M1002" s="164"/>
      <c r="N1002" s="158"/>
      <c r="O1002" s="236"/>
    </row>
    <row r="1003" spans="1:15" ht="15" customHeight="1" thickBot="1" x14ac:dyDescent="0.35">
      <c r="A1003" s="153" t="s">
        <v>1023</v>
      </c>
      <c r="B1003" s="4" t="s">
        <v>477</v>
      </c>
      <c r="D1003" s="176">
        <v>45924</v>
      </c>
      <c r="E1003" s="146" t="s">
        <v>88</v>
      </c>
      <c r="F1003" s="8" t="s">
        <v>85</v>
      </c>
      <c r="G1003" s="154" t="s">
        <v>89</v>
      </c>
      <c r="H1003" s="6"/>
      <c r="I1003" s="148"/>
      <c r="K1003" s="151"/>
      <c r="L1003" s="175"/>
      <c r="M1003" s="157"/>
      <c r="N1003" s="158"/>
      <c r="O1003" s="236"/>
    </row>
    <row r="1004" spans="1:15" ht="15" customHeight="1" thickBot="1" x14ac:dyDescent="0.35">
      <c r="A1004" s="145" t="s">
        <v>1024</v>
      </c>
      <c r="B1004" s="95" t="s">
        <v>22</v>
      </c>
      <c r="D1004" s="177">
        <v>45817</v>
      </c>
      <c r="E1004" s="160" t="s">
        <v>23</v>
      </c>
      <c r="F1004" s="8" t="s">
        <v>85</v>
      </c>
      <c r="G1004" s="161" t="s">
        <v>67</v>
      </c>
      <c r="H1004" s="17" t="s">
        <v>26</v>
      </c>
      <c r="I1004" s="148">
        <v>50</v>
      </c>
      <c r="J1004" s="44" t="s">
        <v>976</v>
      </c>
      <c r="K1004" s="151"/>
      <c r="L1004" s="149"/>
      <c r="M1004" s="164"/>
      <c r="N1004" s="158"/>
      <c r="O1004" s="236"/>
    </row>
    <row r="1005" spans="1:15" ht="15" customHeight="1" thickBot="1" x14ac:dyDescent="0.35">
      <c r="A1005" s="171" t="s">
        <v>1025</v>
      </c>
      <c r="B1005" s="95" t="s">
        <v>22</v>
      </c>
      <c r="D1005" s="206">
        <v>45817</v>
      </c>
      <c r="E1005" s="16" t="s">
        <v>23</v>
      </c>
      <c r="F1005" s="8" t="s">
        <v>85</v>
      </c>
      <c r="G1005" s="169" t="s">
        <v>67</v>
      </c>
      <c r="H1005" s="17" t="s">
        <v>26</v>
      </c>
      <c r="I1005" s="148">
        <v>50</v>
      </c>
      <c r="J1005" s="44" t="s">
        <v>976</v>
      </c>
      <c r="K1005" s="151"/>
      <c r="L1005" s="175"/>
      <c r="M1005" s="157"/>
      <c r="N1005" s="158"/>
      <c r="O1005" s="247"/>
    </row>
    <row r="1006" spans="1:15" ht="15" customHeight="1" thickBot="1" x14ac:dyDescent="0.35">
      <c r="A1006" s="145" t="s">
        <v>1026</v>
      </c>
      <c r="B1006" s="95" t="s">
        <v>22</v>
      </c>
      <c r="D1006" s="177">
        <v>45817</v>
      </c>
      <c r="E1006" s="16" t="s">
        <v>23</v>
      </c>
      <c r="F1006" s="8" t="s">
        <v>85</v>
      </c>
      <c r="G1006" s="161" t="s">
        <v>67</v>
      </c>
      <c r="H1006" s="17" t="s">
        <v>26</v>
      </c>
      <c r="I1006" s="148">
        <v>50</v>
      </c>
      <c r="J1006" s="44" t="s">
        <v>976</v>
      </c>
      <c r="K1006" s="151"/>
      <c r="L1006" s="149"/>
      <c r="M1006" s="164"/>
      <c r="N1006" s="158"/>
      <c r="O1006" s="247"/>
    </row>
    <row r="1007" spans="1:15" ht="15" customHeight="1" thickBot="1" x14ac:dyDescent="0.35">
      <c r="A1007" s="171" t="s">
        <v>1027</v>
      </c>
      <c r="B1007" s="95" t="s">
        <v>22</v>
      </c>
      <c r="D1007" s="206">
        <v>45817</v>
      </c>
      <c r="E1007" s="16" t="s">
        <v>23</v>
      </c>
      <c r="F1007" s="8" t="s">
        <v>85</v>
      </c>
      <c r="G1007" s="169" t="s">
        <v>67</v>
      </c>
      <c r="H1007" s="17" t="s">
        <v>26</v>
      </c>
      <c r="I1007" s="148">
        <v>50</v>
      </c>
      <c r="J1007" s="44" t="s">
        <v>976</v>
      </c>
      <c r="K1007" s="151"/>
      <c r="L1007" s="175"/>
      <c r="M1007" s="157"/>
      <c r="N1007" s="158"/>
      <c r="O1007" s="247"/>
    </row>
    <row r="1008" spans="1:15" ht="15" customHeight="1" thickBot="1" x14ac:dyDescent="0.35">
      <c r="A1008" s="145" t="s">
        <v>1028</v>
      </c>
      <c r="B1008" s="95" t="s">
        <v>22</v>
      </c>
      <c r="D1008" s="177">
        <v>45817</v>
      </c>
      <c r="E1008" s="16" t="s">
        <v>23</v>
      </c>
      <c r="F1008" s="8" t="s">
        <v>85</v>
      </c>
      <c r="G1008" s="161" t="s">
        <v>67</v>
      </c>
      <c r="H1008" s="17" t="s">
        <v>26</v>
      </c>
      <c r="I1008" s="148">
        <v>50</v>
      </c>
      <c r="J1008" s="44" t="s">
        <v>976</v>
      </c>
      <c r="K1008" s="151"/>
      <c r="L1008" s="149"/>
      <c r="M1008" s="164"/>
      <c r="N1008" s="158"/>
      <c r="O1008" s="247"/>
    </row>
    <row r="1009" spans="1:15" ht="15" customHeight="1" thickBot="1" x14ac:dyDescent="0.35">
      <c r="A1009" s="153" t="s">
        <v>1029</v>
      </c>
      <c r="B1009" s="662" t="s">
        <v>22</v>
      </c>
      <c r="D1009" s="192">
        <v>45931</v>
      </c>
      <c r="E1009" s="160" t="s">
        <v>23</v>
      </c>
      <c r="F1009" s="19" t="s">
        <v>24</v>
      </c>
      <c r="G1009" s="169" t="s">
        <v>67</v>
      </c>
      <c r="H1009" s="6" t="s">
        <v>18</v>
      </c>
      <c r="I1009" s="148">
        <v>50</v>
      </c>
      <c r="J1009" s="662">
        <v>53.4</v>
      </c>
      <c r="K1009" s="163">
        <v>1.59</v>
      </c>
      <c r="L1009" s="170">
        <v>2.06</v>
      </c>
      <c r="M1009" s="157"/>
      <c r="N1009" s="158"/>
      <c r="O1009" s="236"/>
    </row>
    <row r="1010" spans="1:15" ht="15" customHeight="1" thickBot="1" x14ac:dyDescent="0.35">
      <c r="A1010" s="244" t="s">
        <v>1030</v>
      </c>
      <c r="B1010" s="669" t="s">
        <v>14</v>
      </c>
      <c r="D1010" s="248">
        <v>45952</v>
      </c>
      <c r="E1010" s="12" t="s">
        <v>15</v>
      </c>
      <c r="F1010" s="8" t="s">
        <v>85</v>
      </c>
      <c r="G1010" s="249" t="s">
        <v>35</v>
      </c>
      <c r="H1010" s="6" t="s">
        <v>18</v>
      </c>
      <c r="I1010" s="228">
        <v>200</v>
      </c>
      <c r="J1010" s="670">
        <v>285</v>
      </c>
      <c r="K1010" s="218">
        <v>1.92</v>
      </c>
      <c r="L1010" s="234">
        <v>0.96</v>
      </c>
      <c r="M1010" s="246">
        <v>1.43</v>
      </c>
      <c r="N1010" s="231"/>
      <c r="O1010" s="247"/>
    </row>
    <row r="1011" spans="1:15" ht="15" customHeight="1" thickBot="1" x14ac:dyDescent="0.35">
      <c r="A1011" s="212" t="s">
        <v>1031</v>
      </c>
      <c r="B1011" s="669" t="s">
        <v>14</v>
      </c>
      <c r="D1011" s="213">
        <v>45952</v>
      </c>
      <c r="E1011" s="5" t="s">
        <v>15</v>
      </c>
      <c r="F1011" s="8" t="s">
        <v>85</v>
      </c>
      <c r="G1011" s="215" t="s">
        <v>35</v>
      </c>
      <c r="H1011" s="6" t="s">
        <v>18</v>
      </c>
      <c r="I1011" s="216">
        <v>100</v>
      </c>
      <c r="J1011" s="37">
        <v>626.20000000000005</v>
      </c>
      <c r="K1011" s="218">
        <v>1.95</v>
      </c>
      <c r="L1011" s="229">
        <v>1.1200000000000001</v>
      </c>
      <c r="M1011" s="217">
        <v>6.26</v>
      </c>
      <c r="N1011" s="220"/>
      <c r="O1011" s="247"/>
    </row>
    <row r="1012" spans="1:15" ht="15" customHeight="1" thickBot="1" x14ac:dyDescent="0.35">
      <c r="A1012" s="244" t="s">
        <v>1032</v>
      </c>
      <c r="B1012" s="669" t="s">
        <v>14</v>
      </c>
      <c r="D1012" s="248">
        <v>45947</v>
      </c>
      <c r="E1012" s="12" t="s">
        <v>15</v>
      </c>
      <c r="F1012" s="8" t="s">
        <v>85</v>
      </c>
      <c r="G1012" s="249" t="s">
        <v>17</v>
      </c>
      <c r="H1012" s="6" t="s">
        <v>18</v>
      </c>
      <c r="I1012" s="228">
        <v>100</v>
      </c>
      <c r="J1012" s="33">
        <v>21</v>
      </c>
      <c r="K1012" s="218">
        <v>1.97</v>
      </c>
      <c r="L1012" s="234">
        <v>0.63</v>
      </c>
      <c r="M1012" s="246">
        <v>0.21</v>
      </c>
      <c r="N1012" s="231"/>
      <c r="O1012" s="247"/>
    </row>
    <row r="1013" spans="1:15" ht="15" customHeight="1" thickBot="1" x14ac:dyDescent="0.35">
      <c r="A1013" s="212" t="s">
        <v>1033</v>
      </c>
      <c r="B1013" s="669" t="s">
        <v>14</v>
      </c>
      <c r="D1013" s="213">
        <v>45947</v>
      </c>
      <c r="E1013" s="214" t="s">
        <v>15</v>
      </c>
      <c r="F1013" s="8" t="s">
        <v>85</v>
      </c>
      <c r="G1013" s="215" t="s">
        <v>17</v>
      </c>
      <c r="H1013" s="6" t="s">
        <v>18</v>
      </c>
      <c r="I1013" s="216">
        <v>50</v>
      </c>
      <c r="J1013" s="665">
        <v>9.5</v>
      </c>
      <c r="K1013" s="219">
        <v>1.54</v>
      </c>
      <c r="L1013" s="229">
        <v>1.36</v>
      </c>
      <c r="M1013" s="217">
        <v>0.19</v>
      </c>
      <c r="N1013" s="220"/>
      <c r="O1013" s="236"/>
    </row>
    <row r="1014" spans="1:15" ht="15" customHeight="1" thickBot="1" x14ac:dyDescent="0.35">
      <c r="A1014" s="244" t="s">
        <v>1034</v>
      </c>
      <c r="B1014" s="669" t="s">
        <v>14</v>
      </c>
      <c r="D1014" s="248">
        <v>45947</v>
      </c>
      <c r="E1014" s="12" t="s">
        <v>15</v>
      </c>
      <c r="F1014" s="8" t="s">
        <v>85</v>
      </c>
      <c r="G1014" s="249" t="s">
        <v>17</v>
      </c>
      <c r="H1014" s="6" t="s">
        <v>18</v>
      </c>
      <c r="I1014" s="228">
        <v>100</v>
      </c>
      <c r="J1014" s="670">
        <v>18.5</v>
      </c>
      <c r="K1014" s="223">
        <v>1.72</v>
      </c>
      <c r="L1014" s="234">
        <v>1.24</v>
      </c>
      <c r="M1014" s="246">
        <v>0.19</v>
      </c>
      <c r="N1014" s="231"/>
      <c r="O1014" s="247"/>
    </row>
    <row r="1015" spans="1:15" ht="15" customHeight="1" thickBot="1" x14ac:dyDescent="0.35">
      <c r="A1015" s="195" t="s">
        <v>1035</v>
      </c>
      <c r="B1015" s="663" t="s">
        <v>22</v>
      </c>
      <c r="D1015" s="136">
        <v>45848</v>
      </c>
      <c r="E1015" s="160" t="s">
        <v>23</v>
      </c>
      <c r="F1015" s="15" t="s">
        <v>24</v>
      </c>
      <c r="G1015" s="169" t="s">
        <v>25</v>
      </c>
      <c r="H1015" s="17" t="s">
        <v>26</v>
      </c>
      <c r="I1015" s="148">
        <v>50</v>
      </c>
      <c r="J1015" s="237">
        <v>28.945666104172378</v>
      </c>
      <c r="K1015" s="173">
        <v>2.0033187801277297</v>
      </c>
      <c r="L1015" s="183">
        <v>1.0677429760113908</v>
      </c>
      <c r="M1015" s="157"/>
      <c r="N1015" s="158"/>
      <c r="O1015" s="236"/>
    </row>
    <row r="1016" spans="1:15" ht="15" customHeight="1" thickBot="1" x14ac:dyDescent="0.35">
      <c r="A1016" s="178" t="s">
        <v>1036</v>
      </c>
      <c r="B1016" s="663" t="s">
        <v>22</v>
      </c>
      <c r="D1016" s="136">
        <v>45848</v>
      </c>
      <c r="E1016" s="160" t="s">
        <v>23</v>
      </c>
      <c r="F1016" s="15" t="s">
        <v>24</v>
      </c>
      <c r="G1016" s="161" t="s">
        <v>25</v>
      </c>
      <c r="H1016" s="17" t="s">
        <v>26</v>
      </c>
      <c r="I1016" s="148">
        <v>50</v>
      </c>
      <c r="J1016" s="672">
        <v>9.4279425209717544</v>
      </c>
      <c r="K1016" s="173">
        <v>2.0696630346641096</v>
      </c>
      <c r="L1016" s="184">
        <v>1.294703574944442</v>
      </c>
      <c r="M1016" s="164"/>
      <c r="N1016" s="158"/>
      <c r="O1016" s="236"/>
    </row>
    <row r="1017" spans="1:15" ht="15" customHeight="1" thickBot="1" x14ac:dyDescent="0.35">
      <c r="A1017" s="195" t="s">
        <v>1037</v>
      </c>
      <c r="B1017" s="663" t="s">
        <v>22</v>
      </c>
      <c r="D1017" s="136">
        <v>45848</v>
      </c>
      <c r="E1017" s="160" t="s">
        <v>23</v>
      </c>
      <c r="F1017" s="15" t="s">
        <v>24</v>
      </c>
      <c r="G1017" s="169" t="s">
        <v>25</v>
      </c>
      <c r="H1017" s="17" t="s">
        <v>26</v>
      </c>
      <c r="I1017" s="148">
        <v>50</v>
      </c>
      <c r="J1017" s="672">
        <v>428.26155088847366</v>
      </c>
      <c r="K1017" s="173">
        <v>1.9486894974279307</v>
      </c>
      <c r="L1017" s="183">
        <v>1.8035987029817073</v>
      </c>
      <c r="M1017" s="157"/>
      <c r="N1017" s="158"/>
      <c r="O1017" s="236"/>
    </row>
    <row r="1018" spans="1:15" ht="15" customHeight="1" thickBot="1" x14ac:dyDescent="0.35">
      <c r="A1018" s="232" t="s">
        <v>1038</v>
      </c>
      <c r="B1018" s="669" t="s">
        <v>14</v>
      </c>
      <c r="D1018" s="207">
        <v>45978</v>
      </c>
      <c r="E1018" s="245" t="s">
        <v>23</v>
      </c>
      <c r="F1018" s="8" t="s">
        <v>85</v>
      </c>
      <c r="G1018" s="235" t="s">
        <v>180</v>
      </c>
      <c r="H1018" s="6" t="s">
        <v>18</v>
      </c>
      <c r="I1018" s="216">
        <v>100</v>
      </c>
      <c r="J1018" s="665">
        <v>671.2</v>
      </c>
      <c r="K1018" s="218">
        <v>1.9</v>
      </c>
      <c r="L1018" s="234">
        <v>0.77</v>
      </c>
      <c r="M1018" s="235">
        <v>6.71</v>
      </c>
      <c r="N1018" s="220"/>
      <c r="O1018" s="236"/>
    </row>
    <row r="1019" spans="1:15" ht="15" customHeight="1" thickBot="1" x14ac:dyDescent="0.35">
      <c r="A1019" s="212" t="s">
        <v>1039</v>
      </c>
      <c r="B1019" s="669" t="s">
        <v>14</v>
      </c>
      <c r="D1019" s="208">
        <v>45958</v>
      </c>
      <c r="E1019" s="245" t="s">
        <v>23</v>
      </c>
      <c r="F1019" s="8" t="s">
        <v>85</v>
      </c>
      <c r="G1019" s="217" t="s">
        <v>180</v>
      </c>
      <c r="H1019" s="6" t="s">
        <v>18</v>
      </c>
      <c r="I1019" s="216">
        <v>100</v>
      </c>
      <c r="J1019" s="665">
        <v>1075.8</v>
      </c>
      <c r="K1019" s="223">
        <v>1.78</v>
      </c>
      <c r="L1019" s="229">
        <v>0.99</v>
      </c>
      <c r="M1019" s="217">
        <v>10.76</v>
      </c>
      <c r="N1019" s="220"/>
      <c r="O1019" s="236"/>
    </row>
    <row r="1020" spans="1:15" ht="15" customHeight="1" thickBot="1" x14ac:dyDescent="0.35">
      <c r="A1020" s="244" t="s">
        <v>1040</v>
      </c>
      <c r="B1020" s="669" t="s">
        <v>14</v>
      </c>
      <c r="D1020" s="211">
        <v>45958</v>
      </c>
      <c r="E1020" s="245" t="s">
        <v>23</v>
      </c>
      <c r="F1020" s="8" t="s">
        <v>85</v>
      </c>
      <c r="G1020" s="246" t="s">
        <v>180</v>
      </c>
      <c r="H1020" s="6" t="s">
        <v>18</v>
      </c>
      <c r="I1020" s="228">
        <v>200</v>
      </c>
      <c r="J1020" s="670">
        <v>532.70000000000005</v>
      </c>
      <c r="K1020" s="218">
        <v>1.89</v>
      </c>
      <c r="L1020" s="234">
        <v>1.04</v>
      </c>
      <c r="M1020" s="246">
        <v>2.66</v>
      </c>
      <c r="N1020" s="231"/>
      <c r="O1020" s="236"/>
    </row>
    <row r="1021" spans="1:15" ht="15" customHeight="1" thickBot="1" x14ac:dyDescent="0.35">
      <c r="A1021" s="195" t="s">
        <v>1041</v>
      </c>
      <c r="B1021" s="663" t="s">
        <v>22</v>
      </c>
      <c r="D1021" s="136">
        <v>45848</v>
      </c>
      <c r="E1021" s="160" t="s">
        <v>23</v>
      </c>
      <c r="F1021" s="15" t="s">
        <v>24</v>
      </c>
      <c r="G1021" s="169" t="s">
        <v>25</v>
      </c>
      <c r="H1021" s="17" t="s">
        <v>26</v>
      </c>
      <c r="I1021" s="148">
        <v>50</v>
      </c>
      <c r="J1021" s="672">
        <v>58.714672951178692</v>
      </c>
      <c r="K1021" s="173">
        <v>1.2794535293580573</v>
      </c>
      <c r="L1021" s="183">
        <v>0.27978116622027843</v>
      </c>
      <c r="M1021" s="157"/>
      <c r="N1021" s="158"/>
      <c r="O1021" s="236"/>
    </row>
    <row r="1022" spans="1:15" ht="15" customHeight="1" thickBot="1" x14ac:dyDescent="0.35">
      <c r="A1022" s="178" t="s">
        <v>1042</v>
      </c>
      <c r="B1022" s="663" t="s">
        <v>22</v>
      </c>
      <c r="D1022" s="136">
        <v>45848</v>
      </c>
      <c r="E1022" s="160" t="s">
        <v>23</v>
      </c>
      <c r="F1022" s="15" t="s">
        <v>24</v>
      </c>
      <c r="G1022" s="161" t="s">
        <v>25</v>
      </c>
      <c r="H1022" s="17" t="s">
        <v>26</v>
      </c>
      <c r="I1022" s="148">
        <v>50</v>
      </c>
      <c r="J1022" s="672">
        <v>5.981302303677678</v>
      </c>
      <c r="K1022" s="173">
        <v>1.6089273906442592</v>
      </c>
      <c r="L1022" s="184">
        <v>0.97214621926429357</v>
      </c>
      <c r="M1022" s="164"/>
      <c r="N1022" s="158"/>
      <c r="O1022" s="236"/>
    </row>
    <row r="1023" spans="1:15" ht="15" customHeight="1" thickBot="1" x14ac:dyDescent="0.35">
      <c r="A1023" s="195" t="s">
        <v>1043</v>
      </c>
      <c r="B1023" s="664" t="s">
        <v>22</v>
      </c>
      <c r="D1023" s="206">
        <v>45756</v>
      </c>
      <c r="E1023" s="16" t="s">
        <v>23</v>
      </c>
      <c r="F1023" s="8" t="s">
        <v>85</v>
      </c>
      <c r="G1023" s="169" t="s">
        <v>25</v>
      </c>
      <c r="H1023" s="17" t="s">
        <v>26</v>
      </c>
      <c r="I1023" s="148">
        <v>50</v>
      </c>
      <c r="J1023" s="672">
        <v>61.505677969785545</v>
      </c>
      <c r="K1023" s="173">
        <v>1.7512908368750004</v>
      </c>
      <c r="L1023" s="183">
        <v>1.8913726210373902</v>
      </c>
      <c r="M1023" s="157"/>
      <c r="N1023" s="158"/>
      <c r="O1023" s="247"/>
    </row>
    <row r="1024" spans="1:15" ht="15" customHeight="1" thickBot="1" x14ac:dyDescent="0.35">
      <c r="A1024" s="232" t="s">
        <v>1044</v>
      </c>
      <c r="B1024" s="669" t="s">
        <v>14</v>
      </c>
      <c r="D1024" s="207">
        <v>45937</v>
      </c>
      <c r="E1024" s="250" t="s">
        <v>15</v>
      </c>
      <c r="F1024" s="8" t="s">
        <v>85</v>
      </c>
      <c r="G1024" s="249" t="s">
        <v>35</v>
      </c>
      <c r="H1024" s="6" t="s">
        <v>18</v>
      </c>
      <c r="I1024" s="216">
        <v>50</v>
      </c>
      <c r="J1024" s="665">
        <v>545.4</v>
      </c>
      <c r="K1024" s="219">
        <v>2.12</v>
      </c>
      <c r="L1024" s="251">
        <v>1.95</v>
      </c>
      <c r="M1024" s="235">
        <v>10.91</v>
      </c>
      <c r="N1024" s="220"/>
      <c r="O1024" s="168"/>
    </row>
    <row r="1025" spans="1:15" ht="15" customHeight="1" thickBot="1" x14ac:dyDescent="0.35">
      <c r="A1025" s="195" t="s">
        <v>1045</v>
      </c>
      <c r="B1025" s="663" t="s">
        <v>22</v>
      </c>
      <c r="D1025" s="689">
        <v>45848</v>
      </c>
      <c r="E1025" s="160" t="s">
        <v>23</v>
      </c>
      <c r="F1025" s="8" t="s">
        <v>85</v>
      </c>
      <c r="G1025" s="169" t="s">
        <v>25</v>
      </c>
      <c r="H1025" s="6" t="s">
        <v>18</v>
      </c>
      <c r="I1025" s="148">
        <v>50</v>
      </c>
      <c r="J1025" s="672">
        <v>545.42841641603923</v>
      </c>
      <c r="K1025" s="173">
        <v>1.9452076038839474</v>
      </c>
      <c r="L1025" s="183">
        <v>2.1195618930952258</v>
      </c>
      <c r="M1025" s="157"/>
      <c r="N1025" s="158"/>
      <c r="O1025" s="236"/>
    </row>
    <row r="1026" spans="1:15" ht="15" customHeight="1" x14ac:dyDescent="0.3">
      <c r="D1026" s="54"/>
    </row>
    <row r="1030" spans="1:15" ht="15" customHeight="1" x14ac:dyDescent="0.3">
      <c r="I1030" s="17"/>
    </row>
  </sheetData>
  <autoFilter ref="A1:A1031" xr:uid="{AD72B22D-A55A-423F-B89E-2901CDAD653B}"/>
  <sortState xmlns:xlrd2="http://schemas.microsoft.com/office/spreadsheetml/2017/richdata2" ref="A2:O1031">
    <sortCondition ref="A1:A1031"/>
  </sortState>
  <conditionalFormatting sqref="K1:K44 K46:K56 K58:K62 K64:K75 K77 K79:K83 K311:K312 J313:J452 L453:L600 L617:L657">
    <cfRule type="cellIs" dxfId="0" priority="1" operator="greaterThan">
      <formula>2.5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823CA-5912-4840-A0C6-B2763DF0E6D1}">
  <dimension ref="A1:Z1004"/>
  <sheetViews>
    <sheetView zoomScaleNormal="100" workbookViewId="0">
      <selection activeCell="A2" sqref="A2"/>
    </sheetView>
  </sheetViews>
  <sheetFormatPr baseColWidth="10" defaultColWidth="55.77734375" defaultRowHeight="14.4" x14ac:dyDescent="0.3"/>
  <cols>
    <col min="1" max="1" width="18.88671875" style="474" bestFit="1" customWidth="1"/>
    <col min="2" max="2" width="9.6640625" style="423" bestFit="1" customWidth="1"/>
    <col min="3" max="3" width="16.21875" style="423" bestFit="1" customWidth="1"/>
    <col min="4" max="4" width="15" style="520" bestFit="1" customWidth="1"/>
    <col min="5" max="5" width="19.6640625" style="423" bestFit="1" customWidth="1"/>
    <col min="6" max="6" width="10.33203125" style="423" bestFit="1" customWidth="1"/>
    <col min="7" max="7" width="17.6640625" style="423" bestFit="1" customWidth="1"/>
    <col min="8" max="8" width="14.44140625" style="423" bestFit="1" customWidth="1"/>
    <col min="9" max="9" width="12.88671875" style="423" bestFit="1" customWidth="1"/>
    <col min="10" max="10" width="15.21875" style="423" bestFit="1" customWidth="1"/>
    <col min="11" max="11" width="102.77734375" style="423" bestFit="1" customWidth="1"/>
    <col min="12" max="16384" width="55.77734375" style="423"/>
  </cols>
  <sheetData>
    <row r="1" spans="1:26" ht="14.25" customHeight="1" x14ac:dyDescent="0.3">
      <c r="A1" s="474" t="s">
        <v>3464</v>
      </c>
      <c r="B1" s="422" t="s">
        <v>1068</v>
      </c>
      <c r="C1" s="422" t="s">
        <v>4</v>
      </c>
      <c r="D1" s="422" t="s">
        <v>1069</v>
      </c>
      <c r="E1" s="422" t="s">
        <v>1070</v>
      </c>
      <c r="F1" s="422" t="s">
        <v>1071</v>
      </c>
      <c r="G1" s="422" t="s">
        <v>1072</v>
      </c>
      <c r="H1" s="422" t="s">
        <v>1073</v>
      </c>
      <c r="I1" s="422" t="s">
        <v>1074</v>
      </c>
      <c r="J1" s="422" t="s">
        <v>1075</v>
      </c>
      <c r="K1" s="308"/>
      <c r="L1" s="308"/>
      <c r="M1" s="308"/>
      <c r="N1" s="308"/>
      <c r="O1" s="308"/>
      <c r="P1" s="308"/>
      <c r="Q1" s="308"/>
      <c r="R1" s="308"/>
      <c r="S1" s="308"/>
      <c r="T1" s="308"/>
      <c r="U1" s="308"/>
      <c r="V1" s="308"/>
      <c r="W1" s="308"/>
      <c r="X1" s="308"/>
      <c r="Y1" s="308"/>
      <c r="Z1" s="308"/>
    </row>
    <row r="2" spans="1:26" ht="14.25" customHeight="1" x14ac:dyDescent="0.3">
      <c r="A2" s="352">
        <v>1.1000000000000001</v>
      </c>
      <c r="B2" s="424" t="s">
        <v>1122</v>
      </c>
      <c r="C2" s="425" t="s">
        <v>1076</v>
      </c>
      <c r="D2" s="426" t="s">
        <v>1079</v>
      </c>
      <c r="E2" s="427">
        <v>16</v>
      </c>
      <c r="F2" s="428">
        <v>45833</v>
      </c>
      <c r="G2" s="429" t="s">
        <v>451</v>
      </c>
      <c r="H2" s="428" t="s">
        <v>1078</v>
      </c>
      <c r="I2" s="429" t="s">
        <v>451</v>
      </c>
      <c r="J2" s="429" t="s">
        <v>451</v>
      </c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08"/>
      <c r="W2" s="308"/>
      <c r="X2" s="308"/>
      <c r="Y2" s="308"/>
      <c r="Z2" s="308"/>
    </row>
    <row r="3" spans="1:26" ht="14.25" customHeight="1" x14ac:dyDescent="0.3">
      <c r="A3" s="475" t="s">
        <v>2283</v>
      </c>
      <c r="B3" s="424" t="s">
        <v>1122</v>
      </c>
      <c r="C3" s="425" t="s">
        <v>1076</v>
      </c>
      <c r="D3" s="308" t="s">
        <v>1077</v>
      </c>
      <c r="E3" s="308">
        <v>24</v>
      </c>
      <c r="F3" s="431">
        <v>45951</v>
      </c>
      <c r="G3" s="308"/>
      <c r="H3" s="428" t="s">
        <v>1078</v>
      </c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  <c r="Z3" s="308"/>
    </row>
    <row r="4" spans="1:26" ht="14.25" customHeight="1" x14ac:dyDescent="0.3">
      <c r="A4" s="476" t="s">
        <v>2283</v>
      </c>
      <c r="B4" s="430" t="s">
        <v>1122</v>
      </c>
      <c r="C4" s="425" t="s">
        <v>1076</v>
      </c>
      <c r="D4" s="432" t="s">
        <v>1080</v>
      </c>
      <c r="E4" s="308">
        <v>25</v>
      </c>
      <c r="F4" s="431">
        <v>45953</v>
      </c>
      <c r="G4" s="308"/>
      <c r="H4" s="428" t="s">
        <v>1078</v>
      </c>
      <c r="I4" s="308"/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  <c r="Z4" s="308"/>
    </row>
    <row r="5" spans="1:26" ht="14.25" customHeight="1" x14ac:dyDescent="0.3">
      <c r="A5" s="352">
        <v>1.1000000000000001</v>
      </c>
      <c r="B5" s="433" t="s">
        <v>1142</v>
      </c>
      <c r="C5" s="425" t="s">
        <v>1076</v>
      </c>
      <c r="D5" s="544" t="s">
        <v>1082</v>
      </c>
      <c r="E5" s="427">
        <v>17</v>
      </c>
      <c r="F5" s="428">
        <v>45833</v>
      </c>
      <c r="G5" s="428">
        <v>45905</v>
      </c>
      <c r="H5" s="435" t="s">
        <v>1083</v>
      </c>
      <c r="I5" s="427">
        <v>2</v>
      </c>
      <c r="J5" s="428">
        <v>45910</v>
      </c>
      <c r="K5" s="308"/>
      <c r="L5" s="308"/>
      <c r="M5" s="308"/>
      <c r="N5" s="308"/>
      <c r="O5" s="308"/>
      <c r="P5" s="308"/>
      <c r="Q5" s="308"/>
      <c r="R5" s="308"/>
      <c r="S5" s="308"/>
      <c r="T5" s="308"/>
      <c r="U5" s="308"/>
      <c r="V5" s="308"/>
      <c r="W5" s="308"/>
      <c r="X5" s="308"/>
      <c r="Y5" s="308"/>
      <c r="Z5" s="308"/>
    </row>
    <row r="6" spans="1:26" ht="14.25" customHeight="1" x14ac:dyDescent="0.3">
      <c r="A6" s="476" t="s">
        <v>1225</v>
      </c>
      <c r="B6" s="411" t="s">
        <v>1122</v>
      </c>
      <c r="C6" s="425" t="s">
        <v>1076</v>
      </c>
      <c r="D6" s="432" t="s">
        <v>1080</v>
      </c>
      <c r="E6" s="308">
        <v>27</v>
      </c>
      <c r="F6" s="431">
        <v>45958</v>
      </c>
      <c r="G6" s="308"/>
      <c r="H6" s="428" t="s">
        <v>1078</v>
      </c>
      <c r="I6" s="308"/>
      <c r="J6" s="308"/>
      <c r="K6" s="308"/>
      <c r="L6" s="308"/>
      <c r="M6" s="308"/>
      <c r="N6" s="308"/>
      <c r="O6" s="308"/>
      <c r="P6" s="308"/>
      <c r="Q6" s="308"/>
      <c r="R6" s="308"/>
      <c r="S6" s="308"/>
      <c r="T6" s="308"/>
      <c r="U6" s="308"/>
      <c r="V6" s="308"/>
      <c r="W6" s="308"/>
      <c r="X6" s="308"/>
      <c r="Y6" s="308"/>
      <c r="Z6" s="308"/>
    </row>
    <row r="7" spans="1:26" ht="14.25" customHeight="1" x14ac:dyDescent="0.3">
      <c r="A7" s="352" t="s">
        <v>2234</v>
      </c>
      <c r="B7" s="424" t="s">
        <v>1122</v>
      </c>
      <c r="C7" s="425" t="s">
        <v>1076</v>
      </c>
      <c r="D7" s="434" t="s">
        <v>1082</v>
      </c>
      <c r="E7" s="427">
        <v>17</v>
      </c>
      <c r="F7" s="428">
        <v>45833</v>
      </c>
      <c r="G7" s="429" t="s">
        <v>451</v>
      </c>
      <c r="H7" s="428" t="s">
        <v>1078</v>
      </c>
      <c r="I7" s="429" t="s">
        <v>451</v>
      </c>
      <c r="J7" s="429" t="s">
        <v>451</v>
      </c>
      <c r="K7" s="308"/>
      <c r="L7" s="308"/>
      <c r="M7" s="308"/>
      <c r="N7" s="308"/>
      <c r="O7" s="308"/>
      <c r="P7" s="308"/>
      <c r="Q7" s="308"/>
      <c r="R7" s="308"/>
      <c r="S7" s="308"/>
      <c r="T7" s="308"/>
      <c r="U7" s="308"/>
      <c r="V7" s="308"/>
      <c r="W7" s="308"/>
      <c r="X7" s="308"/>
      <c r="Y7" s="308"/>
      <c r="Z7" s="308"/>
    </row>
    <row r="8" spans="1:26" ht="14.25" customHeight="1" x14ac:dyDescent="0.3">
      <c r="A8" s="481" t="s">
        <v>2234</v>
      </c>
      <c r="B8" s="433" t="s">
        <v>1142</v>
      </c>
      <c r="C8" s="425" t="s">
        <v>1076</v>
      </c>
      <c r="D8" s="437" t="s">
        <v>1077</v>
      </c>
      <c r="E8" s="308">
        <v>24</v>
      </c>
      <c r="F8" s="431">
        <v>45951</v>
      </c>
      <c r="G8" s="308"/>
      <c r="H8" s="308" t="s">
        <v>1083</v>
      </c>
      <c r="I8" s="308">
        <v>5</v>
      </c>
      <c r="J8" s="308"/>
      <c r="K8" s="308"/>
      <c r="L8" s="308"/>
      <c r="M8" s="308"/>
      <c r="N8" s="308"/>
      <c r="O8" s="308"/>
      <c r="P8" s="308"/>
      <c r="Q8" s="308"/>
      <c r="R8" s="308"/>
      <c r="S8" s="308"/>
      <c r="T8" s="308"/>
      <c r="U8" s="308"/>
      <c r="V8" s="308"/>
      <c r="W8" s="308"/>
      <c r="X8" s="308"/>
      <c r="Y8" s="308"/>
      <c r="Z8" s="308"/>
    </row>
    <row r="9" spans="1:26" ht="14.25" customHeight="1" x14ac:dyDescent="0.3">
      <c r="A9" s="352">
        <v>1.21</v>
      </c>
      <c r="B9" s="433" t="s">
        <v>1142</v>
      </c>
      <c r="C9" s="425" t="s">
        <v>1076</v>
      </c>
      <c r="D9" s="540" t="s">
        <v>1079</v>
      </c>
      <c r="E9" s="427">
        <v>16</v>
      </c>
      <c r="F9" s="428">
        <v>45833</v>
      </c>
      <c r="G9" s="428">
        <v>45905</v>
      </c>
      <c r="H9" s="435" t="s">
        <v>1083</v>
      </c>
      <c r="I9" s="427">
        <v>2</v>
      </c>
      <c r="J9" s="428">
        <v>45910</v>
      </c>
      <c r="K9" s="308"/>
      <c r="L9" s="308"/>
      <c r="M9" s="308"/>
      <c r="N9" s="308"/>
      <c r="O9" s="308"/>
      <c r="P9" s="308"/>
      <c r="Q9" s="308"/>
      <c r="R9" s="308"/>
      <c r="S9" s="308"/>
      <c r="T9" s="308"/>
      <c r="U9" s="308"/>
      <c r="V9" s="308"/>
      <c r="W9" s="308"/>
      <c r="X9" s="308"/>
      <c r="Y9" s="308"/>
      <c r="Z9" s="308"/>
    </row>
    <row r="10" spans="1:26" ht="14.25" customHeight="1" x14ac:dyDescent="0.3">
      <c r="A10" s="352">
        <v>1.2</v>
      </c>
      <c r="B10" s="433" t="s">
        <v>1142</v>
      </c>
      <c r="C10" s="425" t="s">
        <v>1076</v>
      </c>
      <c r="D10" s="544" t="s">
        <v>1082</v>
      </c>
      <c r="E10" s="427">
        <v>17</v>
      </c>
      <c r="F10" s="428">
        <v>45833</v>
      </c>
      <c r="G10" s="428">
        <v>45905</v>
      </c>
      <c r="H10" s="435" t="s">
        <v>1083</v>
      </c>
      <c r="I10" s="427">
        <v>2</v>
      </c>
      <c r="J10" s="428">
        <v>45910</v>
      </c>
      <c r="K10" s="308"/>
      <c r="L10" s="308"/>
      <c r="M10" s="308"/>
      <c r="N10" s="308"/>
      <c r="O10" s="308"/>
      <c r="P10" s="308"/>
      <c r="Q10" s="308"/>
      <c r="R10" s="308"/>
      <c r="S10" s="308"/>
      <c r="T10" s="308"/>
      <c r="U10" s="308"/>
      <c r="V10" s="308"/>
      <c r="W10" s="308"/>
      <c r="X10" s="308"/>
      <c r="Y10" s="308"/>
      <c r="Z10" s="308"/>
    </row>
    <row r="11" spans="1:26" ht="14.25" customHeight="1" x14ac:dyDescent="0.3">
      <c r="A11" s="352">
        <v>1.3</v>
      </c>
      <c r="B11" s="424" t="s">
        <v>1122</v>
      </c>
      <c r="C11" s="425" t="s">
        <v>1076</v>
      </c>
      <c r="D11" s="426" t="s">
        <v>1079</v>
      </c>
      <c r="E11" s="427">
        <v>16</v>
      </c>
      <c r="F11" s="428">
        <v>45833</v>
      </c>
      <c r="G11" s="429" t="s">
        <v>451</v>
      </c>
      <c r="H11" s="428" t="s">
        <v>1078</v>
      </c>
      <c r="I11" s="429" t="s">
        <v>451</v>
      </c>
      <c r="J11" s="429" t="s">
        <v>451</v>
      </c>
      <c r="K11" s="308"/>
      <c r="L11" s="308"/>
      <c r="M11" s="308"/>
      <c r="N11" s="308"/>
      <c r="O11" s="308"/>
      <c r="P11" s="308"/>
      <c r="Q11" s="308"/>
      <c r="R11" s="308"/>
      <c r="S11" s="308"/>
      <c r="T11" s="308"/>
      <c r="U11" s="308"/>
      <c r="V11" s="308"/>
      <c r="W11" s="308"/>
      <c r="X11" s="308"/>
      <c r="Y11" s="308"/>
      <c r="Z11" s="308"/>
    </row>
    <row r="12" spans="1:26" ht="14.25" customHeight="1" x14ac:dyDescent="0.3">
      <c r="A12" s="476" t="s">
        <v>2284</v>
      </c>
      <c r="B12" s="430" t="s">
        <v>1122</v>
      </c>
      <c r="C12" s="425" t="s">
        <v>1076</v>
      </c>
      <c r="D12" s="432" t="s">
        <v>1080</v>
      </c>
      <c r="E12" s="308">
        <v>25</v>
      </c>
      <c r="F12" s="431">
        <v>45953</v>
      </c>
      <c r="G12" s="308"/>
      <c r="H12" s="428" t="s">
        <v>1078</v>
      </c>
      <c r="I12" s="308"/>
      <c r="J12" s="308"/>
      <c r="K12" s="308"/>
      <c r="L12" s="308"/>
      <c r="M12" s="308"/>
      <c r="N12" s="308"/>
      <c r="O12" s="308"/>
      <c r="P12" s="308"/>
      <c r="Q12" s="308"/>
      <c r="R12" s="308"/>
      <c r="S12" s="308"/>
      <c r="T12" s="308"/>
      <c r="U12" s="308"/>
      <c r="V12" s="308"/>
      <c r="W12" s="308"/>
      <c r="X12" s="308"/>
      <c r="Y12" s="308"/>
      <c r="Z12" s="308"/>
    </row>
    <row r="13" spans="1:26" ht="14.25" customHeight="1" x14ac:dyDescent="0.3">
      <c r="A13" s="481" t="s">
        <v>2270</v>
      </c>
      <c r="B13" s="433" t="s">
        <v>1142</v>
      </c>
      <c r="C13" s="425" t="s">
        <v>1076</v>
      </c>
      <c r="D13" s="437" t="s">
        <v>1077</v>
      </c>
      <c r="E13" s="308">
        <v>24</v>
      </c>
      <c r="F13" s="431">
        <v>45951</v>
      </c>
      <c r="G13" s="308"/>
      <c r="H13" s="308" t="s">
        <v>1083</v>
      </c>
      <c r="I13" s="308">
        <v>5</v>
      </c>
      <c r="J13" s="308"/>
      <c r="K13" s="308"/>
      <c r="L13" s="308"/>
      <c r="M13" s="308"/>
      <c r="N13" s="308"/>
      <c r="O13" s="308"/>
      <c r="P13" s="308"/>
      <c r="Q13" s="308"/>
      <c r="R13" s="308"/>
      <c r="S13" s="308"/>
      <c r="T13" s="308"/>
      <c r="U13" s="308"/>
      <c r="V13" s="308"/>
      <c r="W13" s="308"/>
      <c r="X13" s="308"/>
      <c r="Y13" s="308"/>
      <c r="Z13" s="308"/>
    </row>
    <row r="14" spans="1:26" ht="14.25" customHeight="1" x14ac:dyDescent="0.3">
      <c r="A14" s="352">
        <v>1.3</v>
      </c>
      <c r="B14" s="433" t="s">
        <v>1142</v>
      </c>
      <c r="C14" s="425" t="s">
        <v>1076</v>
      </c>
      <c r="D14" s="544" t="s">
        <v>1082</v>
      </c>
      <c r="E14" s="427">
        <v>17</v>
      </c>
      <c r="F14" s="428">
        <v>45833</v>
      </c>
      <c r="G14" s="428">
        <v>45905</v>
      </c>
      <c r="H14" s="435" t="s">
        <v>1083</v>
      </c>
      <c r="I14" s="427">
        <v>2</v>
      </c>
      <c r="J14" s="428">
        <v>45910</v>
      </c>
      <c r="K14" s="308"/>
      <c r="L14" s="308"/>
      <c r="M14" s="308"/>
      <c r="N14" s="308"/>
      <c r="O14" s="308"/>
      <c r="P14" s="308"/>
      <c r="Q14" s="308"/>
      <c r="R14" s="308"/>
      <c r="S14" s="308"/>
      <c r="T14" s="308"/>
      <c r="U14" s="308"/>
      <c r="V14" s="308"/>
      <c r="W14" s="308"/>
      <c r="X14" s="308"/>
      <c r="Y14" s="308"/>
      <c r="Z14" s="308"/>
    </row>
    <row r="15" spans="1:26" ht="14.25" customHeight="1" x14ac:dyDescent="0.3">
      <c r="A15" s="502" t="s">
        <v>2270</v>
      </c>
      <c r="B15" s="433" t="s">
        <v>1142</v>
      </c>
      <c r="C15" s="425" t="s">
        <v>1076</v>
      </c>
      <c r="D15" s="545" t="s">
        <v>1080</v>
      </c>
      <c r="E15" s="308">
        <v>27</v>
      </c>
      <c r="F15" s="431">
        <v>45958</v>
      </c>
      <c r="G15" s="308"/>
      <c r="H15" s="308" t="s">
        <v>1083</v>
      </c>
      <c r="I15" s="308">
        <v>5</v>
      </c>
      <c r="J15" s="308"/>
      <c r="K15" s="308"/>
      <c r="L15" s="308"/>
      <c r="M15" s="308"/>
      <c r="N15" s="308"/>
      <c r="O15" s="308"/>
      <c r="P15" s="308"/>
      <c r="Q15" s="308"/>
      <c r="R15" s="308"/>
      <c r="S15" s="308"/>
      <c r="T15" s="308"/>
      <c r="U15" s="308"/>
      <c r="V15" s="308"/>
      <c r="W15" s="308"/>
      <c r="X15" s="308"/>
      <c r="Y15" s="308"/>
      <c r="Z15" s="308"/>
    </row>
    <row r="16" spans="1:26" ht="14.25" customHeight="1" x14ac:dyDescent="0.3">
      <c r="A16" s="416">
        <v>2.11</v>
      </c>
      <c r="B16" s="433" t="s">
        <v>1142</v>
      </c>
      <c r="C16" s="425" t="s">
        <v>1076</v>
      </c>
      <c r="D16" s="540" t="s">
        <v>1079</v>
      </c>
      <c r="E16" s="427">
        <v>16</v>
      </c>
      <c r="F16" s="428">
        <v>45833</v>
      </c>
      <c r="G16" s="428">
        <v>45905</v>
      </c>
      <c r="H16" s="435" t="s">
        <v>1083</v>
      </c>
      <c r="I16" s="427">
        <v>2</v>
      </c>
      <c r="J16" s="428">
        <v>45910</v>
      </c>
      <c r="K16" s="308"/>
      <c r="L16" s="308"/>
      <c r="M16" s="308"/>
      <c r="N16" s="308"/>
      <c r="O16" s="308"/>
      <c r="P16" s="308"/>
      <c r="Q16" s="308"/>
      <c r="R16" s="308"/>
      <c r="S16" s="308"/>
      <c r="T16" s="308"/>
      <c r="U16" s="308"/>
      <c r="V16" s="308"/>
      <c r="W16" s="308"/>
      <c r="X16" s="308"/>
      <c r="Y16" s="308"/>
      <c r="Z16" s="308"/>
    </row>
    <row r="17" spans="1:26" ht="14.25" customHeight="1" x14ac:dyDescent="0.3">
      <c r="A17" s="352">
        <v>2.1</v>
      </c>
      <c r="B17" s="433" t="s">
        <v>1142</v>
      </c>
      <c r="C17" s="425" t="s">
        <v>1076</v>
      </c>
      <c r="D17" s="544" t="s">
        <v>1082</v>
      </c>
      <c r="E17" s="427">
        <v>17</v>
      </c>
      <c r="F17" s="428">
        <v>45833</v>
      </c>
      <c r="G17" s="428">
        <v>45905</v>
      </c>
      <c r="H17" s="435" t="s">
        <v>1083</v>
      </c>
      <c r="I17" s="427">
        <v>2</v>
      </c>
      <c r="J17" s="428">
        <v>45910</v>
      </c>
      <c r="K17" s="308"/>
      <c r="L17" s="308"/>
      <c r="M17" s="308"/>
      <c r="N17" s="308"/>
      <c r="O17" s="308"/>
      <c r="P17" s="308"/>
      <c r="Q17" s="308"/>
      <c r="R17" s="308"/>
      <c r="S17" s="308"/>
      <c r="T17" s="308"/>
      <c r="U17" s="308"/>
      <c r="V17" s="308"/>
      <c r="W17" s="308"/>
      <c r="X17" s="308"/>
      <c r="Y17" s="308"/>
      <c r="Z17" s="308"/>
    </row>
    <row r="18" spans="1:26" ht="14.25" customHeight="1" x14ac:dyDescent="0.3">
      <c r="A18" s="352">
        <v>2.2000000000000002</v>
      </c>
      <c r="B18" s="424" t="s">
        <v>1122</v>
      </c>
      <c r="C18" s="425" t="s">
        <v>1076</v>
      </c>
      <c r="D18" s="426" t="s">
        <v>1079</v>
      </c>
      <c r="E18" s="427">
        <v>16</v>
      </c>
      <c r="F18" s="428">
        <v>45833</v>
      </c>
      <c r="G18" s="429" t="s">
        <v>451</v>
      </c>
      <c r="H18" s="428" t="s">
        <v>1078</v>
      </c>
      <c r="I18" s="429" t="s">
        <v>451</v>
      </c>
      <c r="J18" s="429" t="s">
        <v>451</v>
      </c>
      <c r="K18" s="308"/>
      <c r="L18" s="308"/>
      <c r="M18" s="308"/>
      <c r="N18" s="308"/>
      <c r="O18" s="308"/>
      <c r="P18" s="308"/>
      <c r="Q18" s="308"/>
      <c r="R18" s="308"/>
      <c r="S18" s="308"/>
      <c r="T18" s="308"/>
      <c r="U18" s="308"/>
      <c r="V18" s="308"/>
      <c r="W18" s="308"/>
      <c r="X18" s="308"/>
      <c r="Y18" s="308"/>
      <c r="Z18" s="308"/>
    </row>
    <row r="19" spans="1:26" ht="30" customHeight="1" x14ac:dyDescent="0.3">
      <c r="A19" s="475" t="s">
        <v>2285</v>
      </c>
      <c r="B19" s="430" t="s">
        <v>1122</v>
      </c>
      <c r="C19" s="425" t="s">
        <v>1076</v>
      </c>
      <c r="D19" s="308" t="s">
        <v>1077</v>
      </c>
      <c r="E19" s="308">
        <v>24</v>
      </c>
      <c r="F19" s="431">
        <v>45951</v>
      </c>
      <c r="G19" s="308"/>
      <c r="H19" s="428" t="s">
        <v>1078</v>
      </c>
      <c r="I19" s="308"/>
      <c r="J19" s="308"/>
      <c r="K19" s="308"/>
      <c r="L19" s="308"/>
      <c r="M19" s="308"/>
      <c r="N19" s="308"/>
      <c r="O19" s="308"/>
      <c r="P19" s="308"/>
      <c r="Q19" s="308"/>
      <c r="R19" s="308"/>
      <c r="S19" s="308"/>
      <c r="T19" s="308"/>
      <c r="U19" s="308"/>
      <c r="V19" s="308"/>
      <c r="W19" s="308"/>
      <c r="X19" s="308"/>
      <c r="Y19" s="308"/>
      <c r="Z19" s="308"/>
    </row>
    <row r="20" spans="1:26" ht="14.25" customHeight="1" x14ac:dyDescent="0.3">
      <c r="A20" s="476" t="s">
        <v>2285</v>
      </c>
      <c r="B20" s="430" t="s">
        <v>1122</v>
      </c>
      <c r="C20" s="425" t="s">
        <v>1076</v>
      </c>
      <c r="D20" s="432" t="s">
        <v>1080</v>
      </c>
      <c r="E20" s="308">
        <v>25</v>
      </c>
      <c r="F20" s="431">
        <v>45953</v>
      </c>
      <c r="G20" s="308"/>
      <c r="H20" s="428" t="s">
        <v>1078</v>
      </c>
      <c r="I20" s="308"/>
      <c r="J20" s="308"/>
      <c r="K20" s="308"/>
      <c r="L20" s="308"/>
      <c r="M20" s="308"/>
      <c r="N20" s="308"/>
      <c r="O20" s="308"/>
      <c r="P20" s="308"/>
      <c r="Q20" s="308"/>
      <c r="R20" s="308"/>
      <c r="S20" s="308"/>
      <c r="T20" s="308"/>
      <c r="U20" s="308"/>
      <c r="V20" s="308"/>
      <c r="W20" s="308"/>
      <c r="X20" s="308"/>
      <c r="Y20" s="308"/>
      <c r="Z20" s="308"/>
    </row>
    <row r="21" spans="1:26" ht="14.25" customHeight="1" x14ac:dyDescent="0.3">
      <c r="A21" s="352">
        <v>2.2000000000000002</v>
      </c>
      <c r="B21" s="424" t="s">
        <v>1122</v>
      </c>
      <c r="C21" s="425" t="s">
        <v>1076</v>
      </c>
      <c r="D21" s="434" t="s">
        <v>1082</v>
      </c>
      <c r="E21" s="427">
        <v>17</v>
      </c>
      <c r="F21" s="428">
        <v>45833</v>
      </c>
      <c r="G21" s="429" t="s">
        <v>451</v>
      </c>
      <c r="H21" s="428" t="s">
        <v>1078</v>
      </c>
      <c r="I21" s="423" t="s">
        <v>451</v>
      </c>
      <c r="J21" s="429" t="s">
        <v>451</v>
      </c>
      <c r="K21" s="308"/>
      <c r="L21" s="308"/>
      <c r="M21" s="308"/>
      <c r="N21" s="308"/>
      <c r="O21" s="308"/>
      <c r="P21" s="308"/>
      <c r="Q21" s="308"/>
      <c r="R21" s="308"/>
      <c r="S21" s="308"/>
      <c r="T21" s="308"/>
      <c r="U21" s="308"/>
      <c r="V21" s="308"/>
      <c r="W21" s="308"/>
      <c r="X21" s="308"/>
      <c r="Y21" s="308"/>
      <c r="Z21" s="308"/>
    </row>
    <row r="22" spans="1:26" ht="14.25" customHeight="1" x14ac:dyDescent="0.3">
      <c r="A22" s="476" t="s">
        <v>1226</v>
      </c>
      <c r="B22" s="411" t="s">
        <v>1122</v>
      </c>
      <c r="C22" s="425" t="s">
        <v>1076</v>
      </c>
      <c r="D22" s="432" t="s">
        <v>1080</v>
      </c>
      <c r="E22" s="308">
        <v>27</v>
      </c>
      <c r="F22" s="431">
        <v>45958</v>
      </c>
      <c r="G22" s="308"/>
      <c r="H22" s="428" t="s">
        <v>1078</v>
      </c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8"/>
      <c r="W22" s="308"/>
      <c r="X22" s="308"/>
      <c r="Y22" s="308"/>
      <c r="Z22" s="308"/>
    </row>
    <row r="23" spans="1:26" ht="14.25" customHeight="1" x14ac:dyDescent="0.3">
      <c r="A23" s="352">
        <v>2.2999999999999998</v>
      </c>
      <c r="B23" s="424" t="s">
        <v>1122</v>
      </c>
      <c r="C23" s="425" t="s">
        <v>1076</v>
      </c>
      <c r="D23" s="426" t="s">
        <v>1079</v>
      </c>
      <c r="E23" s="427">
        <v>16</v>
      </c>
      <c r="F23" s="428">
        <v>45833</v>
      </c>
      <c r="G23" s="429" t="s">
        <v>451</v>
      </c>
      <c r="H23" s="428" t="s">
        <v>1078</v>
      </c>
      <c r="I23" s="429" t="s">
        <v>451</v>
      </c>
      <c r="J23" s="429" t="s">
        <v>451</v>
      </c>
      <c r="K23" s="308"/>
      <c r="L23" s="308"/>
      <c r="M23" s="308"/>
      <c r="N23" s="308"/>
      <c r="O23" s="308"/>
      <c r="P23" s="308"/>
      <c r="Q23" s="308"/>
      <c r="R23" s="308"/>
      <c r="S23" s="308"/>
      <c r="T23" s="308"/>
      <c r="U23" s="308"/>
      <c r="V23" s="308"/>
      <c r="W23" s="308"/>
      <c r="X23" s="308"/>
      <c r="Y23" s="308"/>
      <c r="Z23" s="308"/>
    </row>
    <row r="24" spans="1:26" ht="14.25" customHeight="1" x14ac:dyDescent="0.3">
      <c r="A24" s="475" t="s">
        <v>2286</v>
      </c>
      <c r="B24" s="430" t="s">
        <v>1122</v>
      </c>
      <c r="C24" s="425" t="s">
        <v>1076</v>
      </c>
      <c r="D24" s="308" t="s">
        <v>1077</v>
      </c>
      <c r="E24" s="308">
        <v>24</v>
      </c>
      <c r="F24" s="431">
        <v>45951</v>
      </c>
      <c r="G24" s="308"/>
      <c r="H24" s="428" t="s">
        <v>1078</v>
      </c>
      <c r="I24" s="308"/>
      <c r="J24" s="308"/>
      <c r="K24" s="308"/>
      <c r="L24" s="308"/>
      <c r="M24" s="308"/>
      <c r="N24" s="308"/>
      <c r="O24" s="308"/>
      <c r="P24" s="308"/>
      <c r="Q24" s="308"/>
      <c r="R24" s="308"/>
      <c r="S24" s="308"/>
      <c r="T24" s="308"/>
      <c r="U24" s="308"/>
      <c r="V24" s="308"/>
      <c r="W24" s="308"/>
      <c r="X24" s="308"/>
      <c r="Y24" s="308"/>
      <c r="Z24" s="308"/>
    </row>
    <row r="25" spans="1:26" ht="14.25" customHeight="1" x14ac:dyDescent="0.3">
      <c r="A25" s="476" t="s">
        <v>2286</v>
      </c>
      <c r="B25" s="430" t="s">
        <v>1122</v>
      </c>
      <c r="C25" s="425" t="s">
        <v>1076</v>
      </c>
      <c r="D25" s="432" t="s">
        <v>1080</v>
      </c>
      <c r="E25" s="308">
        <v>25</v>
      </c>
      <c r="F25" s="431">
        <v>45953</v>
      </c>
      <c r="G25" s="308"/>
      <c r="H25" s="428" t="s">
        <v>1078</v>
      </c>
      <c r="I25" s="308"/>
      <c r="J25" s="308"/>
      <c r="K25" s="308"/>
      <c r="L25" s="308"/>
      <c r="M25" s="308"/>
      <c r="N25" s="308"/>
      <c r="O25" s="308"/>
      <c r="P25" s="308"/>
      <c r="Q25" s="308"/>
      <c r="R25" s="308"/>
      <c r="S25" s="308"/>
      <c r="T25" s="308"/>
      <c r="U25" s="308"/>
      <c r="V25" s="308"/>
      <c r="W25" s="308"/>
      <c r="X25" s="308"/>
      <c r="Y25" s="308"/>
      <c r="Z25" s="308"/>
    </row>
    <row r="26" spans="1:26" ht="14.25" customHeight="1" x14ac:dyDescent="0.3">
      <c r="A26" s="352">
        <v>2.2999999999999998</v>
      </c>
      <c r="B26" s="424" t="s">
        <v>1122</v>
      </c>
      <c r="C26" s="425" t="s">
        <v>1076</v>
      </c>
      <c r="D26" s="434" t="s">
        <v>1082</v>
      </c>
      <c r="E26" s="427">
        <v>17</v>
      </c>
      <c r="F26" s="428">
        <v>45833</v>
      </c>
      <c r="G26" s="429" t="s">
        <v>451</v>
      </c>
      <c r="H26" s="428" t="s">
        <v>1078</v>
      </c>
      <c r="I26" s="423" t="s">
        <v>451</v>
      </c>
      <c r="J26" s="429" t="s">
        <v>451</v>
      </c>
      <c r="K26" s="308"/>
      <c r="L26" s="308"/>
      <c r="M26" s="308"/>
      <c r="N26" s="308"/>
      <c r="O26" s="308"/>
      <c r="P26" s="308"/>
      <c r="Q26" s="308"/>
      <c r="R26" s="308"/>
      <c r="S26" s="308"/>
      <c r="T26" s="308"/>
      <c r="U26" s="308"/>
      <c r="V26" s="308"/>
      <c r="W26" s="308"/>
      <c r="X26" s="308"/>
      <c r="Y26" s="308"/>
      <c r="Z26" s="308"/>
    </row>
    <row r="27" spans="1:26" ht="9.75" customHeight="1" x14ac:dyDescent="0.3">
      <c r="A27" s="476" t="s">
        <v>1227</v>
      </c>
      <c r="B27" s="411" t="s">
        <v>1122</v>
      </c>
      <c r="C27" s="425" t="s">
        <v>1076</v>
      </c>
      <c r="D27" s="432" t="s">
        <v>1080</v>
      </c>
      <c r="E27" s="308">
        <v>27</v>
      </c>
      <c r="F27" s="431">
        <v>45958</v>
      </c>
      <c r="G27" s="308"/>
      <c r="H27" s="428" t="s">
        <v>1078</v>
      </c>
      <c r="I27" s="308"/>
      <c r="J27" s="308"/>
      <c r="K27" s="308"/>
      <c r="L27" s="308"/>
      <c r="M27" s="308"/>
      <c r="N27" s="308"/>
      <c r="O27" s="308"/>
      <c r="P27" s="308"/>
      <c r="Q27" s="308"/>
      <c r="R27" s="308"/>
      <c r="S27" s="308"/>
      <c r="T27" s="308"/>
      <c r="U27" s="308"/>
      <c r="V27" s="308"/>
      <c r="W27" s="308"/>
      <c r="X27" s="308"/>
      <c r="Y27" s="308"/>
      <c r="Z27" s="308"/>
    </row>
    <row r="28" spans="1:26" ht="14.25" customHeight="1" x14ac:dyDescent="0.3">
      <c r="A28" s="352" t="s">
        <v>1084</v>
      </c>
      <c r="B28" s="424" t="s">
        <v>1122</v>
      </c>
      <c r="C28" s="425" t="s">
        <v>1076</v>
      </c>
      <c r="D28" s="426" t="s">
        <v>1079</v>
      </c>
      <c r="E28" s="427">
        <v>16</v>
      </c>
      <c r="F28" s="428">
        <v>45833</v>
      </c>
      <c r="G28" s="429" t="s">
        <v>451</v>
      </c>
      <c r="H28" s="428" t="s">
        <v>1078</v>
      </c>
      <c r="I28" s="423" t="s">
        <v>451</v>
      </c>
      <c r="J28" s="429" t="s">
        <v>451</v>
      </c>
      <c r="K28" s="308"/>
      <c r="L28" s="308"/>
      <c r="M28" s="308"/>
      <c r="N28" s="308"/>
      <c r="O28" s="308"/>
      <c r="P28" s="308"/>
      <c r="Q28" s="308"/>
      <c r="R28" s="308"/>
      <c r="S28" s="308"/>
      <c r="T28" s="308"/>
      <c r="U28" s="308"/>
      <c r="V28" s="308"/>
      <c r="W28" s="308"/>
      <c r="X28" s="308"/>
      <c r="Y28" s="308"/>
      <c r="Z28" s="308"/>
    </row>
    <row r="29" spans="1:26" ht="14.25" customHeight="1" x14ac:dyDescent="0.3">
      <c r="A29" s="475" t="s">
        <v>2287</v>
      </c>
      <c r="B29" s="430" t="s">
        <v>1122</v>
      </c>
      <c r="C29" s="425" t="s">
        <v>1076</v>
      </c>
      <c r="D29" s="308" t="s">
        <v>1077</v>
      </c>
      <c r="E29" s="308">
        <v>24</v>
      </c>
      <c r="F29" s="431">
        <v>45951</v>
      </c>
      <c r="G29" s="308"/>
      <c r="H29" s="428" t="s">
        <v>1078</v>
      </c>
      <c r="I29" s="308"/>
      <c r="J29" s="308"/>
      <c r="K29" s="308"/>
      <c r="L29" s="308"/>
      <c r="M29" s="308"/>
      <c r="N29" s="308"/>
      <c r="O29" s="308"/>
      <c r="P29" s="308"/>
      <c r="Q29" s="308"/>
      <c r="R29" s="308"/>
      <c r="S29" s="308"/>
      <c r="T29" s="308"/>
      <c r="U29" s="308"/>
      <c r="V29" s="308"/>
      <c r="W29" s="308"/>
      <c r="X29" s="308"/>
      <c r="Y29" s="308"/>
      <c r="Z29" s="308"/>
    </row>
    <row r="30" spans="1:26" ht="14.25" customHeight="1" x14ac:dyDescent="0.3">
      <c r="A30" s="476" t="s">
        <v>2287</v>
      </c>
      <c r="B30" s="430" t="s">
        <v>1122</v>
      </c>
      <c r="C30" s="425" t="s">
        <v>1076</v>
      </c>
      <c r="D30" s="432" t="s">
        <v>1080</v>
      </c>
      <c r="E30" s="308">
        <v>25</v>
      </c>
      <c r="F30" s="431">
        <v>45953</v>
      </c>
      <c r="G30" s="308"/>
      <c r="H30" s="428" t="s">
        <v>1078</v>
      </c>
      <c r="I30" s="308"/>
      <c r="J30" s="308"/>
      <c r="K30" s="308"/>
      <c r="L30" s="308"/>
      <c r="M30" s="308"/>
      <c r="N30" s="308"/>
      <c r="O30" s="308"/>
      <c r="P30" s="308"/>
      <c r="Q30" s="308"/>
      <c r="R30" s="308"/>
      <c r="S30" s="308"/>
      <c r="T30" s="308"/>
      <c r="U30" s="308"/>
      <c r="V30" s="308"/>
      <c r="W30" s="308"/>
      <c r="X30" s="308"/>
      <c r="Y30" s="308"/>
      <c r="Z30" s="308"/>
    </row>
    <row r="31" spans="1:26" ht="14.25" customHeight="1" x14ac:dyDescent="0.3">
      <c r="A31" s="476" t="s">
        <v>1228</v>
      </c>
      <c r="B31" s="411" t="s">
        <v>1122</v>
      </c>
      <c r="C31" s="425" t="s">
        <v>1076</v>
      </c>
      <c r="D31" s="432" t="s">
        <v>1080</v>
      </c>
      <c r="E31" s="308">
        <v>27</v>
      </c>
      <c r="F31" s="431">
        <v>45958</v>
      </c>
      <c r="G31" s="308"/>
      <c r="H31" s="428" t="s">
        <v>1078</v>
      </c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Y31" s="308"/>
      <c r="Z31" s="308"/>
    </row>
    <row r="32" spans="1:26" ht="14.25" customHeight="1" x14ac:dyDescent="0.3">
      <c r="A32" s="352" t="s">
        <v>1085</v>
      </c>
      <c r="B32" s="424" t="s">
        <v>1122</v>
      </c>
      <c r="C32" s="425" t="s">
        <v>1076</v>
      </c>
      <c r="D32" s="426" t="s">
        <v>1079</v>
      </c>
      <c r="E32" s="427">
        <v>16</v>
      </c>
      <c r="F32" s="428">
        <v>45833</v>
      </c>
      <c r="G32" s="429" t="s">
        <v>451</v>
      </c>
      <c r="H32" s="428" t="s">
        <v>1078</v>
      </c>
      <c r="I32" s="423" t="s">
        <v>451</v>
      </c>
      <c r="J32" s="429" t="s">
        <v>451</v>
      </c>
      <c r="K32" s="308"/>
      <c r="L32" s="308"/>
      <c r="M32" s="308"/>
      <c r="N32" s="308"/>
      <c r="O32" s="308"/>
      <c r="P32" s="308"/>
      <c r="Q32" s="308"/>
      <c r="R32" s="308"/>
      <c r="S32" s="308"/>
      <c r="T32" s="308"/>
      <c r="U32" s="308"/>
      <c r="V32" s="308"/>
      <c r="W32" s="308"/>
      <c r="X32" s="308"/>
      <c r="Y32" s="308"/>
      <c r="Z32" s="308"/>
    </row>
    <row r="33" spans="1:26" ht="14.25" customHeight="1" x14ac:dyDescent="0.3">
      <c r="A33" s="352">
        <v>3.2</v>
      </c>
      <c r="B33" s="424" t="s">
        <v>1122</v>
      </c>
      <c r="C33" s="425" t="s">
        <v>1076</v>
      </c>
      <c r="D33" s="434" t="s">
        <v>1082</v>
      </c>
      <c r="E33" s="427">
        <v>17</v>
      </c>
      <c r="F33" s="428">
        <v>45833</v>
      </c>
      <c r="G33" s="429" t="s">
        <v>451</v>
      </c>
      <c r="H33" s="428" t="s">
        <v>1078</v>
      </c>
      <c r="I33" s="423" t="s">
        <v>451</v>
      </c>
      <c r="J33" s="429" t="s">
        <v>451</v>
      </c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Y33" s="308"/>
      <c r="Z33" s="308"/>
    </row>
    <row r="34" spans="1:26" ht="15" customHeight="1" x14ac:dyDescent="0.3">
      <c r="A34" s="352" t="s">
        <v>2205</v>
      </c>
      <c r="B34" s="433" t="s">
        <v>1142</v>
      </c>
      <c r="C34" s="425" t="s">
        <v>1076</v>
      </c>
      <c r="D34" s="529" t="s">
        <v>1086</v>
      </c>
      <c r="E34" s="439">
        <v>1</v>
      </c>
      <c r="F34" s="440">
        <v>45817</v>
      </c>
      <c r="G34" s="429" t="s">
        <v>451</v>
      </c>
      <c r="H34" s="435" t="s">
        <v>1083</v>
      </c>
      <c r="I34" s="439">
        <v>1</v>
      </c>
      <c r="J34" s="428">
        <v>45824</v>
      </c>
      <c r="K34" s="308"/>
      <c r="L34" s="308"/>
      <c r="M34" s="308"/>
      <c r="N34" s="308"/>
      <c r="O34" s="308"/>
      <c r="P34" s="308"/>
      <c r="Q34" s="308"/>
      <c r="R34" s="308"/>
      <c r="S34" s="308"/>
      <c r="T34" s="308"/>
      <c r="U34" s="308"/>
      <c r="V34" s="308"/>
      <c r="W34" s="308"/>
      <c r="X34" s="308"/>
      <c r="Y34" s="308"/>
      <c r="Z34" s="308"/>
    </row>
    <row r="35" spans="1:26" ht="14.25" customHeight="1" x14ac:dyDescent="0.3">
      <c r="A35" s="352" t="s">
        <v>2206</v>
      </c>
      <c r="B35" s="433" t="s">
        <v>1142</v>
      </c>
      <c r="C35" s="425" t="s">
        <v>1076</v>
      </c>
      <c r="D35" s="529" t="s">
        <v>1086</v>
      </c>
      <c r="E35" s="537">
        <v>1</v>
      </c>
      <c r="F35" s="538">
        <v>45817</v>
      </c>
      <c r="G35" s="539" t="s">
        <v>451</v>
      </c>
      <c r="H35" s="435" t="s">
        <v>1083</v>
      </c>
      <c r="I35" s="439">
        <v>1</v>
      </c>
      <c r="J35" s="428">
        <v>45824</v>
      </c>
      <c r="K35" s="308"/>
      <c r="L35" s="308"/>
      <c r="M35" s="308"/>
      <c r="N35" s="308"/>
      <c r="O35" s="308"/>
      <c r="P35" s="308"/>
      <c r="Q35" s="308"/>
      <c r="R35" s="308"/>
      <c r="S35" s="308"/>
      <c r="T35" s="308"/>
      <c r="U35" s="308"/>
      <c r="V35" s="308"/>
      <c r="W35" s="308"/>
      <c r="X35" s="308"/>
      <c r="Y35" s="308"/>
      <c r="Z35" s="308"/>
    </row>
    <row r="36" spans="1:26" ht="14.25" customHeight="1" x14ac:dyDescent="0.3">
      <c r="A36" s="352" t="s">
        <v>2207</v>
      </c>
      <c r="B36" s="433" t="s">
        <v>1142</v>
      </c>
      <c r="C36" s="425" t="s">
        <v>1076</v>
      </c>
      <c r="D36" s="529" t="s">
        <v>1086</v>
      </c>
      <c r="E36" s="537">
        <v>1</v>
      </c>
      <c r="F36" s="538">
        <v>45817</v>
      </c>
      <c r="G36" s="539" t="s">
        <v>451</v>
      </c>
      <c r="H36" s="435" t="s">
        <v>1083</v>
      </c>
      <c r="I36" s="439">
        <v>1</v>
      </c>
      <c r="J36" s="428">
        <v>45824</v>
      </c>
      <c r="K36" s="308"/>
      <c r="L36" s="308"/>
      <c r="M36" s="308"/>
      <c r="N36" s="308"/>
      <c r="O36" s="308"/>
      <c r="P36" s="308"/>
      <c r="Q36" s="308"/>
      <c r="R36" s="308"/>
      <c r="S36" s="308"/>
      <c r="T36" s="308"/>
      <c r="U36" s="308"/>
      <c r="V36" s="308"/>
      <c r="W36" s="308"/>
      <c r="X36" s="308"/>
      <c r="Y36" s="308"/>
      <c r="Z36" s="308"/>
    </row>
    <row r="37" spans="1:26" ht="14.25" customHeight="1" x14ac:dyDescent="0.3">
      <c r="A37" s="352" t="s">
        <v>2208</v>
      </c>
      <c r="B37" s="433" t="s">
        <v>1142</v>
      </c>
      <c r="C37" s="425" t="s">
        <v>1076</v>
      </c>
      <c r="D37" s="529" t="s">
        <v>1086</v>
      </c>
      <c r="E37" s="537">
        <v>1</v>
      </c>
      <c r="F37" s="538">
        <v>45817</v>
      </c>
      <c r="G37" s="539" t="s">
        <v>451</v>
      </c>
      <c r="H37" s="435" t="s">
        <v>1083</v>
      </c>
      <c r="I37" s="439">
        <v>1</v>
      </c>
      <c r="J37" s="428">
        <v>45824</v>
      </c>
      <c r="K37" s="308"/>
      <c r="L37" s="308"/>
      <c r="M37" s="308"/>
      <c r="N37" s="308"/>
      <c r="O37" s="308"/>
      <c r="P37" s="308"/>
      <c r="Q37" s="308"/>
      <c r="R37" s="308"/>
      <c r="S37" s="308"/>
      <c r="T37" s="308"/>
      <c r="U37" s="308"/>
      <c r="V37" s="308"/>
      <c r="W37" s="308"/>
      <c r="X37" s="308"/>
      <c r="Y37" s="308"/>
      <c r="Z37" s="308"/>
    </row>
    <row r="38" spans="1:26" ht="14.25" customHeight="1" x14ac:dyDescent="0.3">
      <c r="A38" s="352" t="s">
        <v>2209</v>
      </c>
      <c r="B38" s="424" t="s">
        <v>1122</v>
      </c>
      <c r="C38" s="425" t="s">
        <v>1076</v>
      </c>
      <c r="D38" s="441" t="s">
        <v>1086</v>
      </c>
      <c r="E38" s="439">
        <v>1</v>
      </c>
      <c r="F38" s="440">
        <v>45817</v>
      </c>
      <c r="G38" s="429" t="s">
        <v>451</v>
      </c>
      <c r="H38" s="428" t="s">
        <v>1078</v>
      </c>
      <c r="I38" s="423" t="s">
        <v>451</v>
      </c>
      <c r="J38" s="429" t="s">
        <v>451</v>
      </c>
      <c r="K38" s="308"/>
      <c r="L38" s="308"/>
      <c r="M38" s="308"/>
      <c r="N38" s="308"/>
      <c r="O38" s="308"/>
      <c r="P38" s="308"/>
      <c r="Q38" s="308"/>
      <c r="R38" s="308"/>
      <c r="S38" s="308"/>
      <c r="T38" s="308"/>
      <c r="U38" s="308"/>
      <c r="V38" s="308"/>
      <c r="W38" s="308"/>
      <c r="X38" s="308"/>
      <c r="Y38" s="308"/>
      <c r="Z38" s="308"/>
    </row>
    <row r="39" spans="1:26" ht="14.25" customHeight="1" x14ac:dyDescent="0.3">
      <c r="A39" s="352" t="s">
        <v>2210</v>
      </c>
      <c r="B39" s="424" t="s">
        <v>1122</v>
      </c>
      <c r="C39" s="425" t="s">
        <v>1076</v>
      </c>
      <c r="D39" s="441" t="s">
        <v>1086</v>
      </c>
      <c r="E39" s="439">
        <v>1</v>
      </c>
      <c r="F39" s="440">
        <v>45818</v>
      </c>
      <c r="G39" s="429" t="s">
        <v>451</v>
      </c>
      <c r="H39" s="428" t="s">
        <v>1078</v>
      </c>
      <c r="I39" s="423" t="s">
        <v>451</v>
      </c>
      <c r="J39" s="429" t="s">
        <v>451</v>
      </c>
      <c r="K39" s="308"/>
      <c r="L39" s="308"/>
      <c r="M39" s="308"/>
      <c r="N39" s="308"/>
      <c r="O39" s="308"/>
      <c r="P39" s="308"/>
      <c r="Q39" s="308"/>
      <c r="R39" s="308"/>
      <c r="S39" s="308"/>
      <c r="T39" s="308"/>
      <c r="U39" s="308"/>
      <c r="V39" s="308"/>
      <c r="W39" s="308"/>
      <c r="X39" s="308"/>
      <c r="Y39" s="308"/>
      <c r="Z39" s="308"/>
    </row>
    <row r="40" spans="1:26" ht="14.25" customHeight="1" x14ac:dyDescent="0.3">
      <c r="A40" s="352" t="s">
        <v>2211</v>
      </c>
      <c r="B40" s="424" t="s">
        <v>1122</v>
      </c>
      <c r="C40" s="425" t="s">
        <v>1076</v>
      </c>
      <c r="D40" s="441" t="s">
        <v>1086</v>
      </c>
      <c r="E40" s="439">
        <v>1</v>
      </c>
      <c r="F40" s="440">
        <v>45817</v>
      </c>
      <c r="G40" s="429" t="s">
        <v>451</v>
      </c>
      <c r="H40" s="428" t="s">
        <v>1078</v>
      </c>
      <c r="I40" s="423" t="s">
        <v>451</v>
      </c>
      <c r="J40" s="429" t="s">
        <v>451</v>
      </c>
      <c r="K40" s="308"/>
      <c r="L40" s="308"/>
      <c r="M40" s="308"/>
      <c r="N40" s="308"/>
      <c r="O40" s="308"/>
      <c r="P40" s="308"/>
      <c r="Q40" s="308"/>
      <c r="R40" s="308"/>
      <c r="S40" s="308"/>
      <c r="T40" s="308"/>
      <c r="U40" s="308"/>
      <c r="V40" s="308"/>
      <c r="W40" s="308"/>
      <c r="X40" s="308"/>
      <c r="Y40" s="308"/>
      <c r="Z40" s="308"/>
    </row>
    <row r="41" spans="1:26" ht="14.25" customHeight="1" x14ac:dyDescent="0.3">
      <c r="A41" s="352" t="s">
        <v>2212</v>
      </c>
      <c r="B41" s="433" t="s">
        <v>1142</v>
      </c>
      <c r="C41" s="425" t="s">
        <v>1076</v>
      </c>
      <c r="D41" s="529" t="s">
        <v>1086</v>
      </c>
      <c r="E41" s="537">
        <v>1</v>
      </c>
      <c r="F41" s="538">
        <v>45817</v>
      </c>
      <c r="G41" s="539" t="s">
        <v>451</v>
      </c>
      <c r="H41" s="428" t="s">
        <v>1078</v>
      </c>
      <c r="I41" s="439">
        <v>1</v>
      </c>
      <c r="J41" s="428">
        <v>45824</v>
      </c>
      <c r="K41" s="308"/>
      <c r="L41" s="308"/>
      <c r="M41" s="308"/>
      <c r="N41" s="308"/>
      <c r="O41" s="308"/>
      <c r="P41" s="308"/>
      <c r="Q41" s="308"/>
      <c r="R41" s="308"/>
      <c r="S41" s="308"/>
      <c r="T41" s="308"/>
      <c r="U41" s="308"/>
      <c r="V41" s="308"/>
      <c r="W41" s="308"/>
      <c r="X41" s="308"/>
      <c r="Y41" s="308"/>
      <c r="Z41" s="308"/>
    </row>
    <row r="42" spans="1:26" ht="14.25" customHeight="1" x14ac:dyDescent="0.3">
      <c r="A42" s="416" t="s">
        <v>2213</v>
      </c>
      <c r="B42" s="433" t="s">
        <v>1142</v>
      </c>
      <c r="C42" s="511" t="s">
        <v>1087</v>
      </c>
      <c r="D42" s="442" t="s">
        <v>1088</v>
      </c>
      <c r="E42" s="427">
        <v>4</v>
      </c>
      <c r="F42" s="440">
        <v>45817</v>
      </c>
      <c r="G42" s="429" t="s">
        <v>451</v>
      </c>
      <c r="H42" s="443" t="s">
        <v>1083</v>
      </c>
      <c r="I42" s="439">
        <v>1</v>
      </c>
      <c r="J42" s="428">
        <v>45824</v>
      </c>
      <c r="K42" s="308"/>
      <c r="L42" s="308"/>
      <c r="M42" s="308"/>
      <c r="N42" s="308"/>
      <c r="O42" s="308"/>
      <c r="P42" s="308"/>
      <c r="Q42" s="308"/>
      <c r="R42" s="308"/>
      <c r="S42" s="308"/>
      <c r="T42" s="308"/>
      <c r="U42" s="308"/>
      <c r="V42" s="308"/>
      <c r="W42" s="308"/>
      <c r="X42" s="308"/>
      <c r="Y42" s="308"/>
      <c r="Z42" s="308"/>
    </row>
    <row r="43" spans="1:26" ht="14.25" customHeight="1" x14ac:dyDescent="0.3">
      <c r="A43" s="352" t="s">
        <v>2214</v>
      </c>
      <c r="B43" s="433" t="s">
        <v>1142</v>
      </c>
      <c r="C43" s="511" t="s">
        <v>1087</v>
      </c>
      <c r="D43" s="442" t="s">
        <v>1088</v>
      </c>
      <c r="E43" s="427">
        <v>4</v>
      </c>
      <c r="F43" s="440">
        <v>45817</v>
      </c>
      <c r="G43" s="429" t="s">
        <v>451</v>
      </c>
      <c r="H43" s="443" t="s">
        <v>1083</v>
      </c>
      <c r="I43" s="439">
        <v>1</v>
      </c>
      <c r="J43" s="428">
        <v>45824</v>
      </c>
      <c r="K43" s="308"/>
      <c r="L43" s="308"/>
      <c r="M43" s="308"/>
      <c r="N43" s="308"/>
      <c r="O43" s="308"/>
      <c r="P43" s="308"/>
      <c r="Q43" s="308"/>
      <c r="R43" s="308"/>
      <c r="S43" s="308"/>
      <c r="T43" s="308"/>
      <c r="U43" s="308"/>
      <c r="V43" s="308"/>
      <c r="W43" s="308"/>
      <c r="X43" s="308"/>
      <c r="Y43" s="308"/>
      <c r="Z43" s="308"/>
    </row>
    <row r="44" spans="1:26" ht="14.25" customHeight="1" x14ac:dyDescent="0.3">
      <c r="A44" s="352" t="s">
        <v>2288</v>
      </c>
      <c r="B44" s="433" t="s">
        <v>1142</v>
      </c>
      <c r="C44" s="425" t="s">
        <v>1076</v>
      </c>
      <c r="D44" s="529" t="s">
        <v>1086</v>
      </c>
      <c r="E44" s="525">
        <v>5</v>
      </c>
      <c r="F44" s="538">
        <v>45820</v>
      </c>
      <c r="G44" s="539" t="s">
        <v>451</v>
      </c>
      <c r="H44" s="435" t="s">
        <v>1083</v>
      </c>
      <c r="I44" s="439">
        <v>1</v>
      </c>
      <c r="J44" s="428">
        <v>45824</v>
      </c>
      <c r="K44" s="308"/>
      <c r="L44" s="308"/>
      <c r="M44" s="308"/>
      <c r="N44" s="308"/>
      <c r="O44" s="308"/>
      <c r="P44" s="308"/>
      <c r="Q44" s="308"/>
      <c r="R44" s="308"/>
      <c r="S44" s="308"/>
      <c r="T44" s="308"/>
      <c r="U44" s="308"/>
      <c r="V44" s="308"/>
      <c r="W44" s="308"/>
      <c r="X44" s="308"/>
      <c r="Y44" s="308"/>
      <c r="Z44" s="308"/>
    </row>
    <row r="45" spans="1:26" ht="15" customHeight="1" x14ac:dyDescent="0.3">
      <c r="A45" s="352" t="s">
        <v>2289</v>
      </c>
      <c r="B45" s="433" t="s">
        <v>1142</v>
      </c>
      <c r="C45" s="425" t="s">
        <v>1076</v>
      </c>
      <c r="D45" s="529" t="s">
        <v>1086</v>
      </c>
      <c r="E45" s="525">
        <v>5</v>
      </c>
      <c r="F45" s="538">
        <v>45820</v>
      </c>
      <c r="G45" s="539" t="s">
        <v>451</v>
      </c>
      <c r="H45" s="435" t="s">
        <v>1083</v>
      </c>
      <c r="I45" s="439">
        <v>1</v>
      </c>
      <c r="J45" s="428">
        <v>45824</v>
      </c>
      <c r="K45" s="308"/>
      <c r="L45" s="308"/>
      <c r="M45" s="308"/>
      <c r="N45" s="308"/>
      <c r="O45" s="308"/>
      <c r="P45" s="308"/>
      <c r="Q45" s="308"/>
      <c r="R45" s="308"/>
      <c r="S45" s="308"/>
      <c r="T45" s="308"/>
      <c r="U45" s="308"/>
      <c r="V45" s="308"/>
      <c r="W45" s="308"/>
      <c r="X45" s="308"/>
      <c r="Y45" s="308"/>
      <c r="Z45" s="308"/>
    </row>
    <row r="46" spans="1:26" ht="14.25" customHeight="1" x14ac:dyDescent="0.3">
      <c r="A46" s="352" t="s">
        <v>2243</v>
      </c>
      <c r="B46" s="433" t="s">
        <v>1142</v>
      </c>
      <c r="C46" s="425" t="s">
        <v>1076</v>
      </c>
      <c r="D46" s="529" t="s">
        <v>1086</v>
      </c>
      <c r="E46" s="525">
        <v>5</v>
      </c>
      <c r="F46" s="538">
        <v>45820</v>
      </c>
      <c r="G46" s="539" t="s">
        <v>451</v>
      </c>
      <c r="H46" s="435" t="s">
        <v>1083</v>
      </c>
      <c r="I46" s="439">
        <v>1</v>
      </c>
      <c r="J46" s="428">
        <v>45824</v>
      </c>
      <c r="K46" s="308"/>
      <c r="L46" s="444"/>
      <c r="M46" s="444"/>
      <c r="N46" s="444"/>
      <c r="O46" s="444"/>
      <c r="P46" s="444"/>
      <c r="Q46" s="444"/>
      <c r="R46" s="444"/>
      <c r="S46" s="444"/>
      <c r="T46" s="444"/>
      <c r="U46" s="444"/>
      <c r="V46" s="444"/>
      <c r="W46" s="444"/>
      <c r="X46" s="444"/>
      <c r="Y46" s="444"/>
      <c r="Z46" s="444"/>
    </row>
    <row r="47" spans="1:26" ht="14.25" customHeight="1" x14ac:dyDescent="0.3">
      <c r="A47" s="352" t="s">
        <v>2276</v>
      </c>
      <c r="B47" s="433" t="s">
        <v>1142</v>
      </c>
      <c r="C47" s="425" t="s">
        <v>1076</v>
      </c>
      <c r="D47" s="540" t="s">
        <v>1079</v>
      </c>
      <c r="E47" s="427">
        <v>16</v>
      </c>
      <c r="F47" s="428">
        <v>45833</v>
      </c>
      <c r="G47" s="428">
        <v>45905</v>
      </c>
      <c r="H47" s="435" t="s">
        <v>1083</v>
      </c>
      <c r="I47" s="427">
        <v>2</v>
      </c>
      <c r="J47" s="428">
        <v>45910</v>
      </c>
      <c r="K47" s="308"/>
      <c r="L47" s="308"/>
      <c r="M47" s="308"/>
      <c r="N47" s="308"/>
      <c r="O47" s="308"/>
      <c r="P47" s="308"/>
      <c r="Q47" s="308"/>
      <c r="R47" s="308"/>
      <c r="S47" s="308"/>
      <c r="T47" s="308"/>
      <c r="U47" s="308"/>
      <c r="V47" s="308"/>
      <c r="W47" s="308"/>
      <c r="X47" s="308"/>
      <c r="Y47" s="308"/>
      <c r="Z47" s="308"/>
    </row>
    <row r="48" spans="1:26" ht="14.25" customHeight="1" x14ac:dyDescent="0.3">
      <c r="A48" s="352" t="s">
        <v>2243</v>
      </c>
      <c r="B48" s="433" t="s">
        <v>1142</v>
      </c>
      <c r="C48" s="425" t="s">
        <v>1076</v>
      </c>
      <c r="D48" s="544" t="s">
        <v>1082</v>
      </c>
      <c r="E48" s="427">
        <v>17</v>
      </c>
      <c r="F48" s="428">
        <v>45833</v>
      </c>
      <c r="G48" s="428">
        <v>45905</v>
      </c>
      <c r="H48" s="435" t="s">
        <v>1083</v>
      </c>
      <c r="I48" s="427">
        <v>2</v>
      </c>
      <c r="J48" s="428">
        <v>45910</v>
      </c>
      <c r="K48" s="308"/>
      <c r="L48" s="308"/>
      <c r="M48" s="308"/>
      <c r="N48" s="308"/>
      <c r="O48" s="308"/>
      <c r="P48" s="308"/>
      <c r="Q48" s="308"/>
      <c r="R48" s="308"/>
      <c r="S48" s="308"/>
      <c r="T48" s="308"/>
      <c r="U48" s="308"/>
      <c r="V48" s="308"/>
      <c r="W48" s="308"/>
      <c r="X48" s="308"/>
      <c r="Y48" s="308"/>
      <c r="Z48" s="308"/>
    </row>
    <row r="49" spans="1:26" ht="14.25" customHeight="1" x14ac:dyDescent="0.3">
      <c r="A49" s="352" t="s">
        <v>2254</v>
      </c>
      <c r="B49" s="433" t="s">
        <v>1142</v>
      </c>
      <c r="C49" s="425" t="s">
        <v>1076</v>
      </c>
      <c r="D49" s="529" t="s">
        <v>1086</v>
      </c>
      <c r="E49" s="525">
        <v>5</v>
      </c>
      <c r="F49" s="538">
        <v>45820</v>
      </c>
      <c r="G49" s="539" t="s">
        <v>451</v>
      </c>
      <c r="H49" s="435" t="s">
        <v>1083</v>
      </c>
      <c r="I49" s="439">
        <v>1</v>
      </c>
      <c r="J49" s="428">
        <v>45824</v>
      </c>
      <c r="K49" s="308"/>
      <c r="L49" s="308"/>
      <c r="M49" s="308"/>
      <c r="N49" s="308"/>
      <c r="O49" s="308"/>
      <c r="P49" s="308"/>
      <c r="Q49" s="308"/>
      <c r="R49" s="308"/>
      <c r="S49" s="308"/>
      <c r="T49" s="308"/>
      <c r="U49" s="308"/>
      <c r="V49" s="308"/>
      <c r="W49" s="308"/>
      <c r="X49" s="308"/>
      <c r="Y49" s="308"/>
      <c r="Z49" s="308"/>
    </row>
    <row r="50" spans="1:26" ht="14.25" customHeight="1" x14ac:dyDescent="0.3">
      <c r="A50" s="478" t="s">
        <v>2290</v>
      </c>
      <c r="B50" s="449" t="s">
        <v>1142</v>
      </c>
      <c r="C50" s="511" t="s">
        <v>1076</v>
      </c>
      <c r="D50" s="445" t="s">
        <v>1138</v>
      </c>
      <c r="E50" s="512">
        <v>35</v>
      </c>
      <c r="F50" s="513">
        <v>45994</v>
      </c>
      <c r="G50" s="512"/>
      <c r="H50" s="514" t="s">
        <v>1083</v>
      </c>
      <c r="I50" s="512">
        <v>7</v>
      </c>
      <c r="J50" s="512"/>
      <c r="K50" s="512" t="s">
        <v>1139</v>
      </c>
      <c r="L50" s="308"/>
      <c r="M50" s="308"/>
      <c r="N50" s="308"/>
      <c r="O50" s="308"/>
      <c r="P50" s="308"/>
      <c r="Q50" s="308"/>
      <c r="R50" s="308"/>
      <c r="S50" s="308"/>
      <c r="T50" s="308"/>
      <c r="U50" s="308"/>
      <c r="V50" s="308"/>
      <c r="W50" s="308"/>
      <c r="X50" s="308"/>
      <c r="Y50" s="308"/>
      <c r="Z50" s="308"/>
    </row>
    <row r="51" spans="1:26" ht="14.25" customHeight="1" x14ac:dyDescent="0.3">
      <c r="A51" s="477" t="s">
        <v>2291</v>
      </c>
      <c r="B51" s="418" t="s">
        <v>1122</v>
      </c>
      <c r="C51" s="425" t="s">
        <v>1076</v>
      </c>
      <c r="D51" s="438" t="s">
        <v>1086</v>
      </c>
      <c r="E51" s="447">
        <v>29</v>
      </c>
      <c r="F51" s="448">
        <v>45986</v>
      </c>
      <c r="G51" s="447"/>
      <c r="H51" s="428" t="s">
        <v>1078</v>
      </c>
      <c r="I51" s="447"/>
      <c r="J51" s="447"/>
      <c r="K51" s="447" t="s">
        <v>1230</v>
      </c>
      <c r="L51" s="308"/>
      <c r="M51" s="308"/>
      <c r="N51" s="308"/>
      <c r="O51" s="308"/>
      <c r="P51" s="308"/>
      <c r="Q51" s="308"/>
      <c r="R51" s="308"/>
      <c r="S51" s="308"/>
      <c r="T51" s="308"/>
      <c r="U51" s="308"/>
      <c r="V51" s="308"/>
      <c r="W51" s="308"/>
      <c r="X51" s="308"/>
      <c r="Y51" s="308"/>
      <c r="Z51" s="308"/>
    </row>
    <row r="52" spans="1:26" ht="14.25" customHeight="1" x14ac:dyDescent="0.3">
      <c r="A52" s="478" t="s">
        <v>2291</v>
      </c>
      <c r="B52" s="418" t="s">
        <v>1122</v>
      </c>
      <c r="C52" s="447" t="s">
        <v>1144</v>
      </c>
      <c r="D52" s="447" t="s">
        <v>1132</v>
      </c>
      <c r="E52" s="447">
        <v>33</v>
      </c>
      <c r="F52" s="448">
        <v>45989</v>
      </c>
      <c r="G52" s="447"/>
      <c r="H52" s="308" t="s">
        <v>1078</v>
      </c>
      <c r="I52" s="447"/>
      <c r="J52" s="447"/>
      <c r="K52" s="447"/>
      <c r="L52" s="308"/>
      <c r="M52" s="308"/>
      <c r="N52" s="308"/>
      <c r="O52" s="308"/>
      <c r="P52" s="308"/>
      <c r="Q52" s="308"/>
      <c r="R52" s="308"/>
      <c r="S52" s="308"/>
      <c r="T52" s="308"/>
      <c r="U52" s="308"/>
      <c r="V52" s="308"/>
      <c r="W52" s="308"/>
      <c r="X52" s="308"/>
      <c r="Y52" s="308"/>
      <c r="Z52" s="308"/>
    </row>
    <row r="53" spans="1:26" ht="14.25" customHeight="1" x14ac:dyDescent="0.3">
      <c r="A53" s="477" t="s">
        <v>2290</v>
      </c>
      <c r="B53" s="419" t="s">
        <v>1142</v>
      </c>
      <c r="C53" s="425" t="s">
        <v>1076</v>
      </c>
      <c r="D53" s="473" t="s">
        <v>1082</v>
      </c>
      <c r="E53" s="447">
        <v>31</v>
      </c>
      <c r="F53" s="448">
        <v>45986</v>
      </c>
      <c r="G53" s="447"/>
      <c r="H53" s="428" t="s">
        <v>1078</v>
      </c>
      <c r="I53" s="447">
        <v>6</v>
      </c>
      <c r="J53" s="447"/>
      <c r="K53" s="447" t="s">
        <v>1146</v>
      </c>
      <c r="L53" s="308"/>
      <c r="M53" s="308"/>
      <c r="N53" s="308"/>
      <c r="O53" s="308"/>
      <c r="P53" s="308"/>
      <c r="Q53" s="308"/>
      <c r="R53" s="308"/>
      <c r="S53" s="308"/>
      <c r="T53" s="308"/>
      <c r="U53" s="308"/>
      <c r="V53" s="308"/>
      <c r="W53" s="308"/>
      <c r="X53" s="308"/>
      <c r="Y53" s="308"/>
      <c r="Z53" s="308"/>
    </row>
    <row r="54" spans="1:26" ht="14.25" customHeight="1" x14ac:dyDescent="0.3">
      <c r="A54" s="478" t="s">
        <v>2290</v>
      </c>
      <c r="B54" s="449" t="s">
        <v>1142</v>
      </c>
      <c r="C54" s="425" t="s">
        <v>1076</v>
      </c>
      <c r="D54" s="473" t="s">
        <v>1082</v>
      </c>
      <c r="E54" s="445" t="s">
        <v>1140</v>
      </c>
      <c r="F54" s="446">
        <v>45989</v>
      </c>
      <c r="G54" s="445"/>
      <c r="H54" s="267" t="s">
        <v>1083</v>
      </c>
      <c r="I54" s="445">
        <v>7</v>
      </c>
      <c r="J54" s="445"/>
      <c r="K54" s="445"/>
      <c r="L54" s="308"/>
      <c r="M54" s="308"/>
      <c r="N54" s="308"/>
      <c r="O54" s="308"/>
      <c r="P54" s="308"/>
      <c r="Q54" s="308"/>
      <c r="R54" s="308"/>
      <c r="S54" s="308"/>
      <c r="T54" s="308"/>
      <c r="U54" s="308"/>
      <c r="V54" s="308"/>
      <c r="W54" s="308"/>
      <c r="X54" s="308"/>
      <c r="Y54" s="308"/>
      <c r="Z54" s="308"/>
    </row>
    <row r="55" spans="1:26" ht="14.25" customHeight="1" x14ac:dyDescent="0.3">
      <c r="A55" s="477" t="s">
        <v>2290</v>
      </c>
      <c r="B55" s="418" t="s">
        <v>1122</v>
      </c>
      <c r="C55" s="425" t="s">
        <v>1076</v>
      </c>
      <c r="D55" s="432" t="s">
        <v>1080</v>
      </c>
      <c r="E55" s="447">
        <v>30</v>
      </c>
      <c r="F55" s="448">
        <v>45986</v>
      </c>
      <c r="G55" s="447"/>
      <c r="H55" s="428" t="s">
        <v>1078</v>
      </c>
      <c r="I55" s="447"/>
      <c r="J55" s="447"/>
      <c r="K55" s="447" t="s">
        <v>1234</v>
      </c>
      <c r="L55" s="308"/>
      <c r="M55" s="308"/>
      <c r="N55" s="308"/>
      <c r="O55" s="308"/>
      <c r="P55" s="308"/>
      <c r="Q55" s="308"/>
      <c r="R55" s="308"/>
      <c r="S55" s="308"/>
      <c r="T55" s="308"/>
      <c r="U55" s="308"/>
      <c r="V55" s="308"/>
      <c r="W55" s="308"/>
      <c r="X55" s="308"/>
      <c r="Y55" s="308"/>
      <c r="Z55" s="308"/>
    </row>
    <row r="56" spans="1:26" ht="14.25" customHeight="1" x14ac:dyDescent="0.3">
      <c r="A56" s="479" t="s">
        <v>2216</v>
      </c>
      <c r="B56" s="418" t="s">
        <v>1122</v>
      </c>
      <c r="C56" s="447" t="s">
        <v>1144</v>
      </c>
      <c r="D56" s="447" t="s">
        <v>1235</v>
      </c>
      <c r="E56" s="447">
        <v>32</v>
      </c>
      <c r="F56" s="448">
        <v>45987</v>
      </c>
      <c r="G56" s="447"/>
      <c r="H56" s="447" t="s">
        <v>1078</v>
      </c>
      <c r="I56" s="447"/>
      <c r="J56" s="447"/>
      <c r="K56" s="447" t="s">
        <v>1236</v>
      </c>
      <c r="L56" s="308"/>
      <c r="M56" s="308"/>
      <c r="N56" s="308"/>
      <c r="O56" s="308"/>
      <c r="P56" s="308"/>
      <c r="Q56" s="308"/>
      <c r="R56" s="308"/>
      <c r="S56" s="308"/>
      <c r="T56" s="308"/>
      <c r="U56" s="308"/>
      <c r="V56" s="308"/>
      <c r="W56" s="308"/>
      <c r="X56" s="308"/>
      <c r="Y56" s="308"/>
      <c r="Z56" s="308"/>
    </row>
    <row r="57" spans="1:26" ht="14.25" customHeight="1" x14ac:dyDescent="0.3">
      <c r="A57" s="479" t="s">
        <v>2216</v>
      </c>
      <c r="B57" s="449" t="s">
        <v>1142</v>
      </c>
      <c r="C57" s="447" t="s">
        <v>1144</v>
      </c>
      <c r="D57" s="521" t="s">
        <v>1231</v>
      </c>
      <c r="E57" s="447">
        <v>34</v>
      </c>
      <c r="F57" s="448">
        <v>45992</v>
      </c>
      <c r="G57" s="447"/>
      <c r="H57" s="267" t="s">
        <v>1083</v>
      </c>
      <c r="I57" s="447">
        <v>6</v>
      </c>
      <c r="J57" s="447"/>
      <c r="K57" s="447" t="s">
        <v>1232</v>
      </c>
      <c r="L57" s="308"/>
      <c r="M57" s="308"/>
      <c r="N57" s="308"/>
      <c r="O57" s="308"/>
      <c r="P57" s="308"/>
      <c r="Q57" s="308"/>
      <c r="R57" s="308"/>
      <c r="S57" s="308"/>
      <c r="T57" s="308"/>
      <c r="U57" s="308"/>
      <c r="V57" s="308"/>
      <c r="W57" s="308"/>
      <c r="X57" s="308"/>
      <c r="Y57" s="308"/>
      <c r="Z57" s="308"/>
    </row>
    <row r="58" spans="1:26" ht="14.25" customHeight="1" x14ac:dyDescent="0.3">
      <c r="A58" s="480" t="s">
        <v>1049</v>
      </c>
      <c r="B58" s="424" t="s">
        <v>1122</v>
      </c>
      <c r="C58" s="425" t="s">
        <v>1089</v>
      </c>
      <c r="D58" s="441" t="s">
        <v>1088</v>
      </c>
      <c r="E58" s="450">
        <v>13</v>
      </c>
      <c r="F58" s="451">
        <v>45824</v>
      </c>
      <c r="G58" s="429" t="s">
        <v>451</v>
      </c>
      <c r="H58" s="443" t="s">
        <v>1090</v>
      </c>
      <c r="I58" s="423" t="s">
        <v>451</v>
      </c>
      <c r="J58" s="429" t="s">
        <v>451</v>
      </c>
      <c r="K58" s="308"/>
      <c r="L58" s="308"/>
      <c r="M58" s="308"/>
      <c r="N58" s="308"/>
      <c r="O58" s="308"/>
      <c r="P58" s="308"/>
      <c r="Q58" s="308"/>
      <c r="R58" s="308"/>
      <c r="S58" s="308"/>
      <c r="T58" s="308"/>
      <c r="U58" s="308"/>
      <c r="V58" s="308"/>
      <c r="W58" s="308"/>
      <c r="X58" s="308"/>
      <c r="Y58" s="308"/>
      <c r="Z58" s="308"/>
    </row>
    <row r="59" spans="1:26" ht="14.25" customHeight="1" x14ac:dyDescent="0.3">
      <c r="A59" s="352" t="s">
        <v>1049</v>
      </c>
      <c r="B59" s="433" t="s">
        <v>1142</v>
      </c>
      <c r="C59" s="511" t="s">
        <v>1089</v>
      </c>
      <c r="D59" s="522" t="s">
        <v>1091</v>
      </c>
      <c r="E59" s="450">
        <v>19</v>
      </c>
      <c r="F59" s="428">
        <v>45865</v>
      </c>
      <c r="G59" s="428">
        <v>45905</v>
      </c>
      <c r="H59" s="443" t="s">
        <v>1090</v>
      </c>
      <c r="I59" s="308"/>
      <c r="J59" s="429"/>
      <c r="K59" s="444"/>
      <c r="L59" s="308"/>
      <c r="M59" s="308"/>
      <c r="N59" s="308"/>
      <c r="O59" s="308"/>
      <c r="P59" s="308"/>
      <c r="Q59" s="308"/>
      <c r="R59" s="308"/>
      <c r="S59" s="308"/>
      <c r="T59" s="308"/>
      <c r="U59" s="308"/>
      <c r="V59" s="308"/>
      <c r="W59" s="308"/>
      <c r="X59" s="308"/>
      <c r="Y59" s="308"/>
      <c r="Z59" s="308"/>
    </row>
    <row r="60" spans="1:26" ht="14.25" customHeight="1" x14ac:dyDescent="0.3">
      <c r="A60" s="480" t="s">
        <v>1092</v>
      </c>
      <c r="B60" s="424" t="s">
        <v>1122</v>
      </c>
      <c r="C60" s="425" t="s">
        <v>1089</v>
      </c>
      <c r="D60" s="441" t="s">
        <v>1088</v>
      </c>
      <c r="E60" s="450">
        <v>19</v>
      </c>
      <c r="F60" s="428">
        <v>45865</v>
      </c>
      <c r="G60" s="429" t="s">
        <v>451</v>
      </c>
      <c r="H60" s="443" t="s">
        <v>1090</v>
      </c>
      <c r="I60" s="423" t="s">
        <v>451</v>
      </c>
      <c r="J60" s="429" t="s">
        <v>451</v>
      </c>
      <c r="K60" s="308"/>
      <c r="L60" s="308"/>
      <c r="M60" s="308"/>
      <c r="N60" s="308"/>
      <c r="O60" s="308"/>
      <c r="P60" s="308"/>
      <c r="Q60" s="308"/>
      <c r="R60" s="308"/>
      <c r="S60" s="308"/>
      <c r="T60" s="308"/>
      <c r="U60" s="308"/>
      <c r="V60" s="308"/>
      <c r="W60" s="308"/>
      <c r="X60" s="308"/>
      <c r="Y60" s="308"/>
      <c r="Z60" s="308"/>
    </row>
    <row r="61" spans="1:26" ht="14.25" customHeight="1" x14ac:dyDescent="0.3">
      <c r="A61" s="480" t="s">
        <v>1092</v>
      </c>
      <c r="B61" s="424" t="s">
        <v>1122</v>
      </c>
      <c r="C61" s="425" t="s">
        <v>1089</v>
      </c>
      <c r="D61" s="441" t="s">
        <v>1088</v>
      </c>
      <c r="E61" s="450">
        <v>19</v>
      </c>
      <c r="F61" s="428">
        <v>45865</v>
      </c>
      <c r="G61" s="429" t="s">
        <v>451</v>
      </c>
      <c r="H61" s="428" t="s">
        <v>1078</v>
      </c>
      <c r="I61" s="429" t="s">
        <v>451</v>
      </c>
      <c r="J61" s="429" t="s">
        <v>451</v>
      </c>
      <c r="K61" s="308"/>
      <c r="L61" s="308"/>
      <c r="M61" s="308"/>
      <c r="N61" s="308"/>
      <c r="O61" s="308"/>
      <c r="P61" s="308"/>
      <c r="Q61" s="308"/>
      <c r="R61" s="308"/>
      <c r="S61" s="308"/>
      <c r="T61" s="308"/>
      <c r="U61" s="308"/>
      <c r="V61" s="308"/>
      <c r="W61" s="308"/>
      <c r="X61" s="308"/>
      <c r="Y61" s="308"/>
      <c r="Z61" s="308"/>
    </row>
    <row r="62" spans="1:26" ht="14.25" customHeight="1" x14ac:dyDescent="0.3">
      <c r="A62" s="352" t="s">
        <v>446</v>
      </c>
      <c r="B62" s="433" t="s">
        <v>1142</v>
      </c>
      <c r="C62" s="352" t="s">
        <v>1089</v>
      </c>
      <c r="D62" s="515" t="s">
        <v>1088</v>
      </c>
      <c r="E62" s="452">
        <v>23</v>
      </c>
      <c r="F62" s="431">
        <v>45938</v>
      </c>
      <c r="G62" s="308"/>
      <c r="H62" s="435" t="s">
        <v>1083</v>
      </c>
      <c r="I62" s="452">
        <v>4</v>
      </c>
      <c r="J62" s="431">
        <v>45944</v>
      </c>
      <c r="K62" s="308"/>
      <c r="L62" s="308"/>
      <c r="M62" s="308"/>
      <c r="N62" s="308"/>
      <c r="O62" s="308"/>
      <c r="P62" s="308"/>
      <c r="Q62" s="308"/>
      <c r="R62" s="308"/>
      <c r="S62" s="308"/>
      <c r="T62" s="308"/>
      <c r="U62" s="308"/>
      <c r="V62" s="308"/>
      <c r="W62" s="308"/>
      <c r="X62" s="308"/>
      <c r="Y62" s="308"/>
      <c r="Z62" s="308"/>
    </row>
    <row r="63" spans="1:26" ht="14.25" customHeight="1" x14ac:dyDescent="0.3">
      <c r="A63" s="479" t="s">
        <v>446</v>
      </c>
      <c r="B63" s="449" t="s">
        <v>1142</v>
      </c>
      <c r="C63" s="447" t="s">
        <v>1144</v>
      </c>
      <c r="D63" s="521" t="s">
        <v>1231</v>
      </c>
      <c r="E63" s="447">
        <v>34</v>
      </c>
      <c r="F63" s="448">
        <v>45992</v>
      </c>
      <c r="G63" s="447"/>
      <c r="H63" s="267" t="s">
        <v>1083</v>
      </c>
      <c r="I63" s="447">
        <v>6</v>
      </c>
      <c r="J63" s="447"/>
      <c r="K63" s="447" t="s">
        <v>1232</v>
      </c>
      <c r="L63" s="308"/>
      <c r="M63" s="308"/>
      <c r="N63" s="308"/>
      <c r="O63" s="308"/>
      <c r="P63" s="308"/>
      <c r="Q63" s="308"/>
      <c r="R63" s="308"/>
      <c r="S63" s="308"/>
      <c r="T63" s="308"/>
      <c r="U63" s="308"/>
      <c r="V63" s="308"/>
      <c r="W63" s="308"/>
      <c r="X63" s="308"/>
      <c r="Y63" s="308"/>
      <c r="Z63" s="308"/>
    </row>
    <row r="64" spans="1:26" ht="14.25" customHeight="1" x14ac:dyDescent="0.3">
      <c r="A64" s="352" t="s">
        <v>2166</v>
      </c>
      <c r="B64" s="433" t="s">
        <v>1142</v>
      </c>
      <c r="C64" s="511" t="s">
        <v>1089</v>
      </c>
      <c r="D64" s="522" t="s">
        <v>1091</v>
      </c>
      <c r="E64" s="450">
        <v>19</v>
      </c>
      <c r="F64" s="524">
        <v>45865</v>
      </c>
      <c r="G64" s="524">
        <v>45905</v>
      </c>
      <c r="H64" s="443" t="s">
        <v>1090</v>
      </c>
      <c r="I64" s="308"/>
      <c r="J64" s="429"/>
      <c r="K64" s="308"/>
      <c r="L64" s="308"/>
      <c r="M64" s="308"/>
      <c r="N64" s="308"/>
      <c r="O64" s="308"/>
      <c r="P64" s="308"/>
      <c r="Q64" s="308"/>
      <c r="R64" s="308"/>
      <c r="S64" s="308"/>
      <c r="T64" s="308"/>
      <c r="U64" s="308"/>
      <c r="V64" s="308"/>
      <c r="W64" s="308"/>
      <c r="X64" s="308"/>
      <c r="Y64" s="308"/>
      <c r="Z64" s="308"/>
    </row>
    <row r="65" spans="1:26" ht="14.25" customHeight="1" x14ac:dyDescent="0.3">
      <c r="A65" s="479" t="s">
        <v>1915</v>
      </c>
      <c r="B65" s="418" t="s">
        <v>1122</v>
      </c>
      <c r="C65" s="447" t="s">
        <v>1144</v>
      </c>
      <c r="D65" s="447" t="s">
        <v>1235</v>
      </c>
      <c r="E65" s="447">
        <v>32</v>
      </c>
      <c r="F65" s="448">
        <v>45987</v>
      </c>
      <c r="G65" s="447"/>
      <c r="H65" s="447" t="s">
        <v>1078</v>
      </c>
      <c r="I65" s="447"/>
      <c r="J65" s="447"/>
      <c r="K65" s="447" t="s">
        <v>1236</v>
      </c>
      <c r="L65" s="308"/>
      <c r="M65" s="308"/>
      <c r="N65" s="308"/>
      <c r="O65" s="308"/>
      <c r="P65" s="308"/>
      <c r="Q65" s="308"/>
      <c r="R65" s="308"/>
      <c r="S65" s="308"/>
      <c r="T65" s="308"/>
      <c r="U65" s="308"/>
      <c r="V65" s="308"/>
      <c r="W65" s="308"/>
      <c r="X65" s="308"/>
      <c r="Y65" s="308"/>
      <c r="Z65" s="308"/>
    </row>
    <row r="66" spans="1:26" ht="14.25" customHeight="1" x14ac:dyDescent="0.3">
      <c r="A66" s="352" t="s">
        <v>465</v>
      </c>
      <c r="B66" s="433" t="s">
        <v>1142</v>
      </c>
      <c r="C66" s="511" t="s">
        <v>1093</v>
      </c>
      <c r="D66" s="522" t="s">
        <v>1091</v>
      </c>
      <c r="E66" s="450">
        <v>19</v>
      </c>
      <c r="F66" s="524">
        <v>45865</v>
      </c>
      <c r="G66" s="422" t="s">
        <v>1094</v>
      </c>
      <c r="H66" s="436" t="s">
        <v>1083</v>
      </c>
      <c r="I66" s="308">
        <v>5</v>
      </c>
      <c r="J66" s="429"/>
      <c r="K66" s="308"/>
      <c r="L66" s="308"/>
      <c r="M66" s="308"/>
      <c r="N66" s="308"/>
      <c r="O66" s="308"/>
      <c r="P66" s="308"/>
      <c r="Q66" s="308"/>
      <c r="R66" s="308"/>
      <c r="S66" s="308"/>
      <c r="T66" s="308"/>
      <c r="U66" s="308"/>
      <c r="V66" s="308"/>
      <c r="W66" s="308"/>
      <c r="X66" s="308"/>
      <c r="Y66" s="308"/>
      <c r="Z66" s="308"/>
    </row>
    <row r="67" spans="1:26" ht="14.25" customHeight="1" x14ac:dyDescent="0.3">
      <c r="A67" s="352" t="s">
        <v>471</v>
      </c>
      <c r="B67" s="433" t="s">
        <v>1142</v>
      </c>
      <c r="C67" s="352" t="s">
        <v>1095</v>
      </c>
      <c r="D67" s="541" t="s">
        <v>1096</v>
      </c>
      <c r="E67" s="453">
        <v>20</v>
      </c>
      <c r="F67" s="431">
        <v>45912</v>
      </c>
      <c r="G67" s="308"/>
      <c r="H67" s="435" t="s">
        <v>1083</v>
      </c>
      <c r="I67" s="452">
        <v>4</v>
      </c>
      <c r="J67" s="431">
        <v>45944</v>
      </c>
      <c r="K67" s="308"/>
      <c r="L67" s="308"/>
      <c r="M67" s="308"/>
      <c r="N67" s="308"/>
      <c r="O67" s="308"/>
      <c r="P67" s="308"/>
      <c r="Q67" s="308"/>
      <c r="R67" s="308"/>
      <c r="S67" s="308"/>
      <c r="T67" s="308"/>
      <c r="U67" s="308"/>
      <c r="V67" s="308"/>
      <c r="W67" s="308"/>
      <c r="X67" s="308"/>
      <c r="Y67" s="308"/>
      <c r="Z67" s="308"/>
    </row>
    <row r="68" spans="1:26" ht="14.25" customHeight="1" x14ac:dyDescent="0.3">
      <c r="A68" s="352" t="s">
        <v>2292</v>
      </c>
      <c r="B68" s="433" t="s">
        <v>1142</v>
      </c>
      <c r="C68" s="425" t="s">
        <v>1095</v>
      </c>
      <c r="D68" s="542" t="s">
        <v>1096</v>
      </c>
      <c r="E68" s="439">
        <v>20</v>
      </c>
      <c r="F68" s="428">
        <v>45912</v>
      </c>
      <c r="G68" s="308" t="s">
        <v>1098</v>
      </c>
      <c r="H68" s="428" t="s">
        <v>1078</v>
      </c>
      <c r="I68" s="308"/>
      <c r="J68" s="429"/>
      <c r="K68" s="308"/>
      <c r="L68" s="308"/>
      <c r="M68" s="308"/>
      <c r="N68" s="308"/>
      <c r="O68" s="308"/>
      <c r="P68" s="308"/>
      <c r="Q68" s="308"/>
      <c r="R68" s="308"/>
      <c r="S68" s="308"/>
      <c r="T68" s="308"/>
      <c r="U68" s="308"/>
      <c r="V68" s="308"/>
      <c r="W68" s="308"/>
      <c r="X68" s="308"/>
      <c r="Y68" s="308"/>
      <c r="Z68" s="308"/>
    </row>
    <row r="69" spans="1:26" ht="14.25" customHeight="1" x14ac:dyDescent="0.3">
      <c r="A69" s="352" t="s">
        <v>1099</v>
      </c>
      <c r="B69" s="433" t="s">
        <v>1142</v>
      </c>
      <c r="C69" s="511" t="s">
        <v>1089</v>
      </c>
      <c r="D69" s="442" t="s">
        <v>1088</v>
      </c>
      <c r="E69" s="427">
        <v>6</v>
      </c>
      <c r="F69" s="440">
        <v>45821</v>
      </c>
      <c r="G69" s="429" t="s">
        <v>451</v>
      </c>
      <c r="H69" s="435" t="s">
        <v>1083</v>
      </c>
      <c r="I69" s="439">
        <v>1</v>
      </c>
      <c r="J69" s="428">
        <v>45824</v>
      </c>
      <c r="K69" s="308"/>
      <c r="L69" s="308"/>
      <c r="M69" s="308"/>
      <c r="N69" s="308"/>
      <c r="O69" s="308"/>
      <c r="P69" s="308"/>
      <c r="Q69" s="308"/>
      <c r="R69" s="308"/>
      <c r="S69" s="308"/>
      <c r="T69" s="308"/>
      <c r="U69" s="308"/>
      <c r="V69" s="308"/>
      <c r="W69" s="308"/>
      <c r="X69" s="308"/>
      <c r="Y69" s="308"/>
      <c r="Z69" s="308"/>
    </row>
    <row r="70" spans="1:26" ht="14.25" customHeight="1" x14ac:dyDescent="0.3">
      <c r="A70" s="480" t="s">
        <v>1099</v>
      </c>
      <c r="B70" s="424" t="s">
        <v>1122</v>
      </c>
      <c r="C70" s="425" t="s">
        <v>1089</v>
      </c>
      <c r="D70" s="441" t="s">
        <v>1088</v>
      </c>
      <c r="E70" s="450">
        <v>19</v>
      </c>
      <c r="F70" s="428">
        <v>45865</v>
      </c>
      <c r="G70" s="429" t="s">
        <v>451</v>
      </c>
      <c r="H70" s="428" t="s">
        <v>1078</v>
      </c>
      <c r="J70" s="429" t="s">
        <v>451</v>
      </c>
      <c r="K70" s="308"/>
      <c r="L70" s="308"/>
      <c r="M70" s="308"/>
      <c r="N70" s="308"/>
      <c r="O70" s="308"/>
      <c r="P70" s="308"/>
      <c r="Q70" s="308"/>
      <c r="R70" s="308"/>
      <c r="S70" s="308"/>
      <c r="T70" s="308"/>
      <c r="U70" s="308"/>
      <c r="V70" s="308"/>
      <c r="W70" s="308"/>
      <c r="X70" s="308"/>
      <c r="Y70" s="308"/>
      <c r="Z70" s="308"/>
    </row>
    <row r="71" spans="1:26" ht="14.25" customHeight="1" x14ac:dyDescent="0.3">
      <c r="A71" s="480" t="s">
        <v>1099</v>
      </c>
      <c r="B71" s="424" t="s">
        <v>1122</v>
      </c>
      <c r="C71" s="425" t="s">
        <v>1089</v>
      </c>
      <c r="D71" s="441" t="s">
        <v>1088</v>
      </c>
      <c r="E71" s="450">
        <v>19</v>
      </c>
      <c r="F71" s="428">
        <v>45865</v>
      </c>
      <c r="G71" s="429" t="s">
        <v>451</v>
      </c>
      <c r="H71" s="428" t="s">
        <v>1078</v>
      </c>
      <c r="I71" s="308"/>
      <c r="J71" s="429" t="s">
        <v>451</v>
      </c>
      <c r="K71" s="308"/>
      <c r="L71" s="308"/>
      <c r="M71" s="308"/>
      <c r="N71" s="308"/>
      <c r="O71" s="308"/>
      <c r="P71" s="308"/>
      <c r="Q71" s="308"/>
      <c r="R71" s="308"/>
      <c r="S71" s="308"/>
      <c r="T71" s="308"/>
      <c r="U71" s="308"/>
      <c r="V71" s="308"/>
      <c r="W71" s="308"/>
      <c r="X71" s="308"/>
      <c r="Y71" s="308"/>
      <c r="Z71" s="308"/>
    </row>
    <row r="72" spans="1:26" ht="14.25" customHeight="1" x14ac:dyDescent="0.3">
      <c r="A72" s="352" t="s">
        <v>1099</v>
      </c>
      <c r="B72" s="433" t="s">
        <v>1142</v>
      </c>
      <c r="C72" s="511" t="s">
        <v>1089</v>
      </c>
      <c r="D72" s="442" t="s">
        <v>1088</v>
      </c>
      <c r="E72" s="427">
        <v>6</v>
      </c>
      <c r="F72" s="440">
        <v>45821</v>
      </c>
      <c r="G72" s="423" t="s">
        <v>451</v>
      </c>
      <c r="H72" s="435" t="s">
        <v>1083</v>
      </c>
      <c r="I72" s="439">
        <v>1</v>
      </c>
      <c r="J72" s="428">
        <v>45824</v>
      </c>
      <c r="K72" s="308"/>
      <c r="L72" s="308"/>
      <c r="M72" s="308"/>
      <c r="N72" s="308"/>
      <c r="O72" s="308"/>
      <c r="P72" s="308"/>
      <c r="Q72" s="308"/>
      <c r="R72" s="308"/>
      <c r="S72" s="308"/>
      <c r="T72" s="308"/>
      <c r="U72" s="308"/>
      <c r="V72" s="308"/>
      <c r="W72" s="308"/>
      <c r="X72" s="308"/>
      <c r="Y72" s="308"/>
      <c r="Z72" s="308"/>
    </row>
    <row r="73" spans="1:26" ht="14.25" customHeight="1" x14ac:dyDescent="0.3">
      <c r="A73" s="416" t="s">
        <v>1099</v>
      </c>
      <c r="B73" s="433" t="s">
        <v>1142</v>
      </c>
      <c r="C73" s="511" t="s">
        <v>1089</v>
      </c>
      <c r="D73" s="442" t="s">
        <v>1088</v>
      </c>
      <c r="E73" s="427">
        <v>6</v>
      </c>
      <c r="F73" s="440">
        <v>45821</v>
      </c>
      <c r="G73" s="423" t="s">
        <v>451</v>
      </c>
      <c r="H73" s="435" t="s">
        <v>1083</v>
      </c>
      <c r="I73" s="439">
        <v>1</v>
      </c>
      <c r="J73" s="428">
        <v>45824</v>
      </c>
      <c r="K73" s="308"/>
      <c r="L73" s="308"/>
      <c r="M73" s="308"/>
      <c r="N73" s="308"/>
      <c r="O73" s="308"/>
      <c r="P73" s="308"/>
      <c r="Q73" s="308"/>
      <c r="R73" s="308"/>
      <c r="S73" s="308"/>
      <c r="T73" s="308"/>
      <c r="U73" s="308"/>
      <c r="V73" s="308"/>
      <c r="W73" s="308"/>
      <c r="X73" s="308"/>
      <c r="Y73" s="308"/>
      <c r="Z73" s="308"/>
    </row>
    <row r="74" spans="1:26" ht="14.25" customHeight="1" x14ac:dyDescent="0.3">
      <c r="A74" s="352" t="s">
        <v>1099</v>
      </c>
      <c r="B74" s="433" t="s">
        <v>1142</v>
      </c>
      <c r="C74" s="511" t="s">
        <v>1093</v>
      </c>
      <c r="D74" s="522" t="s">
        <v>1100</v>
      </c>
      <c r="E74" s="525">
        <v>19</v>
      </c>
      <c r="F74" s="524">
        <v>45865</v>
      </c>
      <c r="G74" s="524">
        <v>45848</v>
      </c>
      <c r="H74" s="435" t="s">
        <v>1083</v>
      </c>
      <c r="I74" s="427">
        <v>2</v>
      </c>
      <c r="J74" s="428">
        <v>45910</v>
      </c>
      <c r="K74" s="308"/>
      <c r="L74" s="308"/>
      <c r="M74" s="308"/>
      <c r="N74" s="308"/>
      <c r="O74" s="308"/>
      <c r="P74" s="308"/>
      <c r="Q74" s="308"/>
      <c r="R74" s="308"/>
      <c r="S74" s="308"/>
      <c r="T74" s="308"/>
      <c r="U74" s="308"/>
      <c r="V74" s="308"/>
      <c r="W74" s="308"/>
      <c r="X74" s="308"/>
      <c r="Y74" s="308"/>
      <c r="Z74" s="308"/>
    </row>
    <row r="75" spans="1:26" ht="14.25" customHeight="1" x14ac:dyDescent="0.3">
      <c r="A75" s="480" t="s">
        <v>1101</v>
      </c>
      <c r="B75" s="424" t="s">
        <v>1122</v>
      </c>
      <c r="C75" s="425" t="s">
        <v>1089</v>
      </c>
      <c r="D75" s="441" t="s">
        <v>1088</v>
      </c>
      <c r="E75" s="450">
        <v>19</v>
      </c>
      <c r="F75" s="428">
        <v>45865</v>
      </c>
      <c r="G75" s="429" t="s">
        <v>451</v>
      </c>
      <c r="H75" s="428" t="s">
        <v>1078</v>
      </c>
      <c r="I75" s="429"/>
      <c r="J75" s="429" t="s">
        <v>451</v>
      </c>
      <c r="K75" s="308"/>
      <c r="L75" s="308"/>
      <c r="M75" s="308"/>
      <c r="N75" s="308"/>
      <c r="O75" s="308"/>
      <c r="P75" s="308"/>
      <c r="Q75" s="308"/>
      <c r="R75" s="308"/>
      <c r="S75" s="308"/>
      <c r="T75" s="308"/>
      <c r="U75" s="308"/>
      <c r="V75" s="308"/>
      <c r="W75" s="308"/>
      <c r="X75" s="308"/>
      <c r="Y75" s="308"/>
      <c r="Z75" s="308"/>
    </row>
    <row r="76" spans="1:26" ht="14.25" customHeight="1" x14ac:dyDescent="0.3">
      <c r="A76" s="352" t="s">
        <v>2183</v>
      </c>
      <c r="B76" s="433" t="s">
        <v>1142</v>
      </c>
      <c r="C76" s="511" t="s">
        <v>1093</v>
      </c>
      <c r="D76" s="522" t="s">
        <v>1100</v>
      </c>
      <c r="E76" s="525">
        <v>19</v>
      </c>
      <c r="F76" s="524">
        <v>45865</v>
      </c>
      <c r="G76" s="524">
        <v>45848</v>
      </c>
      <c r="H76" s="435" t="s">
        <v>1083</v>
      </c>
      <c r="I76" s="427">
        <v>2</v>
      </c>
      <c r="J76" s="428">
        <v>45910</v>
      </c>
      <c r="K76" s="308"/>
      <c r="L76" s="308"/>
      <c r="M76" s="308"/>
      <c r="N76" s="308"/>
      <c r="O76" s="308"/>
      <c r="P76" s="308"/>
      <c r="Q76" s="308"/>
      <c r="R76" s="308"/>
      <c r="S76" s="308"/>
      <c r="T76" s="308"/>
      <c r="U76" s="308"/>
      <c r="V76" s="308"/>
      <c r="W76" s="308"/>
      <c r="X76" s="308"/>
      <c r="Y76" s="308"/>
      <c r="Z76" s="308"/>
    </row>
    <row r="77" spans="1:26" ht="14.25" customHeight="1" x14ac:dyDescent="0.3">
      <c r="A77" s="352" t="s">
        <v>2184</v>
      </c>
      <c r="B77" s="433" t="s">
        <v>1142</v>
      </c>
      <c r="C77" s="511" t="s">
        <v>1093</v>
      </c>
      <c r="D77" s="522" t="s">
        <v>1100</v>
      </c>
      <c r="E77" s="525">
        <v>19</v>
      </c>
      <c r="F77" s="524">
        <v>45865</v>
      </c>
      <c r="G77" s="524">
        <v>45848</v>
      </c>
      <c r="H77" s="435" t="s">
        <v>1083</v>
      </c>
      <c r="I77" s="427">
        <v>2</v>
      </c>
      <c r="J77" s="428">
        <v>45910</v>
      </c>
      <c r="K77" s="308"/>
      <c r="L77" s="308"/>
      <c r="M77" s="308"/>
      <c r="N77" s="308"/>
      <c r="O77" s="308"/>
      <c r="P77" s="308"/>
      <c r="Q77" s="308"/>
      <c r="R77" s="308"/>
      <c r="S77" s="308"/>
      <c r="T77" s="308"/>
      <c r="U77" s="308"/>
      <c r="V77" s="308"/>
      <c r="W77" s="308"/>
      <c r="X77" s="308"/>
      <c r="Y77" s="308"/>
      <c r="Z77" s="308"/>
    </row>
    <row r="78" spans="1:26" ht="14.25" customHeight="1" x14ac:dyDescent="0.3">
      <c r="A78" s="352" t="s">
        <v>489</v>
      </c>
      <c r="B78" s="433" t="s">
        <v>1142</v>
      </c>
      <c r="C78" s="511" t="s">
        <v>1089</v>
      </c>
      <c r="D78" s="522" t="s">
        <v>1091</v>
      </c>
      <c r="E78" s="450">
        <v>19</v>
      </c>
      <c r="F78" s="524">
        <v>45865</v>
      </c>
      <c r="G78" s="524">
        <v>45905</v>
      </c>
      <c r="H78" s="443" t="s">
        <v>1090</v>
      </c>
      <c r="I78" s="439" t="s">
        <v>1102</v>
      </c>
      <c r="J78" s="429"/>
      <c r="K78" s="308"/>
      <c r="L78" s="308"/>
      <c r="M78" s="308"/>
      <c r="N78" s="308"/>
      <c r="O78" s="308"/>
      <c r="P78" s="308"/>
      <c r="Q78" s="308"/>
      <c r="R78" s="308"/>
      <c r="S78" s="308"/>
      <c r="T78" s="308"/>
      <c r="U78" s="308"/>
      <c r="V78" s="308"/>
      <c r="W78" s="308"/>
      <c r="X78" s="308"/>
      <c r="Y78" s="308"/>
      <c r="Z78" s="308"/>
    </row>
    <row r="79" spans="1:26" ht="14.25" customHeight="1" x14ac:dyDescent="0.3">
      <c r="A79" s="352" t="s">
        <v>489</v>
      </c>
      <c r="B79" s="433" t="s">
        <v>1142</v>
      </c>
      <c r="C79" s="511" t="s">
        <v>1089</v>
      </c>
      <c r="D79" s="522" t="s">
        <v>1091</v>
      </c>
      <c r="E79" s="450">
        <v>19</v>
      </c>
      <c r="F79" s="524">
        <v>45865</v>
      </c>
      <c r="G79" s="524">
        <v>45905</v>
      </c>
      <c r="H79" s="436" t="s">
        <v>1083</v>
      </c>
      <c r="I79" s="439">
        <v>5</v>
      </c>
      <c r="J79" s="429"/>
      <c r="K79" s="308"/>
      <c r="L79" s="308"/>
      <c r="M79" s="308"/>
      <c r="N79" s="308"/>
      <c r="O79" s="308"/>
      <c r="P79" s="308"/>
      <c r="Q79" s="308"/>
      <c r="R79" s="308"/>
      <c r="S79" s="308"/>
      <c r="T79" s="308"/>
      <c r="U79" s="308"/>
      <c r="V79" s="308"/>
      <c r="W79" s="308"/>
      <c r="X79" s="308"/>
      <c r="Y79" s="308"/>
      <c r="Z79" s="308"/>
    </row>
    <row r="80" spans="1:26" ht="14.25" customHeight="1" x14ac:dyDescent="0.3">
      <c r="A80" s="352" t="s">
        <v>1103</v>
      </c>
      <c r="B80" s="433" t="s">
        <v>1142</v>
      </c>
      <c r="C80" s="352" t="s">
        <v>1095</v>
      </c>
      <c r="D80" s="541" t="s">
        <v>1096</v>
      </c>
      <c r="E80" s="453">
        <v>20</v>
      </c>
      <c r="F80" s="431">
        <v>45912</v>
      </c>
      <c r="G80" s="308"/>
      <c r="H80" s="435" t="s">
        <v>1083</v>
      </c>
      <c r="I80" s="308">
        <v>4</v>
      </c>
      <c r="J80" s="431">
        <v>45944</v>
      </c>
      <c r="K80" s="308"/>
      <c r="L80" s="308"/>
      <c r="M80" s="308"/>
      <c r="N80" s="308"/>
      <c r="O80" s="308"/>
      <c r="P80" s="308"/>
      <c r="Q80" s="308"/>
      <c r="R80" s="308"/>
      <c r="S80" s="308"/>
      <c r="T80" s="308"/>
      <c r="U80" s="308"/>
      <c r="V80" s="308"/>
      <c r="W80" s="308"/>
      <c r="X80" s="308"/>
      <c r="Y80" s="308"/>
      <c r="Z80" s="308"/>
    </row>
    <row r="81" spans="1:26" ht="14.25" customHeight="1" x14ac:dyDescent="0.3">
      <c r="A81" s="421" t="s">
        <v>2255</v>
      </c>
      <c r="B81" s="433" t="s">
        <v>1142</v>
      </c>
      <c r="C81" s="425" t="s">
        <v>1104</v>
      </c>
      <c r="D81" s="529" t="s">
        <v>1086</v>
      </c>
      <c r="E81" s="525">
        <v>11</v>
      </c>
      <c r="F81" s="524">
        <v>45824</v>
      </c>
      <c r="G81" s="539"/>
      <c r="H81" s="443" t="s">
        <v>1090</v>
      </c>
      <c r="I81" s="425"/>
      <c r="J81" s="429"/>
      <c r="K81" s="308"/>
      <c r="L81" s="308"/>
      <c r="M81" s="308"/>
      <c r="N81" s="308"/>
      <c r="O81" s="308"/>
      <c r="P81" s="308"/>
      <c r="Q81" s="308"/>
      <c r="R81" s="308"/>
      <c r="S81" s="308"/>
      <c r="T81" s="308"/>
      <c r="U81" s="308"/>
      <c r="V81" s="308"/>
      <c r="W81" s="308"/>
      <c r="X81" s="308"/>
      <c r="Y81" s="308"/>
      <c r="Z81" s="308"/>
    </row>
    <row r="82" spans="1:26" ht="14.25" customHeight="1" x14ac:dyDescent="0.3">
      <c r="A82" s="352" t="s">
        <v>1105</v>
      </c>
      <c r="B82" s="424" t="s">
        <v>1122</v>
      </c>
      <c r="C82" s="425" t="s">
        <v>1089</v>
      </c>
      <c r="D82" s="441" t="s">
        <v>1088</v>
      </c>
      <c r="E82" s="427">
        <v>6</v>
      </c>
      <c r="F82" s="440">
        <v>45821</v>
      </c>
      <c r="G82" s="429" t="s">
        <v>451</v>
      </c>
      <c r="H82" s="428" t="s">
        <v>1078</v>
      </c>
      <c r="I82" s="423" t="s">
        <v>451</v>
      </c>
      <c r="J82" s="429" t="s">
        <v>451</v>
      </c>
      <c r="K82" s="308"/>
      <c r="L82" s="308"/>
      <c r="M82" s="308"/>
      <c r="N82" s="308"/>
      <c r="O82" s="308"/>
      <c r="P82" s="308"/>
      <c r="Q82" s="308"/>
      <c r="R82" s="308"/>
      <c r="S82" s="308"/>
      <c r="T82" s="308"/>
      <c r="U82" s="308"/>
      <c r="V82" s="308"/>
      <c r="W82" s="308"/>
      <c r="X82" s="308"/>
      <c r="Y82" s="308"/>
      <c r="Z82" s="308"/>
    </row>
    <row r="83" spans="1:26" ht="14.25" customHeight="1" x14ac:dyDescent="0.3">
      <c r="A83" s="480" t="s">
        <v>1105</v>
      </c>
      <c r="B83" s="424" t="s">
        <v>1122</v>
      </c>
      <c r="C83" s="425" t="s">
        <v>1089</v>
      </c>
      <c r="D83" s="441" t="s">
        <v>1088</v>
      </c>
      <c r="E83" s="450">
        <v>19</v>
      </c>
      <c r="F83" s="428">
        <v>45865</v>
      </c>
      <c r="G83" s="429" t="s">
        <v>451</v>
      </c>
      <c r="H83" s="428" t="s">
        <v>1078</v>
      </c>
      <c r="I83" s="429" t="s">
        <v>451</v>
      </c>
      <c r="J83" s="429" t="s">
        <v>451</v>
      </c>
      <c r="K83" s="308"/>
      <c r="L83" s="308"/>
      <c r="M83" s="308"/>
      <c r="N83" s="308"/>
      <c r="O83" s="308"/>
      <c r="P83" s="308"/>
      <c r="Q83" s="308"/>
      <c r="R83" s="308"/>
      <c r="S83" s="308"/>
      <c r="T83" s="308"/>
      <c r="U83" s="308"/>
      <c r="V83" s="308"/>
      <c r="W83" s="308"/>
      <c r="X83" s="308"/>
      <c r="Y83" s="308"/>
      <c r="Z83" s="308"/>
    </row>
    <row r="84" spans="1:26" ht="14.25" customHeight="1" x14ac:dyDescent="0.3">
      <c r="A84" s="352" t="s">
        <v>1105</v>
      </c>
      <c r="B84" s="433" t="s">
        <v>1142</v>
      </c>
      <c r="C84" s="511" t="s">
        <v>1089</v>
      </c>
      <c r="D84" s="442" t="s">
        <v>1088</v>
      </c>
      <c r="E84" s="427">
        <v>18</v>
      </c>
      <c r="F84" s="428">
        <v>45848</v>
      </c>
      <c r="G84" s="428">
        <v>45905</v>
      </c>
      <c r="H84" s="435" t="s">
        <v>1083</v>
      </c>
      <c r="I84" s="427">
        <v>3</v>
      </c>
      <c r="J84" s="428">
        <v>45910</v>
      </c>
      <c r="K84" s="308"/>
      <c r="L84" s="308"/>
      <c r="M84" s="308"/>
      <c r="N84" s="308"/>
      <c r="O84" s="308"/>
      <c r="P84" s="308"/>
      <c r="Q84" s="308"/>
      <c r="R84" s="308"/>
      <c r="S84" s="308"/>
      <c r="T84" s="308"/>
      <c r="U84" s="308"/>
      <c r="V84" s="308"/>
      <c r="W84" s="308"/>
      <c r="X84" s="308"/>
      <c r="Y84" s="308"/>
      <c r="Z84" s="308"/>
    </row>
    <row r="85" spans="1:26" ht="14.25" customHeight="1" x14ac:dyDescent="0.3">
      <c r="A85" s="352" t="s">
        <v>1105</v>
      </c>
      <c r="B85" s="433" t="s">
        <v>1142</v>
      </c>
      <c r="C85" s="511" t="s">
        <v>1089</v>
      </c>
      <c r="D85" s="522" t="s">
        <v>1091</v>
      </c>
      <c r="E85" s="450">
        <v>19</v>
      </c>
      <c r="F85" s="524">
        <v>45865</v>
      </c>
      <c r="G85" s="524">
        <v>45905</v>
      </c>
      <c r="H85" s="428" t="s">
        <v>1078</v>
      </c>
      <c r="I85" s="439"/>
      <c r="J85" s="429"/>
      <c r="K85" s="308"/>
      <c r="L85" s="308"/>
      <c r="M85" s="308"/>
      <c r="N85" s="308"/>
      <c r="O85" s="308"/>
      <c r="P85" s="308"/>
      <c r="Q85" s="308"/>
      <c r="R85" s="308"/>
      <c r="S85" s="308"/>
      <c r="T85" s="308"/>
      <c r="U85" s="308"/>
      <c r="V85" s="308"/>
      <c r="W85" s="308"/>
      <c r="X85" s="308"/>
      <c r="Y85" s="308"/>
      <c r="Z85" s="308"/>
    </row>
    <row r="86" spans="1:26" ht="14.25" customHeight="1" x14ac:dyDescent="0.3">
      <c r="A86" s="352" t="s">
        <v>2185</v>
      </c>
      <c r="B86" s="433" t="s">
        <v>1142</v>
      </c>
      <c r="C86" s="511" t="s">
        <v>1093</v>
      </c>
      <c r="D86" s="522" t="s">
        <v>1100</v>
      </c>
      <c r="E86" s="525">
        <v>19</v>
      </c>
      <c r="F86" s="524">
        <v>45865</v>
      </c>
      <c r="G86" s="524">
        <v>45848</v>
      </c>
      <c r="H86" s="435" t="s">
        <v>1083</v>
      </c>
      <c r="I86" s="427">
        <v>2</v>
      </c>
      <c r="J86" s="428">
        <v>45910</v>
      </c>
      <c r="K86" s="308"/>
      <c r="L86" s="308"/>
      <c r="M86" s="308"/>
      <c r="N86" s="308"/>
      <c r="O86" s="308"/>
      <c r="P86" s="308"/>
      <c r="Q86" s="308"/>
      <c r="R86" s="308"/>
      <c r="S86" s="308"/>
      <c r="T86" s="308"/>
      <c r="U86" s="308"/>
      <c r="V86" s="308"/>
      <c r="W86" s="308"/>
      <c r="X86" s="308"/>
      <c r="Y86" s="308"/>
      <c r="Z86" s="308"/>
    </row>
    <row r="87" spans="1:26" ht="14.25" customHeight="1" x14ac:dyDescent="0.3">
      <c r="A87" s="352" t="s">
        <v>499</v>
      </c>
      <c r="B87" s="433" t="s">
        <v>1142</v>
      </c>
      <c r="C87" s="511" t="s">
        <v>1093</v>
      </c>
      <c r="D87" s="522" t="s">
        <v>1091</v>
      </c>
      <c r="E87" s="450">
        <v>19</v>
      </c>
      <c r="F87" s="524">
        <v>45865</v>
      </c>
      <c r="G87" s="524">
        <v>45905</v>
      </c>
      <c r="H87" s="436" t="s">
        <v>1083</v>
      </c>
      <c r="I87" s="308">
        <v>5</v>
      </c>
      <c r="J87" s="429"/>
      <c r="K87" s="308"/>
      <c r="L87" s="308"/>
      <c r="M87" s="308"/>
      <c r="N87" s="308"/>
      <c r="O87" s="308"/>
      <c r="P87" s="308"/>
      <c r="Q87" s="308"/>
      <c r="R87" s="308"/>
      <c r="S87" s="308"/>
      <c r="T87" s="308"/>
      <c r="U87" s="308"/>
      <c r="V87" s="308"/>
      <c r="W87" s="308"/>
      <c r="X87" s="308"/>
      <c r="Y87" s="308"/>
      <c r="Z87" s="308"/>
    </row>
    <row r="88" spans="1:26" ht="14.25" customHeight="1" x14ac:dyDescent="0.3">
      <c r="A88" s="352" t="s">
        <v>500</v>
      </c>
      <c r="B88" s="433" t="s">
        <v>1142</v>
      </c>
      <c r="C88" s="352" t="s">
        <v>1095</v>
      </c>
      <c r="D88" s="541" t="s">
        <v>1096</v>
      </c>
      <c r="E88" s="453">
        <v>20</v>
      </c>
      <c r="F88" s="431">
        <v>45912</v>
      </c>
      <c r="G88" s="308"/>
      <c r="H88" s="435" t="s">
        <v>1083</v>
      </c>
      <c r="I88" s="308">
        <v>4</v>
      </c>
      <c r="J88" s="431">
        <v>45944</v>
      </c>
      <c r="K88" s="308"/>
      <c r="L88" s="308"/>
      <c r="M88" s="308"/>
      <c r="N88" s="308"/>
      <c r="O88" s="308"/>
      <c r="P88" s="308"/>
      <c r="Q88" s="308"/>
      <c r="R88" s="308"/>
      <c r="S88" s="308"/>
      <c r="T88" s="308"/>
      <c r="U88" s="308"/>
      <c r="V88" s="308"/>
      <c r="W88" s="308"/>
      <c r="X88" s="308"/>
      <c r="Y88" s="308"/>
      <c r="Z88" s="308"/>
    </row>
    <row r="89" spans="1:26" ht="14.25" customHeight="1" x14ac:dyDescent="0.3">
      <c r="A89" s="352" t="s">
        <v>506</v>
      </c>
      <c r="B89" s="433" t="s">
        <v>1142</v>
      </c>
      <c r="C89" s="352" t="s">
        <v>1095</v>
      </c>
      <c r="D89" s="541" t="s">
        <v>1096</v>
      </c>
      <c r="E89" s="453">
        <v>20</v>
      </c>
      <c r="F89" s="431">
        <v>45912</v>
      </c>
      <c r="G89" s="308"/>
      <c r="H89" s="435" t="s">
        <v>1083</v>
      </c>
      <c r="I89" s="308">
        <v>4</v>
      </c>
      <c r="J89" s="431">
        <v>45944</v>
      </c>
      <c r="K89" s="308"/>
      <c r="L89" s="308"/>
      <c r="M89" s="308"/>
      <c r="N89" s="308"/>
      <c r="O89" s="308"/>
      <c r="P89" s="308"/>
      <c r="Q89" s="308"/>
      <c r="R89" s="308"/>
      <c r="S89" s="308"/>
      <c r="T89" s="308"/>
      <c r="U89" s="308"/>
      <c r="V89" s="308"/>
      <c r="W89" s="308"/>
      <c r="X89" s="308"/>
      <c r="Y89" s="308"/>
      <c r="Z89" s="308"/>
    </row>
    <row r="90" spans="1:26" ht="14.25" customHeight="1" x14ac:dyDescent="0.3">
      <c r="A90" s="352" t="s">
        <v>513</v>
      </c>
      <c r="B90" s="433" t="s">
        <v>1142</v>
      </c>
      <c r="C90" s="352" t="s">
        <v>1089</v>
      </c>
      <c r="D90" s="530" t="s">
        <v>1086</v>
      </c>
      <c r="E90" s="308">
        <v>22</v>
      </c>
      <c r="F90" s="431">
        <v>45936</v>
      </c>
      <c r="G90" s="308"/>
      <c r="H90" s="435" t="s">
        <v>1083</v>
      </c>
      <c r="I90" s="308">
        <v>4</v>
      </c>
      <c r="J90" s="431">
        <v>45944</v>
      </c>
      <c r="K90" s="308"/>
      <c r="L90" s="308"/>
      <c r="M90" s="308"/>
      <c r="N90" s="308"/>
      <c r="O90" s="308"/>
      <c r="P90" s="308"/>
      <c r="Q90" s="308"/>
      <c r="R90" s="308"/>
      <c r="S90" s="308"/>
      <c r="T90" s="308"/>
      <c r="U90" s="308"/>
      <c r="V90" s="308"/>
      <c r="W90" s="308"/>
      <c r="X90" s="308"/>
      <c r="Y90" s="308"/>
      <c r="Z90" s="308"/>
    </row>
    <row r="91" spans="1:26" ht="14.25" customHeight="1" x14ac:dyDescent="0.3">
      <c r="A91" s="352" t="s">
        <v>513</v>
      </c>
      <c r="B91" s="433" t="s">
        <v>1142</v>
      </c>
      <c r="C91" s="352" t="s">
        <v>1089</v>
      </c>
      <c r="D91" s="541" t="s">
        <v>1079</v>
      </c>
      <c r="E91" s="308">
        <v>22</v>
      </c>
      <c r="F91" s="431">
        <v>45936</v>
      </c>
      <c r="G91" s="308"/>
      <c r="H91" s="435" t="s">
        <v>1083</v>
      </c>
      <c r="I91" s="308">
        <v>4</v>
      </c>
      <c r="J91" s="431">
        <v>45944</v>
      </c>
      <c r="K91" s="308"/>
      <c r="L91" s="308"/>
      <c r="M91" s="308"/>
      <c r="N91" s="308"/>
      <c r="O91" s="308"/>
      <c r="P91" s="308"/>
      <c r="Q91" s="308"/>
      <c r="R91" s="308"/>
      <c r="S91" s="308"/>
      <c r="T91" s="308"/>
      <c r="U91" s="308"/>
      <c r="V91" s="308"/>
      <c r="W91" s="308"/>
      <c r="X91" s="308"/>
      <c r="Y91" s="308"/>
      <c r="Z91" s="308"/>
    </row>
    <row r="92" spans="1:26" ht="14.25" customHeight="1" x14ac:dyDescent="0.3">
      <c r="A92" s="479" t="s">
        <v>1808</v>
      </c>
      <c r="B92" s="418" t="s">
        <v>1122</v>
      </c>
      <c r="C92" s="447" t="s">
        <v>1144</v>
      </c>
      <c r="D92" s="447" t="s">
        <v>1235</v>
      </c>
      <c r="E92" s="447">
        <v>32</v>
      </c>
      <c r="F92" s="448">
        <v>45987</v>
      </c>
      <c r="G92" s="447"/>
      <c r="H92" s="447" t="s">
        <v>1128</v>
      </c>
      <c r="I92" s="447"/>
      <c r="J92" s="447"/>
      <c r="K92" s="447" t="s">
        <v>1236</v>
      </c>
      <c r="L92" s="308"/>
      <c r="M92" s="308"/>
      <c r="N92" s="308"/>
      <c r="O92" s="308"/>
      <c r="P92" s="308"/>
      <c r="Q92" s="308"/>
      <c r="R92" s="308"/>
      <c r="S92" s="308"/>
      <c r="T92" s="308"/>
      <c r="U92" s="308"/>
      <c r="V92" s="308"/>
      <c r="W92" s="308"/>
      <c r="X92" s="308"/>
      <c r="Y92" s="308"/>
      <c r="Z92" s="308"/>
    </row>
    <row r="93" spans="1:26" ht="14.25" customHeight="1" x14ac:dyDescent="0.3">
      <c r="A93" s="479" t="s">
        <v>1808</v>
      </c>
      <c r="B93" s="418" t="s">
        <v>1122</v>
      </c>
      <c r="C93" s="447" t="s">
        <v>1144</v>
      </c>
      <c r="D93" s="447" t="s">
        <v>1237</v>
      </c>
      <c r="E93" s="447">
        <v>34</v>
      </c>
      <c r="F93" s="448">
        <v>45992</v>
      </c>
      <c r="G93" s="447"/>
      <c r="H93" s="447" t="s">
        <v>1238</v>
      </c>
      <c r="I93" s="447"/>
      <c r="J93" s="447"/>
      <c r="K93" s="447" t="s">
        <v>1232</v>
      </c>
      <c r="L93" s="308"/>
      <c r="M93" s="308"/>
      <c r="N93" s="308"/>
      <c r="O93" s="308"/>
      <c r="P93" s="308"/>
      <c r="Q93" s="308"/>
      <c r="R93" s="308"/>
      <c r="S93" s="308"/>
      <c r="T93" s="308"/>
      <c r="U93" s="308"/>
      <c r="V93" s="308"/>
      <c r="W93" s="308"/>
      <c r="X93" s="308"/>
      <c r="Y93" s="308"/>
      <c r="Z93" s="308"/>
    </row>
    <row r="94" spans="1:26" ht="14.25" customHeight="1" x14ac:dyDescent="0.3">
      <c r="A94" s="421" t="s">
        <v>2256</v>
      </c>
      <c r="B94" s="433" t="s">
        <v>1142</v>
      </c>
      <c r="C94" s="511" t="s">
        <v>1104</v>
      </c>
      <c r="D94" s="529" t="s">
        <v>1086</v>
      </c>
      <c r="E94" s="525">
        <v>11</v>
      </c>
      <c r="F94" s="524">
        <v>45824</v>
      </c>
      <c r="G94" s="539"/>
      <c r="H94" s="443" t="s">
        <v>1090</v>
      </c>
      <c r="I94" s="308"/>
      <c r="J94" s="429"/>
      <c r="K94" s="308"/>
      <c r="L94" s="308"/>
      <c r="M94" s="308"/>
      <c r="N94" s="308"/>
      <c r="O94" s="308"/>
      <c r="P94" s="308"/>
      <c r="Q94" s="308"/>
      <c r="R94" s="308"/>
      <c r="S94" s="308"/>
      <c r="T94" s="308"/>
      <c r="U94" s="308"/>
      <c r="V94" s="308"/>
      <c r="W94" s="308"/>
      <c r="X94" s="308"/>
      <c r="Y94" s="308"/>
      <c r="Z94" s="308"/>
    </row>
    <row r="95" spans="1:26" ht="13.5" customHeight="1" x14ac:dyDescent="0.3">
      <c r="A95" s="352" t="s">
        <v>1106</v>
      </c>
      <c r="B95" s="433" t="s">
        <v>1142</v>
      </c>
      <c r="C95" s="511" t="s">
        <v>1089</v>
      </c>
      <c r="D95" s="442" t="s">
        <v>1088</v>
      </c>
      <c r="E95" s="427">
        <v>5</v>
      </c>
      <c r="F95" s="440">
        <v>45817</v>
      </c>
      <c r="G95" s="429" t="s">
        <v>451</v>
      </c>
      <c r="H95" s="435" t="s">
        <v>1083</v>
      </c>
      <c r="I95" s="439">
        <v>1</v>
      </c>
      <c r="J95" s="428">
        <v>45824</v>
      </c>
      <c r="K95" s="308"/>
      <c r="L95" s="308"/>
      <c r="M95" s="308"/>
      <c r="N95" s="308"/>
      <c r="O95" s="308"/>
      <c r="P95" s="308"/>
      <c r="Q95" s="308"/>
      <c r="R95" s="308"/>
      <c r="S95" s="308"/>
      <c r="T95" s="308"/>
      <c r="U95" s="308"/>
      <c r="V95" s="308"/>
      <c r="W95" s="308"/>
      <c r="X95" s="308"/>
      <c r="Y95" s="308"/>
      <c r="Z95" s="308"/>
    </row>
    <row r="96" spans="1:26" ht="14.25" customHeight="1" x14ac:dyDescent="0.3">
      <c r="A96" s="352" t="s">
        <v>2167</v>
      </c>
      <c r="B96" s="433" t="s">
        <v>1142</v>
      </c>
      <c r="C96" s="511" t="s">
        <v>1093</v>
      </c>
      <c r="D96" s="522" t="s">
        <v>1091</v>
      </c>
      <c r="E96" s="450">
        <v>19</v>
      </c>
      <c r="F96" s="524">
        <v>45865</v>
      </c>
      <c r="G96" s="524">
        <v>45905</v>
      </c>
      <c r="H96" s="453" t="s">
        <v>1107</v>
      </c>
      <c r="I96" s="308"/>
      <c r="J96" s="429"/>
      <c r="K96" s="308"/>
      <c r="L96" s="308"/>
      <c r="M96" s="308"/>
      <c r="N96" s="308"/>
      <c r="O96" s="308"/>
      <c r="P96" s="308"/>
      <c r="Q96" s="308"/>
      <c r="R96" s="308"/>
      <c r="S96" s="308"/>
      <c r="T96" s="308"/>
      <c r="U96" s="308"/>
      <c r="V96" s="308"/>
      <c r="W96" s="308"/>
      <c r="X96" s="308"/>
      <c r="Y96" s="308"/>
      <c r="Z96" s="308"/>
    </row>
    <row r="97" spans="1:26" ht="14.25" customHeight="1" x14ac:dyDescent="0.3">
      <c r="A97" s="479" t="s">
        <v>2188</v>
      </c>
      <c r="B97" s="418" t="s">
        <v>1122</v>
      </c>
      <c r="C97" s="447" t="s">
        <v>1144</v>
      </c>
      <c r="D97" s="447" t="s">
        <v>1235</v>
      </c>
      <c r="E97" s="447">
        <v>32</v>
      </c>
      <c r="F97" s="448">
        <v>45987</v>
      </c>
      <c r="G97" s="447"/>
      <c r="H97" s="447" t="s">
        <v>1078</v>
      </c>
      <c r="I97" s="447"/>
      <c r="J97" s="447"/>
      <c r="K97" s="447" t="s">
        <v>1236</v>
      </c>
      <c r="L97" s="308"/>
      <c r="M97" s="308"/>
      <c r="N97" s="308"/>
      <c r="O97" s="308"/>
      <c r="P97" s="308"/>
      <c r="Q97" s="308"/>
      <c r="R97" s="308"/>
      <c r="S97" s="308"/>
      <c r="T97" s="308"/>
      <c r="U97" s="308"/>
      <c r="V97" s="308"/>
      <c r="W97" s="308"/>
      <c r="X97" s="308"/>
      <c r="Y97" s="308"/>
      <c r="Z97" s="308"/>
    </row>
    <row r="98" spans="1:26" ht="14.25" customHeight="1" x14ac:dyDescent="0.3">
      <c r="A98" s="352" t="s">
        <v>2188</v>
      </c>
      <c r="B98" s="433" t="s">
        <v>1142</v>
      </c>
      <c r="C98" s="511" t="s">
        <v>1089</v>
      </c>
      <c r="D98" s="442" t="s">
        <v>1088</v>
      </c>
      <c r="E98" s="450">
        <v>13</v>
      </c>
      <c r="F98" s="451">
        <v>45824</v>
      </c>
      <c r="G98" s="428">
        <v>45905</v>
      </c>
      <c r="H98" s="435" t="s">
        <v>1083</v>
      </c>
      <c r="I98" s="427">
        <v>3</v>
      </c>
      <c r="J98" s="428">
        <v>45910</v>
      </c>
      <c r="K98" s="308"/>
      <c r="L98" s="308"/>
      <c r="M98" s="308"/>
      <c r="N98" s="308"/>
      <c r="O98" s="308"/>
      <c r="P98" s="308"/>
      <c r="Q98" s="308"/>
      <c r="R98" s="308"/>
      <c r="S98" s="308"/>
      <c r="T98" s="308"/>
      <c r="U98" s="308"/>
      <c r="V98" s="308"/>
      <c r="W98" s="308"/>
      <c r="X98" s="308"/>
      <c r="Y98" s="308"/>
      <c r="Z98" s="308"/>
    </row>
    <row r="99" spans="1:26" ht="14.25" customHeight="1" x14ac:dyDescent="0.3">
      <c r="A99" s="479" t="s">
        <v>2188</v>
      </c>
      <c r="B99" s="449" t="s">
        <v>1142</v>
      </c>
      <c r="C99" s="447" t="s">
        <v>1144</v>
      </c>
      <c r="D99" s="521" t="s">
        <v>1231</v>
      </c>
      <c r="E99" s="447">
        <v>34</v>
      </c>
      <c r="F99" s="448">
        <v>45992</v>
      </c>
      <c r="G99" s="447"/>
      <c r="H99" s="267" t="s">
        <v>1083</v>
      </c>
      <c r="I99" s="447">
        <v>6</v>
      </c>
      <c r="J99" s="447"/>
      <c r="K99" s="447" t="s">
        <v>1232</v>
      </c>
      <c r="L99" s="308"/>
      <c r="M99" s="308"/>
      <c r="N99" s="308"/>
      <c r="O99" s="308"/>
      <c r="P99" s="308"/>
      <c r="Q99" s="308"/>
      <c r="R99" s="308"/>
      <c r="S99" s="308"/>
      <c r="T99" s="308"/>
      <c r="U99" s="308"/>
      <c r="V99" s="308"/>
      <c r="W99" s="308"/>
      <c r="X99" s="308"/>
      <c r="Y99" s="308"/>
      <c r="Z99" s="308"/>
    </row>
    <row r="100" spans="1:26" ht="14.25" customHeight="1" x14ac:dyDescent="0.3">
      <c r="A100" s="352" t="s">
        <v>2293</v>
      </c>
      <c r="B100" s="433" t="s">
        <v>1142</v>
      </c>
      <c r="C100" s="511" t="s">
        <v>1108</v>
      </c>
      <c r="D100" s="522" t="s">
        <v>1091</v>
      </c>
      <c r="E100" s="450">
        <v>19</v>
      </c>
      <c r="F100" s="524">
        <v>45865</v>
      </c>
      <c r="G100" s="524">
        <v>45905</v>
      </c>
      <c r="H100" s="443" t="s">
        <v>1090</v>
      </c>
      <c r="I100" s="308"/>
      <c r="J100" s="429"/>
      <c r="K100" s="308"/>
      <c r="L100" s="308"/>
      <c r="M100" s="308"/>
      <c r="N100" s="308"/>
      <c r="O100" s="308"/>
      <c r="P100" s="308"/>
      <c r="Q100" s="308"/>
      <c r="R100" s="308"/>
      <c r="S100" s="308"/>
      <c r="T100" s="308"/>
      <c r="U100" s="308"/>
      <c r="V100" s="308"/>
      <c r="W100" s="308"/>
      <c r="X100" s="308"/>
      <c r="Y100" s="308"/>
      <c r="Z100" s="308"/>
    </row>
    <row r="101" spans="1:26" ht="14.25" customHeight="1" x14ac:dyDescent="0.3">
      <c r="A101" s="352" t="s">
        <v>523</v>
      </c>
      <c r="B101" s="433" t="s">
        <v>1142</v>
      </c>
      <c r="C101" s="352" t="s">
        <v>1089</v>
      </c>
      <c r="D101" s="515" t="s">
        <v>1088</v>
      </c>
      <c r="E101" s="308">
        <v>23</v>
      </c>
      <c r="F101" s="431">
        <v>45938</v>
      </c>
      <c r="G101" s="308"/>
      <c r="H101" s="435" t="s">
        <v>1083</v>
      </c>
      <c r="I101" s="308">
        <v>4</v>
      </c>
      <c r="J101" s="431">
        <v>45944</v>
      </c>
      <c r="K101" s="308"/>
      <c r="L101" s="308"/>
      <c r="M101" s="308"/>
      <c r="N101" s="308"/>
      <c r="O101" s="308"/>
      <c r="P101" s="308"/>
      <c r="Q101" s="308"/>
      <c r="R101" s="308"/>
      <c r="S101" s="308"/>
      <c r="T101" s="308"/>
      <c r="U101" s="308"/>
      <c r="V101" s="308"/>
      <c r="W101" s="308"/>
      <c r="X101" s="308"/>
      <c r="Y101" s="308"/>
      <c r="Z101" s="308"/>
    </row>
    <row r="102" spans="1:26" ht="14.25" customHeight="1" x14ac:dyDescent="0.3">
      <c r="A102" s="479" t="s">
        <v>523</v>
      </c>
      <c r="B102" s="449" t="s">
        <v>1142</v>
      </c>
      <c r="C102" s="447" t="s">
        <v>1144</v>
      </c>
      <c r="D102" s="521" t="s">
        <v>1231</v>
      </c>
      <c r="E102" s="447">
        <v>32</v>
      </c>
      <c r="F102" s="448">
        <v>45987</v>
      </c>
      <c r="G102" s="447"/>
      <c r="H102" s="267" t="s">
        <v>1083</v>
      </c>
      <c r="I102" s="447">
        <v>6</v>
      </c>
      <c r="J102" s="447"/>
      <c r="K102" s="447" t="s">
        <v>1236</v>
      </c>
      <c r="L102" s="308"/>
      <c r="M102" s="308"/>
      <c r="N102" s="308"/>
      <c r="O102" s="308"/>
      <c r="P102" s="308"/>
      <c r="Q102" s="308"/>
      <c r="R102" s="308"/>
      <c r="S102" s="308"/>
      <c r="T102" s="308"/>
      <c r="U102" s="308"/>
      <c r="V102" s="308"/>
      <c r="W102" s="308"/>
      <c r="X102" s="308"/>
      <c r="Y102" s="308"/>
      <c r="Z102" s="308"/>
    </row>
    <row r="103" spans="1:26" ht="14.25" customHeight="1" x14ac:dyDescent="0.3">
      <c r="A103" s="352" t="s">
        <v>525</v>
      </c>
      <c r="B103" s="433" t="s">
        <v>1142</v>
      </c>
      <c r="C103" s="352" t="s">
        <v>1095</v>
      </c>
      <c r="D103" s="541" t="s">
        <v>1096</v>
      </c>
      <c r="E103" s="453">
        <v>20</v>
      </c>
      <c r="F103" s="431">
        <v>45912</v>
      </c>
      <c r="G103" s="308"/>
      <c r="H103" s="435" t="s">
        <v>1083</v>
      </c>
      <c r="I103" s="308">
        <v>4</v>
      </c>
      <c r="J103" s="431">
        <v>45944</v>
      </c>
      <c r="K103" s="308"/>
      <c r="L103" s="308"/>
      <c r="M103" s="308"/>
      <c r="N103" s="308"/>
      <c r="O103" s="308"/>
      <c r="P103" s="308"/>
      <c r="Q103" s="308"/>
      <c r="R103" s="308"/>
      <c r="S103" s="308"/>
      <c r="T103" s="308"/>
      <c r="U103" s="308"/>
      <c r="V103" s="308"/>
      <c r="W103" s="308"/>
      <c r="X103" s="308"/>
      <c r="Y103" s="308"/>
      <c r="Z103" s="308"/>
    </row>
    <row r="104" spans="1:26" ht="14.25" customHeight="1" x14ac:dyDescent="0.3">
      <c r="A104" s="352" t="s">
        <v>527</v>
      </c>
      <c r="B104" s="433" t="s">
        <v>1142</v>
      </c>
      <c r="C104" s="511" t="s">
        <v>1093</v>
      </c>
      <c r="D104" s="522" t="s">
        <v>1091</v>
      </c>
      <c r="E104" s="450">
        <v>19</v>
      </c>
      <c r="F104" s="524">
        <v>45865</v>
      </c>
      <c r="G104" s="524">
        <v>45905</v>
      </c>
      <c r="H104" s="443" t="s">
        <v>1090</v>
      </c>
      <c r="I104" s="439" t="s">
        <v>1102</v>
      </c>
      <c r="J104" s="429"/>
      <c r="K104" s="308"/>
      <c r="L104" s="308"/>
      <c r="M104" s="308"/>
      <c r="N104" s="308"/>
      <c r="O104" s="308"/>
      <c r="P104" s="308"/>
      <c r="Q104" s="308"/>
      <c r="R104" s="308"/>
      <c r="S104" s="308"/>
      <c r="T104" s="308"/>
      <c r="U104" s="308"/>
      <c r="V104" s="308"/>
      <c r="W104" s="308"/>
      <c r="X104" s="308"/>
      <c r="Y104" s="308"/>
      <c r="Z104" s="308"/>
    </row>
    <row r="105" spans="1:26" ht="14.25" customHeight="1" x14ac:dyDescent="0.3">
      <c r="A105" s="479" t="s">
        <v>529</v>
      </c>
      <c r="B105" s="418" t="s">
        <v>1122</v>
      </c>
      <c r="C105" s="447" t="s">
        <v>1144</v>
      </c>
      <c r="D105" s="447" t="s">
        <v>1235</v>
      </c>
      <c r="E105" s="447">
        <v>32</v>
      </c>
      <c r="F105" s="448">
        <v>45987</v>
      </c>
      <c r="G105" s="447"/>
      <c r="H105" s="447" t="s">
        <v>1078</v>
      </c>
      <c r="I105" s="447"/>
      <c r="J105" s="447"/>
      <c r="K105" s="447" t="s">
        <v>1236</v>
      </c>
      <c r="L105" s="308"/>
      <c r="M105" s="308"/>
      <c r="N105" s="308"/>
      <c r="O105" s="308"/>
      <c r="P105" s="308"/>
      <c r="Q105" s="308"/>
      <c r="R105" s="308"/>
      <c r="S105" s="308"/>
      <c r="T105" s="308"/>
      <c r="U105" s="308"/>
      <c r="V105" s="308"/>
      <c r="W105" s="308"/>
      <c r="X105" s="308"/>
      <c r="Y105" s="308"/>
      <c r="Z105" s="308"/>
    </row>
    <row r="106" spans="1:26" ht="14.25" customHeight="1" x14ac:dyDescent="0.3">
      <c r="A106" s="352" t="s">
        <v>529</v>
      </c>
      <c r="B106" s="433" t="s">
        <v>1142</v>
      </c>
      <c r="C106" s="511" t="s">
        <v>1089</v>
      </c>
      <c r="D106" s="442" t="s">
        <v>1088</v>
      </c>
      <c r="E106" s="450">
        <v>13</v>
      </c>
      <c r="F106" s="451">
        <v>45824</v>
      </c>
      <c r="G106" s="428">
        <v>45905</v>
      </c>
      <c r="H106" s="435" t="s">
        <v>1083</v>
      </c>
      <c r="I106" s="427">
        <v>3</v>
      </c>
      <c r="J106" s="428">
        <v>45910</v>
      </c>
      <c r="K106" s="308"/>
      <c r="L106" s="308"/>
      <c r="M106" s="308"/>
      <c r="N106" s="308"/>
      <c r="O106" s="308"/>
      <c r="P106" s="308"/>
      <c r="Q106" s="308"/>
      <c r="R106" s="308"/>
      <c r="S106" s="308"/>
      <c r="T106" s="308"/>
      <c r="U106" s="308"/>
      <c r="V106" s="308"/>
      <c r="W106" s="308"/>
      <c r="X106" s="308"/>
      <c r="Y106" s="308"/>
      <c r="Z106" s="308"/>
    </row>
    <row r="107" spans="1:26" ht="14.25" customHeight="1" x14ac:dyDescent="0.3">
      <c r="A107" s="479" t="s">
        <v>529</v>
      </c>
      <c r="B107" s="449" t="s">
        <v>1142</v>
      </c>
      <c r="C107" s="447" t="s">
        <v>1144</v>
      </c>
      <c r="D107" s="521" t="s">
        <v>1231</v>
      </c>
      <c r="E107" s="447">
        <v>34</v>
      </c>
      <c r="F107" s="448">
        <v>45992</v>
      </c>
      <c r="G107" s="447"/>
      <c r="H107" s="267" t="s">
        <v>1083</v>
      </c>
      <c r="I107" s="447">
        <v>6</v>
      </c>
      <c r="J107" s="447"/>
      <c r="K107" s="447" t="s">
        <v>1232</v>
      </c>
      <c r="L107" s="308"/>
      <c r="M107" s="308"/>
      <c r="N107" s="308"/>
      <c r="O107" s="308"/>
      <c r="P107" s="308"/>
      <c r="Q107" s="308"/>
      <c r="R107" s="308"/>
      <c r="S107" s="308"/>
      <c r="T107" s="308"/>
      <c r="U107" s="308"/>
      <c r="V107" s="308"/>
      <c r="W107" s="308"/>
      <c r="X107" s="308"/>
      <c r="Y107" s="308"/>
      <c r="Z107" s="308"/>
    </row>
    <row r="108" spans="1:26" ht="14.25" customHeight="1" x14ac:dyDescent="0.3">
      <c r="A108" s="481" t="s">
        <v>2233</v>
      </c>
      <c r="B108" s="424" t="s">
        <v>1122</v>
      </c>
      <c r="C108" s="425" t="s">
        <v>1089</v>
      </c>
      <c r="D108" s="434" t="s">
        <v>1082</v>
      </c>
      <c r="E108" s="427">
        <v>18</v>
      </c>
      <c r="F108" s="428">
        <v>45835</v>
      </c>
      <c r="G108" s="429" t="s">
        <v>451</v>
      </c>
      <c r="H108" s="443" t="s">
        <v>1090</v>
      </c>
      <c r="I108" s="423" t="s">
        <v>451</v>
      </c>
      <c r="J108" s="429" t="s">
        <v>451</v>
      </c>
      <c r="K108" s="308"/>
      <c r="L108" s="308"/>
      <c r="M108" s="308"/>
      <c r="N108" s="308"/>
      <c r="O108" s="308"/>
      <c r="P108" s="308"/>
      <c r="Q108" s="308"/>
      <c r="R108" s="308"/>
      <c r="S108" s="308"/>
      <c r="T108" s="308"/>
      <c r="U108" s="308"/>
      <c r="V108" s="308"/>
      <c r="W108" s="308"/>
      <c r="X108" s="308"/>
      <c r="Y108" s="308"/>
      <c r="Z108" s="308"/>
    </row>
    <row r="109" spans="1:26" ht="14.25" customHeight="1" x14ac:dyDescent="0.3">
      <c r="A109" s="479" t="s">
        <v>1810</v>
      </c>
      <c r="B109" s="449" t="s">
        <v>1142</v>
      </c>
      <c r="C109" s="447" t="s">
        <v>1144</v>
      </c>
      <c r="D109" s="521" t="s">
        <v>1231</v>
      </c>
      <c r="E109" s="447">
        <v>32</v>
      </c>
      <c r="F109" s="448">
        <v>45987</v>
      </c>
      <c r="G109" s="447"/>
      <c r="H109" s="267" t="s">
        <v>1083</v>
      </c>
      <c r="I109" s="447">
        <v>6</v>
      </c>
      <c r="J109" s="447"/>
      <c r="K109" s="447" t="s">
        <v>1236</v>
      </c>
      <c r="L109" s="308"/>
      <c r="M109" s="308"/>
      <c r="N109" s="308"/>
      <c r="O109" s="308"/>
      <c r="P109" s="308"/>
      <c r="Q109" s="308"/>
      <c r="R109" s="308"/>
      <c r="S109" s="308"/>
      <c r="T109" s="308"/>
      <c r="U109" s="308"/>
      <c r="V109" s="308"/>
      <c r="W109" s="308"/>
      <c r="X109" s="308"/>
      <c r="Y109" s="308"/>
      <c r="Z109" s="308"/>
    </row>
    <row r="110" spans="1:26" ht="14.25" customHeight="1" x14ac:dyDescent="0.3">
      <c r="A110" s="352" t="s">
        <v>533</v>
      </c>
      <c r="B110" s="433" t="s">
        <v>1142</v>
      </c>
      <c r="C110" s="511" t="s">
        <v>1089</v>
      </c>
      <c r="D110" s="522" t="s">
        <v>1091</v>
      </c>
      <c r="E110" s="450">
        <v>19</v>
      </c>
      <c r="F110" s="524">
        <v>45865</v>
      </c>
      <c r="G110" s="524">
        <v>45905</v>
      </c>
      <c r="H110" s="436" t="s">
        <v>1083</v>
      </c>
      <c r="I110" s="308">
        <v>5</v>
      </c>
      <c r="J110" s="429"/>
      <c r="K110" s="308"/>
      <c r="L110" s="308"/>
      <c r="M110" s="308"/>
      <c r="N110" s="308"/>
      <c r="O110" s="308"/>
      <c r="P110" s="308"/>
      <c r="Q110" s="308"/>
      <c r="R110" s="308"/>
      <c r="S110" s="308"/>
      <c r="T110" s="308"/>
      <c r="U110" s="308"/>
      <c r="V110" s="308"/>
      <c r="W110" s="308"/>
      <c r="X110" s="308"/>
      <c r="Y110" s="308"/>
      <c r="Z110" s="308"/>
    </row>
    <row r="111" spans="1:26" ht="14.25" customHeight="1" x14ac:dyDescent="0.3">
      <c r="A111" s="480" t="s">
        <v>1054</v>
      </c>
      <c r="B111" s="424" t="s">
        <v>1122</v>
      </c>
      <c r="C111" s="425" t="s">
        <v>1089</v>
      </c>
      <c r="D111" s="441" t="s">
        <v>1088</v>
      </c>
      <c r="E111" s="450">
        <v>19</v>
      </c>
      <c r="F111" s="428">
        <v>45865</v>
      </c>
      <c r="G111" s="429" t="s">
        <v>451</v>
      </c>
      <c r="H111" s="428" t="s">
        <v>1078</v>
      </c>
      <c r="I111" s="429" t="s">
        <v>451</v>
      </c>
      <c r="J111" s="429" t="s">
        <v>451</v>
      </c>
      <c r="K111" s="308"/>
      <c r="L111" s="308"/>
      <c r="M111" s="308"/>
      <c r="N111" s="308"/>
      <c r="O111" s="308"/>
      <c r="P111" s="308"/>
      <c r="Q111" s="308"/>
      <c r="R111" s="308"/>
      <c r="S111" s="308"/>
      <c r="T111" s="308"/>
      <c r="U111" s="308"/>
      <c r="V111" s="308"/>
      <c r="W111" s="308"/>
      <c r="X111" s="308"/>
      <c r="Y111" s="308"/>
      <c r="Z111" s="308"/>
    </row>
    <row r="112" spans="1:26" ht="14.25" customHeight="1" x14ac:dyDescent="0.3">
      <c r="A112" s="482" t="s">
        <v>1054</v>
      </c>
      <c r="B112" s="424" t="s">
        <v>1122</v>
      </c>
      <c r="C112" s="425" t="s">
        <v>1093</v>
      </c>
      <c r="D112" s="429" t="s">
        <v>1109</v>
      </c>
      <c r="E112" s="427">
        <v>19</v>
      </c>
      <c r="F112" s="428">
        <v>45865</v>
      </c>
      <c r="G112" s="423" t="s">
        <v>451</v>
      </c>
      <c r="H112" s="443" t="s">
        <v>1090</v>
      </c>
      <c r="I112" s="423" t="s">
        <v>451</v>
      </c>
      <c r="J112" s="429" t="s">
        <v>451</v>
      </c>
      <c r="K112" s="308"/>
      <c r="L112" s="308"/>
      <c r="M112" s="308"/>
      <c r="N112" s="308"/>
      <c r="O112" s="308"/>
      <c r="P112" s="308"/>
      <c r="Q112" s="308"/>
      <c r="R112" s="308"/>
      <c r="S112" s="308"/>
      <c r="T112" s="308"/>
      <c r="U112" s="308"/>
      <c r="V112" s="308"/>
      <c r="W112" s="308"/>
      <c r="X112" s="308"/>
      <c r="Y112" s="308"/>
      <c r="Z112" s="308"/>
    </row>
    <row r="113" spans="1:26" ht="14.25" customHeight="1" x14ac:dyDescent="0.3">
      <c r="A113" s="352" t="s">
        <v>538</v>
      </c>
      <c r="B113" s="424" t="s">
        <v>1122</v>
      </c>
      <c r="C113" s="455" t="s">
        <v>1110</v>
      </c>
      <c r="D113" s="441" t="s">
        <v>1088</v>
      </c>
      <c r="E113" s="427">
        <v>6</v>
      </c>
      <c r="F113" s="440">
        <v>45821</v>
      </c>
      <c r="G113" s="429" t="s">
        <v>451</v>
      </c>
      <c r="H113" s="428" t="s">
        <v>1078</v>
      </c>
      <c r="I113" s="429" t="s">
        <v>451</v>
      </c>
      <c r="J113" s="429" t="s">
        <v>451</v>
      </c>
      <c r="K113" s="308"/>
      <c r="L113" s="308"/>
      <c r="M113" s="308"/>
      <c r="N113" s="308"/>
      <c r="O113" s="308"/>
      <c r="P113" s="308"/>
      <c r="Q113" s="308"/>
      <c r="R113" s="308"/>
      <c r="S113" s="308"/>
      <c r="T113" s="308"/>
      <c r="U113" s="308"/>
      <c r="V113" s="308"/>
      <c r="W113" s="308"/>
      <c r="X113" s="308"/>
      <c r="Y113" s="308"/>
      <c r="Z113" s="308"/>
    </row>
    <row r="114" spans="1:26" ht="14.25" customHeight="1" x14ac:dyDescent="0.3">
      <c r="A114" s="483" t="s">
        <v>538</v>
      </c>
      <c r="B114" s="501" t="s">
        <v>1122</v>
      </c>
      <c r="C114" s="455" t="s">
        <v>1110</v>
      </c>
      <c r="D114" s="456" t="s">
        <v>1088</v>
      </c>
      <c r="E114" s="427">
        <v>6</v>
      </c>
      <c r="F114" s="457">
        <v>45821</v>
      </c>
      <c r="G114" s="429" t="s">
        <v>451</v>
      </c>
      <c r="H114" s="443" t="s">
        <v>1090</v>
      </c>
      <c r="I114" s="429" t="s">
        <v>451</v>
      </c>
      <c r="J114" s="429" t="s">
        <v>451</v>
      </c>
      <c r="K114" s="308"/>
      <c r="L114" s="308"/>
      <c r="M114" s="308"/>
      <c r="N114" s="308"/>
      <c r="O114" s="308"/>
      <c r="P114" s="308"/>
      <c r="Q114" s="308"/>
      <c r="R114" s="308"/>
      <c r="S114" s="308"/>
      <c r="T114" s="308"/>
      <c r="U114" s="308"/>
      <c r="V114" s="308"/>
      <c r="W114" s="308"/>
      <c r="X114" s="308"/>
      <c r="Y114" s="308"/>
      <c r="Z114" s="308"/>
    </row>
    <row r="115" spans="1:26" ht="14.25" customHeight="1" x14ac:dyDescent="0.3">
      <c r="A115" s="352" t="s">
        <v>2170</v>
      </c>
      <c r="B115" s="433" t="s">
        <v>1142</v>
      </c>
      <c r="C115" s="511" t="s">
        <v>1093</v>
      </c>
      <c r="D115" s="522" t="s">
        <v>1100</v>
      </c>
      <c r="E115" s="525">
        <v>19</v>
      </c>
      <c r="F115" s="524">
        <v>45865</v>
      </c>
      <c r="G115" s="524">
        <v>45848</v>
      </c>
      <c r="H115" s="428" t="s">
        <v>1078</v>
      </c>
      <c r="I115" s="427">
        <v>2</v>
      </c>
      <c r="J115" s="428">
        <v>45910</v>
      </c>
      <c r="K115" s="308"/>
      <c r="L115" s="308"/>
      <c r="M115" s="308"/>
      <c r="N115" s="308"/>
      <c r="O115" s="308"/>
      <c r="P115" s="308"/>
      <c r="Q115" s="308"/>
      <c r="R115" s="308"/>
      <c r="S115" s="308"/>
      <c r="T115" s="308"/>
      <c r="U115" s="308"/>
      <c r="V115" s="308"/>
      <c r="W115" s="308"/>
      <c r="X115" s="308"/>
      <c r="Y115" s="308"/>
      <c r="Z115" s="308"/>
    </row>
    <row r="116" spans="1:26" ht="14.25" customHeight="1" x14ac:dyDescent="0.3">
      <c r="A116" s="352" t="s">
        <v>2170</v>
      </c>
      <c r="B116" s="433" t="s">
        <v>1142</v>
      </c>
      <c r="C116" s="511" t="s">
        <v>1108</v>
      </c>
      <c r="D116" s="522" t="s">
        <v>1091</v>
      </c>
      <c r="E116" s="450">
        <v>19</v>
      </c>
      <c r="F116" s="524">
        <v>45865</v>
      </c>
      <c r="G116" s="524">
        <v>45905</v>
      </c>
      <c r="H116" s="436" t="s">
        <v>1083</v>
      </c>
      <c r="I116" s="308">
        <v>5</v>
      </c>
      <c r="J116" s="429"/>
      <c r="K116" s="308"/>
      <c r="L116" s="308"/>
      <c r="M116" s="308"/>
      <c r="N116" s="308"/>
      <c r="O116" s="308"/>
      <c r="P116" s="308"/>
      <c r="Q116" s="308"/>
      <c r="R116" s="308"/>
      <c r="S116" s="308"/>
      <c r="T116" s="308"/>
      <c r="U116" s="308"/>
      <c r="V116" s="308"/>
      <c r="W116" s="308"/>
      <c r="X116" s="308"/>
      <c r="Y116" s="308"/>
      <c r="Z116" s="308"/>
    </row>
    <row r="117" spans="1:26" ht="14.25" customHeight="1" x14ac:dyDescent="0.3">
      <c r="A117" s="352" t="s">
        <v>542</v>
      </c>
      <c r="B117" s="433" t="s">
        <v>1142</v>
      </c>
      <c r="C117" s="352" t="s">
        <v>1089</v>
      </c>
      <c r="D117" s="515" t="s">
        <v>1088</v>
      </c>
      <c r="E117" s="308">
        <v>23</v>
      </c>
      <c r="F117" s="431">
        <v>45938</v>
      </c>
      <c r="G117" s="308"/>
      <c r="H117" s="435" t="s">
        <v>1083</v>
      </c>
      <c r="I117" s="308">
        <v>4</v>
      </c>
      <c r="J117" s="431">
        <v>45944</v>
      </c>
      <c r="K117" s="308"/>
      <c r="L117" s="308"/>
      <c r="M117" s="308"/>
      <c r="N117" s="308"/>
      <c r="O117" s="308"/>
      <c r="P117" s="308"/>
      <c r="Q117" s="308"/>
      <c r="R117" s="308"/>
      <c r="S117" s="308"/>
      <c r="T117" s="308"/>
      <c r="U117" s="308"/>
      <c r="V117" s="308"/>
      <c r="W117" s="308"/>
      <c r="X117" s="308"/>
      <c r="Y117" s="308"/>
      <c r="Z117" s="308"/>
    </row>
    <row r="118" spans="1:26" ht="14.25" customHeight="1" x14ac:dyDescent="0.3">
      <c r="A118" s="480" t="s">
        <v>1111</v>
      </c>
      <c r="B118" s="424" t="s">
        <v>1122</v>
      </c>
      <c r="C118" s="425" t="s">
        <v>1089</v>
      </c>
      <c r="D118" s="441" t="s">
        <v>1088</v>
      </c>
      <c r="E118" s="450">
        <v>19</v>
      </c>
      <c r="F118" s="428">
        <v>45865</v>
      </c>
      <c r="G118" s="429" t="s">
        <v>451</v>
      </c>
      <c r="H118" s="443" t="s">
        <v>1090</v>
      </c>
      <c r="I118" s="429" t="s">
        <v>451</v>
      </c>
      <c r="J118" s="429" t="s">
        <v>451</v>
      </c>
      <c r="K118" s="308"/>
      <c r="L118" s="308"/>
      <c r="M118" s="308"/>
      <c r="N118" s="308"/>
      <c r="O118" s="308"/>
      <c r="P118" s="308"/>
      <c r="Q118" s="308"/>
      <c r="R118" s="308"/>
      <c r="S118" s="308"/>
      <c r="T118" s="308"/>
      <c r="U118" s="308"/>
      <c r="V118" s="308"/>
      <c r="W118" s="308"/>
      <c r="X118" s="308"/>
      <c r="Y118" s="308"/>
      <c r="Z118" s="308"/>
    </row>
    <row r="119" spans="1:26" ht="14.25" customHeight="1" x14ac:dyDescent="0.3">
      <c r="A119" s="352" t="s">
        <v>1111</v>
      </c>
      <c r="B119" s="510" t="s">
        <v>1142</v>
      </c>
      <c r="C119" s="483" t="s">
        <v>1093</v>
      </c>
      <c r="D119" s="522" t="s">
        <v>1100</v>
      </c>
      <c r="E119" s="526">
        <v>19</v>
      </c>
      <c r="F119" s="527">
        <v>45865</v>
      </c>
      <c r="G119" s="527">
        <v>45848</v>
      </c>
      <c r="H119" s="435" t="s">
        <v>1083</v>
      </c>
      <c r="I119" s="427">
        <v>2</v>
      </c>
      <c r="J119" s="428">
        <v>45910</v>
      </c>
      <c r="K119" s="308"/>
      <c r="L119" s="308"/>
      <c r="M119" s="308"/>
      <c r="N119" s="308"/>
      <c r="O119" s="308"/>
      <c r="P119" s="308"/>
      <c r="Q119" s="308"/>
      <c r="R119" s="308"/>
      <c r="S119" s="308"/>
      <c r="T119" s="308"/>
      <c r="U119" s="308"/>
      <c r="V119" s="308"/>
      <c r="W119" s="308"/>
      <c r="X119" s="308"/>
      <c r="Y119" s="308"/>
      <c r="Z119" s="308"/>
    </row>
    <row r="120" spans="1:26" ht="14.25" customHeight="1" x14ac:dyDescent="0.3">
      <c r="A120" s="352" t="s">
        <v>543</v>
      </c>
      <c r="B120" s="424" t="s">
        <v>1122</v>
      </c>
      <c r="C120" s="425" t="s">
        <v>1089</v>
      </c>
      <c r="D120" s="441" t="s">
        <v>1088</v>
      </c>
      <c r="E120" s="427">
        <v>5</v>
      </c>
      <c r="F120" s="440">
        <v>45817</v>
      </c>
      <c r="G120" s="429" t="s">
        <v>451</v>
      </c>
      <c r="H120" s="435" t="s">
        <v>1083</v>
      </c>
      <c r="I120" s="429" t="s">
        <v>451</v>
      </c>
      <c r="J120" s="429" t="s">
        <v>451</v>
      </c>
      <c r="K120" s="308"/>
      <c r="L120" s="308"/>
      <c r="M120" s="308"/>
      <c r="N120" s="308"/>
      <c r="O120" s="308"/>
      <c r="P120" s="308"/>
      <c r="Q120" s="308"/>
      <c r="R120" s="308"/>
      <c r="S120" s="308"/>
      <c r="T120" s="308"/>
      <c r="U120" s="308"/>
      <c r="V120" s="308"/>
      <c r="W120" s="308"/>
      <c r="X120" s="308"/>
      <c r="Y120" s="308"/>
      <c r="Z120" s="308"/>
    </row>
    <row r="121" spans="1:26" ht="14.25" customHeight="1" x14ac:dyDescent="0.3">
      <c r="A121" s="479" t="s">
        <v>543</v>
      </c>
      <c r="B121" s="418" t="s">
        <v>1122</v>
      </c>
      <c r="C121" s="447" t="s">
        <v>1144</v>
      </c>
      <c r="D121" s="447" t="s">
        <v>1235</v>
      </c>
      <c r="E121" s="447">
        <v>32</v>
      </c>
      <c r="F121" s="448">
        <v>45987</v>
      </c>
      <c r="G121" s="447"/>
      <c r="H121" s="447" t="s">
        <v>1078</v>
      </c>
      <c r="I121" s="447"/>
      <c r="J121" s="447"/>
      <c r="K121" s="447" t="s">
        <v>1236</v>
      </c>
      <c r="L121" s="308"/>
      <c r="M121" s="308"/>
      <c r="N121" s="308"/>
      <c r="O121" s="308"/>
      <c r="P121" s="308"/>
      <c r="Q121" s="308"/>
      <c r="R121" s="308"/>
      <c r="S121" s="308"/>
      <c r="T121" s="308"/>
      <c r="U121" s="308"/>
      <c r="V121" s="308"/>
      <c r="W121" s="308"/>
      <c r="X121" s="308"/>
      <c r="Y121" s="308"/>
      <c r="Z121" s="308"/>
    </row>
    <row r="122" spans="1:26" ht="14.25" customHeight="1" x14ac:dyDescent="0.3">
      <c r="A122" s="352" t="s">
        <v>543</v>
      </c>
      <c r="B122" s="433" t="s">
        <v>1142</v>
      </c>
      <c r="C122" s="352" t="s">
        <v>1089</v>
      </c>
      <c r="D122" s="515" t="s">
        <v>1088</v>
      </c>
      <c r="E122" s="308">
        <v>23</v>
      </c>
      <c r="F122" s="431">
        <v>45938</v>
      </c>
      <c r="G122" s="308"/>
      <c r="H122" s="435" t="s">
        <v>1083</v>
      </c>
      <c r="I122" s="308">
        <v>4</v>
      </c>
      <c r="J122" s="431">
        <v>45944</v>
      </c>
      <c r="K122" s="308"/>
      <c r="L122" s="308"/>
      <c r="M122" s="308"/>
      <c r="N122" s="308"/>
      <c r="O122" s="308"/>
      <c r="P122" s="308"/>
      <c r="Q122" s="308"/>
      <c r="R122" s="308"/>
      <c r="S122" s="308"/>
      <c r="T122" s="308"/>
      <c r="U122" s="308"/>
      <c r="V122" s="308"/>
      <c r="W122" s="308"/>
      <c r="X122" s="308"/>
      <c r="Y122" s="308"/>
      <c r="Z122" s="308"/>
    </row>
    <row r="123" spans="1:26" ht="14.25" customHeight="1" x14ac:dyDescent="0.3">
      <c r="A123" s="479" t="s">
        <v>543</v>
      </c>
      <c r="B123" s="449" t="s">
        <v>1142</v>
      </c>
      <c r="C123" s="447" t="s">
        <v>1144</v>
      </c>
      <c r="D123" s="521" t="s">
        <v>1231</v>
      </c>
      <c r="E123" s="447">
        <v>34</v>
      </c>
      <c r="F123" s="448">
        <v>45992</v>
      </c>
      <c r="G123" s="447"/>
      <c r="H123" s="267" t="s">
        <v>1083</v>
      </c>
      <c r="I123" s="447">
        <v>6</v>
      </c>
      <c r="J123" s="447"/>
      <c r="K123" s="447" t="s">
        <v>1232</v>
      </c>
      <c r="L123" s="308"/>
      <c r="M123" s="308"/>
      <c r="N123" s="308"/>
      <c r="O123" s="308"/>
      <c r="P123" s="308"/>
      <c r="Q123" s="308"/>
      <c r="R123" s="308"/>
      <c r="S123" s="308"/>
      <c r="T123" s="308"/>
      <c r="U123" s="308"/>
      <c r="V123" s="308"/>
      <c r="W123" s="308"/>
      <c r="X123" s="308"/>
      <c r="Y123" s="308"/>
      <c r="Z123" s="308"/>
    </row>
    <row r="124" spans="1:26" ht="14.25" customHeight="1" x14ac:dyDescent="0.3">
      <c r="A124" s="479" t="s">
        <v>2217</v>
      </c>
      <c r="B124" s="418" t="s">
        <v>1122</v>
      </c>
      <c r="C124" s="447" t="s">
        <v>1144</v>
      </c>
      <c r="D124" s="447" t="s">
        <v>1235</v>
      </c>
      <c r="E124" s="447">
        <v>32</v>
      </c>
      <c r="F124" s="448">
        <v>45987</v>
      </c>
      <c r="G124" s="447"/>
      <c r="H124" s="447" t="s">
        <v>1078</v>
      </c>
      <c r="I124" s="447"/>
      <c r="J124" s="447"/>
      <c r="K124" s="447" t="s">
        <v>1236</v>
      </c>
      <c r="L124" s="308"/>
      <c r="M124" s="308"/>
      <c r="N124" s="308"/>
      <c r="O124" s="308"/>
      <c r="P124" s="308"/>
      <c r="Q124" s="308"/>
      <c r="R124" s="308"/>
      <c r="S124" s="308"/>
      <c r="T124" s="308"/>
      <c r="U124" s="308"/>
      <c r="V124" s="308"/>
      <c r="W124" s="308"/>
      <c r="X124" s="308"/>
      <c r="Y124" s="308"/>
      <c r="Z124" s="308"/>
    </row>
    <row r="125" spans="1:26" ht="14.25" customHeight="1" x14ac:dyDescent="0.3">
      <c r="A125" s="479" t="s">
        <v>2217</v>
      </c>
      <c r="B125" s="449" t="s">
        <v>1142</v>
      </c>
      <c r="C125" s="447" t="s">
        <v>1144</v>
      </c>
      <c r="D125" s="521" t="s">
        <v>1231</v>
      </c>
      <c r="E125" s="447">
        <v>34</v>
      </c>
      <c r="F125" s="448">
        <v>45992</v>
      </c>
      <c r="G125" s="447"/>
      <c r="H125" s="267" t="s">
        <v>1083</v>
      </c>
      <c r="I125" s="447">
        <v>6</v>
      </c>
      <c r="J125" s="447"/>
      <c r="K125" s="447" t="s">
        <v>1232</v>
      </c>
      <c r="L125" s="308"/>
      <c r="M125" s="308"/>
      <c r="N125" s="308"/>
      <c r="O125" s="308"/>
      <c r="P125" s="308"/>
      <c r="Q125" s="308"/>
      <c r="R125" s="308"/>
      <c r="S125" s="308"/>
      <c r="T125" s="308"/>
      <c r="U125" s="308"/>
      <c r="V125" s="308"/>
      <c r="W125" s="308"/>
      <c r="X125" s="308"/>
      <c r="Y125" s="308"/>
      <c r="Z125" s="308"/>
    </row>
    <row r="126" spans="1:26" ht="14.25" customHeight="1" x14ac:dyDescent="0.3">
      <c r="A126" s="479" t="s">
        <v>2171</v>
      </c>
      <c r="B126" s="418" t="s">
        <v>1122</v>
      </c>
      <c r="C126" s="447" t="s">
        <v>1144</v>
      </c>
      <c r="D126" s="447" t="s">
        <v>1235</v>
      </c>
      <c r="E126" s="447">
        <v>32</v>
      </c>
      <c r="F126" s="448">
        <v>45987</v>
      </c>
      <c r="G126" s="447"/>
      <c r="H126" s="447" t="s">
        <v>1078</v>
      </c>
      <c r="I126" s="447"/>
      <c r="J126" s="447"/>
      <c r="K126" s="447" t="s">
        <v>1236</v>
      </c>
      <c r="L126" s="308"/>
      <c r="M126" s="308"/>
      <c r="N126" s="308"/>
      <c r="O126" s="308"/>
      <c r="P126" s="308"/>
      <c r="Q126" s="308"/>
      <c r="R126" s="308"/>
      <c r="S126" s="308"/>
      <c r="T126" s="308"/>
      <c r="U126" s="308"/>
      <c r="V126" s="308"/>
      <c r="W126" s="308"/>
      <c r="X126" s="308"/>
      <c r="Y126" s="308"/>
      <c r="Z126" s="308"/>
    </row>
    <row r="127" spans="1:26" ht="14.25" customHeight="1" x14ac:dyDescent="0.3">
      <c r="A127" s="479" t="s">
        <v>2171</v>
      </c>
      <c r="B127" s="449" t="s">
        <v>1142</v>
      </c>
      <c r="C127" s="447" t="s">
        <v>1144</v>
      </c>
      <c r="D127" s="521" t="s">
        <v>1231</v>
      </c>
      <c r="E127" s="447">
        <v>34</v>
      </c>
      <c r="F127" s="448">
        <v>45992</v>
      </c>
      <c r="G127" s="447"/>
      <c r="H127" s="267" t="s">
        <v>1083</v>
      </c>
      <c r="I127" s="447">
        <v>6</v>
      </c>
      <c r="J127" s="447"/>
      <c r="K127" s="447" t="s">
        <v>1232</v>
      </c>
      <c r="L127" s="308"/>
      <c r="M127" s="308"/>
      <c r="N127" s="308"/>
      <c r="O127" s="308"/>
      <c r="P127" s="308"/>
      <c r="Q127" s="308"/>
      <c r="R127" s="308"/>
      <c r="S127" s="308"/>
      <c r="T127" s="308"/>
      <c r="U127" s="308"/>
      <c r="V127" s="308"/>
      <c r="W127" s="308"/>
      <c r="X127" s="308"/>
      <c r="Y127" s="308"/>
      <c r="Z127" s="308"/>
    </row>
    <row r="128" spans="1:26" ht="14.25" customHeight="1" x14ac:dyDescent="0.3">
      <c r="A128" s="481" t="s">
        <v>2171</v>
      </c>
      <c r="B128" s="433" t="s">
        <v>1142</v>
      </c>
      <c r="C128" s="308" t="s">
        <v>1144</v>
      </c>
      <c r="D128" s="528" t="s">
        <v>1091</v>
      </c>
      <c r="E128" s="308">
        <v>28</v>
      </c>
      <c r="F128" s="431">
        <v>45958</v>
      </c>
      <c r="G128" s="308"/>
      <c r="H128" s="436" t="s">
        <v>1083</v>
      </c>
      <c r="I128" s="308">
        <v>5</v>
      </c>
      <c r="J128" s="308"/>
      <c r="K128" s="308"/>
      <c r="L128" s="308"/>
      <c r="M128" s="308"/>
      <c r="N128" s="308"/>
      <c r="O128" s="308"/>
      <c r="P128" s="308"/>
      <c r="Q128" s="308"/>
      <c r="R128" s="308"/>
      <c r="S128" s="308"/>
      <c r="T128" s="308"/>
      <c r="U128" s="308"/>
      <c r="V128" s="308"/>
      <c r="W128" s="308"/>
      <c r="X128" s="308"/>
      <c r="Y128" s="308"/>
      <c r="Z128" s="308"/>
    </row>
    <row r="129" spans="1:26" ht="14.25" customHeight="1" x14ac:dyDescent="0.3">
      <c r="A129" s="352" t="s">
        <v>545</v>
      </c>
      <c r="B129" s="433" t="s">
        <v>1142</v>
      </c>
      <c r="C129" s="511" t="s">
        <v>1108</v>
      </c>
      <c r="D129" s="522" t="s">
        <v>1091</v>
      </c>
      <c r="E129" s="450">
        <v>19</v>
      </c>
      <c r="F129" s="524">
        <v>45865</v>
      </c>
      <c r="G129" s="524">
        <v>45905</v>
      </c>
      <c r="H129" s="436" t="s">
        <v>1083</v>
      </c>
      <c r="I129" s="308">
        <v>5</v>
      </c>
      <c r="J129" s="429"/>
      <c r="K129" s="308"/>
      <c r="L129" s="308"/>
      <c r="M129" s="308"/>
      <c r="N129" s="308"/>
      <c r="O129" s="308"/>
      <c r="P129" s="308"/>
      <c r="Q129" s="308"/>
      <c r="R129" s="308"/>
      <c r="S129" s="308"/>
      <c r="T129" s="308"/>
      <c r="U129" s="308"/>
      <c r="V129" s="308"/>
      <c r="W129" s="308"/>
      <c r="X129" s="308"/>
      <c r="Y129" s="308"/>
      <c r="Z129" s="308"/>
    </row>
    <row r="130" spans="1:26" ht="14.25" customHeight="1" x14ac:dyDescent="0.3">
      <c r="A130" s="480" t="s">
        <v>1055</v>
      </c>
      <c r="B130" s="424" t="s">
        <v>1122</v>
      </c>
      <c r="C130" s="425" t="s">
        <v>1089</v>
      </c>
      <c r="D130" s="441" t="s">
        <v>1088</v>
      </c>
      <c r="E130" s="450">
        <v>19</v>
      </c>
      <c r="F130" s="428">
        <v>45865</v>
      </c>
      <c r="G130" s="429" t="s">
        <v>451</v>
      </c>
      <c r="H130" s="443" t="s">
        <v>1090</v>
      </c>
      <c r="I130" s="429" t="s">
        <v>451</v>
      </c>
      <c r="J130" s="429" t="s">
        <v>451</v>
      </c>
      <c r="K130" s="308"/>
      <c r="L130" s="308"/>
      <c r="M130" s="308"/>
      <c r="N130" s="308"/>
      <c r="O130" s="308"/>
      <c r="P130" s="308"/>
      <c r="Q130" s="308"/>
      <c r="R130" s="308"/>
      <c r="S130" s="308"/>
      <c r="T130" s="308"/>
      <c r="U130" s="308"/>
      <c r="V130" s="308"/>
      <c r="W130" s="308"/>
      <c r="X130" s="308"/>
      <c r="Y130" s="308"/>
      <c r="Z130" s="308"/>
    </row>
    <row r="131" spans="1:26" ht="14.25" customHeight="1" x14ac:dyDescent="0.3">
      <c r="A131" s="482" t="s">
        <v>1055</v>
      </c>
      <c r="B131" s="424" t="s">
        <v>1122</v>
      </c>
      <c r="C131" s="425" t="s">
        <v>1093</v>
      </c>
      <c r="D131" s="429" t="s">
        <v>1109</v>
      </c>
      <c r="E131" s="427">
        <v>19</v>
      </c>
      <c r="F131" s="428">
        <v>45865</v>
      </c>
      <c r="G131" s="429" t="s">
        <v>451</v>
      </c>
      <c r="H131" s="428" t="s">
        <v>1078</v>
      </c>
      <c r="I131" s="429" t="s">
        <v>451</v>
      </c>
      <c r="J131" s="429" t="s">
        <v>451</v>
      </c>
      <c r="K131" s="308"/>
      <c r="L131" s="308"/>
      <c r="M131" s="308"/>
      <c r="N131" s="308"/>
      <c r="O131" s="308"/>
      <c r="P131" s="308"/>
      <c r="Q131" s="308"/>
      <c r="R131" s="308"/>
      <c r="S131" s="308"/>
      <c r="T131" s="308"/>
      <c r="U131" s="308"/>
      <c r="V131" s="308"/>
      <c r="W131" s="308"/>
      <c r="X131" s="308"/>
      <c r="Y131" s="308"/>
      <c r="Z131" s="308"/>
    </row>
    <row r="132" spans="1:26" ht="14.25" customHeight="1" x14ac:dyDescent="0.3">
      <c r="A132" s="352" t="s">
        <v>1064</v>
      </c>
      <c r="B132" s="424" t="s">
        <v>1122</v>
      </c>
      <c r="C132" s="425" t="s">
        <v>1089</v>
      </c>
      <c r="D132" s="441" t="s">
        <v>1088</v>
      </c>
      <c r="E132" s="427">
        <v>5</v>
      </c>
      <c r="F132" s="440">
        <v>45817</v>
      </c>
      <c r="G132" s="429" t="s">
        <v>451</v>
      </c>
      <c r="H132" s="443" t="s">
        <v>1090</v>
      </c>
      <c r="I132" s="429" t="s">
        <v>451</v>
      </c>
      <c r="J132" s="429" t="s">
        <v>451</v>
      </c>
      <c r="K132" s="308"/>
      <c r="L132" s="308"/>
      <c r="M132" s="308"/>
      <c r="N132" s="308"/>
      <c r="O132" s="308"/>
      <c r="P132" s="308"/>
      <c r="Q132" s="308"/>
      <c r="R132" s="308"/>
      <c r="S132" s="308"/>
      <c r="T132" s="308"/>
      <c r="U132" s="308"/>
      <c r="V132" s="308"/>
      <c r="W132" s="308"/>
      <c r="X132" s="308"/>
      <c r="Y132" s="308"/>
      <c r="Z132" s="308"/>
    </row>
    <row r="133" spans="1:26" ht="14.25" customHeight="1" x14ac:dyDescent="0.3">
      <c r="A133" s="352" t="s">
        <v>562</v>
      </c>
      <c r="B133" s="433" t="s">
        <v>1142</v>
      </c>
      <c r="C133" s="511" t="s">
        <v>1108</v>
      </c>
      <c r="D133" s="522" t="s">
        <v>1091</v>
      </c>
      <c r="E133" s="450">
        <v>19</v>
      </c>
      <c r="F133" s="524">
        <v>45865</v>
      </c>
      <c r="G133" s="524">
        <v>45905</v>
      </c>
      <c r="H133" s="453" t="s">
        <v>1107</v>
      </c>
      <c r="I133" s="308"/>
      <c r="J133" s="429"/>
      <c r="K133" s="308"/>
      <c r="L133" s="308"/>
      <c r="M133" s="308"/>
      <c r="N133" s="308"/>
      <c r="O133" s="308"/>
      <c r="P133" s="308"/>
      <c r="Q133" s="308"/>
      <c r="R133" s="308"/>
      <c r="S133" s="308"/>
      <c r="T133" s="308"/>
      <c r="U133" s="308"/>
      <c r="V133" s="308"/>
      <c r="W133" s="308"/>
      <c r="X133" s="308"/>
      <c r="Y133" s="308"/>
      <c r="Z133" s="308"/>
    </row>
    <row r="134" spans="1:26" ht="14.25" customHeight="1" x14ac:dyDescent="0.3">
      <c r="A134" s="352" t="s">
        <v>2294</v>
      </c>
      <c r="B134" s="433" t="s">
        <v>1142</v>
      </c>
      <c r="C134" s="511" t="s">
        <v>1089</v>
      </c>
      <c r="D134" s="522" t="s">
        <v>1091</v>
      </c>
      <c r="E134" s="450">
        <v>19</v>
      </c>
      <c r="F134" s="524">
        <v>45865</v>
      </c>
      <c r="G134" s="524">
        <v>45905</v>
      </c>
      <c r="H134" s="453" t="s">
        <v>1107</v>
      </c>
      <c r="I134" s="308"/>
      <c r="J134" s="423" t="s">
        <v>1112</v>
      </c>
      <c r="K134" s="308"/>
      <c r="L134" s="308"/>
      <c r="M134" s="308"/>
      <c r="N134" s="308"/>
      <c r="O134" s="308"/>
      <c r="P134" s="308"/>
      <c r="Q134" s="308"/>
      <c r="R134" s="308"/>
      <c r="S134" s="308"/>
      <c r="T134" s="308"/>
      <c r="U134" s="308"/>
      <c r="V134" s="308"/>
      <c r="W134" s="308"/>
      <c r="X134" s="308"/>
      <c r="Y134" s="308"/>
      <c r="Z134" s="308"/>
    </row>
    <row r="135" spans="1:26" ht="14.25" customHeight="1" x14ac:dyDescent="0.3">
      <c r="A135" s="479" t="s">
        <v>2172</v>
      </c>
      <c r="B135" s="449" t="s">
        <v>1142</v>
      </c>
      <c r="C135" s="447" t="s">
        <v>1144</v>
      </c>
      <c r="D135" s="521" t="s">
        <v>1231</v>
      </c>
      <c r="E135" s="447">
        <v>32</v>
      </c>
      <c r="F135" s="448">
        <v>45987</v>
      </c>
      <c r="G135" s="447"/>
      <c r="H135" s="447" t="s">
        <v>1078</v>
      </c>
      <c r="I135" s="447" t="s">
        <v>1239</v>
      </c>
      <c r="J135" s="447"/>
      <c r="K135" s="447" t="s">
        <v>1236</v>
      </c>
      <c r="L135" s="308"/>
      <c r="M135" s="308"/>
      <c r="N135" s="308"/>
      <c r="O135" s="308"/>
      <c r="P135" s="308"/>
      <c r="Q135" s="308"/>
      <c r="R135" s="308"/>
      <c r="S135" s="308"/>
      <c r="T135" s="308"/>
      <c r="U135" s="308"/>
      <c r="V135" s="308"/>
      <c r="W135" s="308"/>
      <c r="X135" s="308"/>
      <c r="Y135" s="308"/>
      <c r="Z135" s="308"/>
    </row>
    <row r="136" spans="1:26" ht="14.25" customHeight="1" x14ac:dyDescent="0.3">
      <c r="A136" s="502" t="s">
        <v>2172</v>
      </c>
      <c r="B136" s="433" t="s">
        <v>1142</v>
      </c>
      <c r="C136" s="308" t="s">
        <v>1144</v>
      </c>
      <c r="D136" s="528" t="s">
        <v>1091</v>
      </c>
      <c r="E136" s="308">
        <v>28</v>
      </c>
      <c r="F136" s="431">
        <v>45958</v>
      </c>
      <c r="G136" s="308"/>
      <c r="H136" s="267" t="s">
        <v>1083</v>
      </c>
      <c r="I136" s="267">
        <v>7</v>
      </c>
      <c r="J136" s="267"/>
      <c r="K136" s="267"/>
      <c r="L136" s="308"/>
      <c r="M136" s="308"/>
      <c r="N136" s="308"/>
      <c r="O136" s="308"/>
      <c r="P136" s="308"/>
      <c r="Q136" s="308"/>
      <c r="R136" s="308"/>
      <c r="S136" s="308"/>
      <c r="T136" s="308"/>
      <c r="U136" s="308"/>
      <c r="V136" s="308"/>
      <c r="W136" s="308"/>
      <c r="X136" s="308"/>
      <c r="Y136" s="308"/>
      <c r="Z136" s="308"/>
    </row>
    <row r="137" spans="1:26" ht="14.25" customHeight="1" x14ac:dyDescent="0.3">
      <c r="A137" s="352" t="s">
        <v>1113</v>
      </c>
      <c r="B137" s="424" t="s">
        <v>1122</v>
      </c>
      <c r="C137" s="425" t="s">
        <v>1104</v>
      </c>
      <c r="D137" s="425" t="s">
        <v>1114</v>
      </c>
      <c r="E137" s="427">
        <v>11</v>
      </c>
      <c r="F137" s="428">
        <v>45824</v>
      </c>
      <c r="G137" s="429" t="s">
        <v>451</v>
      </c>
      <c r="H137" s="428" t="s">
        <v>1078</v>
      </c>
      <c r="I137" s="429" t="s">
        <v>451</v>
      </c>
      <c r="J137" s="429" t="s">
        <v>451</v>
      </c>
      <c r="K137" s="308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08"/>
      <c r="Z137" s="308"/>
    </row>
    <row r="138" spans="1:26" ht="14.25" customHeight="1" x14ac:dyDescent="0.3">
      <c r="A138" s="502" t="s">
        <v>1113</v>
      </c>
      <c r="B138" s="433" t="s">
        <v>1142</v>
      </c>
      <c r="C138" s="308" t="s">
        <v>1144</v>
      </c>
      <c r="D138" s="528" t="s">
        <v>1091</v>
      </c>
      <c r="E138" s="308">
        <v>28</v>
      </c>
      <c r="F138" s="431">
        <v>45958</v>
      </c>
      <c r="G138" s="308"/>
      <c r="H138" s="267" t="s">
        <v>1083</v>
      </c>
      <c r="I138" s="267">
        <v>7</v>
      </c>
      <c r="J138" s="267"/>
      <c r="K138" s="267"/>
      <c r="L138" s="308"/>
      <c r="M138" s="308"/>
      <c r="N138" s="308"/>
      <c r="O138" s="308"/>
      <c r="P138" s="308"/>
      <c r="Q138" s="308"/>
      <c r="R138" s="308"/>
      <c r="S138" s="308"/>
      <c r="T138" s="308"/>
      <c r="U138" s="308"/>
      <c r="V138" s="308"/>
      <c r="W138" s="308"/>
      <c r="X138" s="308"/>
      <c r="Y138" s="308"/>
      <c r="Z138" s="308"/>
    </row>
    <row r="139" spans="1:26" ht="14.25" customHeight="1" x14ac:dyDescent="0.3">
      <c r="A139" s="352" t="s">
        <v>565</v>
      </c>
      <c r="B139" s="433" t="s">
        <v>1142</v>
      </c>
      <c r="C139" s="352" t="s">
        <v>1095</v>
      </c>
      <c r="D139" s="541" t="s">
        <v>1096</v>
      </c>
      <c r="E139" s="453">
        <v>20</v>
      </c>
      <c r="F139" s="431">
        <v>45912</v>
      </c>
      <c r="G139" s="308"/>
      <c r="H139" s="435" t="s">
        <v>1083</v>
      </c>
      <c r="I139" s="308">
        <v>4</v>
      </c>
      <c r="J139" s="431">
        <v>45944</v>
      </c>
      <c r="K139" s="308"/>
      <c r="L139" s="308"/>
      <c r="M139" s="308"/>
      <c r="N139" s="308"/>
      <c r="O139" s="308"/>
      <c r="P139" s="308"/>
      <c r="Q139" s="308"/>
      <c r="R139" s="308"/>
      <c r="S139" s="308"/>
      <c r="T139" s="308"/>
      <c r="U139" s="308"/>
      <c r="V139" s="308"/>
      <c r="W139" s="308"/>
      <c r="X139" s="308"/>
      <c r="Y139" s="308"/>
      <c r="Z139" s="308"/>
    </row>
    <row r="140" spans="1:26" ht="14.25" customHeight="1" x14ac:dyDescent="0.3">
      <c r="A140" s="352" t="s">
        <v>2235</v>
      </c>
      <c r="B140" s="433" t="s">
        <v>1142</v>
      </c>
      <c r="C140" s="425" t="s">
        <v>1089</v>
      </c>
      <c r="D140" s="544" t="s">
        <v>1082</v>
      </c>
      <c r="E140" s="427">
        <v>18</v>
      </c>
      <c r="F140" s="428">
        <v>45835</v>
      </c>
      <c r="G140" s="428"/>
      <c r="H140" s="443" t="s">
        <v>1090</v>
      </c>
      <c r="I140" s="308"/>
      <c r="J140" s="429"/>
      <c r="K140" s="308"/>
      <c r="L140" s="308"/>
      <c r="M140" s="308"/>
      <c r="N140" s="308"/>
      <c r="O140" s="308"/>
      <c r="P140" s="308"/>
      <c r="Q140" s="308"/>
      <c r="R140" s="308"/>
      <c r="S140" s="308"/>
      <c r="T140" s="308"/>
      <c r="U140" s="308"/>
      <c r="V140" s="308"/>
      <c r="W140" s="308"/>
      <c r="X140" s="308"/>
      <c r="Y140" s="308"/>
      <c r="Z140" s="308"/>
    </row>
    <row r="141" spans="1:26" ht="14.25" customHeight="1" x14ac:dyDescent="0.3">
      <c r="A141" s="352" t="s">
        <v>2173</v>
      </c>
      <c r="B141" s="433" t="s">
        <v>1142</v>
      </c>
      <c r="C141" s="511" t="s">
        <v>1093</v>
      </c>
      <c r="D141" s="522" t="s">
        <v>1091</v>
      </c>
      <c r="E141" s="450">
        <v>19</v>
      </c>
      <c r="F141" s="524">
        <v>45865</v>
      </c>
      <c r="G141" s="524">
        <v>45905</v>
      </c>
      <c r="H141" s="428" t="s">
        <v>1078</v>
      </c>
      <c r="I141" s="308"/>
      <c r="J141" s="429" t="s">
        <v>1115</v>
      </c>
      <c r="K141" s="308"/>
      <c r="L141" s="308"/>
      <c r="M141" s="308"/>
      <c r="N141" s="308"/>
      <c r="O141" s="308"/>
      <c r="P141" s="308"/>
      <c r="Q141" s="308"/>
      <c r="R141" s="308"/>
      <c r="S141" s="308"/>
      <c r="T141" s="308"/>
      <c r="U141" s="308"/>
      <c r="V141" s="308"/>
      <c r="W141" s="308"/>
      <c r="X141" s="308"/>
      <c r="Y141" s="308"/>
      <c r="Z141" s="308"/>
    </row>
    <row r="142" spans="1:26" ht="14.25" customHeight="1" x14ac:dyDescent="0.3">
      <c r="A142" s="479" t="s">
        <v>2218</v>
      </c>
      <c r="B142" s="418" t="s">
        <v>1122</v>
      </c>
      <c r="C142" s="447" t="s">
        <v>1144</v>
      </c>
      <c r="D142" s="447" t="s">
        <v>1235</v>
      </c>
      <c r="E142" s="447">
        <v>32</v>
      </c>
      <c r="F142" s="448">
        <v>45987</v>
      </c>
      <c r="G142" s="447"/>
      <c r="H142" s="447" t="s">
        <v>1078</v>
      </c>
      <c r="I142" s="447"/>
      <c r="J142" s="447"/>
      <c r="K142" s="447" t="s">
        <v>1236</v>
      </c>
      <c r="L142" s="308"/>
      <c r="M142" s="308"/>
      <c r="N142" s="308"/>
      <c r="O142" s="308"/>
      <c r="P142" s="308"/>
      <c r="Q142" s="308"/>
      <c r="R142" s="308"/>
      <c r="S142" s="308"/>
      <c r="T142" s="308"/>
      <c r="U142" s="308"/>
      <c r="V142" s="308"/>
      <c r="W142" s="308"/>
      <c r="X142" s="308"/>
      <c r="Y142" s="308"/>
      <c r="Z142" s="308"/>
    </row>
    <row r="143" spans="1:26" ht="14.25" customHeight="1" x14ac:dyDescent="0.3">
      <c r="A143" s="479" t="s">
        <v>2218</v>
      </c>
      <c r="B143" s="449" t="s">
        <v>1142</v>
      </c>
      <c r="C143" s="447" t="s">
        <v>1144</v>
      </c>
      <c r="D143" s="521" t="s">
        <v>1231</v>
      </c>
      <c r="E143" s="447">
        <v>34</v>
      </c>
      <c r="F143" s="448">
        <v>45992</v>
      </c>
      <c r="G143" s="447"/>
      <c r="H143" s="267" t="s">
        <v>1083</v>
      </c>
      <c r="I143" s="447">
        <v>6</v>
      </c>
      <c r="J143" s="447"/>
      <c r="K143" s="447" t="s">
        <v>1232</v>
      </c>
      <c r="L143" s="308"/>
      <c r="M143" s="308"/>
      <c r="N143" s="308"/>
      <c r="O143" s="308"/>
      <c r="P143" s="308"/>
      <c r="Q143" s="308"/>
      <c r="R143" s="308"/>
      <c r="S143" s="308"/>
      <c r="T143" s="308"/>
      <c r="U143" s="308"/>
      <c r="V143" s="308"/>
      <c r="W143" s="308"/>
      <c r="X143" s="308"/>
      <c r="Y143" s="308"/>
      <c r="Z143" s="308"/>
    </row>
    <row r="144" spans="1:26" ht="14.25" customHeight="1" x14ac:dyDescent="0.3">
      <c r="A144" s="482" t="s">
        <v>569</v>
      </c>
      <c r="B144" s="424" t="s">
        <v>1122</v>
      </c>
      <c r="C144" s="425" t="s">
        <v>1093</v>
      </c>
      <c r="D144" s="429" t="s">
        <v>1109</v>
      </c>
      <c r="E144" s="427">
        <v>19</v>
      </c>
      <c r="F144" s="428">
        <v>45865</v>
      </c>
      <c r="G144" s="423" t="s">
        <v>451</v>
      </c>
      <c r="H144" s="428" t="s">
        <v>1078</v>
      </c>
      <c r="I144" s="423" t="s">
        <v>451</v>
      </c>
      <c r="J144" s="429" t="s">
        <v>451</v>
      </c>
      <c r="K144" s="308"/>
      <c r="L144" s="308"/>
      <c r="M144" s="308"/>
      <c r="N144" s="308"/>
      <c r="O144" s="308"/>
      <c r="P144" s="308"/>
      <c r="Q144" s="308"/>
      <c r="R144" s="308"/>
      <c r="S144" s="308"/>
      <c r="T144" s="308"/>
      <c r="U144" s="308"/>
      <c r="V144" s="308"/>
      <c r="W144" s="308"/>
      <c r="X144" s="308"/>
      <c r="Y144" s="308"/>
      <c r="Z144" s="308"/>
    </row>
    <row r="145" spans="1:26" ht="14.25" customHeight="1" x14ac:dyDescent="0.3">
      <c r="A145" s="352" t="s">
        <v>569</v>
      </c>
      <c r="B145" s="433" t="s">
        <v>1142</v>
      </c>
      <c r="C145" s="511" t="s">
        <v>1089</v>
      </c>
      <c r="D145" s="522" t="s">
        <v>1091</v>
      </c>
      <c r="E145" s="450">
        <v>13</v>
      </c>
      <c r="F145" s="451">
        <v>45824</v>
      </c>
      <c r="G145" s="524">
        <v>45905</v>
      </c>
      <c r="H145" s="428" t="s">
        <v>1078</v>
      </c>
      <c r="I145" s="308"/>
      <c r="J145" s="429" t="s">
        <v>1115</v>
      </c>
      <c r="K145" s="308"/>
      <c r="L145" s="308"/>
      <c r="M145" s="308"/>
      <c r="N145" s="308"/>
      <c r="O145" s="308"/>
      <c r="P145" s="308"/>
      <c r="Q145" s="308"/>
      <c r="R145" s="308"/>
      <c r="S145" s="308"/>
      <c r="T145" s="308"/>
      <c r="U145" s="308"/>
      <c r="V145" s="308"/>
      <c r="W145" s="308"/>
      <c r="X145" s="308"/>
      <c r="Y145" s="308"/>
      <c r="Z145" s="308"/>
    </row>
    <row r="146" spans="1:26" ht="14.25" customHeight="1" x14ac:dyDescent="0.3">
      <c r="A146" s="352" t="s">
        <v>1116</v>
      </c>
      <c r="B146" s="433" t="s">
        <v>1142</v>
      </c>
      <c r="C146" s="511" t="s">
        <v>1089</v>
      </c>
      <c r="D146" s="442" t="s">
        <v>1088</v>
      </c>
      <c r="E146" s="427">
        <v>6</v>
      </c>
      <c r="F146" s="440">
        <v>45821</v>
      </c>
      <c r="G146" s="423" t="s">
        <v>451</v>
      </c>
      <c r="H146" s="435" t="s">
        <v>1083</v>
      </c>
      <c r="I146" s="439">
        <v>1</v>
      </c>
      <c r="J146" s="428">
        <v>45824</v>
      </c>
      <c r="K146" s="308"/>
      <c r="L146" s="308"/>
      <c r="M146" s="308"/>
      <c r="N146" s="308"/>
      <c r="O146" s="308"/>
      <c r="P146" s="308"/>
      <c r="Q146" s="308"/>
      <c r="R146" s="308"/>
      <c r="S146" s="308"/>
      <c r="T146" s="308"/>
      <c r="U146" s="308"/>
      <c r="V146" s="308"/>
      <c r="W146" s="308"/>
      <c r="X146" s="308"/>
      <c r="Y146" s="308"/>
      <c r="Z146" s="308"/>
    </row>
    <row r="147" spans="1:26" ht="14.25" customHeight="1" x14ac:dyDescent="0.3">
      <c r="A147" s="352" t="s">
        <v>2189</v>
      </c>
      <c r="B147" s="433" t="s">
        <v>1142</v>
      </c>
      <c r="C147" s="511" t="s">
        <v>1089</v>
      </c>
      <c r="D147" s="442" t="s">
        <v>1088</v>
      </c>
      <c r="E147" s="450">
        <v>8</v>
      </c>
      <c r="F147" s="451">
        <v>45824</v>
      </c>
      <c r="G147" s="428">
        <v>45905</v>
      </c>
      <c r="H147" s="435" t="s">
        <v>1083</v>
      </c>
      <c r="I147" s="427">
        <v>3</v>
      </c>
      <c r="J147" s="428">
        <v>45910</v>
      </c>
      <c r="K147" s="308"/>
      <c r="L147" s="308"/>
      <c r="M147" s="308"/>
      <c r="N147" s="308"/>
      <c r="O147" s="308"/>
      <c r="P147" s="308"/>
      <c r="Q147" s="308"/>
      <c r="R147" s="308"/>
      <c r="S147" s="308"/>
      <c r="T147" s="308"/>
      <c r="U147" s="308"/>
      <c r="V147" s="308"/>
      <c r="W147" s="308"/>
      <c r="X147" s="308"/>
      <c r="Y147" s="308"/>
      <c r="Z147" s="308"/>
    </row>
    <row r="148" spans="1:26" ht="14.25" customHeight="1" x14ac:dyDescent="0.3">
      <c r="A148" s="352" t="s">
        <v>1117</v>
      </c>
      <c r="B148" s="424" t="s">
        <v>1122</v>
      </c>
      <c r="C148" s="425" t="s">
        <v>1089</v>
      </c>
      <c r="D148" s="441" t="s">
        <v>1088</v>
      </c>
      <c r="E148" s="450">
        <v>8</v>
      </c>
      <c r="F148" s="451">
        <v>45824</v>
      </c>
      <c r="G148" s="429" t="s">
        <v>451</v>
      </c>
      <c r="H148" s="428" t="s">
        <v>1078</v>
      </c>
      <c r="I148" s="423" t="s">
        <v>451</v>
      </c>
      <c r="J148" s="429" t="s">
        <v>451</v>
      </c>
      <c r="K148" s="308"/>
      <c r="L148" s="308"/>
      <c r="M148" s="308"/>
      <c r="N148" s="308"/>
      <c r="O148" s="308"/>
      <c r="P148" s="308"/>
      <c r="Q148" s="308"/>
      <c r="R148" s="308"/>
      <c r="S148" s="308"/>
      <c r="T148" s="308"/>
      <c r="U148" s="308"/>
      <c r="V148" s="308"/>
      <c r="W148" s="308"/>
      <c r="X148" s="308"/>
      <c r="Y148" s="308"/>
      <c r="Z148" s="308"/>
    </row>
    <row r="149" spans="1:26" ht="14.25" customHeight="1" x14ac:dyDescent="0.3">
      <c r="A149" s="352" t="s">
        <v>1117</v>
      </c>
      <c r="B149" s="433" t="s">
        <v>1142</v>
      </c>
      <c r="C149" s="511" t="s">
        <v>1089</v>
      </c>
      <c r="D149" s="442" t="s">
        <v>1088</v>
      </c>
      <c r="E149" s="450">
        <v>19</v>
      </c>
      <c r="F149" s="428">
        <v>45865</v>
      </c>
      <c r="G149" s="428">
        <v>45905</v>
      </c>
      <c r="H149" s="435" t="s">
        <v>1083</v>
      </c>
      <c r="I149" s="427">
        <v>3</v>
      </c>
      <c r="J149" s="428">
        <v>45910</v>
      </c>
      <c r="K149" s="308"/>
      <c r="L149" s="308"/>
      <c r="M149" s="308"/>
      <c r="N149" s="308"/>
      <c r="O149" s="308"/>
      <c r="P149" s="308"/>
      <c r="Q149" s="308"/>
      <c r="R149" s="308"/>
      <c r="S149" s="308"/>
      <c r="T149" s="308"/>
      <c r="U149" s="308"/>
      <c r="V149" s="308"/>
      <c r="W149" s="308"/>
      <c r="X149" s="308"/>
      <c r="Y149" s="308"/>
      <c r="Z149" s="308"/>
    </row>
    <row r="150" spans="1:26" ht="14.25" customHeight="1" x14ac:dyDescent="0.3">
      <c r="A150" s="352" t="s">
        <v>575</v>
      </c>
      <c r="B150" s="424" t="s">
        <v>1122</v>
      </c>
      <c r="C150" s="425" t="s">
        <v>1089</v>
      </c>
      <c r="D150" s="441" t="s">
        <v>1088</v>
      </c>
      <c r="E150" s="450">
        <v>13</v>
      </c>
      <c r="F150" s="451">
        <v>45824</v>
      </c>
      <c r="G150" s="423" t="s">
        <v>451</v>
      </c>
      <c r="H150" s="428" t="s">
        <v>1078</v>
      </c>
      <c r="I150" s="423" t="s">
        <v>451</v>
      </c>
      <c r="J150" s="429" t="s">
        <v>451</v>
      </c>
      <c r="K150" s="308"/>
      <c r="L150" s="308"/>
      <c r="M150" s="308"/>
      <c r="N150" s="308"/>
      <c r="O150" s="308"/>
      <c r="P150" s="308"/>
      <c r="Q150" s="308"/>
      <c r="R150" s="308"/>
      <c r="S150" s="308"/>
      <c r="T150" s="308"/>
      <c r="U150" s="308"/>
      <c r="V150" s="308"/>
      <c r="W150" s="308"/>
      <c r="X150" s="308"/>
      <c r="Y150" s="308"/>
      <c r="Z150" s="308"/>
    </row>
    <row r="151" spans="1:26" ht="14.25" customHeight="1" x14ac:dyDescent="0.3">
      <c r="A151" s="352" t="s">
        <v>575</v>
      </c>
      <c r="B151" s="433" t="s">
        <v>1142</v>
      </c>
      <c r="C151" s="511" t="s">
        <v>1089</v>
      </c>
      <c r="D151" s="442" t="s">
        <v>1088</v>
      </c>
      <c r="E151" s="450">
        <v>19</v>
      </c>
      <c r="F151" s="428">
        <v>45865</v>
      </c>
      <c r="G151" s="428">
        <v>45905</v>
      </c>
      <c r="H151" s="428" t="s">
        <v>1078</v>
      </c>
      <c r="I151" s="308"/>
      <c r="J151" s="429"/>
      <c r="K151" s="308"/>
      <c r="L151" s="308"/>
      <c r="M151" s="308"/>
      <c r="N151" s="308"/>
      <c r="O151" s="308"/>
      <c r="P151" s="308"/>
      <c r="Q151" s="308"/>
      <c r="R151" s="308"/>
      <c r="S151" s="308"/>
      <c r="T151" s="308"/>
      <c r="U151" s="308"/>
      <c r="V151" s="308"/>
      <c r="W151" s="308"/>
      <c r="X151" s="308"/>
      <c r="Y151" s="308"/>
      <c r="Z151" s="308"/>
    </row>
    <row r="152" spans="1:26" ht="14.25" customHeight="1" x14ac:dyDescent="0.3">
      <c r="A152" s="352" t="s">
        <v>2190</v>
      </c>
      <c r="B152" s="433" t="s">
        <v>1142</v>
      </c>
      <c r="C152" s="511" t="s">
        <v>1089</v>
      </c>
      <c r="D152" s="442" t="s">
        <v>1088</v>
      </c>
      <c r="E152" s="450">
        <v>8</v>
      </c>
      <c r="F152" s="451">
        <v>45824</v>
      </c>
      <c r="G152" s="428">
        <v>45905</v>
      </c>
      <c r="H152" s="435" t="s">
        <v>1083</v>
      </c>
      <c r="I152" s="427">
        <v>3</v>
      </c>
      <c r="J152" s="428">
        <v>45910</v>
      </c>
      <c r="K152" s="308"/>
      <c r="L152" s="308"/>
      <c r="M152" s="308"/>
      <c r="N152" s="308"/>
      <c r="O152" s="308"/>
      <c r="P152" s="308"/>
      <c r="Q152" s="308"/>
      <c r="R152" s="308"/>
      <c r="S152" s="308"/>
      <c r="T152" s="308"/>
      <c r="U152" s="308"/>
      <c r="V152" s="308"/>
      <c r="W152" s="308"/>
      <c r="X152" s="308"/>
      <c r="Y152" s="308"/>
      <c r="Z152" s="308"/>
    </row>
    <row r="153" spans="1:26" ht="14.25" customHeight="1" x14ac:dyDescent="0.3">
      <c r="A153" s="352" t="s">
        <v>577</v>
      </c>
      <c r="B153" s="433" t="s">
        <v>1142</v>
      </c>
      <c r="C153" s="511" t="s">
        <v>1089</v>
      </c>
      <c r="D153" s="442" t="s">
        <v>1088</v>
      </c>
      <c r="E153" s="427">
        <v>6</v>
      </c>
      <c r="F153" s="440">
        <v>45821</v>
      </c>
      <c r="G153" s="423" t="s">
        <v>451</v>
      </c>
      <c r="H153" s="435" t="s">
        <v>1083</v>
      </c>
      <c r="I153" s="439">
        <v>1</v>
      </c>
      <c r="J153" s="428">
        <v>45824</v>
      </c>
      <c r="K153" s="308"/>
      <c r="L153" s="308"/>
      <c r="M153" s="308"/>
      <c r="N153" s="308"/>
      <c r="O153" s="308"/>
      <c r="P153" s="308"/>
      <c r="Q153" s="308"/>
      <c r="R153" s="308"/>
      <c r="S153" s="308"/>
      <c r="T153" s="308"/>
      <c r="U153" s="308"/>
      <c r="V153" s="308"/>
      <c r="W153" s="308"/>
      <c r="X153" s="308"/>
      <c r="Y153" s="308"/>
      <c r="Z153" s="308"/>
    </row>
    <row r="154" spans="1:26" ht="14.25" customHeight="1" x14ac:dyDescent="0.3">
      <c r="A154" s="352" t="s">
        <v>577</v>
      </c>
      <c r="B154" s="510" t="s">
        <v>1142</v>
      </c>
      <c r="C154" s="483" t="s">
        <v>1093</v>
      </c>
      <c r="D154" s="522" t="s">
        <v>1100</v>
      </c>
      <c r="E154" s="526">
        <v>19</v>
      </c>
      <c r="F154" s="527">
        <v>45865</v>
      </c>
      <c r="G154" s="527">
        <v>45848</v>
      </c>
      <c r="H154" s="435" t="s">
        <v>1083</v>
      </c>
      <c r="I154" s="427">
        <v>2</v>
      </c>
      <c r="J154" s="428">
        <v>45910</v>
      </c>
      <c r="K154" s="308"/>
      <c r="L154" s="308"/>
      <c r="M154" s="308"/>
      <c r="N154" s="308"/>
      <c r="O154" s="308"/>
      <c r="P154" s="308"/>
      <c r="Q154" s="308"/>
      <c r="R154" s="308"/>
      <c r="S154" s="308"/>
      <c r="T154" s="308"/>
      <c r="U154" s="308"/>
      <c r="V154" s="308"/>
      <c r="W154" s="308"/>
      <c r="X154" s="308"/>
      <c r="Y154" s="308"/>
      <c r="Z154" s="308"/>
    </row>
    <row r="155" spans="1:26" ht="14.25" customHeight="1" x14ac:dyDescent="0.3">
      <c r="A155" s="352" t="s">
        <v>579</v>
      </c>
      <c r="B155" s="424" t="s">
        <v>1122</v>
      </c>
      <c r="C155" s="425" t="s">
        <v>1089</v>
      </c>
      <c r="D155" s="441" t="s">
        <v>1088</v>
      </c>
      <c r="E155" s="427">
        <v>18</v>
      </c>
      <c r="F155" s="428">
        <v>45835</v>
      </c>
      <c r="G155" s="429" t="s">
        <v>451</v>
      </c>
      <c r="H155" s="428" t="s">
        <v>1078</v>
      </c>
      <c r="I155" s="429" t="s">
        <v>451</v>
      </c>
      <c r="J155" s="429" t="s">
        <v>451</v>
      </c>
      <c r="K155" s="308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308"/>
      <c r="W155" s="308"/>
      <c r="X155" s="308"/>
      <c r="Y155" s="308"/>
      <c r="Z155" s="308"/>
    </row>
    <row r="156" spans="1:26" ht="14.25" customHeight="1" x14ac:dyDescent="0.3">
      <c r="A156" s="476" t="s">
        <v>579</v>
      </c>
      <c r="B156" s="424" t="s">
        <v>1122</v>
      </c>
      <c r="C156" s="308" t="s">
        <v>1144</v>
      </c>
      <c r="D156" s="308" t="s">
        <v>1091</v>
      </c>
      <c r="E156" s="308">
        <v>28</v>
      </c>
      <c r="F156" s="431">
        <v>45958</v>
      </c>
      <c r="G156" s="308"/>
      <c r="H156" s="308" t="s">
        <v>1107</v>
      </c>
      <c r="I156" s="308"/>
      <c r="J156" s="308"/>
      <c r="K156" s="308"/>
      <c r="L156" s="308"/>
      <c r="M156" s="308"/>
      <c r="N156" s="308"/>
      <c r="O156" s="308"/>
      <c r="P156" s="308"/>
      <c r="Q156" s="308"/>
      <c r="R156" s="308"/>
      <c r="S156" s="308"/>
      <c r="T156" s="308"/>
      <c r="U156" s="308"/>
      <c r="V156" s="308"/>
      <c r="W156" s="308"/>
      <c r="X156" s="308"/>
      <c r="Y156" s="308"/>
      <c r="Z156" s="308"/>
    </row>
    <row r="157" spans="1:26" ht="14.25" customHeight="1" x14ac:dyDescent="0.3">
      <c r="A157" s="479" t="s">
        <v>579</v>
      </c>
      <c r="B157" s="418" t="s">
        <v>1122</v>
      </c>
      <c r="C157" s="447" t="s">
        <v>1144</v>
      </c>
      <c r="D157" s="447" t="s">
        <v>1235</v>
      </c>
      <c r="E157" s="447">
        <v>32</v>
      </c>
      <c r="F157" s="448">
        <v>45987</v>
      </c>
      <c r="G157" s="447"/>
      <c r="H157" s="447" t="s">
        <v>1078</v>
      </c>
      <c r="I157" s="447"/>
      <c r="J157" s="447"/>
      <c r="K157" s="447" t="s">
        <v>1236</v>
      </c>
      <c r="L157" s="308"/>
      <c r="M157" s="308"/>
      <c r="N157" s="308"/>
      <c r="O157" s="308"/>
      <c r="P157" s="308"/>
      <c r="Q157" s="308"/>
      <c r="R157" s="308"/>
      <c r="S157" s="308"/>
      <c r="T157" s="308"/>
      <c r="U157" s="308"/>
      <c r="V157" s="308"/>
      <c r="W157" s="308"/>
      <c r="X157" s="308"/>
      <c r="Y157" s="308"/>
      <c r="Z157" s="308"/>
    </row>
    <row r="158" spans="1:26" ht="14.25" customHeight="1" x14ac:dyDescent="0.3">
      <c r="A158" s="479" t="s">
        <v>579</v>
      </c>
      <c r="B158" s="449" t="s">
        <v>1142</v>
      </c>
      <c r="C158" s="447" t="s">
        <v>1144</v>
      </c>
      <c r="D158" s="521" t="s">
        <v>1231</v>
      </c>
      <c r="E158" s="447">
        <v>34</v>
      </c>
      <c r="F158" s="448">
        <v>45992</v>
      </c>
      <c r="G158" s="447"/>
      <c r="H158" s="267" t="s">
        <v>1083</v>
      </c>
      <c r="I158" s="447">
        <v>6</v>
      </c>
      <c r="J158" s="447"/>
      <c r="K158" s="447" t="s">
        <v>1232</v>
      </c>
      <c r="L158" s="308"/>
      <c r="M158" s="308"/>
      <c r="N158" s="308"/>
      <c r="O158" s="308"/>
      <c r="P158" s="308"/>
      <c r="Q158" s="308"/>
      <c r="R158" s="308"/>
      <c r="S158" s="308"/>
      <c r="T158" s="308"/>
      <c r="U158" s="308"/>
      <c r="V158" s="308"/>
      <c r="W158" s="308"/>
      <c r="X158" s="308"/>
      <c r="Y158" s="308"/>
      <c r="Z158" s="308"/>
    </row>
    <row r="159" spans="1:26" ht="14.25" customHeight="1" x14ac:dyDescent="0.3">
      <c r="A159" s="474" t="s">
        <v>2174</v>
      </c>
      <c r="B159" s="418" t="s">
        <v>1122</v>
      </c>
      <c r="C159" s="447" t="s">
        <v>1144</v>
      </c>
      <c r="D159" s="447" t="s">
        <v>1235</v>
      </c>
      <c r="E159" s="447">
        <v>32</v>
      </c>
      <c r="F159" s="448">
        <v>45987</v>
      </c>
      <c r="G159" s="447"/>
      <c r="H159" s="447" t="s">
        <v>1078</v>
      </c>
      <c r="I159" s="447"/>
      <c r="J159" s="447"/>
      <c r="K159" s="447" t="s">
        <v>1236</v>
      </c>
      <c r="L159" s="308"/>
      <c r="M159" s="308"/>
      <c r="N159" s="308"/>
      <c r="O159" s="308"/>
      <c r="P159" s="308"/>
      <c r="Q159" s="308"/>
      <c r="R159" s="308"/>
      <c r="S159" s="308"/>
      <c r="T159" s="308"/>
      <c r="U159" s="308"/>
      <c r="V159" s="308"/>
      <c r="W159" s="308"/>
      <c r="X159" s="308"/>
      <c r="Y159" s="308"/>
      <c r="Z159" s="308"/>
    </row>
    <row r="160" spans="1:26" ht="14.25" customHeight="1" x14ac:dyDescent="0.3">
      <c r="A160" s="474" t="s">
        <v>2174</v>
      </c>
      <c r="B160" s="449" t="s">
        <v>1142</v>
      </c>
      <c r="C160" s="447" t="s">
        <v>1144</v>
      </c>
      <c r="D160" s="521" t="s">
        <v>1231</v>
      </c>
      <c r="E160" s="447">
        <v>34</v>
      </c>
      <c r="F160" s="448">
        <v>45992</v>
      </c>
      <c r="G160" s="447"/>
      <c r="H160" s="267" t="s">
        <v>1083</v>
      </c>
      <c r="I160" s="447">
        <v>6</v>
      </c>
      <c r="J160" s="447"/>
      <c r="K160" s="447" t="s">
        <v>1232</v>
      </c>
      <c r="L160" s="308"/>
      <c r="M160" s="308"/>
      <c r="N160" s="308"/>
      <c r="O160" s="308"/>
      <c r="P160" s="308"/>
      <c r="Q160" s="308"/>
      <c r="R160" s="308"/>
      <c r="S160" s="308"/>
      <c r="T160" s="308"/>
      <c r="U160" s="308"/>
      <c r="V160" s="308"/>
      <c r="W160" s="308"/>
      <c r="X160" s="308"/>
      <c r="Y160" s="308"/>
      <c r="Z160" s="308"/>
    </row>
    <row r="161" spans="1:26" ht="14.25" customHeight="1" x14ac:dyDescent="0.3">
      <c r="A161" s="503" t="s">
        <v>2174</v>
      </c>
      <c r="B161" s="433" t="s">
        <v>1142</v>
      </c>
      <c r="C161" s="308" t="s">
        <v>1144</v>
      </c>
      <c r="D161" s="528" t="s">
        <v>1091</v>
      </c>
      <c r="E161" s="308">
        <v>28</v>
      </c>
      <c r="F161" s="431">
        <v>45958</v>
      </c>
      <c r="G161" s="308"/>
      <c r="H161" s="267" t="s">
        <v>1083</v>
      </c>
      <c r="I161" s="267">
        <v>7</v>
      </c>
      <c r="J161" s="267"/>
      <c r="K161" s="267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308"/>
      <c r="W161" s="308"/>
      <c r="X161" s="308"/>
      <c r="Y161" s="308"/>
      <c r="Z161" s="308"/>
    </row>
    <row r="162" spans="1:26" ht="14.25" customHeight="1" x14ac:dyDescent="0.3">
      <c r="A162" s="352" t="s">
        <v>1118</v>
      </c>
      <c r="B162" s="433" t="s">
        <v>1142</v>
      </c>
      <c r="C162" s="511" t="s">
        <v>1089</v>
      </c>
      <c r="D162" s="442" t="s">
        <v>1088</v>
      </c>
      <c r="E162" s="427">
        <v>6</v>
      </c>
      <c r="F162" s="440">
        <v>45821</v>
      </c>
      <c r="G162" s="429" t="s">
        <v>451</v>
      </c>
      <c r="H162" s="435" t="s">
        <v>1083</v>
      </c>
      <c r="I162" s="439">
        <v>1</v>
      </c>
      <c r="J162" s="428">
        <v>45824</v>
      </c>
      <c r="K162" s="308"/>
      <c r="L162" s="308"/>
      <c r="M162" s="308"/>
      <c r="N162" s="308"/>
      <c r="O162" s="308"/>
      <c r="P162" s="308"/>
      <c r="Q162" s="308"/>
      <c r="R162" s="308"/>
      <c r="S162" s="308"/>
      <c r="T162" s="308"/>
      <c r="U162" s="308"/>
      <c r="V162" s="308"/>
      <c r="W162" s="308"/>
      <c r="X162" s="308"/>
      <c r="Y162" s="308"/>
      <c r="Z162" s="308"/>
    </row>
    <row r="163" spans="1:26" ht="14.25" customHeight="1" x14ac:dyDescent="0.3">
      <c r="A163" s="352" t="s">
        <v>1119</v>
      </c>
      <c r="B163" s="433" t="s">
        <v>1142</v>
      </c>
      <c r="C163" s="511" t="s">
        <v>1089</v>
      </c>
      <c r="D163" s="442" t="s">
        <v>1088</v>
      </c>
      <c r="E163" s="427">
        <v>5</v>
      </c>
      <c r="F163" s="440">
        <v>45817</v>
      </c>
      <c r="G163" s="429" t="s">
        <v>451</v>
      </c>
      <c r="H163" s="435" t="s">
        <v>1083</v>
      </c>
      <c r="I163" s="439">
        <v>1</v>
      </c>
      <c r="J163" s="428">
        <v>45824</v>
      </c>
      <c r="K163" s="308"/>
      <c r="L163" s="308"/>
      <c r="M163" s="308"/>
      <c r="N163" s="308"/>
      <c r="O163" s="308"/>
      <c r="P163" s="308"/>
      <c r="Q163" s="308"/>
      <c r="R163" s="308"/>
      <c r="S163" s="308"/>
      <c r="T163" s="308"/>
      <c r="U163" s="308"/>
      <c r="V163" s="308"/>
      <c r="W163" s="308"/>
      <c r="X163" s="308"/>
      <c r="Y163" s="308"/>
      <c r="Z163" s="308"/>
    </row>
    <row r="164" spans="1:26" ht="14.25" customHeight="1" x14ac:dyDescent="0.3">
      <c r="A164" s="503" t="s">
        <v>1119</v>
      </c>
      <c r="B164" s="433" t="s">
        <v>1142</v>
      </c>
      <c r="C164" s="308" t="s">
        <v>1144</v>
      </c>
      <c r="D164" s="528" t="s">
        <v>1091</v>
      </c>
      <c r="E164" s="308">
        <v>28</v>
      </c>
      <c r="F164" s="431">
        <v>45958</v>
      </c>
      <c r="G164" s="308"/>
      <c r="H164" s="443" t="s">
        <v>1090</v>
      </c>
      <c r="I164" s="308"/>
      <c r="J164" s="308"/>
      <c r="K164" s="308"/>
      <c r="L164" s="308"/>
      <c r="M164" s="308"/>
      <c r="N164" s="308"/>
      <c r="O164" s="308"/>
      <c r="P164" s="308"/>
      <c r="Q164" s="308"/>
      <c r="R164" s="308"/>
      <c r="S164" s="308"/>
      <c r="T164" s="308"/>
      <c r="U164" s="308"/>
      <c r="V164" s="308"/>
      <c r="W164" s="308"/>
      <c r="X164" s="308"/>
      <c r="Y164" s="308"/>
      <c r="Z164" s="308"/>
    </row>
    <row r="165" spans="1:26" ht="14.25" customHeight="1" x14ac:dyDescent="0.3">
      <c r="A165" s="352" t="s">
        <v>1120</v>
      </c>
      <c r="B165" s="433" t="s">
        <v>1142</v>
      </c>
      <c r="C165" s="511" t="s">
        <v>1089</v>
      </c>
      <c r="D165" s="442" t="s">
        <v>1088</v>
      </c>
      <c r="E165" s="427">
        <v>5</v>
      </c>
      <c r="F165" s="440">
        <v>45817</v>
      </c>
      <c r="G165" s="429" t="s">
        <v>451</v>
      </c>
      <c r="H165" s="435" t="s">
        <v>1083</v>
      </c>
      <c r="I165" s="439">
        <v>1</v>
      </c>
      <c r="J165" s="428">
        <v>45824</v>
      </c>
      <c r="K165" s="308"/>
      <c r="L165" s="308"/>
      <c r="M165" s="308"/>
      <c r="N165" s="308"/>
      <c r="O165" s="308"/>
      <c r="P165" s="308"/>
      <c r="Q165" s="308"/>
      <c r="R165" s="308"/>
      <c r="S165" s="308"/>
      <c r="T165" s="308"/>
      <c r="U165" s="308"/>
      <c r="V165" s="308"/>
      <c r="W165" s="308"/>
      <c r="X165" s="308"/>
      <c r="Y165" s="308"/>
      <c r="Z165" s="308"/>
    </row>
    <row r="166" spans="1:26" ht="14.25" customHeight="1" x14ac:dyDescent="0.3">
      <c r="A166" s="503" t="s">
        <v>1120</v>
      </c>
      <c r="B166" s="433" t="s">
        <v>1142</v>
      </c>
      <c r="C166" s="308" t="s">
        <v>1144</v>
      </c>
      <c r="D166" s="528" t="s">
        <v>1091</v>
      </c>
      <c r="E166" s="308">
        <v>28</v>
      </c>
      <c r="F166" s="431">
        <v>45958</v>
      </c>
      <c r="G166" s="308"/>
      <c r="H166" s="267" t="s">
        <v>1083</v>
      </c>
      <c r="I166" s="267">
        <v>7</v>
      </c>
      <c r="J166" s="267"/>
      <c r="K166" s="267"/>
      <c r="L166" s="308"/>
      <c r="M166" s="308"/>
      <c r="N166" s="308"/>
      <c r="O166" s="308"/>
      <c r="P166" s="308"/>
      <c r="Q166" s="308"/>
      <c r="R166" s="308"/>
      <c r="S166" s="308"/>
      <c r="T166" s="308"/>
      <c r="U166" s="308"/>
      <c r="V166" s="308"/>
      <c r="W166" s="308"/>
      <c r="X166" s="308"/>
      <c r="Y166" s="308"/>
      <c r="Z166" s="308"/>
    </row>
    <row r="167" spans="1:26" ht="14.25" customHeight="1" x14ac:dyDescent="0.3">
      <c r="A167" s="352" t="s">
        <v>595</v>
      </c>
      <c r="B167" s="433" t="s">
        <v>1142</v>
      </c>
      <c r="C167" s="511" t="s">
        <v>1089</v>
      </c>
      <c r="D167" s="442" t="s">
        <v>1088</v>
      </c>
      <c r="E167" s="427">
        <v>6</v>
      </c>
      <c r="F167" s="440">
        <v>45821</v>
      </c>
      <c r="G167" s="429" t="s">
        <v>451</v>
      </c>
      <c r="H167" s="435" t="s">
        <v>1083</v>
      </c>
      <c r="I167" s="439">
        <v>1</v>
      </c>
      <c r="J167" s="428">
        <v>45824</v>
      </c>
      <c r="K167" s="308"/>
      <c r="L167" s="308"/>
      <c r="M167" s="308"/>
      <c r="N167" s="308"/>
      <c r="O167" s="308"/>
      <c r="P167" s="308"/>
      <c r="Q167" s="308"/>
      <c r="R167" s="308"/>
      <c r="S167" s="308"/>
      <c r="T167" s="308"/>
      <c r="U167" s="308"/>
      <c r="V167" s="308"/>
      <c r="W167" s="308"/>
      <c r="X167" s="308"/>
      <c r="Y167" s="308"/>
      <c r="Z167" s="308"/>
    </row>
    <row r="168" spans="1:26" ht="14.25" customHeight="1" x14ac:dyDescent="0.3">
      <c r="A168" s="480" t="s">
        <v>595</v>
      </c>
      <c r="B168" s="424" t="s">
        <v>1122</v>
      </c>
      <c r="C168" s="425" t="s">
        <v>1089</v>
      </c>
      <c r="D168" s="441" t="s">
        <v>1088</v>
      </c>
      <c r="E168" s="450">
        <v>19</v>
      </c>
      <c r="F168" s="428">
        <v>45865</v>
      </c>
      <c r="G168" s="429" t="s">
        <v>451</v>
      </c>
      <c r="H168" s="428" t="s">
        <v>1078</v>
      </c>
      <c r="I168" s="429" t="s">
        <v>451</v>
      </c>
      <c r="J168" s="429" t="s">
        <v>451</v>
      </c>
      <c r="K168" s="308"/>
      <c r="L168" s="308"/>
      <c r="M168" s="308"/>
      <c r="N168" s="308"/>
      <c r="O168" s="308"/>
      <c r="P168" s="308"/>
      <c r="Q168" s="308"/>
      <c r="R168" s="308"/>
      <c r="S168" s="308"/>
      <c r="T168" s="308"/>
      <c r="U168" s="308"/>
      <c r="V168" s="308"/>
      <c r="W168" s="308"/>
      <c r="X168" s="308"/>
      <c r="Y168" s="308"/>
      <c r="Z168" s="308"/>
    </row>
    <row r="169" spans="1:26" ht="14.25" customHeight="1" x14ac:dyDescent="0.3">
      <c r="A169" s="352" t="s">
        <v>595</v>
      </c>
      <c r="B169" s="433" t="s">
        <v>1142</v>
      </c>
      <c r="C169" s="511" t="s">
        <v>1093</v>
      </c>
      <c r="D169" s="522" t="s">
        <v>1100</v>
      </c>
      <c r="E169" s="525">
        <v>19</v>
      </c>
      <c r="F169" s="524">
        <v>45865</v>
      </c>
      <c r="G169" s="524">
        <v>45848</v>
      </c>
      <c r="H169" s="435" t="s">
        <v>1083</v>
      </c>
      <c r="I169" s="427">
        <v>2</v>
      </c>
      <c r="J169" s="428">
        <v>45910</v>
      </c>
      <c r="K169" s="308"/>
      <c r="L169" s="308"/>
      <c r="M169" s="308"/>
      <c r="N169" s="308"/>
      <c r="O169" s="308"/>
      <c r="P169" s="308"/>
      <c r="Q169" s="308"/>
      <c r="R169" s="308"/>
      <c r="S169" s="308"/>
      <c r="T169" s="308"/>
      <c r="U169" s="308"/>
      <c r="V169" s="308"/>
      <c r="W169" s="308"/>
      <c r="X169" s="308"/>
      <c r="Y169" s="308"/>
      <c r="Z169" s="308"/>
    </row>
    <row r="170" spans="1:26" ht="14.25" customHeight="1" x14ac:dyDescent="0.3">
      <c r="A170" s="352" t="s">
        <v>1984</v>
      </c>
      <c r="B170" s="433" t="s">
        <v>1142</v>
      </c>
      <c r="C170" s="511" t="s">
        <v>1089</v>
      </c>
      <c r="D170" s="442" t="s">
        <v>1088</v>
      </c>
      <c r="E170" s="450">
        <v>13</v>
      </c>
      <c r="F170" s="451">
        <v>45824</v>
      </c>
      <c r="G170" s="428">
        <v>45905</v>
      </c>
      <c r="H170" s="435" t="s">
        <v>1083</v>
      </c>
      <c r="I170" s="427">
        <v>3</v>
      </c>
      <c r="J170" s="428">
        <v>45910</v>
      </c>
      <c r="K170" s="308"/>
      <c r="L170" s="308"/>
      <c r="M170" s="308"/>
      <c r="N170" s="308"/>
      <c r="O170" s="308"/>
      <c r="P170" s="308"/>
      <c r="Q170" s="308"/>
      <c r="R170" s="308"/>
      <c r="S170" s="308"/>
      <c r="T170" s="308"/>
      <c r="U170" s="308"/>
      <c r="V170" s="308"/>
      <c r="W170" s="308"/>
      <c r="X170" s="308"/>
      <c r="Y170" s="308"/>
      <c r="Z170" s="308"/>
    </row>
    <row r="171" spans="1:26" ht="14.25" customHeight="1" x14ac:dyDescent="0.3">
      <c r="A171" s="352" t="s">
        <v>1988</v>
      </c>
      <c r="B171" s="433" t="s">
        <v>1142</v>
      </c>
      <c r="C171" s="511" t="s">
        <v>1089</v>
      </c>
      <c r="D171" s="442" t="s">
        <v>1088</v>
      </c>
      <c r="E171" s="427">
        <v>18</v>
      </c>
      <c r="F171" s="428">
        <v>45835</v>
      </c>
      <c r="G171" s="428">
        <v>45905</v>
      </c>
      <c r="H171" s="435" t="s">
        <v>1083</v>
      </c>
      <c r="I171" s="427">
        <v>3</v>
      </c>
      <c r="J171" s="428">
        <v>45910</v>
      </c>
      <c r="K171" s="308"/>
      <c r="L171" s="308"/>
      <c r="M171" s="308"/>
      <c r="N171" s="308"/>
      <c r="O171" s="308"/>
      <c r="P171" s="308"/>
      <c r="Q171" s="308"/>
      <c r="R171" s="308"/>
      <c r="S171" s="308"/>
      <c r="T171" s="308"/>
      <c r="U171" s="308"/>
      <c r="V171" s="308"/>
      <c r="W171" s="308"/>
      <c r="X171" s="308"/>
      <c r="Y171" s="308"/>
      <c r="Z171" s="308"/>
    </row>
    <row r="172" spans="1:26" ht="14.25" customHeight="1" x14ac:dyDescent="0.3">
      <c r="A172" s="352" t="s">
        <v>601</v>
      </c>
      <c r="B172" s="433" t="s">
        <v>1142</v>
      </c>
      <c r="C172" s="511" t="s">
        <v>1093</v>
      </c>
      <c r="D172" s="522" t="s">
        <v>1100</v>
      </c>
      <c r="E172" s="525">
        <v>19</v>
      </c>
      <c r="F172" s="524">
        <v>45865</v>
      </c>
      <c r="G172" s="524">
        <v>45848</v>
      </c>
      <c r="H172" s="435" t="s">
        <v>1083</v>
      </c>
      <c r="I172" s="427">
        <v>2</v>
      </c>
      <c r="J172" s="428">
        <v>45910</v>
      </c>
      <c r="K172" s="308"/>
      <c r="L172" s="308"/>
      <c r="M172" s="308"/>
      <c r="N172" s="308"/>
      <c r="O172" s="308"/>
      <c r="P172" s="308"/>
      <c r="Q172" s="308"/>
      <c r="R172" s="308"/>
      <c r="S172" s="308"/>
      <c r="T172" s="308"/>
      <c r="U172" s="308"/>
      <c r="V172" s="308"/>
      <c r="W172" s="308"/>
      <c r="X172" s="308"/>
      <c r="Y172" s="308"/>
      <c r="Z172" s="308"/>
    </row>
    <row r="173" spans="1:26" ht="14.25" customHeight="1" x14ac:dyDescent="0.3">
      <c r="A173" s="352" t="s">
        <v>603</v>
      </c>
      <c r="B173" s="433" t="s">
        <v>1142</v>
      </c>
      <c r="C173" s="352" t="s">
        <v>1089</v>
      </c>
      <c r="D173" s="515" t="s">
        <v>1088</v>
      </c>
      <c r="E173" s="308">
        <v>23</v>
      </c>
      <c r="F173" s="431">
        <v>45938</v>
      </c>
      <c r="G173" s="308"/>
      <c r="H173" s="435" t="s">
        <v>1083</v>
      </c>
      <c r="I173" s="308">
        <v>4</v>
      </c>
      <c r="J173" s="431">
        <v>45944</v>
      </c>
      <c r="K173" s="308"/>
      <c r="L173" s="308"/>
      <c r="M173" s="308"/>
      <c r="N173" s="308"/>
      <c r="O173" s="308"/>
      <c r="P173" s="308"/>
      <c r="Q173" s="308"/>
      <c r="R173" s="308"/>
      <c r="S173" s="308"/>
      <c r="T173" s="308"/>
      <c r="U173" s="308"/>
      <c r="V173" s="308"/>
      <c r="W173" s="308"/>
      <c r="X173" s="308"/>
      <c r="Y173" s="308"/>
      <c r="Z173" s="308"/>
    </row>
    <row r="174" spans="1:26" ht="14.25" customHeight="1" x14ac:dyDescent="0.3">
      <c r="A174" s="480" t="s">
        <v>605</v>
      </c>
      <c r="B174" s="424" t="s">
        <v>1122</v>
      </c>
      <c r="C174" s="425" t="s">
        <v>1104</v>
      </c>
      <c r="D174" s="425" t="s">
        <v>1114</v>
      </c>
      <c r="E174" s="427">
        <v>11</v>
      </c>
      <c r="F174" s="428">
        <v>45824</v>
      </c>
      <c r="G174" s="429" t="s">
        <v>451</v>
      </c>
      <c r="H174" s="428" t="s">
        <v>1078</v>
      </c>
      <c r="I174" s="429" t="s">
        <v>451</v>
      </c>
      <c r="J174" s="429" t="s">
        <v>451</v>
      </c>
      <c r="K174" s="308"/>
      <c r="L174" s="308"/>
      <c r="M174" s="308"/>
      <c r="N174" s="308"/>
      <c r="O174" s="308"/>
      <c r="P174" s="308"/>
      <c r="Q174" s="308"/>
      <c r="R174" s="308"/>
      <c r="S174" s="308"/>
      <c r="T174" s="308"/>
      <c r="U174" s="308"/>
      <c r="V174" s="308"/>
      <c r="W174" s="308"/>
      <c r="X174" s="308"/>
      <c r="Y174" s="308"/>
      <c r="Z174" s="308"/>
    </row>
    <row r="175" spans="1:26" ht="14.25" customHeight="1" x14ac:dyDescent="0.3">
      <c r="A175" s="352" t="s">
        <v>605</v>
      </c>
      <c r="B175" s="433" t="s">
        <v>1142</v>
      </c>
      <c r="C175" s="352" t="s">
        <v>1093</v>
      </c>
      <c r="D175" s="515" t="s">
        <v>1088</v>
      </c>
      <c r="E175" s="308">
        <v>23</v>
      </c>
      <c r="F175" s="431">
        <v>45938</v>
      </c>
      <c r="G175" s="308" t="s">
        <v>1098</v>
      </c>
      <c r="H175" s="435" t="s">
        <v>1083</v>
      </c>
      <c r="I175" s="308">
        <v>4</v>
      </c>
      <c r="J175" s="431">
        <v>45944</v>
      </c>
      <c r="K175" s="308"/>
      <c r="L175" s="308"/>
      <c r="M175" s="308"/>
      <c r="N175" s="308"/>
      <c r="O175" s="308"/>
      <c r="P175" s="308"/>
      <c r="Q175" s="308"/>
      <c r="R175" s="308"/>
      <c r="S175" s="308"/>
      <c r="T175" s="308"/>
      <c r="U175" s="308"/>
      <c r="V175" s="308"/>
      <c r="W175" s="308"/>
      <c r="X175" s="308"/>
      <c r="Y175" s="308"/>
      <c r="Z175" s="308"/>
    </row>
    <row r="176" spans="1:26" ht="14.25" customHeight="1" x14ac:dyDescent="0.3">
      <c r="A176" s="352" t="s">
        <v>2175</v>
      </c>
      <c r="B176" s="433" t="s">
        <v>1142</v>
      </c>
      <c r="C176" s="511" t="s">
        <v>1093</v>
      </c>
      <c r="D176" s="522" t="s">
        <v>1100</v>
      </c>
      <c r="E176" s="525">
        <v>19</v>
      </c>
      <c r="F176" s="524">
        <v>45865</v>
      </c>
      <c r="G176" s="524">
        <v>45848</v>
      </c>
      <c r="H176" s="435" t="s">
        <v>1083</v>
      </c>
      <c r="I176" s="427">
        <v>2</v>
      </c>
      <c r="J176" s="428">
        <v>45910</v>
      </c>
      <c r="K176" s="308"/>
      <c r="L176" s="308"/>
      <c r="M176" s="308"/>
      <c r="N176" s="308"/>
      <c r="O176" s="308"/>
      <c r="P176" s="308"/>
      <c r="Q176" s="308"/>
      <c r="R176" s="308"/>
      <c r="S176" s="308"/>
      <c r="T176" s="308"/>
      <c r="U176" s="308"/>
      <c r="V176" s="308"/>
      <c r="W176" s="308"/>
      <c r="X176" s="308"/>
      <c r="Y176" s="308"/>
      <c r="Z176" s="308"/>
    </row>
    <row r="177" spans="1:26" ht="14.25" customHeight="1" x14ac:dyDescent="0.3">
      <c r="A177" s="352" t="s">
        <v>2175</v>
      </c>
      <c r="B177" s="433" t="s">
        <v>1142</v>
      </c>
      <c r="C177" s="511" t="s">
        <v>1093</v>
      </c>
      <c r="D177" s="522" t="s">
        <v>1091</v>
      </c>
      <c r="E177" s="450">
        <v>19</v>
      </c>
      <c r="F177" s="524">
        <v>45865</v>
      </c>
      <c r="G177" s="524">
        <v>45905</v>
      </c>
      <c r="H177" s="443" t="s">
        <v>1090</v>
      </c>
      <c r="I177" s="308"/>
      <c r="J177" s="308"/>
      <c r="K177" s="308"/>
      <c r="L177" s="308"/>
      <c r="M177" s="308"/>
      <c r="N177" s="308"/>
      <c r="O177" s="308"/>
      <c r="P177" s="308"/>
      <c r="Q177" s="308"/>
      <c r="R177" s="308"/>
      <c r="S177" s="308"/>
      <c r="T177" s="308"/>
      <c r="U177" s="308"/>
      <c r="V177" s="308"/>
      <c r="W177" s="308"/>
      <c r="X177" s="308"/>
      <c r="Y177" s="308"/>
      <c r="Z177" s="308"/>
    </row>
    <row r="178" spans="1:26" ht="14.25" customHeight="1" x14ac:dyDescent="0.3">
      <c r="A178" s="352" t="s">
        <v>2176</v>
      </c>
      <c r="B178" s="433" t="s">
        <v>1142</v>
      </c>
      <c r="C178" s="511" t="s">
        <v>1093</v>
      </c>
      <c r="D178" s="522" t="s">
        <v>1091</v>
      </c>
      <c r="E178" s="450">
        <v>19</v>
      </c>
      <c r="F178" s="524">
        <v>45865</v>
      </c>
      <c r="G178" s="524">
        <v>45905</v>
      </c>
      <c r="H178" s="436" t="s">
        <v>1083</v>
      </c>
      <c r="I178" s="308">
        <v>5</v>
      </c>
      <c r="J178" s="308"/>
      <c r="K178" s="308"/>
      <c r="L178" s="308"/>
      <c r="M178" s="308"/>
      <c r="N178" s="308"/>
      <c r="O178" s="308"/>
      <c r="P178" s="308"/>
      <c r="Q178" s="308"/>
      <c r="R178" s="308"/>
      <c r="S178" s="308"/>
      <c r="T178" s="308"/>
      <c r="U178" s="308"/>
      <c r="V178" s="308"/>
      <c r="W178" s="308"/>
      <c r="X178" s="308"/>
      <c r="Y178" s="308"/>
      <c r="Z178" s="308"/>
    </row>
    <row r="179" spans="1:26" ht="14.25" customHeight="1" x14ac:dyDescent="0.3">
      <c r="A179" s="352" t="s">
        <v>2186</v>
      </c>
      <c r="B179" s="433" t="s">
        <v>1142</v>
      </c>
      <c r="C179" s="511" t="s">
        <v>1093</v>
      </c>
      <c r="D179" s="522" t="s">
        <v>1100</v>
      </c>
      <c r="E179" s="525">
        <v>19</v>
      </c>
      <c r="F179" s="524">
        <v>45865</v>
      </c>
      <c r="G179" s="524">
        <v>45848</v>
      </c>
      <c r="H179" s="435" t="s">
        <v>1083</v>
      </c>
      <c r="I179" s="427">
        <v>2</v>
      </c>
      <c r="J179" s="428">
        <v>45910</v>
      </c>
      <c r="K179" s="308"/>
      <c r="L179" s="308"/>
      <c r="M179" s="308"/>
      <c r="N179" s="308"/>
      <c r="O179" s="308"/>
      <c r="P179" s="308"/>
      <c r="Q179" s="308"/>
      <c r="R179" s="308"/>
      <c r="S179" s="308"/>
      <c r="T179" s="308"/>
      <c r="U179" s="308"/>
      <c r="V179" s="308"/>
      <c r="W179" s="308"/>
      <c r="X179" s="308"/>
      <c r="Y179" s="308"/>
      <c r="Z179" s="308"/>
    </row>
    <row r="180" spans="1:26" ht="14.25" customHeight="1" x14ac:dyDescent="0.3">
      <c r="A180" s="352" t="s">
        <v>623</v>
      </c>
      <c r="B180" s="433" t="s">
        <v>1142</v>
      </c>
      <c r="C180" s="511" t="s">
        <v>1093</v>
      </c>
      <c r="D180" s="522" t="s">
        <v>1100</v>
      </c>
      <c r="E180" s="525">
        <v>19</v>
      </c>
      <c r="F180" s="524">
        <v>45865</v>
      </c>
      <c r="G180" s="524">
        <v>45848</v>
      </c>
      <c r="H180" s="435" t="s">
        <v>1083</v>
      </c>
      <c r="I180" s="427">
        <v>2</v>
      </c>
      <c r="J180" s="428">
        <v>45910</v>
      </c>
      <c r="K180" s="308"/>
      <c r="L180" s="308"/>
      <c r="M180" s="308"/>
      <c r="N180" s="308"/>
      <c r="O180" s="308"/>
      <c r="P180" s="308"/>
      <c r="Q180" s="308"/>
      <c r="R180" s="308"/>
      <c r="S180" s="308"/>
      <c r="T180" s="308"/>
      <c r="U180" s="308"/>
      <c r="V180" s="308"/>
      <c r="W180" s="308"/>
      <c r="X180" s="308"/>
      <c r="Y180" s="308"/>
      <c r="Z180" s="308"/>
    </row>
    <row r="181" spans="1:26" ht="14.25" customHeight="1" x14ac:dyDescent="0.3">
      <c r="A181" s="352" t="s">
        <v>2177</v>
      </c>
      <c r="B181" s="433" t="s">
        <v>1142</v>
      </c>
      <c r="C181" s="511" t="s">
        <v>1093</v>
      </c>
      <c r="D181" s="522" t="s">
        <v>1091</v>
      </c>
      <c r="E181" s="450">
        <v>19</v>
      </c>
      <c r="F181" s="524">
        <v>45865</v>
      </c>
      <c r="G181" s="524">
        <v>45905</v>
      </c>
      <c r="H181" s="439" t="s">
        <v>1083</v>
      </c>
      <c r="I181" s="308" t="s">
        <v>1121</v>
      </c>
      <c r="J181" s="308"/>
      <c r="K181" s="308"/>
      <c r="L181" s="308"/>
      <c r="M181" s="308"/>
      <c r="N181" s="308"/>
      <c r="O181" s="308"/>
      <c r="P181" s="308"/>
      <c r="Q181" s="308"/>
      <c r="R181" s="308"/>
      <c r="S181" s="308"/>
      <c r="T181" s="308"/>
      <c r="U181" s="308"/>
      <c r="V181" s="308"/>
      <c r="W181" s="308"/>
      <c r="X181" s="308"/>
      <c r="Y181" s="308"/>
      <c r="Z181" s="308"/>
    </row>
    <row r="182" spans="1:26" ht="14.25" customHeight="1" x14ac:dyDescent="0.3">
      <c r="A182" s="352" t="s">
        <v>629</v>
      </c>
      <c r="B182" s="424" t="s">
        <v>1122</v>
      </c>
      <c r="C182" s="425" t="s">
        <v>1089</v>
      </c>
      <c r="D182" s="441" t="s">
        <v>1088</v>
      </c>
      <c r="E182" s="427">
        <v>5</v>
      </c>
      <c r="F182" s="440">
        <v>45817</v>
      </c>
      <c r="G182" s="429" t="s">
        <v>451</v>
      </c>
      <c r="H182" s="443" t="s">
        <v>1090</v>
      </c>
      <c r="I182" s="423" t="s">
        <v>451</v>
      </c>
      <c r="J182" s="429" t="s">
        <v>451</v>
      </c>
      <c r="K182" s="308"/>
      <c r="L182" s="308"/>
      <c r="M182" s="308"/>
      <c r="N182" s="308"/>
      <c r="O182" s="308"/>
      <c r="P182" s="308"/>
      <c r="Q182" s="308"/>
      <c r="R182" s="308"/>
      <c r="S182" s="308"/>
      <c r="T182" s="308"/>
      <c r="U182" s="308"/>
      <c r="V182" s="308"/>
      <c r="W182" s="308"/>
      <c r="X182" s="308"/>
      <c r="Y182" s="308"/>
      <c r="Z182" s="308"/>
    </row>
    <row r="183" spans="1:26" ht="14.25" customHeight="1" x14ac:dyDescent="0.3">
      <c r="A183" s="475" t="s">
        <v>629</v>
      </c>
      <c r="B183" s="430" t="s">
        <v>1122</v>
      </c>
      <c r="C183" s="425" t="s">
        <v>1089</v>
      </c>
      <c r="D183" s="429" t="s">
        <v>1088</v>
      </c>
      <c r="E183" s="429">
        <v>23</v>
      </c>
      <c r="F183" s="428">
        <v>45938</v>
      </c>
      <c r="G183" s="429" t="s">
        <v>451</v>
      </c>
      <c r="H183" s="428" t="s">
        <v>1078</v>
      </c>
      <c r="I183" s="423" t="s">
        <v>451</v>
      </c>
      <c r="J183" s="429" t="s">
        <v>451</v>
      </c>
      <c r="K183" s="308"/>
      <c r="L183" s="308"/>
      <c r="M183" s="308"/>
      <c r="N183" s="308"/>
      <c r="O183" s="308"/>
      <c r="P183" s="308"/>
      <c r="Q183" s="308"/>
      <c r="R183" s="308"/>
      <c r="S183" s="308"/>
      <c r="T183" s="308"/>
      <c r="U183" s="308"/>
      <c r="V183" s="308"/>
      <c r="W183" s="308"/>
      <c r="X183" s="308"/>
      <c r="Y183" s="308"/>
      <c r="Z183" s="308"/>
    </row>
    <row r="184" spans="1:26" s="445" customFormat="1" ht="14.25" customHeight="1" x14ac:dyDescent="0.3">
      <c r="A184" s="504" t="s">
        <v>629</v>
      </c>
      <c r="B184" s="433" t="s">
        <v>1142</v>
      </c>
      <c r="C184" s="308" t="s">
        <v>1144</v>
      </c>
      <c r="D184" s="528" t="s">
        <v>1091</v>
      </c>
      <c r="E184" s="308">
        <v>28</v>
      </c>
      <c r="F184" s="431">
        <v>45958</v>
      </c>
      <c r="G184" s="308"/>
      <c r="H184" s="267" t="s">
        <v>1083</v>
      </c>
      <c r="I184" s="267">
        <v>7</v>
      </c>
      <c r="J184" s="267"/>
      <c r="K184" s="267"/>
      <c r="L184" s="267"/>
      <c r="M184" s="267"/>
      <c r="N184" s="267"/>
      <c r="O184" s="267"/>
      <c r="P184" s="267"/>
      <c r="Q184" s="267"/>
      <c r="R184" s="267"/>
      <c r="S184" s="267"/>
      <c r="T184" s="267"/>
      <c r="U184" s="267"/>
      <c r="V184" s="267"/>
      <c r="W184" s="267"/>
      <c r="X184" s="267"/>
      <c r="Y184" s="267"/>
      <c r="Z184" s="267"/>
    </row>
    <row r="185" spans="1:26" ht="14.25" customHeight="1" x14ac:dyDescent="0.3">
      <c r="A185" s="480" t="s">
        <v>1123</v>
      </c>
      <c r="B185" s="424" t="s">
        <v>1122</v>
      </c>
      <c r="C185" s="425" t="s">
        <v>1104</v>
      </c>
      <c r="D185" s="425" t="s">
        <v>1114</v>
      </c>
      <c r="E185" s="427">
        <v>11</v>
      </c>
      <c r="F185" s="428">
        <v>45824</v>
      </c>
      <c r="G185" s="423" t="s">
        <v>451</v>
      </c>
      <c r="H185" s="428" t="s">
        <v>1078</v>
      </c>
      <c r="I185" s="423" t="s">
        <v>451</v>
      </c>
      <c r="J185" s="423" t="s">
        <v>451</v>
      </c>
      <c r="K185" s="308"/>
      <c r="L185" s="308"/>
      <c r="M185" s="308"/>
      <c r="N185" s="308"/>
      <c r="O185" s="308"/>
      <c r="P185" s="308"/>
      <c r="Q185" s="308"/>
      <c r="R185" s="308"/>
      <c r="S185" s="308"/>
      <c r="T185" s="308"/>
      <c r="U185" s="308"/>
      <c r="V185" s="308"/>
      <c r="W185" s="308"/>
      <c r="X185" s="308"/>
      <c r="Y185" s="308"/>
      <c r="Z185" s="308"/>
    </row>
    <row r="186" spans="1:26" ht="14.25" customHeight="1" x14ac:dyDescent="0.3">
      <c r="A186" s="352" t="s">
        <v>1123</v>
      </c>
      <c r="B186" s="433" t="s">
        <v>1142</v>
      </c>
      <c r="C186" s="511" t="s">
        <v>1108</v>
      </c>
      <c r="D186" s="516" t="s">
        <v>1088</v>
      </c>
      <c r="E186" s="427">
        <v>18</v>
      </c>
      <c r="F186" s="428">
        <v>45835</v>
      </c>
      <c r="G186" s="308"/>
      <c r="H186" s="443" t="s">
        <v>1090</v>
      </c>
      <c r="I186" s="439" t="s">
        <v>1102</v>
      </c>
      <c r="J186" s="423" t="s">
        <v>1124</v>
      </c>
      <c r="K186" s="308"/>
      <c r="L186" s="308"/>
      <c r="M186" s="308"/>
      <c r="N186" s="308"/>
      <c r="O186" s="308"/>
      <c r="P186" s="308"/>
      <c r="Q186" s="308"/>
      <c r="R186" s="308"/>
      <c r="S186" s="308"/>
      <c r="T186" s="308"/>
      <c r="U186" s="308"/>
      <c r="V186" s="308"/>
      <c r="W186" s="308"/>
      <c r="X186" s="308"/>
      <c r="Y186" s="308"/>
      <c r="Z186" s="308"/>
    </row>
    <row r="187" spans="1:26" ht="14.25" customHeight="1" x14ac:dyDescent="0.3">
      <c r="A187" s="421" t="s">
        <v>1123</v>
      </c>
      <c r="B187" s="433" t="s">
        <v>1142</v>
      </c>
      <c r="C187" s="425" t="s">
        <v>1125</v>
      </c>
      <c r="D187" s="544" t="s">
        <v>1082</v>
      </c>
      <c r="E187" s="427">
        <v>17</v>
      </c>
      <c r="F187" s="428">
        <v>45833</v>
      </c>
      <c r="G187" s="428">
        <v>45905</v>
      </c>
      <c r="H187" s="435" t="s">
        <v>1083</v>
      </c>
      <c r="I187" s="427">
        <v>3</v>
      </c>
      <c r="J187" s="428">
        <v>45910</v>
      </c>
      <c r="K187" s="308"/>
      <c r="L187" s="308"/>
      <c r="M187" s="308"/>
      <c r="N187" s="308"/>
      <c r="O187" s="308"/>
      <c r="P187" s="308"/>
      <c r="Q187" s="308"/>
      <c r="R187" s="308"/>
      <c r="S187" s="308"/>
      <c r="T187" s="308"/>
      <c r="U187" s="308"/>
      <c r="V187" s="308"/>
      <c r="W187" s="308"/>
      <c r="X187" s="308"/>
      <c r="Y187" s="308"/>
      <c r="Z187" s="308"/>
    </row>
    <row r="188" spans="1:26" ht="14.25" customHeight="1" x14ac:dyDescent="0.3">
      <c r="A188" s="480" t="s">
        <v>1126</v>
      </c>
      <c r="B188" s="424" t="s">
        <v>1122</v>
      </c>
      <c r="C188" s="425" t="s">
        <v>1104</v>
      </c>
      <c r="D188" s="425" t="s">
        <v>1114</v>
      </c>
      <c r="E188" s="427">
        <v>11</v>
      </c>
      <c r="F188" s="428">
        <v>45824</v>
      </c>
      <c r="G188" s="423" t="s">
        <v>451</v>
      </c>
      <c r="H188" s="428" t="s">
        <v>1078</v>
      </c>
      <c r="I188" s="423" t="s">
        <v>451</v>
      </c>
      <c r="J188" s="423" t="s">
        <v>451</v>
      </c>
      <c r="K188" s="308"/>
      <c r="L188" s="308"/>
      <c r="M188" s="308"/>
      <c r="N188" s="308"/>
      <c r="O188" s="308"/>
      <c r="P188" s="308"/>
      <c r="Q188" s="308"/>
      <c r="R188" s="308"/>
      <c r="S188" s="308"/>
      <c r="T188" s="308"/>
      <c r="U188" s="308"/>
      <c r="V188" s="308"/>
      <c r="W188" s="308"/>
      <c r="X188" s="308"/>
      <c r="Y188" s="308"/>
      <c r="Z188" s="308"/>
    </row>
    <row r="189" spans="1:26" ht="14.25" customHeight="1" x14ac:dyDescent="0.3">
      <c r="A189" s="484" t="s">
        <v>1126</v>
      </c>
      <c r="B189" s="268" t="s">
        <v>1122</v>
      </c>
      <c r="C189" s="447" t="s">
        <v>1144</v>
      </c>
      <c r="D189" s="447" t="s">
        <v>1138</v>
      </c>
      <c r="E189" s="447">
        <v>35</v>
      </c>
      <c r="F189" s="448">
        <v>45994</v>
      </c>
      <c r="G189" s="447"/>
      <c r="H189" s="447" t="s">
        <v>1238</v>
      </c>
      <c r="I189" s="447"/>
      <c r="J189" s="447"/>
      <c r="K189" s="447" t="s">
        <v>1240</v>
      </c>
      <c r="L189" s="308"/>
      <c r="M189" s="308"/>
      <c r="N189" s="308"/>
      <c r="O189" s="308"/>
      <c r="P189" s="308"/>
      <c r="Q189" s="308"/>
      <c r="R189" s="308"/>
      <c r="S189" s="308"/>
      <c r="T189" s="308"/>
      <c r="U189" s="308"/>
      <c r="V189" s="308"/>
      <c r="W189" s="308"/>
      <c r="X189" s="308"/>
      <c r="Y189" s="308"/>
      <c r="Z189" s="308"/>
    </row>
    <row r="190" spans="1:26" ht="14.25" customHeight="1" x14ac:dyDescent="0.3">
      <c r="A190" s="352" t="s">
        <v>1126</v>
      </c>
      <c r="B190" s="433" t="s">
        <v>1142</v>
      </c>
      <c r="C190" s="425" t="s">
        <v>1089</v>
      </c>
      <c r="D190" s="544" t="s">
        <v>1082</v>
      </c>
      <c r="E190" s="427">
        <v>18</v>
      </c>
      <c r="F190" s="428">
        <v>45835</v>
      </c>
      <c r="G190" s="428">
        <v>45905</v>
      </c>
      <c r="H190" s="443" t="s">
        <v>1090</v>
      </c>
      <c r="I190" s="427">
        <v>3</v>
      </c>
      <c r="J190" s="428">
        <v>45910</v>
      </c>
      <c r="K190" s="308"/>
      <c r="L190" s="308"/>
      <c r="M190" s="308"/>
      <c r="N190" s="308"/>
      <c r="O190" s="308"/>
      <c r="P190" s="308"/>
      <c r="Q190" s="308"/>
      <c r="R190" s="308"/>
      <c r="S190" s="308"/>
      <c r="T190" s="308"/>
      <c r="U190" s="308"/>
      <c r="V190" s="308"/>
      <c r="W190" s="308"/>
      <c r="X190" s="308"/>
      <c r="Y190" s="308"/>
      <c r="Z190" s="308"/>
    </row>
    <row r="191" spans="1:26" ht="14.25" customHeight="1" x14ac:dyDescent="0.3">
      <c r="A191" s="484" t="s">
        <v>2247</v>
      </c>
      <c r="B191" s="268" t="s">
        <v>1122</v>
      </c>
      <c r="C191" s="447" t="s">
        <v>1144</v>
      </c>
      <c r="D191" s="447" t="s">
        <v>1138</v>
      </c>
      <c r="E191" s="447">
        <v>35</v>
      </c>
      <c r="F191" s="448">
        <v>45994</v>
      </c>
      <c r="G191" s="447"/>
      <c r="H191" s="447" t="s">
        <v>1238</v>
      </c>
      <c r="I191" s="447"/>
      <c r="J191" s="447"/>
      <c r="K191" s="447" t="s">
        <v>1241</v>
      </c>
      <c r="L191" s="308"/>
      <c r="M191" s="308"/>
      <c r="N191" s="308"/>
      <c r="O191" s="308"/>
      <c r="P191" s="308"/>
      <c r="Q191" s="308"/>
      <c r="R191" s="308"/>
      <c r="S191" s="308"/>
      <c r="T191" s="308"/>
      <c r="U191" s="308"/>
      <c r="V191" s="308"/>
      <c r="W191" s="308"/>
      <c r="X191" s="308"/>
      <c r="Y191" s="308"/>
      <c r="Z191" s="308"/>
    </row>
    <row r="192" spans="1:26" ht="14.25" customHeight="1" x14ac:dyDescent="0.3">
      <c r="A192" s="352" t="s">
        <v>1981</v>
      </c>
      <c r="B192" s="433" t="s">
        <v>1142</v>
      </c>
      <c r="C192" s="511" t="s">
        <v>1089</v>
      </c>
      <c r="D192" s="442" t="s">
        <v>1088</v>
      </c>
      <c r="E192" s="450">
        <v>8</v>
      </c>
      <c r="F192" s="451">
        <v>45824</v>
      </c>
      <c r="G192" s="428">
        <v>45905</v>
      </c>
      <c r="H192" s="435" t="s">
        <v>1083</v>
      </c>
      <c r="I192" s="427">
        <v>3</v>
      </c>
      <c r="J192" s="428">
        <v>45910</v>
      </c>
      <c r="K192" s="308"/>
      <c r="L192" s="308"/>
      <c r="M192" s="308"/>
      <c r="N192" s="308"/>
      <c r="O192" s="308"/>
      <c r="P192" s="308"/>
      <c r="Q192" s="308"/>
      <c r="R192" s="308"/>
      <c r="S192" s="308"/>
      <c r="T192" s="308"/>
      <c r="U192" s="308"/>
      <c r="V192" s="308"/>
      <c r="W192" s="308"/>
      <c r="X192" s="308"/>
      <c r="Y192" s="308"/>
      <c r="Z192" s="308"/>
    </row>
    <row r="193" spans="1:26" ht="14.25" customHeight="1" x14ac:dyDescent="0.3">
      <c r="A193" s="352" t="s">
        <v>640</v>
      </c>
      <c r="B193" s="424" t="s">
        <v>1122</v>
      </c>
      <c r="C193" s="425" t="s">
        <v>1089</v>
      </c>
      <c r="D193" s="441" t="s">
        <v>1088</v>
      </c>
      <c r="E193" s="450">
        <v>13</v>
      </c>
      <c r="F193" s="451">
        <v>45824</v>
      </c>
      <c r="G193" s="423" t="s">
        <v>451</v>
      </c>
      <c r="H193" s="443" t="s">
        <v>1090</v>
      </c>
      <c r="I193" s="423" t="s">
        <v>451</v>
      </c>
      <c r="J193" s="423" t="s">
        <v>451</v>
      </c>
      <c r="K193" s="308"/>
      <c r="L193" s="308"/>
      <c r="M193" s="308"/>
      <c r="N193" s="308"/>
      <c r="O193" s="308"/>
      <c r="P193" s="308"/>
      <c r="Q193" s="308"/>
      <c r="R193" s="308"/>
      <c r="S193" s="308"/>
      <c r="T193" s="308"/>
      <c r="U193" s="308"/>
      <c r="V193" s="308"/>
      <c r="W193" s="308"/>
      <c r="X193" s="308"/>
      <c r="Y193" s="308"/>
      <c r="Z193" s="308"/>
    </row>
    <row r="194" spans="1:26" ht="14.25" customHeight="1" x14ac:dyDescent="0.3">
      <c r="A194" s="352" t="s">
        <v>2191</v>
      </c>
      <c r="B194" s="433" t="s">
        <v>1142</v>
      </c>
      <c r="C194" s="511" t="s">
        <v>1089</v>
      </c>
      <c r="D194" s="442" t="s">
        <v>1088</v>
      </c>
      <c r="E194" s="450">
        <v>8</v>
      </c>
      <c r="F194" s="451">
        <v>45824</v>
      </c>
      <c r="G194" s="308"/>
      <c r="H194" s="443" t="s">
        <v>1090</v>
      </c>
      <c r="I194" s="308"/>
      <c r="J194" s="308"/>
      <c r="K194" s="308"/>
      <c r="L194" s="308"/>
      <c r="M194" s="308"/>
      <c r="N194" s="308"/>
      <c r="O194" s="308"/>
      <c r="P194" s="308"/>
      <c r="Q194" s="308"/>
      <c r="R194" s="308"/>
      <c r="S194" s="308"/>
      <c r="T194" s="308"/>
      <c r="U194" s="308"/>
      <c r="V194" s="308"/>
      <c r="W194" s="308"/>
      <c r="X194" s="308"/>
      <c r="Y194" s="308"/>
      <c r="Z194" s="308"/>
    </row>
    <row r="195" spans="1:26" ht="14.25" customHeight="1" x14ac:dyDescent="0.3">
      <c r="A195" s="415" t="s">
        <v>1982</v>
      </c>
      <c r="B195" s="433" t="s">
        <v>1142</v>
      </c>
      <c r="C195" s="511" t="s">
        <v>1089</v>
      </c>
      <c r="D195" s="517" t="s">
        <v>1088</v>
      </c>
      <c r="E195" s="450">
        <v>8</v>
      </c>
      <c r="F195" s="428">
        <v>45824</v>
      </c>
      <c r="G195" s="428">
        <v>45905</v>
      </c>
      <c r="H195" s="435" t="s">
        <v>1083</v>
      </c>
      <c r="I195" s="427">
        <v>3</v>
      </c>
      <c r="J195" s="428">
        <v>45910</v>
      </c>
      <c r="K195" s="308"/>
      <c r="L195" s="308"/>
      <c r="M195" s="308"/>
      <c r="N195" s="308"/>
      <c r="O195" s="308"/>
      <c r="P195" s="308"/>
      <c r="Q195" s="308"/>
      <c r="R195" s="308"/>
      <c r="S195" s="308"/>
      <c r="T195" s="308"/>
      <c r="U195" s="308"/>
      <c r="V195" s="308"/>
      <c r="W195" s="308"/>
      <c r="X195" s="308"/>
      <c r="Y195" s="308"/>
      <c r="Z195" s="308"/>
    </row>
    <row r="196" spans="1:26" ht="14.25" customHeight="1" x14ac:dyDescent="0.3">
      <c r="A196" s="474" t="s">
        <v>2219</v>
      </c>
      <c r="B196" s="418" t="s">
        <v>1122</v>
      </c>
      <c r="C196" s="447" t="s">
        <v>1144</v>
      </c>
      <c r="D196" s="447" t="s">
        <v>1235</v>
      </c>
      <c r="E196" s="447">
        <v>32</v>
      </c>
      <c r="F196" s="448">
        <v>45987</v>
      </c>
      <c r="G196" s="447"/>
      <c r="H196" s="428" t="s">
        <v>1078</v>
      </c>
      <c r="I196" s="447"/>
      <c r="J196" s="447"/>
      <c r="K196" s="447" t="s">
        <v>1236</v>
      </c>
      <c r="L196" s="308"/>
      <c r="M196" s="308"/>
      <c r="N196" s="308"/>
      <c r="O196" s="308"/>
      <c r="P196" s="308"/>
      <c r="Q196" s="308"/>
      <c r="R196" s="308"/>
      <c r="S196" s="308"/>
      <c r="T196" s="308"/>
      <c r="U196" s="308"/>
      <c r="V196" s="308"/>
      <c r="W196" s="308"/>
      <c r="X196" s="308"/>
      <c r="Y196" s="308"/>
      <c r="Z196" s="308"/>
    </row>
    <row r="197" spans="1:26" s="445" customFormat="1" ht="14.25" customHeight="1" x14ac:dyDescent="0.3">
      <c r="A197" s="474" t="s">
        <v>2219</v>
      </c>
      <c r="B197" s="449" t="s">
        <v>1142</v>
      </c>
      <c r="C197" s="447" t="s">
        <v>1144</v>
      </c>
      <c r="D197" s="521" t="s">
        <v>1231</v>
      </c>
      <c r="E197" s="447">
        <v>34</v>
      </c>
      <c r="F197" s="448">
        <v>45992</v>
      </c>
      <c r="G197" s="447"/>
      <c r="H197" s="267" t="s">
        <v>1083</v>
      </c>
      <c r="I197" s="447">
        <v>6</v>
      </c>
      <c r="J197" s="447"/>
      <c r="K197" s="447" t="s">
        <v>1232</v>
      </c>
      <c r="L197" s="267"/>
      <c r="M197" s="267"/>
      <c r="N197" s="267"/>
      <c r="O197" s="267"/>
      <c r="P197" s="267"/>
      <c r="Q197" s="267"/>
      <c r="R197" s="267"/>
      <c r="S197" s="267"/>
      <c r="T197" s="267"/>
      <c r="U197" s="267"/>
      <c r="V197" s="267"/>
      <c r="W197" s="267"/>
      <c r="X197" s="267"/>
      <c r="Y197" s="267"/>
      <c r="Z197" s="267"/>
    </row>
    <row r="198" spans="1:26" ht="14.25" customHeight="1" x14ac:dyDescent="0.3">
      <c r="A198" s="352" t="s">
        <v>641</v>
      </c>
      <c r="B198" s="433" t="s">
        <v>1142</v>
      </c>
      <c r="C198" s="511" t="s">
        <v>1093</v>
      </c>
      <c r="D198" s="522" t="s">
        <v>1091</v>
      </c>
      <c r="E198" s="450">
        <v>19</v>
      </c>
      <c r="F198" s="524">
        <v>45865</v>
      </c>
      <c r="G198" s="524">
        <v>45905</v>
      </c>
      <c r="H198" s="436" t="s">
        <v>1083</v>
      </c>
      <c r="I198" s="308">
        <v>5</v>
      </c>
      <c r="J198" s="308"/>
      <c r="K198" s="308"/>
      <c r="L198" s="308"/>
      <c r="M198" s="308"/>
      <c r="N198" s="308"/>
      <c r="O198" s="308"/>
      <c r="P198" s="308"/>
      <c r="Q198" s="308"/>
      <c r="R198" s="308"/>
      <c r="S198" s="308"/>
      <c r="T198" s="308"/>
      <c r="U198" s="308"/>
      <c r="V198" s="308"/>
      <c r="W198" s="308"/>
      <c r="X198" s="308"/>
      <c r="Y198" s="308"/>
      <c r="Z198" s="308"/>
    </row>
    <row r="199" spans="1:26" ht="14.25" customHeight="1" x14ac:dyDescent="0.3">
      <c r="A199" s="474" t="s">
        <v>644</v>
      </c>
      <c r="B199" s="418" t="s">
        <v>1122</v>
      </c>
      <c r="C199" s="447" t="s">
        <v>1144</v>
      </c>
      <c r="D199" s="447" t="s">
        <v>1235</v>
      </c>
      <c r="E199" s="447">
        <v>32</v>
      </c>
      <c r="F199" s="448">
        <v>45987</v>
      </c>
      <c r="G199" s="447"/>
      <c r="H199" s="447" t="s">
        <v>1141</v>
      </c>
      <c r="I199" s="447"/>
      <c r="J199" s="447"/>
      <c r="K199" s="447" t="s">
        <v>1236</v>
      </c>
      <c r="L199" s="308"/>
      <c r="M199" s="308"/>
      <c r="N199" s="308"/>
      <c r="O199" s="308"/>
      <c r="P199" s="308"/>
      <c r="Q199" s="308"/>
      <c r="R199" s="308"/>
      <c r="S199" s="308"/>
      <c r="T199" s="308"/>
      <c r="U199" s="308"/>
      <c r="V199" s="308"/>
      <c r="W199" s="308"/>
      <c r="X199" s="308"/>
      <c r="Y199" s="308"/>
      <c r="Z199" s="308"/>
    </row>
    <row r="200" spans="1:26" ht="14.25" customHeight="1" x14ac:dyDescent="0.3">
      <c r="A200" s="474" t="s">
        <v>644</v>
      </c>
      <c r="B200" s="418" t="s">
        <v>1122</v>
      </c>
      <c r="C200" s="447" t="s">
        <v>1144</v>
      </c>
      <c r="D200" s="447" t="s">
        <v>1237</v>
      </c>
      <c r="E200" s="447">
        <v>34</v>
      </c>
      <c r="F200" s="448">
        <v>45992</v>
      </c>
      <c r="G200" s="447"/>
      <c r="H200" s="447" t="s">
        <v>1238</v>
      </c>
      <c r="I200" s="447"/>
      <c r="J200" s="447"/>
      <c r="K200" s="447" t="s">
        <v>1232</v>
      </c>
      <c r="L200" s="308"/>
      <c r="M200" s="308"/>
      <c r="N200" s="308"/>
      <c r="O200" s="308"/>
      <c r="P200" s="308"/>
      <c r="Q200" s="308"/>
      <c r="R200" s="308"/>
      <c r="S200" s="308"/>
      <c r="T200" s="308"/>
      <c r="U200" s="308"/>
      <c r="V200" s="308"/>
      <c r="W200" s="308"/>
      <c r="X200" s="308"/>
      <c r="Y200" s="308"/>
      <c r="Z200" s="308"/>
    </row>
    <row r="201" spans="1:26" ht="14.25" customHeight="1" x14ac:dyDescent="0.3">
      <c r="A201" s="352" t="s">
        <v>644</v>
      </c>
      <c r="B201" s="424" t="s">
        <v>1122</v>
      </c>
      <c r="C201" s="425" t="s">
        <v>1089</v>
      </c>
      <c r="D201" s="441" t="s">
        <v>1088</v>
      </c>
      <c r="E201" s="450">
        <v>13</v>
      </c>
      <c r="F201" s="451">
        <v>45824</v>
      </c>
      <c r="G201" s="423" t="s">
        <v>451</v>
      </c>
      <c r="H201" s="461" t="s">
        <v>1107</v>
      </c>
      <c r="I201" s="423" t="s">
        <v>451</v>
      </c>
      <c r="J201" s="423" t="s">
        <v>451</v>
      </c>
      <c r="K201" s="308"/>
      <c r="L201" s="308"/>
      <c r="M201" s="308"/>
      <c r="N201" s="308"/>
      <c r="O201" s="308"/>
      <c r="P201" s="308"/>
      <c r="Q201" s="308"/>
      <c r="R201" s="308"/>
      <c r="S201" s="308"/>
      <c r="T201" s="308"/>
      <c r="U201" s="308"/>
      <c r="V201" s="308"/>
      <c r="W201" s="308"/>
      <c r="X201" s="308"/>
      <c r="Y201" s="308"/>
      <c r="Z201" s="308"/>
    </row>
    <row r="202" spans="1:26" ht="14.25" customHeight="1" x14ac:dyDescent="0.3">
      <c r="A202" s="352" t="s">
        <v>1127</v>
      </c>
      <c r="B202" s="424" t="s">
        <v>1122</v>
      </c>
      <c r="C202" s="425" t="s">
        <v>1089</v>
      </c>
      <c r="D202" s="441" t="s">
        <v>1088</v>
      </c>
      <c r="E202" s="450">
        <v>8</v>
      </c>
      <c r="F202" s="451">
        <v>45824</v>
      </c>
      <c r="G202" s="423" t="s">
        <v>451</v>
      </c>
      <c r="H202" s="428" t="s">
        <v>1078</v>
      </c>
      <c r="I202" s="423" t="s">
        <v>451</v>
      </c>
      <c r="J202" s="423" t="s">
        <v>451</v>
      </c>
      <c r="K202" s="308"/>
      <c r="L202" s="308"/>
      <c r="M202" s="308"/>
      <c r="N202" s="308"/>
      <c r="O202" s="308"/>
      <c r="P202" s="308"/>
      <c r="Q202" s="308"/>
      <c r="R202" s="308"/>
      <c r="S202" s="308"/>
      <c r="T202" s="308"/>
      <c r="U202" s="308"/>
      <c r="V202" s="308"/>
      <c r="W202" s="308"/>
      <c r="X202" s="308"/>
      <c r="Y202" s="308"/>
      <c r="Z202" s="308"/>
    </row>
    <row r="203" spans="1:26" ht="14.25" customHeight="1" x14ac:dyDescent="0.3">
      <c r="A203" s="352" t="s">
        <v>1127</v>
      </c>
      <c r="B203" s="433" t="s">
        <v>1142</v>
      </c>
      <c r="C203" s="511" t="s">
        <v>1089</v>
      </c>
      <c r="D203" s="442" t="s">
        <v>1088</v>
      </c>
      <c r="E203" s="450">
        <v>19</v>
      </c>
      <c r="F203" s="428">
        <v>45865</v>
      </c>
      <c r="G203" s="428">
        <v>45905</v>
      </c>
      <c r="H203" s="435" t="s">
        <v>1083</v>
      </c>
      <c r="I203" s="427">
        <v>3</v>
      </c>
      <c r="J203" s="428">
        <v>45910</v>
      </c>
      <c r="K203" s="308"/>
      <c r="L203" s="308"/>
      <c r="M203" s="308"/>
      <c r="N203" s="308"/>
      <c r="O203" s="308"/>
      <c r="P203" s="308"/>
      <c r="Q203" s="308"/>
      <c r="R203" s="308"/>
      <c r="S203" s="308"/>
      <c r="T203" s="308"/>
      <c r="U203" s="308"/>
      <c r="V203" s="308"/>
      <c r="W203" s="308"/>
      <c r="X203" s="308"/>
      <c r="Y203" s="308"/>
      <c r="Z203" s="308"/>
    </row>
    <row r="204" spans="1:26" ht="14.25" customHeight="1" x14ac:dyDescent="0.3">
      <c r="A204" s="352" t="s">
        <v>646</v>
      </c>
      <c r="B204" s="433" t="s">
        <v>1142</v>
      </c>
      <c r="C204" s="511" t="s">
        <v>1089</v>
      </c>
      <c r="D204" s="442" t="s">
        <v>1088</v>
      </c>
      <c r="E204" s="450">
        <v>13</v>
      </c>
      <c r="F204" s="451">
        <v>45824</v>
      </c>
      <c r="G204" s="428">
        <v>45905</v>
      </c>
      <c r="H204" s="435" t="s">
        <v>1083</v>
      </c>
      <c r="I204" s="427">
        <v>3</v>
      </c>
      <c r="J204" s="428">
        <v>45910</v>
      </c>
      <c r="K204" s="308"/>
      <c r="L204" s="308"/>
      <c r="M204" s="308"/>
      <c r="N204" s="308"/>
      <c r="O204" s="308"/>
      <c r="P204" s="308"/>
      <c r="Q204" s="308"/>
      <c r="R204" s="308"/>
      <c r="S204" s="308"/>
      <c r="T204" s="308"/>
      <c r="U204" s="308"/>
      <c r="V204" s="308"/>
      <c r="W204" s="308"/>
      <c r="X204" s="308"/>
      <c r="Y204" s="308"/>
      <c r="Z204" s="308"/>
    </row>
    <row r="205" spans="1:26" ht="14.25" customHeight="1" x14ac:dyDescent="0.3">
      <c r="A205" s="352" t="s">
        <v>647</v>
      </c>
      <c r="B205" s="430" t="s">
        <v>1122</v>
      </c>
      <c r="C205" s="425" t="s">
        <v>1089</v>
      </c>
      <c r="D205" s="423" t="s">
        <v>1088</v>
      </c>
      <c r="E205" s="423">
        <v>23</v>
      </c>
      <c r="F205" s="428">
        <v>45938</v>
      </c>
      <c r="G205" s="429" t="s">
        <v>451</v>
      </c>
      <c r="H205" s="462" t="s">
        <v>1128</v>
      </c>
      <c r="I205" s="423" t="s">
        <v>451</v>
      </c>
      <c r="J205" s="429" t="s">
        <v>451</v>
      </c>
      <c r="K205" s="308"/>
      <c r="L205" s="308"/>
      <c r="M205" s="308"/>
      <c r="N205" s="308"/>
      <c r="O205" s="308"/>
      <c r="P205" s="308"/>
      <c r="Q205" s="308"/>
      <c r="R205" s="308"/>
      <c r="S205" s="308"/>
      <c r="T205" s="308"/>
      <c r="U205" s="308"/>
      <c r="V205" s="308"/>
      <c r="W205" s="308"/>
      <c r="X205" s="308"/>
      <c r="Y205" s="308"/>
      <c r="Z205" s="308"/>
    </row>
    <row r="206" spans="1:26" ht="14.25" customHeight="1" x14ac:dyDescent="0.3">
      <c r="A206" s="352" t="s">
        <v>647</v>
      </c>
      <c r="B206" s="424" t="s">
        <v>1122</v>
      </c>
      <c r="C206" s="425" t="s">
        <v>1089</v>
      </c>
      <c r="D206" s="441" t="s">
        <v>1088</v>
      </c>
      <c r="E206" s="450">
        <v>13</v>
      </c>
      <c r="F206" s="451">
        <v>45824</v>
      </c>
      <c r="G206" s="423" t="s">
        <v>451</v>
      </c>
      <c r="H206" s="428" t="s">
        <v>1078</v>
      </c>
      <c r="I206" s="423" t="s">
        <v>451</v>
      </c>
      <c r="J206" s="423" t="s">
        <v>451</v>
      </c>
      <c r="K206" s="308"/>
      <c r="L206" s="308"/>
      <c r="M206" s="308"/>
      <c r="N206" s="308"/>
      <c r="O206" s="308"/>
      <c r="P206" s="308"/>
      <c r="Q206" s="308"/>
      <c r="R206" s="308"/>
      <c r="S206" s="308"/>
      <c r="T206" s="308"/>
      <c r="U206" s="308"/>
      <c r="V206" s="308"/>
      <c r="W206" s="308"/>
      <c r="X206" s="308"/>
      <c r="Y206" s="308"/>
      <c r="Z206" s="308"/>
    </row>
    <row r="207" spans="1:26" ht="14.25" customHeight="1" x14ac:dyDescent="0.3">
      <c r="A207" s="352" t="s">
        <v>1129</v>
      </c>
      <c r="B207" s="433" t="s">
        <v>1142</v>
      </c>
      <c r="C207" s="511" t="s">
        <v>1089</v>
      </c>
      <c r="D207" s="442" t="s">
        <v>1088</v>
      </c>
      <c r="E207" s="427">
        <v>5</v>
      </c>
      <c r="F207" s="440">
        <v>45817</v>
      </c>
      <c r="G207" s="423" t="s">
        <v>451</v>
      </c>
      <c r="H207" s="435" t="s">
        <v>1083</v>
      </c>
      <c r="I207" s="439">
        <v>1</v>
      </c>
      <c r="J207" s="428">
        <v>45824</v>
      </c>
      <c r="K207" s="308"/>
      <c r="L207" s="308"/>
      <c r="M207" s="308"/>
      <c r="N207" s="308"/>
      <c r="O207" s="308"/>
      <c r="P207" s="308"/>
      <c r="Q207" s="308"/>
      <c r="R207" s="308"/>
      <c r="S207" s="308"/>
      <c r="T207" s="308"/>
      <c r="U207" s="308"/>
      <c r="V207" s="308"/>
      <c r="W207" s="308"/>
      <c r="X207" s="308"/>
      <c r="Y207" s="308"/>
      <c r="Z207" s="308"/>
    </row>
    <row r="208" spans="1:26" s="445" customFormat="1" ht="14.25" customHeight="1" x14ac:dyDescent="0.3">
      <c r="A208" s="352" t="s">
        <v>650</v>
      </c>
      <c r="B208" s="433" t="s">
        <v>1142</v>
      </c>
      <c r="C208" s="511" t="s">
        <v>1093</v>
      </c>
      <c r="D208" s="522" t="s">
        <v>1091</v>
      </c>
      <c r="E208" s="450">
        <v>19</v>
      </c>
      <c r="F208" s="524">
        <v>45865</v>
      </c>
      <c r="G208" s="524">
        <v>45905</v>
      </c>
      <c r="H208" s="436" t="s">
        <v>1083</v>
      </c>
      <c r="I208" s="308">
        <v>5</v>
      </c>
      <c r="J208" s="308"/>
      <c r="K208" s="308"/>
      <c r="L208" s="267"/>
      <c r="M208" s="267"/>
      <c r="N208" s="267"/>
      <c r="O208" s="267"/>
      <c r="P208" s="267"/>
      <c r="Q208" s="267"/>
      <c r="R208" s="267"/>
      <c r="S208" s="267"/>
      <c r="T208" s="267"/>
      <c r="U208" s="267"/>
      <c r="V208" s="267"/>
      <c r="W208" s="267"/>
      <c r="X208" s="267"/>
      <c r="Y208" s="267"/>
      <c r="Z208" s="267"/>
    </row>
    <row r="209" spans="1:26" ht="14.25" customHeight="1" x14ac:dyDescent="0.3">
      <c r="A209" s="352" t="s">
        <v>651</v>
      </c>
      <c r="B209" s="433" t="s">
        <v>1142</v>
      </c>
      <c r="C209" s="511" t="s">
        <v>1089</v>
      </c>
      <c r="D209" s="442" t="s">
        <v>1088</v>
      </c>
      <c r="E209" s="450">
        <v>13</v>
      </c>
      <c r="F209" s="451">
        <v>45824</v>
      </c>
      <c r="G209" s="428">
        <v>45905</v>
      </c>
      <c r="H209" s="435" t="s">
        <v>1083</v>
      </c>
      <c r="I209" s="427">
        <v>3</v>
      </c>
      <c r="J209" s="428">
        <v>45910</v>
      </c>
      <c r="K209" s="308"/>
      <c r="L209" s="308"/>
      <c r="M209" s="308"/>
      <c r="N209" s="308"/>
      <c r="O209" s="308"/>
      <c r="P209" s="308"/>
      <c r="Q209" s="308"/>
      <c r="R209" s="308"/>
      <c r="S209" s="308"/>
      <c r="T209" s="308"/>
      <c r="U209" s="308"/>
      <c r="V209" s="308"/>
      <c r="W209" s="308"/>
      <c r="X209" s="308"/>
      <c r="Y209" s="308"/>
      <c r="Z209" s="308"/>
    </row>
    <row r="210" spans="1:26" ht="14.25" customHeight="1" x14ac:dyDescent="0.3">
      <c r="A210" s="474" t="s">
        <v>2220</v>
      </c>
      <c r="B210" s="418" t="s">
        <v>1122</v>
      </c>
      <c r="C210" s="447" t="s">
        <v>1144</v>
      </c>
      <c r="D210" s="447" t="s">
        <v>1235</v>
      </c>
      <c r="E210" s="447">
        <v>32</v>
      </c>
      <c r="F210" s="448">
        <v>45987</v>
      </c>
      <c r="G210" s="447"/>
      <c r="H210" s="428" t="s">
        <v>1078</v>
      </c>
      <c r="I210" s="447"/>
      <c r="J210" s="447"/>
      <c r="K210" s="447" t="s">
        <v>1236</v>
      </c>
      <c r="L210" s="308"/>
      <c r="M210" s="308"/>
      <c r="N210" s="308"/>
      <c r="O210" s="308"/>
      <c r="P210" s="308"/>
      <c r="Q210" s="308"/>
      <c r="R210" s="308"/>
      <c r="S210" s="308"/>
      <c r="T210" s="308"/>
      <c r="U210" s="308"/>
      <c r="V210" s="308"/>
      <c r="W210" s="308"/>
      <c r="X210" s="308"/>
      <c r="Y210" s="308"/>
      <c r="Z210" s="308"/>
    </row>
    <row r="211" spans="1:26" ht="14.25" customHeight="1" x14ac:dyDescent="0.3">
      <c r="A211" s="474" t="s">
        <v>2220</v>
      </c>
      <c r="B211" s="449" t="s">
        <v>1142</v>
      </c>
      <c r="C211" s="447" t="s">
        <v>1144</v>
      </c>
      <c r="D211" s="521" t="s">
        <v>1231</v>
      </c>
      <c r="E211" s="447">
        <v>34</v>
      </c>
      <c r="F211" s="448">
        <v>45992</v>
      </c>
      <c r="G211" s="447"/>
      <c r="H211" s="267" t="s">
        <v>1083</v>
      </c>
      <c r="I211" s="447">
        <v>6</v>
      </c>
      <c r="J211" s="447"/>
      <c r="K211" s="447" t="s">
        <v>1232</v>
      </c>
      <c r="L211" s="308"/>
      <c r="M211" s="308"/>
      <c r="N211" s="308"/>
      <c r="O211" s="308"/>
      <c r="P211" s="308"/>
      <c r="Q211" s="308"/>
      <c r="R211" s="308"/>
      <c r="S211" s="308"/>
      <c r="T211" s="308"/>
      <c r="U211" s="308"/>
      <c r="V211" s="308"/>
      <c r="W211" s="308"/>
      <c r="X211" s="308"/>
      <c r="Y211" s="308"/>
      <c r="Z211" s="308"/>
    </row>
    <row r="212" spans="1:26" ht="14.25" customHeight="1" x14ac:dyDescent="0.3">
      <c r="A212" s="352" t="s">
        <v>1130</v>
      </c>
      <c r="B212" s="424" t="s">
        <v>1122</v>
      </c>
      <c r="C212" s="425" t="s">
        <v>1089</v>
      </c>
      <c r="D212" s="441" t="s">
        <v>1088</v>
      </c>
      <c r="E212" s="450">
        <v>13</v>
      </c>
      <c r="F212" s="451">
        <v>45824</v>
      </c>
      <c r="G212" s="423" t="s">
        <v>451</v>
      </c>
      <c r="H212" s="461" t="s">
        <v>1131</v>
      </c>
      <c r="I212" s="423" t="s">
        <v>451</v>
      </c>
      <c r="J212" s="423" t="s">
        <v>451</v>
      </c>
      <c r="K212" s="308"/>
      <c r="L212" s="308"/>
      <c r="M212" s="308"/>
      <c r="N212" s="308"/>
      <c r="O212" s="308"/>
      <c r="P212" s="308"/>
      <c r="Q212" s="308"/>
      <c r="R212" s="308"/>
      <c r="S212" s="308"/>
      <c r="T212" s="308"/>
      <c r="U212" s="308"/>
      <c r="V212" s="308"/>
      <c r="W212" s="308"/>
      <c r="X212" s="308"/>
      <c r="Y212" s="308"/>
      <c r="Z212" s="308"/>
    </row>
    <row r="213" spans="1:26" ht="14.25" customHeight="1" x14ac:dyDescent="0.3">
      <c r="A213" s="484" t="s">
        <v>2248</v>
      </c>
      <c r="B213" s="268" t="s">
        <v>1122</v>
      </c>
      <c r="C213" s="447" t="s">
        <v>1144</v>
      </c>
      <c r="D213" s="447" t="s">
        <v>1138</v>
      </c>
      <c r="E213" s="447">
        <v>35</v>
      </c>
      <c r="F213" s="448">
        <v>45994</v>
      </c>
      <c r="G213" s="447"/>
      <c r="H213" s="447" t="s">
        <v>1238</v>
      </c>
      <c r="I213" s="447"/>
      <c r="J213" s="447"/>
      <c r="K213" s="447" t="s">
        <v>1242</v>
      </c>
      <c r="L213" s="308"/>
      <c r="M213" s="308"/>
      <c r="N213" s="308"/>
      <c r="O213" s="308"/>
      <c r="P213" s="308"/>
      <c r="Q213" s="308"/>
      <c r="R213" s="308"/>
      <c r="S213" s="308"/>
      <c r="T213" s="308"/>
      <c r="U213" s="308"/>
      <c r="V213" s="308"/>
      <c r="W213" s="308"/>
      <c r="X213" s="308"/>
      <c r="Y213" s="308"/>
      <c r="Z213" s="308"/>
    </row>
    <row r="214" spans="1:26" ht="14.25" customHeight="1" x14ac:dyDescent="0.3">
      <c r="A214" s="475" t="s">
        <v>1060</v>
      </c>
      <c r="B214" s="424" t="s">
        <v>1122</v>
      </c>
      <c r="C214" s="425" t="s">
        <v>1089</v>
      </c>
      <c r="D214" s="463" t="s">
        <v>1132</v>
      </c>
      <c r="E214" s="439">
        <v>20</v>
      </c>
      <c r="F214" s="428">
        <v>45912</v>
      </c>
      <c r="G214" s="429" t="s">
        <v>451</v>
      </c>
      <c r="H214" s="428" t="s">
        <v>1128</v>
      </c>
      <c r="I214" s="429" t="s">
        <v>451</v>
      </c>
      <c r="J214" s="429" t="s">
        <v>451</v>
      </c>
      <c r="K214" s="308"/>
      <c r="L214" s="308"/>
      <c r="M214" s="308"/>
      <c r="N214" s="308"/>
      <c r="O214" s="308"/>
      <c r="P214" s="308"/>
      <c r="Q214" s="308"/>
      <c r="R214" s="308"/>
      <c r="S214" s="308"/>
      <c r="T214" s="308"/>
      <c r="U214" s="308"/>
      <c r="V214" s="308"/>
      <c r="W214" s="308"/>
      <c r="X214" s="308"/>
      <c r="Y214" s="308"/>
      <c r="Z214" s="308"/>
    </row>
    <row r="215" spans="1:26" ht="14.25" customHeight="1" x14ac:dyDescent="0.3">
      <c r="A215" s="475" t="s">
        <v>1060</v>
      </c>
      <c r="B215" s="424" t="s">
        <v>1122</v>
      </c>
      <c r="C215" s="425" t="s">
        <v>1089</v>
      </c>
      <c r="D215" s="326" t="s">
        <v>1088</v>
      </c>
      <c r="E215" s="423">
        <v>21</v>
      </c>
      <c r="F215" s="428">
        <v>45929</v>
      </c>
      <c r="G215" s="423" t="s">
        <v>451</v>
      </c>
      <c r="H215" s="428" t="s">
        <v>1078</v>
      </c>
      <c r="I215" s="423" t="s">
        <v>451</v>
      </c>
      <c r="J215" s="423" t="s">
        <v>451</v>
      </c>
      <c r="K215" s="308"/>
      <c r="L215" s="308"/>
      <c r="M215" s="308"/>
      <c r="N215" s="308"/>
      <c r="O215" s="308"/>
      <c r="P215" s="308"/>
      <c r="Q215" s="308"/>
      <c r="R215" s="308"/>
      <c r="S215" s="308"/>
      <c r="T215" s="308"/>
      <c r="U215" s="308"/>
      <c r="V215" s="308"/>
      <c r="W215" s="308"/>
      <c r="X215" s="308"/>
      <c r="Y215" s="308"/>
      <c r="Z215" s="308"/>
    </row>
    <row r="216" spans="1:26" ht="14.25" customHeight="1" x14ac:dyDescent="0.3">
      <c r="A216" s="352" t="s">
        <v>1060</v>
      </c>
      <c r="B216" s="433" t="s">
        <v>1142</v>
      </c>
      <c r="C216" s="511" t="s">
        <v>1089</v>
      </c>
      <c r="D216" s="522" t="s">
        <v>1091</v>
      </c>
      <c r="E216" s="450">
        <v>19</v>
      </c>
      <c r="F216" s="524">
        <v>45865</v>
      </c>
      <c r="G216" s="524">
        <v>45905</v>
      </c>
      <c r="H216" s="428" t="s">
        <v>1078</v>
      </c>
      <c r="I216" s="439"/>
      <c r="J216" s="308"/>
      <c r="K216" s="308"/>
      <c r="L216" s="308"/>
      <c r="M216" s="308"/>
      <c r="N216" s="308"/>
      <c r="O216" s="308"/>
      <c r="P216" s="308"/>
      <c r="Q216" s="308"/>
      <c r="R216" s="308"/>
      <c r="S216" s="308"/>
      <c r="T216" s="308"/>
      <c r="U216" s="308"/>
      <c r="V216" s="308"/>
      <c r="W216" s="308"/>
      <c r="X216" s="308"/>
      <c r="Y216" s="308"/>
      <c r="Z216" s="308"/>
    </row>
    <row r="217" spans="1:26" ht="14.25" customHeight="1" x14ac:dyDescent="0.3">
      <c r="A217" s="484" t="s">
        <v>2249</v>
      </c>
      <c r="B217" s="268" t="s">
        <v>1122</v>
      </c>
      <c r="C217" s="447" t="s">
        <v>1144</v>
      </c>
      <c r="D217" s="447" t="s">
        <v>1138</v>
      </c>
      <c r="E217" s="447">
        <v>35</v>
      </c>
      <c r="F217" s="448">
        <v>45994</v>
      </c>
      <c r="G217" s="447"/>
      <c r="H217" s="447" t="s">
        <v>1238</v>
      </c>
      <c r="I217" s="447"/>
      <c r="J217" s="447"/>
      <c r="K217" s="447" t="s">
        <v>1243</v>
      </c>
      <c r="L217" s="308"/>
      <c r="M217" s="308"/>
      <c r="N217" s="308"/>
      <c r="O217" s="308"/>
      <c r="P217" s="308"/>
      <c r="Q217" s="308"/>
      <c r="R217" s="308"/>
      <c r="S217" s="308"/>
      <c r="T217" s="308"/>
      <c r="U217" s="308"/>
      <c r="V217" s="308"/>
      <c r="W217" s="308"/>
      <c r="X217" s="308"/>
      <c r="Y217" s="308"/>
      <c r="Z217" s="308"/>
    </row>
    <row r="218" spans="1:26" ht="14.25" customHeight="1" x14ac:dyDescent="0.3">
      <c r="A218" s="352" t="s">
        <v>2178</v>
      </c>
      <c r="B218" s="433" t="s">
        <v>1142</v>
      </c>
      <c r="C218" s="511" t="s">
        <v>1093</v>
      </c>
      <c r="D218" s="522" t="s">
        <v>1091</v>
      </c>
      <c r="E218" s="450">
        <v>19</v>
      </c>
      <c r="F218" s="524">
        <v>45865</v>
      </c>
      <c r="G218" s="524">
        <v>45905</v>
      </c>
      <c r="H218" s="443" t="s">
        <v>1090</v>
      </c>
      <c r="I218" s="308"/>
      <c r="J218" s="308" t="s">
        <v>1133</v>
      </c>
      <c r="K218" s="308"/>
      <c r="L218" s="308"/>
      <c r="M218" s="308"/>
      <c r="N218" s="308"/>
      <c r="O218" s="308"/>
      <c r="P218" s="308"/>
      <c r="Q218" s="308"/>
      <c r="R218" s="308"/>
      <c r="S218" s="308"/>
      <c r="T218" s="308"/>
      <c r="U218" s="308"/>
      <c r="V218" s="308"/>
      <c r="W218" s="308"/>
      <c r="X218" s="308"/>
      <c r="Y218" s="308"/>
      <c r="Z218" s="308"/>
    </row>
    <row r="219" spans="1:26" ht="14.25" customHeight="1" x14ac:dyDescent="0.3">
      <c r="A219" s="352" t="s">
        <v>1061</v>
      </c>
      <c r="B219" s="424" t="s">
        <v>1122</v>
      </c>
      <c r="C219" s="425" t="s">
        <v>1089</v>
      </c>
      <c r="D219" s="463" t="s">
        <v>1132</v>
      </c>
      <c r="E219" s="439">
        <v>20</v>
      </c>
      <c r="F219" s="428">
        <v>45912</v>
      </c>
      <c r="G219" s="423" t="s">
        <v>451</v>
      </c>
      <c r="H219" s="462" t="s">
        <v>1131</v>
      </c>
      <c r="I219" s="423" t="s">
        <v>451</v>
      </c>
      <c r="J219" s="423" t="s">
        <v>451</v>
      </c>
      <c r="K219" s="308"/>
      <c r="L219" s="308"/>
      <c r="M219" s="308"/>
      <c r="N219" s="308"/>
      <c r="O219" s="308"/>
      <c r="P219" s="308"/>
      <c r="Q219" s="308"/>
      <c r="R219" s="308"/>
      <c r="S219" s="308"/>
      <c r="T219" s="308"/>
      <c r="U219" s="308"/>
      <c r="V219" s="308"/>
      <c r="W219" s="308"/>
      <c r="X219" s="308"/>
      <c r="Y219" s="308"/>
      <c r="Z219" s="308"/>
    </row>
    <row r="220" spans="1:26" ht="14.25" customHeight="1" x14ac:dyDescent="0.3">
      <c r="A220" s="352" t="s">
        <v>1062</v>
      </c>
      <c r="B220" s="433" t="s">
        <v>1142</v>
      </c>
      <c r="C220" s="511" t="s">
        <v>1089</v>
      </c>
      <c r="D220" s="529" t="s">
        <v>1086</v>
      </c>
      <c r="E220" s="537">
        <v>20</v>
      </c>
      <c r="F220" s="524">
        <v>45912</v>
      </c>
      <c r="G220" s="308"/>
      <c r="H220" s="447" t="s">
        <v>1107</v>
      </c>
      <c r="I220" s="308"/>
      <c r="J220" s="308"/>
      <c r="K220" s="308"/>
      <c r="L220" s="308"/>
      <c r="M220" s="308"/>
      <c r="N220" s="308"/>
      <c r="O220" s="308"/>
      <c r="P220" s="308"/>
      <c r="Q220" s="308"/>
      <c r="R220" s="308"/>
      <c r="S220" s="308"/>
      <c r="T220" s="308"/>
      <c r="U220" s="308"/>
      <c r="V220" s="308"/>
      <c r="W220" s="308"/>
      <c r="X220" s="308"/>
      <c r="Y220" s="308"/>
      <c r="Z220" s="308"/>
    </row>
    <row r="221" spans="1:26" ht="14.25" customHeight="1" x14ac:dyDescent="0.3">
      <c r="A221" s="484" t="s">
        <v>1062</v>
      </c>
      <c r="B221" s="268" t="s">
        <v>1122</v>
      </c>
      <c r="C221" s="447" t="s">
        <v>1144</v>
      </c>
      <c r="D221" s="447" t="s">
        <v>1138</v>
      </c>
      <c r="E221" s="447">
        <v>35</v>
      </c>
      <c r="F221" s="448">
        <v>45994</v>
      </c>
      <c r="G221" s="447"/>
      <c r="H221" s="447" t="s">
        <v>1107</v>
      </c>
      <c r="I221" s="447"/>
      <c r="J221" s="447"/>
      <c r="K221" s="447" t="s">
        <v>1244</v>
      </c>
      <c r="L221" s="308"/>
      <c r="M221" s="308"/>
      <c r="N221" s="308"/>
      <c r="O221" s="308"/>
      <c r="P221" s="308"/>
      <c r="Q221" s="308"/>
      <c r="R221" s="308"/>
      <c r="S221" s="308"/>
      <c r="T221" s="308"/>
      <c r="U221" s="308"/>
      <c r="V221" s="308"/>
      <c r="W221" s="308"/>
      <c r="X221" s="308"/>
      <c r="Y221" s="308"/>
      <c r="Z221" s="308"/>
    </row>
    <row r="222" spans="1:26" ht="14.25" customHeight="1" x14ac:dyDescent="0.3">
      <c r="A222" s="352" t="s">
        <v>1057</v>
      </c>
      <c r="B222" s="424" t="s">
        <v>1122</v>
      </c>
      <c r="C222" s="425" t="s">
        <v>1089</v>
      </c>
      <c r="D222" s="441" t="s">
        <v>1088</v>
      </c>
      <c r="E222" s="450">
        <v>13</v>
      </c>
      <c r="F222" s="451">
        <v>45824</v>
      </c>
      <c r="G222" s="423" t="s">
        <v>451</v>
      </c>
      <c r="H222" s="461" t="s">
        <v>1128</v>
      </c>
      <c r="I222" s="423" t="s">
        <v>451</v>
      </c>
      <c r="J222" s="423" t="s">
        <v>451</v>
      </c>
      <c r="K222" s="308"/>
      <c r="L222" s="308"/>
      <c r="M222" s="308"/>
      <c r="N222" s="308"/>
      <c r="O222" s="308"/>
      <c r="P222" s="308"/>
      <c r="Q222" s="308"/>
      <c r="R222" s="308"/>
      <c r="S222" s="308"/>
      <c r="T222" s="308"/>
      <c r="U222" s="308"/>
      <c r="V222" s="308"/>
      <c r="W222" s="308"/>
      <c r="X222" s="308"/>
      <c r="Y222" s="308"/>
      <c r="Z222" s="308"/>
    </row>
    <row r="223" spans="1:26" ht="14.25" customHeight="1" x14ac:dyDescent="0.3">
      <c r="A223" s="474" t="s">
        <v>1057</v>
      </c>
      <c r="B223" s="449" t="s">
        <v>1142</v>
      </c>
      <c r="C223" s="447" t="s">
        <v>1144</v>
      </c>
      <c r="D223" s="521" t="s">
        <v>1235</v>
      </c>
      <c r="E223" s="447">
        <v>32</v>
      </c>
      <c r="F223" s="448">
        <v>45987</v>
      </c>
      <c r="G223" s="447"/>
      <c r="H223" s="428" t="s">
        <v>1078</v>
      </c>
      <c r="I223" s="447">
        <v>6</v>
      </c>
      <c r="J223" s="447"/>
      <c r="K223" s="447" t="s">
        <v>1236</v>
      </c>
      <c r="L223" s="308"/>
      <c r="M223" s="308"/>
      <c r="N223" s="308"/>
      <c r="O223" s="308"/>
      <c r="P223" s="308"/>
      <c r="Q223" s="308"/>
      <c r="R223" s="308"/>
      <c r="S223" s="308"/>
      <c r="T223" s="308"/>
      <c r="U223" s="308"/>
      <c r="V223" s="308"/>
      <c r="W223" s="308"/>
      <c r="X223" s="308"/>
      <c r="Y223" s="308"/>
      <c r="Z223" s="308"/>
    </row>
    <row r="224" spans="1:26" ht="14.25" customHeight="1" x14ac:dyDescent="0.3">
      <c r="A224" s="474" t="s">
        <v>2221</v>
      </c>
      <c r="B224" s="418" t="s">
        <v>1122</v>
      </c>
      <c r="C224" s="447" t="s">
        <v>1144</v>
      </c>
      <c r="D224" s="447" t="s">
        <v>1235</v>
      </c>
      <c r="E224" s="447">
        <v>32</v>
      </c>
      <c r="F224" s="448">
        <v>45987</v>
      </c>
      <c r="G224" s="447"/>
      <c r="H224" s="428" t="s">
        <v>1078</v>
      </c>
      <c r="I224" s="447"/>
      <c r="J224" s="447"/>
      <c r="K224" s="447" t="s">
        <v>1236</v>
      </c>
      <c r="L224" s="308"/>
      <c r="M224" s="308"/>
      <c r="N224" s="308"/>
      <c r="O224" s="308"/>
      <c r="P224" s="308"/>
      <c r="Q224" s="308"/>
      <c r="R224" s="308"/>
      <c r="S224" s="308"/>
      <c r="T224" s="308"/>
      <c r="U224" s="308"/>
      <c r="V224" s="308"/>
      <c r="W224" s="308"/>
      <c r="X224" s="308"/>
      <c r="Y224" s="308"/>
      <c r="Z224" s="308"/>
    </row>
    <row r="225" spans="1:26" ht="14.25" customHeight="1" x14ac:dyDescent="0.3">
      <c r="A225" s="352" t="s">
        <v>2221</v>
      </c>
      <c r="B225" s="424" t="s">
        <v>1122</v>
      </c>
      <c r="C225" s="425" t="s">
        <v>1089</v>
      </c>
      <c r="D225" s="326" t="s">
        <v>1088</v>
      </c>
      <c r="E225" s="423">
        <v>21</v>
      </c>
      <c r="F225" s="428">
        <v>45929</v>
      </c>
      <c r="G225" s="423" t="s">
        <v>451</v>
      </c>
      <c r="H225" s="428" t="s">
        <v>1078</v>
      </c>
      <c r="I225" s="423" t="s">
        <v>451</v>
      </c>
      <c r="J225" s="423" t="s">
        <v>451</v>
      </c>
      <c r="K225" s="308"/>
      <c r="L225" s="308"/>
      <c r="M225" s="308"/>
      <c r="N225" s="308"/>
      <c r="O225" s="308"/>
      <c r="P225" s="308"/>
      <c r="Q225" s="308"/>
      <c r="R225" s="308"/>
      <c r="S225" s="308"/>
      <c r="T225" s="308"/>
      <c r="U225" s="308"/>
      <c r="V225" s="308"/>
      <c r="W225" s="308"/>
      <c r="X225" s="308"/>
      <c r="Y225" s="308"/>
      <c r="Z225" s="308"/>
    </row>
    <row r="226" spans="1:26" ht="14.25" customHeight="1" x14ac:dyDescent="0.3">
      <c r="A226" s="474" t="s">
        <v>2221</v>
      </c>
      <c r="B226" s="449" t="s">
        <v>1142</v>
      </c>
      <c r="C226" s="447" t="s">
        <v>1144</v>
      </c>
      <c r="D226" s="521" t="s">
        <v>1231</v>
      </c>
      <c r="E226" s="447">
        <v>34</v>
      </c>
      <c r="F226" s="448">
        <v>45992</v>
      </c>
      <c r="G226" s="447"/>
      <c r="H226" s="267" t="s">
        <v>1083</v>
      </c>
      <c r="I226" s="447">
        <v>6</v>
      </c>
      <c r="J226" s="447"/>
      <c r="K226" s="447" t="s">
        <v>1232</v>
      </c>
      <c r="L226" s="308"/>
      <c r="M226" s="308"/>
      <c r="N226" s="308"/>
      <c r="O226" s="308"/>
      <c r="P226" s="308"/>
      <c r="Q226" s="308"/>
      <c r="R226" s="308"/>
      <c r="S226" s="308"/>
      <c r="T226" s="308"/>
      <c r="U226" s="308"/>
      <c r="V226" s="308"/>
      <c r="W226" s="308"/>
      <c r="X226" s="308"/>
      <c r="Y226" s="308"/>
      <c r="Z226" s="308"/>
    </row>
    <row r="227" spans="1:26" ht="14.25" customHeight="1" x14ac:dyDescent="0.3">
      <c r="A227" s="352" t="s">
        <v>1135</v>
      </c>
      <c r="B227" s="433" t="s">
        <v>1142</v>
      </c>
      <c r="C227" s="511" t="s">
        <v>1089</v>
      </c>
      <c r="D227" s="442" t="s">
        <v>1088</v>
      </c>
      <c r="E227" s="427">
        <v>5</v>
      </c>
      <c r="F227" s="440">
        <v>45817</v>
      </c>
      <c r="G227" s="423" t="s">
        <v>451</v>
      </c>
      <c r="H227" s="435" t="s">
        <v>1083</v>
      </c>
      <c r="I227" s="439">
        <v>1</v>
      </c>
      <c r="J227" s="428">
        <v>45824</v>
      </c>
      <c r="K227" s="308"/>
      <c r="L227" s="308"/>
      <c r="M227" s="308"/>
      <c r="N227" s="308"/>
      <c r="O227" s="308"/>
      <c r="P227" s="308"/>
      <c r="Q227" s="308"/>
      <c r="R227" s="308"/>
      <c r="S227" s="308"/>
      <c r="T227" s="308"/>
      <c r="U227" s="308"/>
      <c r="V227" s="308"/>
      <c r="W227" s="308"/>
      <c r="X227" s="308"/>
      <c r="Y227" s="308"/>
      <c r="Z227" s="308"/>
    </row>
    <row r="228" spans="1:26" ht="14.25" customHeight="1" x14ac:dyDescent="0.3">
      <c r="A228" s="474" t="s">
        <v>1135</v>
      </c>
      <c r="B228" s="418" t="s">
        <v>1122</v>
      </c>
      <c r="C228" s="447" t="s">
        <v>1144</v>
      </c>
      <c r="D228" s="447" t="s">
        <v>1235</v>
      </c>
      <c r="E228" s="447">
        <v>32</v>
      </c>
      <c r="F228" s="448">
        <v>45987</v>
      </c>
      <c r="G228" s="447"/>
      <c r="H228" s="428" t="s">
        <v>1078</v>
      </c>
      <c r="I228" s="447"/>
      <c r="J228" s="447"/>
      <c r="K228" s="447" t="s">
        <v>1236</v>
      </c>
      <c r="L228" s="308"/>
      <c r="M228" s="308"/>
      <c r="N228" s="308"/>
      <c r="O228" s="308"/>
      <c r="P228" s="308"/>
      <c r="Q228" s="308"/>
      <c r="R228" s="308"/>
      <c r="S228" s="308"/>
      <c r="T228" s="308"/>
      <c r="U228" s="308"/>
      <c r="V228" s="308"/>
      <c r="W228" s="308"/>
      <c r="X228" s="308"/>
      <c r="Y228" s="308"/>
      <c r="Z228" s="308"/>
    </row>
    <row r="229" spans="1:26" ht="14.25" customHeight="1" x14ac:dyDescent="0.3">
      <c r="A229" s="474" t="s">
        <v>1135</v>
      </c>
      <c r="B229" s="449" t="s">
        <v>1142</v>
      </c>
      <c r="C229" s="447" t="s">
        <v>1144</v>
      </c>
      <c r="D229" s="521" t="s">
        <v>1231</v>
      </c>
      <c r="E229" s="447">
        <v>34</v>
      </c>
      <c r="F229" s="448">
        <v>45992</v>
      </c>
      <c r="G229" s="447"/>
      <c r="H229" s="267" t="s">
        <v>1083</v>
      </c>
      <c r="I229" s="447">
        <v>6</v>
      </c>
      <c r="J229" s="447"/>
      <c r="K229" s="447" t="s">
        <v>1232</v>
      </c>
      <c r="L229" s="308"/>
      <c r="M229" s="308"/>
      <c r="N229" s="308"/>
      <c r="O229" s="308"/>
      <c r="P229" s="308"/>
      <c r="Q229" s="308"/>
      <c r="R229" s="308"/>
      <c r="S229" s="308"/>
      <c r="T229" s="308"/>
      <c r="U229" s="308"/>
      <c r="V229" s="308"/>
      <c r="W229" s="308"/>
      <c r="X229" s="308"/>
      <c r="Y229" s="308"/>
      <c r="Z229" s="308"/>
    </row>
    <row r="230" spans="1:26" ht="14.25" customHeight="1" x14ac:dyDescent="0.3">
      <c r="A230" s="504" t="s">
        <v>1135</v>
      </c>
      <c r="B230" s="433" t="s">
        <v>1142</v>
      </c>
      <c r="C230" s="308" t="s">
        <v>1144</v>
      </c>
      <c r="D230" s="528" t="s">
        <v>1091</v>
      </c>
      <c r="E230" s="308">
        <v>28</v>
      </c>
      <c r="F230" s="431">
        <v>45958</v>
      </c>
      <c r="G230" s="308"/>
      <c r="H230" s="267" t="s">
        <v>1083</v>
      </c>
      <c r="I230" s="267">
        <v>7</v>
      </c>
      <c r="J230" s="267"/>
      <c r="K230" s="267"/>
      <c r="L230" s="308"/>
      <c r="M230" s="308"/>
      <c r="N230" s="308"/>
      <c r="O230" s="308"/>
      <c r="P230" s="308"/>
      <c r="Q230" s="308"/>
      <c r="R230" s="308"/>
      <c r="S230" s="308"/>
      <c r="T230" s="308"/>
      <c r="U230" s="308"/>
      <c r="V230" s="308"/>
      <c r="W230" s="308"/>
      <c r="X230" s="308"/>
      <c r="Y230" s="308"/>
      <c r="Z230" s="308"/>
    </row>
    <row r="231" spans="1:26" ht="14.25" customHeight="1" x14ac:dyDescent="0.3">
      <c r="A231" s="474" t="s">
        <v>671</v>
      </c>
      <c r="B231" s="418" t="s">
        <v>1122</v>
      </c>
      <c r="C231" s="447" t="s">
        <v>1144</v>
      </c>
      <c r="D231" s="447" t="s">
        <v>1235</v>
      </c>
      <c r="E231" s="447">
        <v>32</v>
      </c>
      <c r="F231" s="448">
        <v>45987</v>
      </c>
      <c r="G231" s="447"/>
      <c r="H231" s="428" t="s">
        <v>1078</v>
      </c>
      <c r="I231" s="447"/>
      <c r="J231" s="447"/>
      <c r="K231" s="447" t="s">
        <v>1236</v>
      </c>
      <c r="L231" s="308"/>
      <c r="M231" s="308"/>
      <c r="N231" s="308"/>
      <c r="O231" s="308"/>
      <c r="P231" s="308"/>
      <c r="Q231" s="308"/>
      <c r="R231" s="308"/>
      <c r="S231" s="308"/>
      <c r="T231" s="308"/>
      <c r="U231" s="308"/>
      <c r="V231" s="308"/>
      <c r="W231" s="308"/>
      <c r="X231" s="308"/>
      <c r="Y231" s="308"/>
      <c r="Z231" s="308"/>
    </row>
    <row r="232" spans="1:26" ht="14.25" customHeight="1" x14ac:dyDescent="0.3">
      <c r="A232" s="352" t="s">
        <v>671</v>
      </c>
      <c r="B232" s="433" t="s">
        <v>1142</v>
      </c>
      <c r="C232" s="511" t="s">
        <v>1089</v>
      </c>
      <c r="D232" s="442" t="s">
        <v>1088</v>
      </c>
      <c r="E232" s="450">
        <v>8</v>
      </c>
      <c r="F232" s="451">
        <v>45824</v>
      </c>
      <c r="G232" s="428">
        <v>45905</v>
      </c>
      <c r="H232" s="428" t="s">
        <v>1078</v>
      </c>
      <c r="I232" s="308"/>
      <c r="J232" s="308"/>
      <c r="K232" s="308"/>
      <c r="L232" s="308"/>
      <c r="M232" s="308"/>
      <c r="N232" s="308"/>
      <c r="O232" s="308"/>
      <c r="P232" s="308"/>
      <c r="Q232" s="308"/>
      <c r="R232" s="308"/>
      <c r="S232" s="308"/>
      <c r="T232" s="308"/>
      <c r="U232" s="308"/>
      <c r="V232" s="308"/>
      <c r="W232" s="308"/>
      <c r="X232" s="308"/>
      <c r="Y232" s="308"/>
      <c r="Z232" s="308"/>
    </row>
    <row r="233" spans="1:26" ht="14.25" customHeight="1" x14ac:dyDescent="0.3">
      <c r="A233" s="352" t="s">
        <v>671</v>
      </c>
      <c r="B233" s="433" t="s">
        <v>1142</v>
      </c>
      <c r="C233" s="511" t="s">
        <v>1089</v>
      </c>
      <c r="D233" s="522" t="s">
        <v>1091</v>
      </c>
      <c r="E233" s="525">
        <v>18</v>
      </c>
      <c r="F233" s="524">
        <v>45835</v>
      </c>
      <c r="G233" s="524">
        <v>45905</v>
      </c>
      <c r="H233" s="435" t="s">
        <v>1083</v>
      </c>
      <c r="I233" s="427">
        <v>3</v>
      </c>
      <c r="J233" s="428">
        <v>45910</v>
      </c>
      <c r="K233" s="308"/>
      <c r="L233" s="308"/>
      <c r="M233" s="308"/>
      <c r="N233" s="308"/>
      <c r="O233" s="308"/>
      <c r="P233" s="308"/>
      <c r="Q233" s="308"/>
      <c r="R233" s="308"/>
      <c r="S233" s="308"/>
      <c r="T233" s="308"/>
      <c r="U233" s="308"/>
      <c r="V233" s="308"/>
      <c r="W233" s="308"/>
      <c r="X233" s="308"/>
      <c r="Y233" s="308"/>
      <c r="Z233" s="308"/>
    </row>
    <row r="234" spans="1:26" ht="14.25" customHeight="1" x14ac:dyDescent="0.3">
      <c r="A234" s="474" t="s">
        <v>671</v>
      </c>
      <c r="B234" s="449" t="s">
        <v>1142</v>
      </c>
      <c r="C234" s="447" t="s">
        <v>1144</v>
      </c>
      <c r="D234" s="521" t="s">
        <v>1231</v>
      </c>
      <c r="E234" s="447">
        <v>34</v>
      </c>
      <c r="F234" s="448">
        <v>45992</v>
      </c>
      <c r="G234" s="447"/>
      <c r="H234" s="267" t="s">
        <v>1083</v>
      </c>
      <c r="I234" s="447">
        <v>6</v>
      </c>
      <c r="J234" s="447"/>
      <c r="K234" s="447" t="s">
        <v>1232</v>
      </c>
      <c r="L234" s="308"/>
      <c r="M234" s="308"/>
      <c r="N234" s="308"/>
      <c r="O234" s="308"/>
      <c r="P234" s="308"/>
      <c r="Q234" s="308"/>
      <c r="R234" s="308"/>
      <c r="S234" s="308"/>
      <c r="T234" s="308"/>
      <c r="U234" s="308"/>
      <c r="V234" s="308"/>
      <c r="W234" s="308"/>
      <c r="X234" s="308"/>
      <c r="Y234" s="308"/>
      <c r="Z234" s="308"/>
    </row>
    <row r="235" spans="1:26" ht="14.25" customHeight="1" x14ac:dyDescent="0.3">
      <c r="A235" s="504" t="s">
        <v>671</v>
      </c>
      <c r="B235" s="433" t="s">
        <v>1142</v>
      </c>
      <c r="C235" s="308" t="s">
        <v>1144</v>
      </c>
      <c r="D235" s="528" t="s">
        <v>1091</v>
      </c>
      <c r="E235" s="308">
        <v>28</v>
      </c>
      <c r="F235" s="431">
        <v>45958</v>
      </c>
      <c r="G235" s="308"/>
      <c r="H235" s="267" t="s">
        <v>1083</v>
      </c>
      <c r="I235" s="267">
        <v>7</v>
      </c>
      <c r="J235" s="267"/>
      <c r="K235" s="267"/>
      <c r="L235" s="308"/>
      <c r="M235" s="308"/>
      <c r="N235" s="308"/>
      <c r="O235" s="308"/>
      <c r="P235" s="308"/>
      <c r="Q235" s="308"/>
      <c r="R235" s="308"/>
      <c r="S235" s="308"/>
      <c r="T235" s="308"/>
      <c r="U235" s="308"/>
      <c r="V235" s="308"/>
      <c r="W235" s="308"/>
      <c r="X235" s="308"/>
      <c r="Y235" s="308"/>
      <c r="Z235" s="308"/>
    </row>
    <row r="236" spans="1:26" ht="14.25" customHeight="1" x14ac:dyDescent="0.3">
      <c r="A236" s="474" t="s">
        <v>1614</v>
      </c>
      <c r="B236" s="418" t="s">
        <v>1122</v>
      </c>
      <c r="C236" s="447" t="s">
        <v>1144</v>
      </c>
      <c r="D236" s="447" t="s">
        <v>1235</v>
      </c>
      <c r="E236" s="447">
        <v>32</v>
      </c>
      <c r="F236" s="448">
        <v>45987</v>
      </c>
      <c r="G236" s="447"/>
      <c r="H236" s="428" t="s">
        <v>1078</v>
      </c>
      <c r="I236" s="447"/>
      <c r="J236" s="447"/>
      <c r="K236" s="447" t="s">
        <v>1236</v>
      </c>
      <c r="L236" s="308"/>
      <c r="M236" s="308"/>
      <c r="N236" s="308"/>
      <c r="O236" s="308"/>
      <c r="P236" s="308"/>
      <c r="Q236" s="308"/>
      <c r="R236" s="308"/>
      <c r="S236" s="308"/>
      <c r="T236" s="308"/>
      <c r="U236" s="308"/>
      <c r="V236" s="308"/>
      <c r="W236" s="308"/>
      <c r="X236" s="308"/>
      <c r="Y236" s="308"/>
      <c r="Z236" s="308"/>
    </row>
    <row r="237" spans="1:26" ht="14.25" customHeight="1" x14ac:dyDescent="0.3">
      <c r="A237" s="352" t="s">
        <v>1614</v>
      </c>
      <c r="B237" s="433" t="s">
        <v>1142</v>
      </c>
      <c r="C237" s="511" t="s">
        <v>1089</v>
      </c>
      <c r="D237" s="442" t="s">
        <v>1088</v>
      </c>
      <c r="E237" s="450">
        <v>8</v>
      </c>
      <c r="F237" s="451">
        <v>45824</v>
      </c>
      <c r="G237" s="428">
        <v>45905</v>
      </c>
      <c r="H237" s="435" t="s">
        <v>1083</v>
      </c>
      <c r="I237" s="427">
        <v>3</v>
      </c>
      <c r="J237" s="428">
        <v>45910</v>
      </c>
      <c r="K237" s="308"/>
      <c r="L237" s="308"/>
      <c r="M237" s="308"/>
      <c r="N237" s="308"/>
      <c r="O237" s="308"/>
      <c r="P237" s="308"/>
      <c r="Q237" s="308"/>
      <c r="R237" s="308"/>
      <c r="S237" s="308"/>
      <c r="T237" s="308"/>
      <c r="U237" s="308"/>
      <c r="V237" s="308"/>
      <c r="W237" s="308"/>
      <c r="X237" s="308"/>
      <c r="Y237" s="308"/>
      <c r="Z237" s="308"/>
    </row>
    <row r="238" spans="1:26" ht="14.25" customHeight="1" x14ac:dyDescent="0.3">
      <c r="A238" s="474" t="s">
        <v>1614</v>
      </c>
      <c r="B238" s="449" t="s">
        <v>1142</v>
      </c>
      <c r="C238" s="447" t="s">
        <v>1144</v>
      </c>
      <c r="D238" s="521" t="s">
        <v>1231</v>
      </c>
      <c r="E238" s="447">
        <v>34</v>
      </c>
      <c r="F238" s="448">
        <v>45992</v>
      </c>
      <c r="G238" s="447"/>
      <c r="H238" s="267" t="s">
        <v>1083</v>
      </c>
      <c r="I238" s="447">
        <v>6</v>
      </c>
      <c r="J238" s="447"/>
      <c r="K238" s="447" t="s">
        <v>1232</v>
      </c>
      <c r="L238" s="308"/>
      <c r="M238" s="308"/>
      <c r="N238" s="308"/>
      <c r="O238" s="308"/>
      <c r="P238" s="308"/>
      <c r="Q238" s="308"/>
      <c r="R238" s="308"/>
      <c r="S238" s="308"/>
      <c r="T238" s="308"/>
      <c r="U238" s="308"/>
      <c r="V238" s="308"/>
      <c r="W238" s="308"/>
      <c r="X238" s="308"/>
      <c r="Y238" s="308"/>
      <c r="Z238" s="308"/>
    </row>
    <row r="239" spans="1:26" ht="14.25" customHeight="1" x14ac:dyDescent="0.3">
      <c r="A239" s="479" t="s">
        <v>2272</v>
      </c>
      <c r="B239" s="418" t="s">
        <v>1122</v>
      </c>
      <c r="C239" s="447" t="s">
        <v>1144</v>
      </c>
      <c r="D239" s="447" t="s">
        <v>1235</v>
      </c>
      <c r="E239" s="447">
        <v>32</v>
      </c>
      <c r="F239" s="448">
        <v>45987</v>
      </c>
      <c r="G239" s="447"/>
      <c r="H239" s="447" t="s">
        <v>1141</v>
      </c>
      <c r="I239" s="447"/>
      <c r="J239" s="447"/>
      <c r="K239" s="447" t="s">
        <v>1236</v>
      </c>
      <c r="L239" s="308"/>
      <c r="M239" s="308"/>
      <c r="N239" s="308"/>
      <c r="O239" s="308"/>
      <c r="P239" s="308"/>
      <c r="Q239" s="308"/>
      <c r="R239" s="308"/>
      <c r="S239" s="308"/>
      <c r="T239" s="308"/>
      <c r="U239" s="308"/>
      <c r="V239" s="308"/>
      <c r="W239" s="308"/>
      <c r="X239" s="308"/>
      <c r="Y239" s="308"/>
      <c r="Z239" s="308"/>
    </row>
    <row r="240" spans="1:26" ht="14.25" customHeight="1" x14ac:dyDescent="0.3">
      <c r="A240" s="479" t="s">
        <v>2272</v>
      </c>
      <c r="B240" s="418" t="s">
        <v>1122</v>
      </c>
      <c r="C240" s="447" t="s">
        <v>1144</v>
      </c>
      <c r="D240" s="447" t="s">
        <v>1237</v>
      </c>
      <c r="E240" s="447">
        <v>34</v>
      </c>
      <c r="F240" s="448">
        <v>45992</v>
      </c>
      <c r="G240" s="447"/>
      <c r="H240" s="447" t="s">
        <v>1238</v>
      </c>
      <c r="I240" s="447"/>
      <c r="J240" s="447"/>
      <c r="K240" s="447" t="s">
        <v>1232</v>
      </c>
      <c r="L240" s="308"/>
      <c r="M240" s="308"/>
      <c r="N240" s="308"/>
      <c r="O240" s="308"/>
      <c r="P240" s="308"/>
      <c r="Q240" s="308"/>
      <c r="R240" s="308"/>
      <c r="S240" s="308"/>
      <c r="T240" s="308"/>
      <c r="U240" s="308"/>
      <c r="V240" s="308"/>
      <c r="W240" s="308"/>
      <c r="X240" s="308"/>
      <c r="Y240" s="308"/>
      <c r="Z240" s="308"/>
    </row>
    <row r="241" spans="1:26" ht="14.25" customHeight="1" x14ac:dyDescent="0.3">
      <c r="A241" s="474" t="s">
        <v>674</v>
      </c>
      <c r="B241" s="418" t="s">
        <v>1122</v>
      </c>
      <c r="C241" s="447" t="s">
        <v>1144</v>
      </c>
      <c r="D241" s="447" t="s">
        <v>1235</v>
      </c>
      <c r="E241" s="447">
        <v>32</v>
      </c>
      <c r="F241" s="448">
        <v>45987</v>
      </c>
      <c r="G241" s="447"/>
      <c r="H241" s="428" t="s">
        <v>1078</v>
      </c>
      <c r="I241" s="447"/>
      <c r="J241" s="447"/>
      <c r="K241" s="447" t="s">
        <v>1236</v>
      </c>
      <c r="L241" s="308"/>
      <c r="M241" s="308"/>
      <c r="N241" s="308"/>
      <c r="O241" s="308"/>
      <c r="P241" s="308"/>
      <c r="Q241" s="308"/>
      <c r="R241" s="308"/>
      <c r="S241" s="308"/>
      <c r="T241" s="308"/>
      <c r="U241" s="308"/>
      <c r="V241" s="308"/>
      <c r="W241" s="308"/>
      <c r="X241" s="308"/>
      <c r="Y241" s="308"/>
      <c r="Z241" s="308"/>
    </row>
    <row r="242" spans="1:26" ht="14.25" customHeight="1" x14ac:dyDescent="0.3">
      <c r="A242" s="352" t="s">
        <v>674</v>
      </c>
      <c r="B242" s="424" t="s">
        <v>1122</v>
      </c>
      <c r="C242" s="425" t="s">
        <v>1089</v>
      </c>
      <c r="D242" s="441" t="s">
        <v>1088</v>
      </c>
      <c r="E242" s="450">
        <v>13</v>
      </c>
      <c r="F242" s="451">
        <v>45824</v>
      </c>
      <c r="G242" s="423" t="s">
        <v>451</v>
      </c>
      <c r="H242" s="428" t="s">
        <v>1078</v>
      </c>
      <c r="I242" s="423" t="s">
        <v>451</v>
      </c>
      <c r="J242" s="423" t="s">
        <v>451</v>
      </c>
      <c r="K242" s="308"/>
      <c r="L242" s="308"/>
      <c r="M242" s="308"/>
      <c r="N242" s="308"/>
      <c r="O242" s="308"/>
      <c r="P242" s="308"/>
      <c r="Q242" s="308"/>
      <c r="R242" s="308"/>
      <c r="S242" s="308"/>
      <c r="T242" s="308"/>
      <c r="U242" s="308"/>
      <c r="V242" s="308"/>
      <c r="W242" s="308"/>
      <c r="X242" s="308"/>
      <c r="Y242" s="308"/>
      <c r="Z242" s="308"/>
    </row>
    <row r="243" spans="1:26" ht="14.25" customHeight="1" x14ac:dyDescent="0.3">
      <c r="A243" s="352" t="s">
        <v>674</v>
      </c>
      <c r="B243" s="433" t="s">
        <v>1142</v>
      </c>
      <c r="C243" s="352" t="s">
        <v>1089</v>
      </c>
      <c r="D243" s="515" t="s">
        <v>1088</v>
      </c>
      <c r="E243" s="308">
        <v>23</v>
      </c>
      <c r="F243" s="431">
        <v>45938</v>
      </c>
      <c r="G243" s="308"/>
      <c r="H243" s="435" t="s">
        <v>1083</v>
      </c>
      <c r="I243" s="308">
        <v>4</v>
      </c>
      <c r="J243" s="431">
        <v>45944</v>
      </c>
      <c r="K243" s="308"/>
      <c r="L243" s="308"/>
      <c r="M243" s="308"/>
      <c r="N243" s="308"/>
      <c r="O243" s="308"/>
      <c r="P243" s="308"/>
      <c r="Q243" s="308"/>
      <c r="R243" s="308"/>
      <c r="S243" s="308"/>
      <c r="T243" s="308"/>
      <c r="U243" s="308"/>
      <c r="V243" s="308"/>
      <c r="W243" s="308"/>
      <c r="X243" s="308"/>
      <c r="Y243" s="308"/>
      <c r="Z243" s="308"/>
    </row>
    <row r="244" spans="1:26" ht="14.25" customHeight="1" x14ac:dyDescent="0.3">
      <c r="A244" s="474" t="s">
        <v>674</v>
      </c>
      <c r="B244" s="449" t="s">
        <v>1142</v>
      </c>
      <c r="C244" s="447" t="s">
        <v>1144</v>
      </c>
      <c r="D244" s="521" t="s">
        <v>1231</v>
      </c>
      <c r="E244" s="447">
        <v>34</v>
      </c>
      <c r="F244" s="448">
        <v>45992</v>
      </c>
      <c r="G244" s="447"/>
      <c r="H244" s="267" t="s">
        <v>1083</v>
      </c>
      <c r="I244" s="447">
        <v>6</v>
      </c>
      <c r="J244" s="447"/>
      <c r="K244" s="447" t="s">
        <v>1232</v>
      </c>
      <c r="L244" s="308"/>
      <c r="M244" s="308"/>
      <c r="N244" s="308"/>
      <c r="O244" s="308"/>
      <c r="P244" s="308"/>
      <c r="Q244" s="308"/>
      <c r="R244" s="308"/>
      <c r="S244" s="308"/>
      <c r="T244" s="308"/>
      <c r="U244" s="308"/>
      <c r="V244" s="308"/>
      <c r="W244" s="308"/>
      <c r="X244" s="308"/>
      <c r="Y244" s="308"/>
      <c r="Z244" s="308"/>
    </row>
    <row r="245" spans="1:26" ht="14.25" customHeight="1" x14ac:dyDescent="0.3">
      <c r="A245" s="352" t="s">
        <v>675</v>
      </c>
      <c r="B245" s="424" t="s">
        <v>1122</v>
      </c>
      <c r="C245" s="425" t="s">
        <v>1089</v>
      </c>
      <c r="D245" s="441" t="s">
        <v>1088</v>
      </c>
      <c r="E245" s="427">
        <v>5</v>
      </c>
      <c r="F245" s="440">
        <v>45817</v>
      </c>
      <c r="G245" s="429" t="s">
        <v>451</v>
      </c>
      <c r="H245" s="428" t="s">
        <v>1078</v>
      </c>
      <c r="I245" s="429" t="s">
        <v>451</v>
      </c>
      <c r="J245" s="429" t="s">
        <v>451</v>
      </c>
      <c r="K245" s="308"/>
      <c r="L245" s="308"/>
      <c r="M245" s="308"/>
      <c r="N245" s="308"/>
      <c r="O245" s="308"/>
      <c r="P245" s="308"/>
      <c r="Q245" s="308"/>
      <c r="R245" s="308"/>
      <c r="S245" s="308"/>
      <c r="T245" s="308"/>
      <c r="U245" s="308"/>
      <c r="V245" s="308"/>
      <c r="W245" s="308"/>
      <c r="X245" s="308"/>
      <c r="Y245" s="308"/>
      <c r="Z245" s="308"/>
    </row>
    <row r="246" spans="1:26" ht="14.25" customHeight="1" x14ac:dyDescent="0.3">
      <c r="A246" s="352" t="s">
        <v>675</v>
      </c>
      <c r="B246" s="430" t="s">
        <v>1122</v>
      </c>
      <c r="C246" s="425" t="s">
        <v>1089</v>
      </c>
      <c r="D246" s="423" t="s">
        <v>1088</v>
      </c>
      <c r="E246" s="423">
        <v>23</v>
      </c>
      <c r="F246" s="428">
        <v>45938</v>
      </c>
      <c r="G246" s="429" t="s">
        <v>451</v>
      </c>
      <c r="H246" s="428" t="s">
        <v>1078</v>
      </c>
      <c r="I246" s="423" t="s">
        <v>451</v>
      </c>
      <c r="J246" s="423" t="s">
        <v>451</v>
      </c>
      <c r="K246" s="308"/>
      <c r="L246" s="308"/>
      <c r="M246" s="308"/>
      <c r="N246" s="308"/>
      <c r="O246" s="308"/>
      <c r="P246" s="308"/>
      <c r="Q246" s="308"/>
      <c r="R246" s="308"/>
      <c r="S246" s="308"/>
      <c r="T246" s="308"/>
      <c r="U246" s="308"/>
      <c r="V246" s="308"/>
      <c r="W246" s="308"/>
      <c r="X246" s="308"/>
      <c r="Y246" s="308"/>
      <c r="Z246" s="308"/>
    </row>
    <row r="247" spans="1:26" ht="14.25" customHeight="1" x14ac:dyDescent="0.3">
      <c r="A247" s="504" t="s">
        <v>675</v>
      </c>
      <c r="B247" s="433" t="s">
        <v>1142</v>
      </c>
      <c r="C247" s="308" t="s">
        <v>1144</v>
      </c>
      <c r="D247" s="528" t="s">
        <v>1091</v>
      </c>
      <c r="E247" s="308">
        <v>28</v>
      </c>
      <c r="F247" s="431">
        <v>45958</v>
      </c>
      <c r="G247" s="308"/>
      <c r="H247" s="267" t="s">
        <v>1083</v>
      </c>
      <c r="I247" s="267">
        <v>7</v>
      </c>
      <c r="J247" s="267"/>
      <c r="K247" s="267"/>
      <c r="L247" s="308"/>
      <c r="M247" s="308"/>
      <c r="N247" s="308"/>
      <c r="O247" s="308"/>
      <c r="P247" s="308"/>
      <c r="Q247" s="308"/>
      <c r="R247" s="308"/>
      <c r="S247" s="308"/>
      <c r="T247" s="308"/>
      <c r="U247" s="308"/>
      <c r="V247" s="308"/>
      <c r="W247" s="308"/>
      <c r="X247" s="308"/>
      <c r="Y247" s="308"/>
      <c r="Z247" s="308"/>
    </row>
    <row r="248" spans="1:26" ht="14.25" customHeight="1" x14ac:dyDescent="0.3">
      <c r="A248" s="352" t="s">
        <v>1065</v>
      </c>
      <c r="B248" s="424" t="s">
        <v>1122</v>
      </c>
      <c r="C248" s="425" t="s">
        <v>1089</v>
      </c>
      <c r="D248" s="441" t="s">
        <v>1088</v>
      </c>
      <c r="E248" s="427">
        <v>5</v>
      </c>
      <c r="F248" s="440">
        <v>45817</v>
      </c>
      <c r="G248" s="423" t="s">
        <v>451</v>
      </c>
      <c r="H248" s="428" t="s">
        <v>1078</v>
      </c>
      <c r="I248" s="423" t="s">
        <v>451</v>
      </c>
      <c r="J248" s="423" t="s">
        <v>451</v>
      </c>
      <c r="K248" s="308"/>
      <c r="L248" s="308"/>
      <c r="M248" s="308"/>
      <c r="N248" s="308"/>
      <c r="O248" s="308"/>
      <c r="P248" s="308"/>
      <c r="Q248" s="308"/>
      <c r="R248" s="308"/>
      <c r="S248" s="308"/>
      <c r="T248" s="308"/>
      <c r="U248" s="308"/>
      <c r="V248" s="308"/>
      <c r="W248" s="308"/>
      <c r="X248" s="308"/>
      <c r="Y248" s="308"/>
      <c r="Z248" s="308"/>
    </row>
    <row r="249" spans="1:26" ht="14.25" customHeight="1" x14ac:dyDescent="0.3">
      <c r="A249" s="352" t="s">
        <v>1136</v>
      </c>
      <c r="B249" s="433" t="s">
        <v>1142</v>
      </c>
      <c r="C249" s="511" t="s">
        <v>1089</v>
      </c>
      <c r="D249" s="442" t="s">
        <v>1088</v>
      </c>
      <c r="E249" s="427">
        <v>5</v>
      </c>
      <c r="F249" s="440">
        <v>45817</v>
      </c>
      <c r="G249" s="423" t="s">
        <v>451</v>
      </c>
      <c r="H249" s="435" t="s">
        <v>1083</v>
      </c>
      <c r="I249" s="439">
        <v>1</v>
      </c>
      <c r="J249" s="428">
        <v>45824</v>
      </c>
      <c r="K249" s="308"/>
      <c r="L249" s="308"/>
      <c r="M249" s="308"/>
      <c r="N249" s="308"/>
      <c r="O249" s="308"/>
      <c r="P249" s="308"/>
      <c r="Q249" s="308"/>
      <c r="R249" s="308"/>
      <c r="S249" s="308"/>
      <c r="T249" s="308"/>
      <c r="U249" s="308"/>
      <c r="V249" s="308"/>
      <c r="W249" s="308"/>
      <c r="X249" s="308"/>
      <c r="Y249" s="308"/>
      <c r="Z249" s="308"/>
    </row>
    <row r="250" spans="1:26" ht="14.25" customHeight="1" x14ac:dyDescent="0.3">
      <c r="A250" s="474" t="s">
        <v>2273</v>
      </c>
      <c r="B250" s="418" t="s">
        <v>1122</v>
      </c>
      <c r="C250" s="447" t="s">
        <v>1144</v>
      </c>
      <c r="D250" s="447" t="s">
        <v>1235</v>
      </c>
      <c r="E250" s="447">
        <v>32</v>
      </c>
      <c r="F250" s="448">
        <v>45987</v>
      </c>
      <c r="G250" s="447"/>
      <c r="H250" s="447" t="s">
        <v>1238</v>
      </c>
      <c r="I250" s="447"/>
      <c r="J250" s="447"/>
      <c r="K250" s="447" t="s">
        <v>1236</v>
      </c>
      <c r="L250" s="308"/>
      <c r="M250" s="308"/>
      <c r="N250" s="308"/>
      <c r="O250" s="308"/>
      <c r="P250" s="308"/>
      <c r="Q250" s="308"/>
      <c r="R250" s="308"/>
      <c r="S250" s="308"/>
      <c r="T250" s="308"/>
      <c r="U250" s="308"/>
      <c r="V250" s="308"/>
      <c r="W250" s="308"/>
      <c r="X250" s="308"/>
      <c r="Y250" s="308"/>
      <c r="Z250" s="308"/>
    </row>
    <row r="251" spans="1:26" ht="14.25" customHeight="1" x14ac:dyDescent="0.3">
      <c r="A251" s="475" t="s">
        <v>2251</v>
      </c>
      <c r="B251" s="424" t="s">
        <v>1122</v>
      </c>
      <c r="C251" s="352" t="s">
        <v>1089</v>
      </c>
      <c r="D251" s="326" t="s">
        <v>1088</v>
      </c>
      <c r="E251" s="423">
        <v>21</v>
      </c>
      <c r="F251" s="428">
        <v>45929</v>
      </c>
      <c r="G251" s="429" t="s">
        <v>451</v>
      </c>
      <c r="H251" s="443" t="s">
        <v>1090</v>
      </c>
      <c r="I251" s="429" t="s">
        <v>451</v>
      </c>
      <c r="J251" s="429" t="s">
        <v>451</v>
      </c>
      <c r="K251" s="308"/>
      <c r="L251" s="308"/>
      <c r="M251" s="308"/>
      <c r="N251" s="308"/>
      <c r="O251" s="308"/>
      <c r="P251" s="308"/>
      <c r="Q251" s="308"/>
      <c r="R251" s="308"/>
      <c r="S251" s="308"/>
      <c r="T251" s="308"/>
      <c r="U251" s="308"/>
      <c r="V251" s="308"/>
      <c r="W251" s="308"/>
      <c r="X251" s="308"/>
      <c r="Y251" s="308"/>
      <c r="Z251" s="308"/>
    </row>
    <row r="252" spans="1:26" ht="14.25" customHeight="1" x14ac:dyDescent="0.3">
      <c r="A252" s="474" t="s">
        <v>1811</v>
      </c>
      <c r="B252" s="418" t="s">
        <v>1122</v>
      </c>
      <c r="C252" s="447" t="s">
        <v>1144</v>
      </c>
      <c r="D252" s="447" t="s">
        <v>1235</v>
      </c>
      <c r="E252" s="447">
        <v>32</v>
      </c>
      <c r="F252" s="448">
        <v>45987</v>
      </c>
      <c r="G252" s="447"/>
      <c r="H252" s="447" t="s">
        <v>1238</v>
      </c>
      <c r="I252" s="447"/>
      <c r="J252" s="447"/>
      <c r="K252" s="447" t="s">
        <v>1236</v>
      </c>
      <c r="L252" s="308"/>
      <c r="M252" s="308"/>
      <c r="N252" s="308"/>
      <c r="O252" s="308"/>
      <c r="P252" s="308"/>
      <c r="Q252" s="308"/>
      <c r="R252" s="308"/>
      <c r="S252" s="308"/>
      <c r="T252" s="308"/>
      <c r="U252" s="308"/>
      <c r="V252" s="308"/>
      <c r="W252" s="308"/>
      <c r="X252" s="308"/>
      <c r="Y252" s="308"/>
      <c r="Z252" s="308"/>
    </row>
    <row r="253" spans="1:26" ht="14.25" customHeight="1" x14ac:dyDescent="0.3">
      <c r="A253" s="352" t="s">
        <v>1811</v>
      </c>
      <c r="B253" s="424" t="s">
        <v>1122</v>
      </c>
      <c r="C253" s="352" t="s">
        <v>1089</v>
      </c>
      <c r="D253" s="326" t="s">
        <v>1088</v>
      </c>
      <c r="E253" s="423">
        <v>21</v>
      </c>
      <c r="F253" s="428">
        <v>45929</v>
      </c>
      <c r="G253" s="423" t="s">
        <v>451</v>
      </c>
      <c r="H253" s="462" t="s">
        <v>1131</v>
      </c>
      <c r="I253" s="423" t="s">
        <v>451</v>
      </c>
      <c r="J253" s="423" t="s">
        <v>451</v>
      </c>
      <c r="K253" s="308"/>
      <c r="L253" s="308"/>
      <c r="M253" s="308"/>
      <c r="N253" s="308"/>
      <c r="O253" s="308"/>
      <c r="P253" s="308"/>
      <c r="Q253" s="308"/>
      <c r="R253" s="308"/>
      <c r="S253" s="308"/>
      <c r="T253" s="308"/>
      <c r="U253" s="308"/>
      <c r="V253" s="308"/>
      <c r="W253" s="308"/>
      <c r="X253" s="308"/>
      <c r="Y253" s="308"/>
      <c r="Z253" s="308"/>
    </row>
    <row r="254" spans="1:26" ht="14.25" customHeight="1" x14ac:dyDescent="0.3">
      <c r="A254" s="474" t="s">
        <v>2192</v>
      </c>
      <c r="B254" s="418" t="s">
        <v>1122</v>
      </c>
      <c r="C254" s="447" t="s">
        <v>1144</v>
      </c>
      <c r="D254" s="447" t="s">
        <v>1235</v>
      </c>
      <c r="E254" s="447">
        <v>32</v>
      </c>
      <c r="F254" s="448">
        <v>45987</v>
      </c>
      <c r="G254" s="447"/>
      <c r="H254" s="428" t="s">
        <v>1078</v>
      </c>
      <c r="I254" s="447"/>
      <c r="J254" s="447"/>
      <c r="K254" s="447" t="s">
        <v>1236</v>
      </c>
      <c r="L254" s="308"/>
      <c r="M254" s="308"/>
      <c r="N254" s="308"/>
      <c r="O254" s="308"/>
      <c r="P254" s="308"/>
      <c r="Q254" s="308"/>
      <c r="R254" s="308"/>
      <c r="S254" s="308"/>
      <c r="T254" s="308"/>
      <c r="U254" s="308"/>
      <c r="V254" s="308"/>
      <c r="W254" s="308"/>
      <c r="X254" s="308"/>
      <c r="Y254" s="308"/>
      <c r="Z254" s="308"/>
    </row>
    <row r="255" spans="1:26" ht="14.25" customHeight="1" x14ac:dyDescent="0.3">
      <c r="A255" s="352" t="s">
        <v>2192</v>
      </c>
      <c r="B255" s="433" t="s">
        <v>1142</v>
      </c>
      <c r="C255" s="511" t="s">
        <v>1089</v>
      </c>
      <c r="D255" s="442" t="s">
        <v>1088</v>
      </c>
      <c r="E255" s="427">
        <v>18</v>
      </c>
      <c r="F255" s="428">
        <v>45835</v>
      </c>
      <c r="G255" s="428">
        <v>45905</v>
      </c>
      <c r="H255" s="435" t="s">
        <v>1083</v>
      </c>
      <c r="I255" s="427">
        <v>3</v>
      </c>
      <c r="J255" s="428">
        <v>45910</v>
      </c>
      <c r="K255" s="308"/>
      <c r="L255" s="308"/>
      <c r="M255" s="308"/>
      <c r="N255" s="308"/>
      <c r="O255" s="308"/>
      <c r="P255" s="308"/>
      <c r="Q255" s="308"/>
      <c r="R255" s="308"/>
      <c r="S255" s="308"/>
      <c r="T255" s="308"/>
      <c r="U255" s="308"/>
      <c r="V255" s="308"/>
      <c r="W255" s="308"/>
      <c r="X255" s="308"/>
      <c r="Y255" s="308"/>
      <c r="Z255" s="308"/>
    </row>
    <row r="256" spans="1:26" ht="14.25" customHeight="1" x14ac:dyDescent="0.3">
      <c r="A256" s="474" t="s">
        <v>2192</v>
      </c>
      <c r="B256" s="449" t="s">
        <v>1142</v>
      </c>
      <c r="C256" s="447" t="s">
        <v>1144</v>
      </c>
      <c r="D256" s="521" t="s">
        <v>1231</v>
      </c>
      <c r="E256" s="447">
        <v>34</v>
      </c>
      <c r="F256" s="448">
        <v>45992</v>
      </c>
      <c r="G256" s="447"/>
      <c r="H256" s="267" t="s">
        <v>1083</v>
      </c>
      <c r="I256" s="447">
        <v>6</v>
      </c>
      <c r="J256" s="447"/>
      <c r="K256" s="447" t="s">
        <v>1232</v>
      </c>
      <c r="L256" s="308"/>
      <c r="M256" s="308"/>
      <c r="N256" s="308"/>
      <c r="O256" s="308"/>
      <c r="P256" s="308"/>
      <c r="Q256" s="308"/>
      <c r="R256" s="308"/>
      <c r="S256" s="308"/>
      <c r="T256" s="308"/>
      <c r="U256" s="308"/>
      <c r="V256" s="308"/>
      <c r="W256" s="308"/>
      <c r="X256" s="308"/>
      <c r="Y256" s="308"/>
      <c r="Z256" s="308"/>
    </row>
    <row r="257" spans="1:26" ht="14.25" customHeight="1" x14ac:dyDescent="0.3">
      <c r="A257" s="475" t="s">
        <v>2252</v>
      </c>
      <c r="B257" s="424" t="s">
        <v>1122</v>
      </c>
      <c r="C257" s="352" t="s">
        <v>1089</v>
      </c>
      <c r="D257" s="326" t="s">
        <v>1088</v>
      </c>
      <c r="E257" s="423">
        <v>21</v>
      </c>
      <c r="F257" s="428">
        <v>45929</v>
      </c>
      <c r="G257" s="429" t="s">
        <v>451</v>
      </c>
      <c r="H257" s="443" t="s">
        <v>1090</v>
      </c>
      <c r="I257" s="429" t="s">
        <v>451</v>
      </c>
      <c r="J257" s="429" t="s">
        <v>451</v>
      </c>
      <c r="K257" s="308"/>
      <c r="L257" s="308"/>
      <c r="M257" s="308"/>
      <c r="N257" s="308"/>
      <c r="O257" s="308"/>
      <c r="P257" s="308"/>
      <c r="Q257" s="308"/>
      <c r="R257" s="308"/>
      <c r="S257" s="308"/>
      <c r="T257" s="308"/>
      <c r="U257" s="308"/>
      <c r="V257" s="308"/>
      <c r="W257" s="308"/>
      <c r="X257" s="308"/>
      <c r="Y257" s="308"/>
      <c r="Z257" s="308"/>
    </row>
    <row r="258" spans="1:26" ht="14.25" customHeight="1" x14ac:dyDescent="0.3">
      <c r="A258" s="352" t="s">
        <v>1137</v>
      </c>
      <c r="B258" s="433" t="s">
        <v>1142</v>
      </c>
      <c r="C258" s="511" t="s">
        <v>1089</v>
      </c>
      <c r="D258" s="442" t="s">
        <v>1088</v>
      </c>
      <c r="E258" s="427">
        <v>5</v>
      </c>
      <c r="F258" s="440">
        <v>45817</v>
      </c>
      <c r="G258" s="423" t="s">
        <v>451</v>
      </c>
      <c r="H258" s="435" t="s">
        <v>1083</v>
      </c>
      <c r="I258" s="439">
        <v>1</v>
      </c>
      <c r="J258" s="428">
        <v>45824</v>
      </c>
      <c r="K258" s="308"/>
      <c r="L258" s="308"/>
      <c r="M258" s="308"/>
      <c r="N258" s="308"/>
      <c r="O258" s="308"/>
      <c r="P258" s="308"/>
      <c r="Q258" s="308"/>
      <c r="R258" s="308"/>
      <c r="S258" s="308"/>
      <c r="T258" s="308"/>
      <c r="U258" s="308"/>
      <c r="V258" s="308"/>
      <c r="W258" s="308"/>
      <c r="X258" s="308"/>
      <c r="Y258" s="308"/>
      <c r="Z258" s="308"/>
    </row>
    <row r="259" spans="1:26" ht="14.25" customHeight="1" x14ac:dyDescent="0.3">
      <c r="A259" s="352" t="s">
        <v>1137</v>
      </c>
      <c r="B259" s="433" t="s">
        <v>1142</v>
      </c>
      <c r="C259" s="511" t="s">
        <v>1089</v>
      </c>
      <c r="D259" s="518" t="s">
        <v>1088</v>
      </c>
      <c r="E259" s="445">
        <v>23</v>
      </c>
      <c r="F259" s="464">
        <v>45938</v>
      </c>
      <c r="G259" s="267"/>
      <c r="H259" s="267" t="s">
        <v>1083</v>
      </c>
      <c r="I259" s="267">
        <v>7</v>
      </c>
      <c r="J259" s="267"/>
      <c r="K259" s="267"/>
      <c r="L259" s="308"/>
      <c r="M259" s="308"/>
      <c r="N259" s="308"/>
      <c r="O259" s="308"/>
      <c r="P259" s="308"/>
      <c r="Q259" s="308"/>
      <c r="R259" s="308"/>
      <c r="S259" s="308"/>
      <c r="T259" s="308"/>
      <c r="U259" s="308"/>
      <c r="V259" s="308"/>
      <c r="W259" s="308"/>
      <c r="X259" s="308"/>
      <c r="Y259" s="308"/>
      <c r="Z259" s="308"/>
    </row>
    <row r="260" spans="1:26" ht="14.25" customHeight="1" x14ac:dyDescent="0.3">
      <c r="A260" s="474" t="s">
        <v>2222</v>
      </c>
      <c r="B260" s="418" t="s">
        <v>1122</v>
      </c>
      <c r="C260" s="447" t="s">
        <v>1144</v>
      </c>
      <c r="D260" s="447" t="s">
        <v>1235</v>
      </c>
      <c r="E260" s="447">
        <v>32</v>
      </c>
      <c r="F260" s="448">
        <v>45987</v>
      </c>
      <c r="G260" s="447"/>
      <c r="H260" s="428" t="s">
        <v>1078</v>
      </c>
      <c r="I260" s="447"/>
      <c r="J260" s="447"/>
      <c r="K260" s="447" t="s">
        <v>1236</v>
      </c>
      <c r="L260" s="308"/>
      <c r="M260" s="308"/>
      <c r="N260" s="308"/>
      <c r="O260" s="308"/>
      <c r="P260" s="308"/>
      <c r="Q260" s="308"/>
      <c r="R260" s="308"/>
      <c r="S260" s="308"/>
      <c r="T260" s="308"/>
      <c r="U260" s="308"/>
      <c r="V260" s="308"/>
      <c r="W260" s="308"/>
      <c r="X260" s="308"/>
      <c r="Y260" s="308"/>
      <c r="Z260" s="308"/>
    </row>
    <row r="261" spans="1:26" ht="14.25" customHeight="1" x14ac:dyDescent="0.3">
      <c r="A261" s="474" t="s">
        <v>2222</v>
      </c>
      <c r="B261" s="418" t="s">
        <v>1122</v>
      </c>
      <c r="C261" s="447" t="s">
        <v>1144</v>
      </c>
      <c r="D261" s="447" t="s">
        <v>1235</v>
      </c>
      <c r="E261" s="447">
        <v>32</v>
      </c>
      <c r="F261" s="448">
        <v>45987</v>
      </c>
      <c r="G261" s="447"/>
      <c r="H261" s="428" t="s">
        <v>1078</v>
      </c>
      <c r="I261" s="447"/>
      <c r="J261" s="447"/>
      <c r="K261" s="447" t="s">
        <v>1236</v>
      </c>
      <c r="L261" s="308"/>
      <c r="M261" s="308"/>
      <c r="N261" s="308"/>
      <c r="O261" s="308"/>
      <c r="P261" s="308"/>
      <c r="Q261" s="308"/>
      <c r="R261" s="308"/>
      <c r="S261" s="308"/>
      <c r="T261" s="308"/>
      <c r="U261" s="308"/>
      <c r="V261" s="308"/>
      <c r="W261" s="308"/>
      <c r="X261" s="308"/>
      <c r="Y261" s="308"/>
      <c r="Z261" s="308"/>
    </row>
    <row r="262" spans="1:26" ht="14.25" customHeight="1" x14ac:dyDescent="0.3">
      <c r="A262" s="474" t="s">
        <v>2222</v>
      </c>
      <c r="B262" s="449" t="s">
        <v>1142</v>
      </c>
      <c r="C262" s="447" t="s">
        <v>1144</v>
      </c>
      <c r="D262" s="521" t="s">
        <v>1231</v>
      </c>
      <c r="E262" s="447">
        <v>34</v>
      </c>
      <c r="F262" s="448">
        <v>45992</v>
      </c>
      <c r="G262" s="447"/>
      <c r="H262" s="267" t="s">
        <v>1083</v>
      </c>
      <c r="I262" s="447">
        <v>6</v>
      </c>
      <c r="J262" s="447"/>
      <c r="K262" s="447" t="s">
        <v>1232</v>
      </c>
      <c r="L262" s="308"/>
      <c r="M262" s="308"/>
      <c r="N262" s="308"/>
      <c r="O262" s="308"/>
      <c r="P262" s="308"/>
      <c r="Q262" s="308"/>
      <c r="R262" s="308"/>
      <c r="S262" s="308"/>
      <c r="T262" s="308"/>
      <c r="U262" s="308"/>
      <c r="V262" s="308"/>
      <c r="W262" s="308"/>
      <c r="X262" s="308"/>
      <c r="Y262" s="308"/>
      <c r="Z262" s="308"/>
    </row>
    <row r="263" spans="1:26" ht="14.25" customHeight="1" x14ac:dyDescent="0.3">
      <c r="A263" s="474" t="s">
        <v>1245</v>
      </c>
      <c r="B263" s="449" t="s">
        <v>1142</v>
      </c>
      <c r="C263" s="447" t="s">
        <v>1144</v>
      </c>
      <c r="D263" s="521" t="s">
        <v>1231</v>
      </c>
      <c r="E263" s="447">
        <v>34</v>
      </c>
      <c r="F263" s="448">
        <v>45992</v>
      </c>
      <c r="G263" s="447"/>
      <c r="H263" s="428" t="s">
        <v>1078</v>
      </c>
      <c r="I263" s="447">
        <v>6</v>
      </c>
      <c r="J263" s="447"/>
      <c r="K263" s="447" t="s">
        <v>1232</v>
      </c>
      <c r="L263" s="308"/>
      <c r="M263" s="308"/>
      <c r="N263" s="308"/>
      <c r="O263" s="308"/>
      <c r="P263" s="308"/>
      <c r="Q263" s="308"/>
      <c r="R263" s="308"/>
      <c r="S263" s="308"/>
      <c r="T263" s="308"/>
      <c r="U263" s="308"/>
      <c r="V263" s="308"/>
      <c r="W263" s="308"/>
      <c r="X263" s="308"/>
      <c r="Y263" s="308"/>
      <c r="Z263" s="308"/>
    </row>
    <row r="264" spans="1:26" ht="14.25" customHeight="1" x14ac:dyDescent="0.3">
      <c r="A264" s="474" t="s">
        <v>2223</v>
      </c>
      <c r="B264" s="418" t="s">
        <v>1122</v>
      </c>
      <c r="C264" s="447" t="s">
        <v>1144</v>
      </c>
      <c r="D264" s="447" t="s">
        <v>1235</v>
      </c>
      <c r="E264" s="447">
        <v>32</v>
      </c>
      <c r="F264" s="448">
        <v>45987</v>
      </c>
      <c r="G264" s="447"/>
      <c r="H264" s="428" t="s">
        <v>1078</v>
      </c>
      <c r="I264" s="447"/>
      <c r="J264" s="447"/>
      <c r="K264" s="447" t="s">
        <v>1236</v>
      </c>
      <c r="L264" s="444"/>
      <c r="M264" s="444"/>
      <c r="N264" s="444"/>
      <c r="O264" s="444"/>
      <c r="P264" s="444"/>
      <c r="Q264" s="444"/>
      <c r="R264" s="444"/>
      <c r="S264" s="444"/>
      <c r="T264" s="444"/>
      <c r="U264" s="444"/>
      <c r="V264" s="444"/>
      <c r="W264" s="444"/>
      <c r="X264" s="444"/>
      <c r="Y264" s="444"/>
      <c r="Z264" s="444"/>
    </row>
    <row r="265" spans="1:26" ht="14.25" customHeight="1" x14ac:dyDescent="0.3">
      <c r="A265" s="352" t="s">
        <v>2223</v>
      </c>
      <c r="B265" s="433" t="s">
        <v>1142</v>
      </c>
      <c r="C265" s="352" t="s">
        <v>1089</v>
      </c>
      <c r="D265" s="519" t="s">
        <v>1088</v>
      </c>
      <c r="E265" s="308">
        <v>21</v>
      </c>
      <c r="F265" s="431">
        <v>45929</v>
      </c>
      <c r="G265" s="308"/>
      <c r="H265" s="435" t="s">
        <v>1083</v>
      </c>
      <c r="I265" s="308">
        <v>4</v>
      </c>
      <c r="J265" s="431">
        <v>45944</v>
      </c>
      <c r="K265" s="308"/>
      <c r="L265" s="444"/>
      <c r="M265" s="444"/>
      <c r="N265" s="444"/>
      <c r="O265" s="444"/>
      <c r="P265" s="444"/>
      <c r="Q265" s="444"/>
      <c r="R265" s="444"/>
      <c r="S265" s="444"/>
      <c r="T265" s="444"/>
      <c r="U265" s="444"/>
      <c r="V265" s="444"/>
      <c r="W265" s="444"/>
      <c r="X265" s="444"/>
      <c r="Y265" s="444"/>
      <c r="Z265" s="444"/>
    </row>
    <row r="266" spans="1:26" ht="14.25" customHeight="1" x14ac:dyDescent="0.3">
      <c r="A266" s="474" t="s">
        <v>2223</v>
      </c>
      <c r="B266" s="449" t="s">
        <v>1142</v>
      </c>
      <c r="C266" s="447" t="s">
        <v>1144</v>
      </c>
      <c r="D266" s="521" t="s">
        <v>1231</v>
      </c>
      <c r="E266" s="447">
        <v>34</v>
      </c>
      <c r="F266" s="448">
        <v>45992</v>
      </c>
      <c r="G266" s="447"/>
      <c r="H266" s="267" t="s">
        <v>1083</v>
      </c>
      <c r="I266" s="447">
        <v>6</v>
      </c>
      <c r="J266" s="447"/>
      <c r="K266" s="447" t="s">
        <v>1232</v>
      </c>
      <c r="L266" s="308"/>
      <c r="M266" s="308"/>
      <c r="N266" s="308"/>
      <c r="O266" s="308"/>
      <c r="P266" s="308"/>
      <c r="Q266" s="308"/>
      <c r="R266" s="308"/>
      <c r="S266" s="308"/>
      <c r="T266" s="308"/>
      <c r="U266" s="308"/>
      <c r="V266" s="308"/>
      <c r="W266" s="308"/>
      <c r="X266" s="308"/>
      <c r="Y266" s="308"/>
      <c r="Z266" s="308"/>
    </row>
    <row r="267" spans="1:26" ht="14.25" customHeight="1" x14ac:dyDescent="0.3">
      <c r="A267" s="352" t="s">
        <v>689</v>
      </c>
      <c r="B267" s="433" t="s">
        <v>1142</v>
      </c>
      <c r="C267" s="352" t="s">
        <v>1089</v>
      </c>
      <c r="D267" s="515" t="s">
        <v>1088</v>
      </c>
      <c r="E267" s="452">
        <v>23</v>
      </c>
      <c r="F267" s="431">
        <v>45938</v>
      </c>
      <c r="G267" s="308"/>
      <c r="H267" s="435" t="s">
        <v>1083</v>
      </c>
      <c r="I267" s="308">
        <v>4</v>
      </c>
      <c r="J267" s="431">
        <v>45944</v>
      </c>
      <c r="K267" s="308"/>
      <c r="L267" s="308"/>
      <c r="M267" s="308"/>
      <c r="N267" s="308"/>
      <c r="O267" s="308"/>
      <c r="P267" s="308"/>
      <c r="Q267" s="308"/>
      <c r="R267" s="308"/>
      <c r="S267" s="308"/>
      <c r="T267" s="308"/>
      <c r="U267" s="308"/>
      <c r="V267" s="308"/>
      <c r="W267" s="308"/>
      <c r="X267" s="308"/>
      <c r="Y267" s="308"/>
      <c r="Z267" s="308"/>
    </row>
    <row r="268" spans="1:26" ht="14.25" customHeight="1" x14ac:dyDescent="0.3">
      <c r="A268" s="352" t="s">
        <v>690</v>
      </c>
      <c r="B268" s="424" t="s">
        <v>1122</v>
      </c>
      <c r="C268" s="425" t="s">
        <v>1089</v>
      </c>
      <c r="D268" s="441" t="s">
        <v>1088</v>
      </c>
      <c r="E268" s="427">
        <v>5</v>
      </c>
      <c r="F268" s="440">
        <v>45817</v>
      </c>
      <c r="G268" s="423" t="s">
        <v>451</v>
      </c>
      <c r="H268" s="443" t="s">
        <v>1090</v>
      </c>
      <c r="I268" s="423" t="s">
        <v>451</v>
      </c>
      <c r="J268" s="423" t="s">
        <v>451</v>
      </c>
      <c r="K268" s="308"/>
      <c r="L268" s="308"/>
      <c r="M268" s="308"/>
      <c r="N268" s="308"/>
      <c r="O268" s="308"/>
      <c r="P268" s="308"/>
      <c r="Q268" s="308"/>
      <c r="R268" s="308"/>
      <c r="S268" s="308"/>
      <c r="T268" s="308"/>
      <c r="U268" s="308"/>
      <c r="V268" s="308"/>
      <c r="W268" s="308"/>
      <c r="X268" s="308"/>
      <c r="Y268" s="308"/>
      <c r="Z268" s="308"/>
    </row>
    <row r="269" spans="1:26" ht="14.25" customHeight="1" x14ac:dyDescent="0.3">
      <c r="A269" s="352" t="s">
        <v>692</v>
      </c>
      <c r="B269" s="424" t="s">
        <v>1122</v>
      </c>
      <c r="C269" s="425" t="s">
        <v>1089</v>
      </c>
      <c r="D269" s="441" t="s">
        <v>1088</v>
      </c>
      <c r="E269" s="427">
        <v>5</v>
      </c>
      <c r="F269" s="440">
        <v>45817</v>
      </c>
      <c r="G269" s="429" t="s">
        <v>451</v>
      </c>
      <c r="H269" s="443" t="s">
        <v>1090</v>
      </c>
      <c r="I269" s="429" t="s">
        <v>451</v>
      </c>
      <c r="J269" s="429" t="s">
        <v>451</v>
      </c>
      <c r="K269" s="308"/>
      <c r="L269" s="308"/>
      <c r="M269" s="308"/>
      <c r="N269" s="308"/>
      <c r="O269" s="308"/>
      <c r="P269" s="308"/>
      <c r="Q269" s="308"/>
      <c r="R269" s="308"/>
      <c r="S269" s="308"/>
      <c r="T269" s="308"/>
      <c r="U269" s="308"/>
      <c r="V269" s="308"/>
      <c r="W269" s="308"/>
      <c r="X269" s="308"/>
      <c r="Y269" s="308"/>
      <c r="Z269" s="308"/>
    </row>
    <row r="270" spans="1:26" ht="14.25" customHeight="1" x14ac:dyDescent="0.3">
      <c r="A270" s="352" t="s">
        <v>693</v>
      </c>
      <c r="B270" s="433" t="s">
        <v>1142</v>
      </c>
      <c r="C270" s="352" t="s">
        <v>1089</v>
      </c>
      <c r="D270" s="519" t="s">
        <v>1088</v>
      </c>
      <c r="E270" s="308">
        <v>21</v>
      </c>
      <c r="F270" s="431">
        <v>45929</v>
      </c>
      <c r="G270" s="308"/>
      <c r="H270" s="435" t="s">
        <v>1083</v>
      </c>
      <c r="I270" s="308">
        <v>4</v>
      </c>
      <c r="J270" s="431">
        <v>45944</v>
      </c>
      <c r="K270" s="308"/>
      <c r="L270" s="308"/>
      <c r="M270" s="308"/>
      <c r="N270" s="308"/>
      <c r="O270" s="308"/>
      <c r="P270" s="308"/>
      <c r="Q270" s="308"/>
      <c r="R270" s="308"/>
      <c r="S270" s="308"/>
      <c r="T270" s="308"/>
      <c r="U270" s="308"/>
      <c r="V270" s="308"/>
      <c r="W270" s="308"/>
      <c r="X270" s="308"/>
      <c r="Y270" s="308"/>
      <c r="Z270" s="308"/>
    </row>
    <row r="271" spans="1:26" ht="14.25" customHeight="1" x14ac:dyDescent="0.3">
      <c r="A271" s="474" t="s">
        <v>693</v>
      </c>
      <c r="B271" s="449" t="s">
        <v>1142</v>
      </c>
      <c r="C271" s="447" t="s">
        <v>1144</v>
      </c>
      <c r="D271" s="521" t="s">
        <v>1231</v>
      </c>
      <c r="E271" s="447">
        <v>32</v>
      </c>
      <c r="F271" s="448">
        <v>45987</v>
      </c>
      <c r="G271" s="447"/>
      <c r="H271" s="267" t="s">
        <v>1083</v>
      </c>
      <c r="I271" s="447">
        <v>6</v>
      </c>
      <c r="J271" s="447"/>
      <c r="K271" s="447" t="s">
        <v>1236</v>
      </c>
      <c r="L271" s="308"/>
      <c r="M271" s="308"/>
      <c r="N271" s="308"/>
      <c r="O271" s="308"/>
      <c r="P271" s="308"/>
      <c r="Q271" s="308"/>
      <c r="R271" s="308"/>
      <c r="S271" s="308"/>
      <c r="T271" s="308"/>
      <c r="U271" s="308"/>
      <c r="V271" s="308"/>
      <c r="W271" s="308"/>
      <c r="X271" s="308"/>
      <c r="Y271" s="308"/>
      <c r="Z271" s="308"/>
    </row>
    <row r="272" spans="1:26" ht="14.25" customHeight="1" x14ac:dyDescent="0.3">
      <c r="A272" s="352" t="s">
        <v>696</v>
      </c>
      <c r="B272" s="424" t="s">
        <v>1122</v>
      </c>
      <c r="C272" s="425" t="s">
        <v>1089</v>
      </c>
      <c r="D272" s="441" t="s">
        <v>1088</v>
      </c>
      <c r="E272" s="450">
        <v>8</v>
      </c>
      <c r="F272" s="451">
        <v>45824</v>
      </c>
      <c r="G272" s="429" t="s">
        <v>451</v>
      </c>
      <c r="H272" s="428" t="s">
        <v>1078</v>
      </c>
      <c r="I272" s="429" t="s">
        <v>451</v>
      </c>
      <c r="J272" s="429" t="s">
        <v>451</v>
      </c>
      <c r="K272" s="308"/>
      <c r="L272" s="308"/>
      <c r="M272" s="308"/>
      <c r="N272" s="308"/>
      <c r="O272" s="308"/>
      <c r="P272" s="308"/>
      <c r="Q272" s="308"/>
      <c r="R272" s="308"/>
      <c r="S272" s="308"/>
      <c r="T272" s="308"/>
      <c r="U272" s="308"/>
      <c r="V272" s="308"/>
      <c r="W272" s="308"/>
      <c r="X272" s="308"/>
      <c r="Y272" s="308"/>
      <c r="Z272" s="308"/>
    </row>
    <row r="273" spans="1:26" ht="14.25" customHeight="1" x14ac:dyDescent="0.3">
      <c r="A273" s="352" t="s">
        <v>696</v>
      </c>
      <c r="B273" s="433" t="s">
        <v>1142</v>
      </c>
      <c r="C273" s="352" t="s">
        <v>1089</v>
      </c>
      <c r="D273" s="515" t="s">
        <v>1088</v>
      </c>
      <c r="E273" s="308">
        <v>23</v>
      </c>
      <c r="F273" s="431">
        <v>45938</v>
      </c>
      <c r="G273" s="308"/>
      <c r="H273" s="435" t="s">
        <v>1083</v>
      </c>
      <c r="I273" s="308">
        <v>4</v>
      </c>
      <c r="J273" s="431">
        <v>45944</v>
      </c>
      <c r="K273" s="308"/>
      <c r="L273" s="308"/>
      <c r="M273" s="308"/>
      <c r="N273" s="308"/>
      <c r="O273" s="308"/>
      <c r="P273" s="308"/>
      <c r="Q273" s="308"/>
      <c r="R273" s="308"/>
      <c r="S273" s="308"/>
      <c r="T273" s="308"/>
      <c r="U273" s="308"/>
      <c r="V273" s="308"/>
      <c r="W273" s="308"/>
      <c r="X273" s="308"/>
      <c r="Y273" s="308"/>
      <c r="Z273" s="308"/>
    </row>
    <row r="274" spans="1:26" ht="14.25" customHeight="1" x14ac:dyDescent="0.3">
      <c r="A274" s="352" t="s">
        <v>2193</v>
      </c>
      <c r="B274" s="433" t="s">
        <v>1142</v>
      </c>
      <c r="C274" s="511" t="s">
        <v>1089</v>
      </c>
      <c r="D274" s="442" t="s">
        <v>1088</v>
      </c>
      <c r="E274" s="450">
        <v>8</v>
      </c>
      <c r="F274" s="451">
        <v>45824</v>
      </c>
      <c r="G274" s="428">
        <v>45905</v>
      </c>
      <c r="H274" s="435" t="s">
        <v>1083</v>
      </c>
      <c r="I274" s="427">
        <v>3</v>
      </c>
      <c r="J274" s="428">
        <v>45910</v>
      </c>
      <c r="K274" s="308"/>
      <c r="L274" s="308"/>
      <c r="M274" s="308"/>
      <c r="N274" s="308"/>
      <c r="O274" s="308"/>
      <c r="P274" s="308"/>
      <c r="Q274" s="308"/>
      <c r="R274" s="308"/>
      <c r="S274" s="308"/>
      <c r="T274" s="308"/>
      <c r="U274" s="308"/>
      <c r="V274" s="308"/>
      <c r="W274" s="308"/>
      <c r="X274" s="308"/>
      <c r="Y274" s="308"/>
      <c r="Z274" s="308"/>
    </row>
    <row r="275" spans="1:26" ht="14.25" customHeight="1" x14ac:dyDescent="0.3">
      <c r="A275" s="352" t="s">
        <v>697</v>
      </c>
      <c r="B275" s="424" t="s">
        <v>1122</v>
      </c>
      <c r="C275" s="425" t="s">
        <v>1089</v>
      </c>
      <c r="D275" s="441" t="s">
        <v>1088</v>
      </c>
      <c r="E275" s="450">
        <v>13</v>
      </c>
      <c r="F275" s="451">
        <v>45824</v>
      </c>
      <c r="G275" s="429" t="s">
        <v>451</v>
      </c>
      <c r="H275" s="443" t="s">
        <v>1090</v>
      </c>
      <c r="I275" s="429" t="s">
        <v>451</v>
      </c>
      <c r="J275" s="429" t="s">
        <v>451</v>
      </c>
      <c r="K275" s="308"/>
      <c r="L275" s="308"/>
      <c r="M275" s="308"/>
      <c r="N275" s="308"/>
      <c r="O275" s="308"/>
      <c r="P275" s="308"/>
      <c r="Q275" s="308"/>
      <c r="R275" s="308"/>
      <c r="S275" s="308"/>
      <c r="T275" s="308"/>
      <c r="U275" s="308"/>
      <c r="V275" s="308"/>
      <c r="W275" s="308"/>
      <c r="X275" s="308"/>
      <c r="Y275" s="308"/>
      <c r="Z275" s="308"/>
    </row>
    <row r="276" spans="1:26" ht="14.25" customHeight="1" x14ac:dyDescent="0.3">
      <c r="A276" s="474" t="s">
        <v>697</v>
      </c>
      <c r="B276" s="418" t="s">
        <v>1122</v>
      </c>
      <c r="C276" s="447" t="s">
        <v>1144</v>
      </c>
      <c r="D276" s="447" t="s">
        <v>1235</v>
      </c>
      <c r="E276" s="447">
        <v>32</v>
      </c>
      <c r="F276" s="448">
        <v>45987</v>
      </c>
      <c r="G276" s="447"/>
      <c r="H276" s="447" t="s">
        <v>1078</v>
      </c>
      <c r="I276" s="447"/>
      <c r="J276" s="447"/>
      <c r="K276" s="447" t="s">
        <v>1236</v>
      </c>
      <c r="L276" s="308"/>
      <c r="M276" s="308"/>
      <c r="N276" s="308"/>
      <c r="O276" s="308"/>
      <c r="P276" s="308"/>
      <c r="Q276" s="308"/>
      <c r="R276" s="308"/>
      <c r="S276" s="308"/>
      <c r="T276" s="308"/>
      <c r="U276" s="308"/>
      <c r="V276" s="308"/>
      <c r="W276" s="308"/>
      <c r="X276" s="308"/>
      <c r="Y276" s="308"/>
      <c r="Z276" s="308"/>
    </row>
    <row r="277" spans="1:26" ht="14.25" customHeight="1" x14ac:dyDescent="0.3">
      <c r="A277" s="474" t="s">
        <v>697</v>
      </c>
      <c r="B277" s="449" t="s">
        <v>1142</v>
      </c>
      <c r="C277" s="447" t="s">
        <v>1144</v>
      </c>
      <c r="D277" s="521" t="s">
        <v>1231</v>
      </c>
      <c r="E277" s="447">
        <v>34</v>
      </c>
      <c r="F277" s="448">
        <v>45992</v>
      </c>
      <c r="G277" s="447"/>
      <c r="H277" s="267" t="s">
        <v>1083</v>
      </c>
      <c r="I277" s="447">
        <v>6</v>
      </c>
      <c r="J277" s="447"/>
      <c r="K277" s="447" t="s">
        <v>1232</v>
      </c>
      <c r="L277" s="308"/>
      <c r="M277" s="308"/>
      <c r="N277" s="308"/>
      <c r="O277" s="308"/>
      <c r="P277" s="308"/>
      <c r="Q277" s="308"/>
      <c r="R277" s="308"/>
      <c r="S277" s="308"/>
      <c r="T277" s="308"/>
      <c r="U277" s="308"/>
      <c r="V277" s="308"/>
      <c r="W277" s="308"/>
      <c r="X277" s="308"/>
      <c r="Y277" s="308"/>
      <c r="Z277" s="308"/>
    </row>
    <row r="278" spans="1:26" ht="14.25" customHeight="1" x14ac:dyDescent="0.3">
      <c r="A278" s="474" t="s">
        <v>1812</v>
      </c>
      <c r="B278" s="418" t="s">
        <v>1122</v>
      </c>
      <c r="C278" s="447" t="s">
        <v>1144</v>
      </c>
      <c r="D278" s="447" t="s">
        <v>1235</v>
      </c>
      <c r="E278" s="447">
        <v>32</v>
      </c>
      <c r="F278" s="448">
        <v>45987</v>
      </c>
      <c r="G278" s="447"/>
      <c r="H278" s="447" t="s">
        <v>1078</v>
      </c>
      <c r="I278" s="447"/>
      <c r="J278" s="447"/>
      <c r="K278" s="447" t="s">
        <v>1236</v>
      </c>
      <c r="L278" s="308"/>
      <c r="M278" s="308"/>
      <c r="N278" s="308"/>
      <c r="O278" s="308"/>
      <c r="P278" s="308"/>
      <c r="Q278" s="308"/>
      <c r="R278" s="308"/>
      <c r="S278" s="308"/>
      <c r="T278" s="308"/>
      <c r="U278" s="308"/>
      <c r="V278" s="308"/>
      <c r="W278" s="308"/>
      <c r="X278" s="308"/>
      <c r="Y278" s="308"/>
      <c r="Z278" s="308"/>
    </row>
    <row r="279" spans="1:26" s="445" customFormat="1" ht="14.25" customHeight="1" x14ac:dyDescent="0.3">
      <c r="A279" s="352" t="s">
        <v>1812</v>
      </c>
      <c r="B279" s="433" t="s">
        <v>1142</v>
      </c>
      <c r="C279" s="352" t="s">
        <v>1089</v>
      </c>
      <c r="D279" s="519" t="s">
        <v>1088</v>
      </c>
      <c r="E279" s="308">
        <v>21</v>
      </c>
      <c r="F279" s="431">
        <v>45929</v>
      </c>
      <c r="G279" s="308"/>
      <c r="H279" s="435" t="s">
        <v>1083</v>
      </c>
      <c r="I279" s="308">
        <v>4</v>
      </c>
      <c r="J279" s="431">
        <v>45944</v>
      </c>
      <c r="K279" s="308"/>
      <c r="L279" s="267"/>
      <c r="M279" s="267"/>
      <c r="N279" s="267"/>
      <c r="O279" s="267"/>
      <c r="P279" s="267"/>
      <c r="Q279" s="267"/>
      <c r="R279" s="267"/>
      <c r="S279" s="267"/>
      <c r="T279" s="267"/>
      <c r="U279" s="267"/>
      <c r="V279" s="267"/>
      <c r="W279" s="267"/>
      <c r="X279" s="267"/>
      <c r="Y279" s="267"/>
      <c r="Z279" s="267"/>
    </row>
    <row r="280" spans="1:26" ht="14.25" customHeight="1" x14ac:dyDescent="0.3">
      <c r="A280" s="474" t="s">
        <v>1812</v>
      </c>
      <c r="B280" s="449" t="s">
        <v>1142</v>
      </c>
      <c r="C280" s="447" t="s">
        <v>1144</v>
      </c>
      <c r="D280" s="521" t="s">
        <v>1231</v>
      </c>
      <c r="E280" s="447">
        <v>34</v>
      </c>
      <c r="F280" s="448">
        <v>45992</v>
      </c>
      <c r="G280" s="447"/>
      <c r="H280" s="267" t="s">
        <v>1083</v>
      </c>
      <c r="I280" s="447">
        <v>6</v>
      </c>
      <c r="J280" s="447"/>
      <c r="K280" s="447" t="s">
        <v>1232</v>
      </c>
      <c r="L280" s="308"/>
      <c r="M280" s="308"/>
      <c r="N280" s="308"/>
      <c r="O280" s="308"/>
      <c r="P280" s="308"/>
      <c r="Q280" s="308"/>
      <c r="R280" s="308"/>
      <c r="S280" s="308"/>
      <c r="T280" s="308"/>
      <c r="U280" s="308"/>
      <c r="V280" s="308"/>
      <c r="W280" s="308"/>
      <c r="X280" s="308"/>
      <c r="Y280" s="308"/>
      <c r="Z280" s="308"/>
    </row>
    <row r="281" spans="1:26" ht="14.25" customHeight="1" x14ac:dyDescent="0.3">
      <c r="A281" s="474" t="s">
        <v>2194</v>
      </c>
      <c r="B281" s="418" t="s">
        <v>1122</v>
      </c>
      <c r="C281" s="447" t="s">
        <v>1144</v>
      </c>
      <c r="D281" s="447" t="s">
        <v>1235</v>
      </c>
      <c r="E281" s="447">
        <v>32</v>
      </c>
      <c r="F281" s="448">
        <v>45987</v>
      </c>
      <c r="G281" s="447"/>
      <c r="H281" s="447" t="s">
        <v>1078</v>
      </c>
      <c r="I281" s="447"/>
      <c r="J281" s="447"/>
      <c r="K281" s="447" t="s">
        <v>1236</v>
      </c>
      <c r="L281" s="308"/>
      <c r="M281" s="308"/>
      <c r="N281" s="308"/>
      <c r="O281" s="308"/>
      <c r="P281" s="308"/>
      <c r="Q281" s="308"/>
      <c r="R281" s="308"/>
      <c r="S281" s="308"/>
      <c r="T281" s="308"/>
      <c r="U281" s="308"/>
      <c r="V281" s="308"/>
      <c r="W281" s="308"/>
      <c r="X281" s="308"/>
      <c r="Y281" s="308"/>
      <c r="Z281" s="308"/>
    </row>
    <row r="282" spans="1:26" ht="14.25" customHeight="1" x14ac:dyDescent="0.3">
      <c r="A282" s="352" t="s">
        <v>2194</v>
      </c>
      <c r="B282" s="433" t="s">
        <v>1142</v>
      </c>
      <c r="C282" s="511" t="s">
        <v>1089</v>
      </c>
      <c r="D282" s="442" t="s">
        <v>1088</v>
      </c>
      <c r="E282" s="450">
        <v>13</v>
      </c>
      <c r="F282" s="451">
        <v>45824</v>
      </c>
      <c r="G282" s="428">
        <v>45905</v>
      </c>
      <c r="H282" s="435" t="s">
        <v>1083</v>
      </c>
      <c r="I282" s="427">
        <v>3</v>
      </c>
      <c r="J282" s="428">
        <v>45910</v>
      </c>
      <c r="K282" s="308"/>
      <c r="L282" s="308"/>
      <c r="M282" s="308"/>
      <c r="N282" s="308"/>
      <c r="O282" s="308"/>
      <c r="P282" s="308"/>
      <c r="Q282" s="308"/>
      <c r="R282" s="308"/>
      <c r="S282" s="308"/>
      <c r="T282" s="308"/>
      <c r="U282" s="308"/>
      <c r="V282" s="308"/>
      <c r="W282" s="308"/>
      <c r="X282" s="308"/>
      <c r="Y282" s="308"/>
      <c r="Z282" s="308"/>
    </row>
    <row r="283" spans="1:26" ht="14.25" customHeight="1" x14ac:dyDescent="0.3">
      <c r="A283" s="474" t="s">
        <v>2194</v>
      </c>
      <c r="B283" s="460" t="s">
        <v>1142</v>
      </c>
      <c r="C283" s="447" t="s">
        <v>1144</v>
      </c>
      <c r="D283" s="521" t="s">
        <v>1231</v>
      </c>
      <c r="E283" s="447">
        <v>36</v>
      </c>
      <c r="F283" s="448">
        <v>45994</v>
      </c>
      <c r="G283" s="447"/>
      <c r="H283" s="267" t="s">
        <v>1083</v>
      </c>
      <c r="I283" s="447">
        <v>6</v>
      </c>
      <c r="J283" s="447"/>
      <c r="K283" s="447" t="s">
        <v>1232</v>
      </c>
      <c r="L283" s="308"/>
      <c r="M283" s="308"/>
      <c r="N283" s="308"/>
      <c r="O283" s="308"/>
      <c r="P283" s="308"/>
      <c r="Q283" s="308"/>
      <c r="R283" s="308"/>
      <c r="S283" s="308"/>
      <c r="T283" s="308"/>
      <c r="U283" s="308"/>
      <c r="V283" s="308"/>
      <c r="W283" s="308"/>
      <c r="X283" s="308"/>
      <c r="Y283" s="308"/>
      <c r="Z283" s="308"/>
    </row>
    <row r="284" spans="1:26" ht="14.25" customHeight="1" x14ac:dyDescent="0.3">
      <c r="A284" s="352" t="s">
        <v>699</v>
      </c>
      <c r="B284" s="424" t="s">
        <v>1122</v>
      </c>
      <c r="C284" s="425" t="s">
        <v>1089</v>
      </c>
      <c r="D284" s="441" t="s">
        <v>1088</v>
      </c>
      <c r="E284" s="427">
        <v>5</v>
      </c>
      <c r="F284" s="440">
        <v>45817</v>
      </c>
      <c r="G284" s="429" t="s">
        <v>451</v>
      </c>
      <c r="H284" s="428" t="s">
        <v>1078</v>
      </c>
      <c r="I284" s="429" t="s">
        <v>451</v>
      </c>
      <c r="J284" s="429" t="s">
        <v>451</v>
      </c>
      <c r="K284" s="308"/>
      <c r="L284" s="308"/>
      <c r="M284" s="308"/>
      <c r="N284" s="308"/>
      <c r="O284" s="308"/>
      <c r="P284" s="308"/>
      <c r="Q284" s="308"/>
      <c r="R284" s="308"/>
      <c r="S284" s="308"/>
      <c r="T284" s="308"/>
      <c r="U284" s="308"/>
      <c r="V284" s="308"/>
      <c r="W284" s="308"/>
      <c r="X284" s="308"/>
      <c r="Y284" s="308"/>
      <c r="Z284" s="308"/>
    </row>
    <row r="285" spans="1:26" ht="14.25" customHeight="1" x14ac:dyDescent="0.3">
      <c r="A285" s="352" t="s">
        <v>699</v>
      </c>
      <c r="B285" s="433" t="s">
        <v>1142</v>
      </c>
      <c r="C285" s="511" t="s">
        <v>1089</v>
      </c>
      <c r="D285" s="518" t="s">
        <v>1088</v>
      </c>
      <c r="E285" s="445">
        <v>23</v>
      </c>
      <c r="F285" s="464">
        <v>45938</v>
      </c>
      <c r="G285" s="465"/>
      <c r="H285" s="267" t="s">
        <v>1083</v>
      </c>
      <c r="I285" s="267">
        <v>7</v>
      </c>
      <c r="J285" s="465"/>
      <c r="K285" s="267"/>
      <c r="L285" s="308"/>
      <c r="M285" s="308"/>
      <c r="N285" s="308"/>
      <c r="O285" s="308"/>
      <c r="P285" s="308"/>
      <c r="Q285" s="308"/>
      <c r="R285" s="308"/>
      <c r="S285" s="308"/>
      <c r="T285" s="308"/>
      <c r="U285" s="308"/>
      <c r="V285" s="308"/>
      <c r="W285" s="308"/>
      <c r="X285" s="308"/>
      <c r="Y285" s="308"/>
      <c r="Z285" s="308"/>
    </row>
    <row r="286" spans="1:26" ht="14.25" customHeight="1" x14ac:dyDescent="0.3">
      <c r="A286" s="474" t="s">
        <v>701</v>
      </c>
      <c r="B286" s="418" t="s">
        <v>1122</v>
      </c>
      <c r="C286" s="447" t="s">
        <v>1144</v>
      </c>
      <c r="D286" s="447" t="s">
        <v>1235</v>
      </c>
      <c r="E286" s="447">
        <v>32</v>
      </c>
      <c r="F286" s="448">
        <v>45987</v>
      </c>
      <c r="G286" s="447"/>
      <c r="H286" s="447" t="s">
        <v>1107</v>
      </c>
      <c r="I286" s="447"/>
      <c r="J286" s="447"/>
      <c r="K286" s="447" t="s">
        <v>1236</v>
      </c>
      <c r="L286" s="308"/>
      <c r="M286" s="308"/>
      <c r="N286" s="308"/>
      <c r="O286" s="308"/>
      <c r="P286" s="308"/>
      <c r="Q286" s="308"/>
      <c r="R286" s="308"/>
      <c r="S286" s="308"/>
      <c r="T286" s="308"/>
      <c r="U286" s="308"/>
      <c r="V286" s="308"/>
      <c r="W286" s="308"/>
      <c r="X286" s="308"/>
      <c r="Y286" s="308"/>
      <c r="Z286" s="308"/>
    </row>
    <row r="287" spans="1:26" ht="14.25" customHeight="1" x14ac:dyDescent="0.3">
      <c r="A287" s="474" t="s">
        <v>701</v>
      </c>
      <c r="B287" s="268" t="s">
        <v>1122</v>
      </c>
      <c r="C287" s="447"/>
      <c r="D287" s="447" t="s">
        <v>1231</v>
      </c>
      <c r="E287" s="447">
        <v>36</v>
      </c>
      <c r="F287" s="448">
        <v>45994</v>
      </c>
      <c r="G287" s="447"/>
      <c r="H287" s="447" t="s">
        <v>1128</v>
      </c>
      <c r="I287" s="447"/>
      <c r="J287" s="447"/>
      <c r="K287" s="447" t="s">
        <v>1232</v>
      </c>
      <c r="L287" s="308"/>
      <c r="M287" s="308"/>
      <c r="N287" s="308"/>
      <c r="O287" s="308"/>
      <c r="P287" s="308"/>
      <c r="Q287" s="308"/>
      <c r="R287" s="308"/>
      <c r="S287" s="308"/>
      <c r="T287" s="308"/>
      <c r="U287" s="308"/>
      <c r="V287" s="308"/>
      <c r="W287" s="308"/>
      <c r="X287" s="308"/>
      <c r="Y287" s="308"/>
      <c r="Z287" s="308"/>
    </row>
    <row r="288" spans="1:26" ht="14.25" customHeight="1" x14ac:dyDescent="0.3">
      <c r="A288" s="352" t="s">
        <v>701</v>
      </c>
      <c r="B288" s="433" t="s">
        <v>1142</v>
      </c>
      <c r="C288" s="352" t="s">
        <v>1089</v>
      </c>
      <c r="D288" s="519" t="s">
        <v>1088</v>
      </c>
      <c r="E288" s="308">
        <v>21</v>
      </c>
      <c r="F288" s="431">
        <v>45929</v>
      </c>
      <c r="G288" s="308"/>
      <c r="H288" s="435" t="s">
        <v>1083</v>
      </c>
      <c r="I288" s="308">
        <v>4</v>
      </c>
      <c r="J288" s="431">
        <v>45944</v>
      </c>
      <c r="K288" s="308"/>
      <c r="L288" s="308"/>
      <c r="M288" s="308"/>
      <c r="N288" s="308"/>
      <c r="O288" s="308"/>
      <c r="P288" s="308"/>
      <c r="Q288" s="308"/>
      <c r="R288" s="308"/>
      <c r="S288" s="308"/>
      <c r="T288" s="308"/>
      <c r="U288" s="308"/>
      <c r="V288" s="308"/>
      <c r="W288" s="308"/>
      <c r="X288" s="308"/>
      <c r="Y288" s="308"/>
      <c r="Z288" s="308"/>
    </row>
    <row r="289" spans="1:26" ht="14.25" customHeight="1" x14ac:dyDescent="0.3">
      <c r="A289" s="352" t="s">
        <v>703</v>
      </c>
      <c r="B289" s="433" t="s">
        <v>1142</v>
      </c>
      <c r="C289" s="511" t="s">
        <v>1089</v>
      </c>
      <c r="D289" s="442" t="s">
        <v>1088</v>
      </c>
      <c r="E289" s="450">
        <v>13</v>
      </c>
      <c r="F289" s="451">
        <v>45824</v>
      </c>
      <c r="G289" s="428">
        <v>45905</v>
      </c>
      <c r="H289" s="435" t="s">
        <v>1083</v>
      </c>
      <c r="I289" s="427">
        <v>3</v>
      </c>
      <c r="J289" s="428">
        <v>45910</v>
      </c>
      <c r="K289" s="308"/>
      <c r="L289" s="308"/>
      <c r="M289" s="308"/>
      <c r="N289" s="308"/>
      <c r="O289" s="308"/>
      <c r="P289" s="308"/>
      <c r="Q289" s="308"/>
      <c r="R289" s="308"/>
      <c r="S289" s="308"/>
      <c r="T289" s="308"/>
      <c r="U289" s="308"/>
      <c r="V289" s="308"/>
      <c r="W289" s="308"/>
      <c r="X289" s="308"/>
      <c r="Y289" s="308"/>
      <c r="Z289" s="308"/>
    </row>
    <row r="290" spans="1:26" ht="14.25" customHeight="1" x14ac:dyDescent="0.3">
      <c r="A290" s="352" t="s">
        <v>1066</v>
      </c>
      <c r="B290" s="424" t="s">
        <v>1122</v>
      </c>
      <c r="C290" s="425" t="s">
        <v>1089</v>
      </c>
      <c r="D290" s="441" t="s">
        <v>1088</v>
      </c>
      <c r="E290" s="427">
        <v>5</v>
      </c>
      <c r="F290" s="440">
        <v>45817</v>
      </c>
      <c r="G290" s="423" t="s">
        <v>451</v>
      </c>
      <c r="H290" s="461" t="s">
        <v>1128</v>
      </c>
      <c r="I290" s="423" t="s">
        <v>451</v>
      </c>
      <c r="J290" s="423" t="s">
        <v>451</v>
      </c>
      <c r="K290" s="308"/>
      <c r="L290" s="308"/>
      <c r="M290" s="308"/>
      <c r="N290" s="308"/>
      <c r="O290" s="308"/>
      <c r="P290" s="308"/>
      <c r="Q290" s="308"/>
      <c r="R290" s="308"/>
      <c r="S290" s="308"/>
      <c r="T290" s="308"/>
      <c r="U290" s="308"/>
      <c r="V290" s="308"/>
      <c r="W290" s="308"/>
      <c r="X290" s="308"/>
      <c r="Y290" s="308"/>
      <c r="Z290" s="308"/>
    </row>
    <row r="291" spans="1:26" ht="14.25" customHeight="1" x14ac:dyDescent="0.3">
      <c r="A291" s="474" t="s">
        <v>2224</v>
      </c>
      <c r="B291" s="418" t="s">
        <v>1122</v>
      </c>
      <c r="C291" s="447" t="s">
        <v>1144</v>
      </c>
      <c r="D291" s="447" t="s">
        <v>1235</v>
      </c>
      <c r="E291" s="447">
        <v>32</v>
      </c>
      <c r="F291" s="448">
        <v>45987</v>
      </c>
      <c r="G291" s="447"/>
      <c r="H291" s="447" t="s">
        <v>1078</v>
      </c>
      <c r="I291" s="447"/>
      <c r="J291" s="447"/>
      <c r="K291" s="447" t="s">
        <v>1236</v>
      </c>
      <c r="L291" s="308"/>
      <c r="M291" s="308"/>
      <c r="N291" s="308"/>
      <c r="O291" s="308"/>
      <c r="P291" s="308"/>
      <c r="Q291" s="308"/>
      <c r="R291" s="308"/>
      <c r="S291" s="308"/>
      <c r="T291" s="308"/>
      <c r="U291" s="308"/>
      <c r="V291" s="308"/>
      <c r="W291" s="308"/>
      <c r="X291" s="308"/>
      <c r="Y291" s="308"/>
      <c r="Z291" s="308"/>
    </row>
    <row r="292" spans="1:26" ht="14.25" customHeight="1" x14ac:dyDescent="0.3">
      <c r="A292" s="352" t="s">
        <v>2224</v>
      </c>
      <c r="B292" s="424" t="s">
        <v>1122</v>
      </c>
      <c r="C292" s="352" t="s">
        <v>1089</v>
      </c>
      <c r="D292" s="326" t="s">
        <v>1088</v>
      </c>
      <c r="E292" s="423">
        <v>21</v>
      </c>
      <c r="F292" s="428">
        <v>45929</v>
      </c>
      <c r="G292" s="429" t="s">
        <v>451</v>
      </c>
      <c r="H292" s="461" t="s">
        <v>1141</v>
      </c>
      <c r="I292" s="429" t="s">
        <v>451</v>
      </c>
      <c r="J292" s="429" t="s">
        <v>451</v>
      </c>
      <c r="K292" s="308"/>
      <c r="L292" s="308"/>
      <c r="M292" s="308"/>
      <c r="N292" s="308"/>
      <c r="O292" s="308"/>
      <c r="P292" s="308"/>
      <c r="Q292" s="308"/>
      <c r="R292" s="308"/>
      <c r="S292" s="308"/>
      <c r="T292" s="308"/>
      <c r="U292" s="308"/>
      <c r="V292" s="308"/>
      <c r="W292" s="308"/>
      <c r="X292" s="308"/>
      <c r="Y292" s="308"/>
      <c r="Z292" s="308"/>
    </row>
    <row r="293" spans="1:26" ht="14.25" customHeight="1" x14ac:dyDescent="0.3">
      <c r="A293" s="474" t="s">
        <v>2224</v>
      </c>
      <c r="B293" s="460" t="s">
        <v>1142</v>
      </c>
      <c r="C293" s="447" t="s">
        <v>1144</v>
      </c>
      <c r="D293" s="521" t="s">
        <v>1231</v>
      </c>
      <c r="E293" s="447">
        <v>36</v>
      </c>
      <c r="F293" s="448">
        <v>45994</v>
      </c>
      <c r="G293" s="447"/>
      <c r="H293" s="267" t="s">
        <v>1083</v>
      </c>
      <c r="I293" s="447">
        <v>6</v>
      </c>
      <c r="J293" s="447"/>
      <c r="K293" s="447" t="s">
        <v>1232</v>
      </c>
      <c r="L293" s="308"/>
      <c r="M293" s="308"/>
      <c r="N293" s="308"/>
      <c r="O293" s="308"/>
      <c r="P293" s="308"/>
      <c r="Q293" s="308"/>
      <c r="R293" s="308"/>
      <c r="S293" s="308"/>
      <c r="T293" s="308"/>
      <c r="U293" s="308"/>
      <c r="V293" s="308"/>
      <c r="W293" s="308"/>
      <c r="X293" s="308"/>
      <c r="Y293" s="308"/>
      <c r="Z293" s="308"/>
    </row>
    <row r="294" spans="1:26" ht="13.5" customHeight="1" x14ac:dyDescent="0.3">
      <c r="A294" s="474" t="s">
        <v>2225</v>
      </c>
      <c r="B294" s="418" t="s">
        <v>1122</v>
      </c>
      <c r="C294" s="447" t="s">
        <v>1144</v>
      </c>
      <c r="D294" s="447" t="s">
        <v>1235</v>
      </c>
      <c r="E294" s="447">
        <v>32</v>
      </c>
      <c r="F294" s="448">
        <v>45987</v>
      </c>
      <c r="G294" s="447"/>
      <c r="H294" s="447" t="s">
        <v>1078</v>
      </c>
      <c r="I294" s="447"/>
      <c r="J294" s="447"/>
      <c r="K294" s="447" t="s">
        <v>1236</v>
      </c>
      <c r="L294" s="308"/>
      <c r="M294" s="308"/>
      <c r="N294" s="308"/>
      <c r="O294" s="308"/>
      <c r="P294" s="308"/>
      <c r="Q294" s="308"/>
      <c r="R294" s="308"/>
      <c r="S294" s="308"/>
      <c r="T294" s="308"/>
      <c r="U294" s="308"/>
      <c r="V294" s="308"/>
      <c r="W294" s="308"/>
      <c r="X294" s="308"/>
      <c r="Y294" s="308"/>
      <c r="Z294" s="308"/>
    </row>
    <row r="295" spans="1:26" ht="14.25" customHeight="1" x14ac:dyDescent="0.3">
      <c r="A295" s="421" t="s">
        <v>2225</v>
      </c>
      <c r="B295" s="433" t="s">
        <v>1142</v>
      </c>
      <c r="C295" s="308"/>
      <c r="D295" s="308"/>
      <c r="E295" s="308"/>
      <c r="F295" s="308"/>
      <c r="G295" s="308"/>
      <c r="H295" s="308" t="s">
        <v>1143</v>
      </c>
      <c r="I295" s="308">
        <v>4</v>
      </c>
      <c r="J295" s="431">
        <v>45944</v>
      </c>
      <c r="K295" s="308"/>
      <c r="L295" s="308"/>
      <c r="M295" s="308"/>
      <c r="N295" s="308"/>
      <c r="O295" s="308"/>
      <c r="P295" s="308"/>
      <c r="Q295" s="308"/>
      <c r="R295" s="308"/>
      <c r="S295" s="308"/>
      <c r="T295" s="308"/>
      <c r="U295" s="308"/>
      <c r="V295" s="308"/>
      <c r="W295" s="308"/>
      <c r="X295" s="308"/>
      <c r="Y295" s="308"/>
      <c r="Z295" s="308"/>
    </row>
    <row r="296" spans="1:26" ht="14.25" customHeight="1" x14ac:dyDescent="0.3">
      <c r="A296" s="474" t="s">
        <v>2225</v>
      </c>
      <c r="B296" s="460" t="s">
        <v>1142</v>
      </c>
      <c r="C296" s="447" t="s">
        <v>1144</v>
      </c>
      <c r="D296" s="521" t="s">
        <v>1231</v>
      </c>
      <c r="E296" s="447">
        <v>36</v>
      </c>
      <c r="F296" s="448">
        <v>45994</v>
      </c>
      <c r="G296" s="447"/>
      <c r="H296" s="267" t="s">
        <v>1083</v>
      </c>
      <c r="I296" s="447">
        <v>6</v>
      </c>
      <c r="J296" s="447"/>
      <c r="K296" s="447" t="s">
        <v>1232</v>
      </c>
      <c r="L296" s="308"/>
      <c r="M296" s="308"/>
      <c r="N296" s="308"/>
      <c r="O296" s="308"/>
      <c r="P296" s="308"/>
      <c r="Q296" s="308"/>
      <c r="R296" s="308"/>
      <c r="S296" s="308"/>
      <c r="T296" s="308"/>
      <c r="U296" s="308"/>
      <c r="V296" s="308"/>
      <c r="W296" s="308"/>
      <c r="X296" s="308"/>
      <c r="Y296" s="308"/>
      <c r="Z296" s="308"/>
    </row>
    <row r="297" spans="1:26" ht="14.25" customHeight="1" x14ac:dyDescent="0.3">
      <c r="A297" s="474" t="s">
        <v>2165</v>
      </c>
      <c r="B297" s="418" t="s">
        <v>1122</v>
      </c>
      <c r="C297" s="447" t="s">
        <v>1144</v>
      </c>
      <c r="D297" s="447" t="s">
        <v>1235</v>
      </c>
      <c r="E297" s="447">
        <v>32</v>
      </c>
      <c r="F297" s="448">
        <v>45987</v>
      </c>
      <c r="G297" s="447"/>
      <c r="H297" s="447" t="s">
        <v>1078</v>
      </c>
      <c r="I297" s="447"/>
      <c r="J297" s="447"/>
      <c r="K297" s="447" t="s">
        <v>1236</v>
      </c>
      <c r="L297" s="308"/>
      <c r="M297" s="308"/>
      <c r="N297" s="308"/>
      <c r="O297" s="308"/>
      <c r="P297" s="308"/>
      <c r="Q297" s="308"/>
      <c r="R297" s="308"/>
      <c r="S297" s="308"/>
      <c r="T297" s="308"/>
      <c r="U297" s="308"/>
      <c r="V297" s="308"/>
      <c r="W297" s="308"/>
      <c r="X297" s="308"/>
      <c r="Y297" s="308"/>
      <c r="Z297" s="308"/>
    </row>
    <row r="298" spans="1:26" ht="14.25" customHeight="1" x14ac:dyDescent="0.3">
      <c r="A298" s="352" t="s">
        <v>2165</v>
      </c>
      <c r="B298" s="433" t="s">
        <v>1142</v>
      </c>
      <c r="C298" s="511" t="s">
        <v>1089</v>
      </c>
      <c r="D298" s="442" t="s">
        <v>1088</v>
      </c>
      <c r="E298" s="450">
        <v>8</v>
      </c>
      <c r="F298" s="451">
        <v>45824</v>
      </c>
      <c r="G298" s="428">
        <v>45905</v>
      </c>
      <c r="H298" s="435" t="s">
        <v>1083</v>
      </c>
      <c r="I298" s="427">
        <v>3</v>
      </c>
      <c r="J298" s="428">
        <v>45910</v>
      </c>
      <c r="K298" s="308"/>
      <c r="L298" s="308"/>
      <c r="M298" s="308"/>
      <c r="N298" s="308"/>
      <c r="O298" s="308"/>
      <c r="P298" s="308"/>
      <c r="Q298" s="308"/>
      <c r="R298" s="308"/>
      <c r="S298" s="308"/>
      <c r="T298" s="308"/>
      <c r="U298" s="308"/>
      <c r="V298" s="308"/>
      <c r="W298" s="308"/>
      <c r="X298" s="308"/>
      <c r="Y298" s="308"/>
      <c r="Z298" s="308"/>
    </row>
    <row r="299" spans="1:26" ht="14.25" customHeight="1" x14ac:dyDescent="0.3">
      <c r="A299" s="475" t="s">
        <v>2165</v>
      </c>
      <c r="B299" s="424" t="s">
        <v>1122</v>
      </c>
      <c r="C299" s="352" t="s">
        <v>1089</v>
      </c>
      <c r="D299" s="326" t="s">
        <v>1088</v>
      </c>
      <c r="E299" s="423">
        <v>21</v>
      </c>
      <c r="F299" s="428">
        <v>45929</v>
      </c>
      <c r="G299" s="429" t="s">
        <v>451</v>
      </c>
      <c r="H299" s="428" t="s">
        <v>1078</v>
      </c>
      <c r="I299" s="429" t="s">
        <v>451</v>
      </c>
      <c r="J299" s="429" t="s">
        <v>451</v>
      </c>
      <c r="K299" s="308"/>
      <c r="L299" s="308"/>
      <c r="M299" s="308"/>
      <c r="N299" s="308"/>
      <c r="O299" s="308"/>
      <c r="P299" s="308"/>
      <c r="Q299" s="308"/>
      <c r="R299" s="308"/>
      <c r="S299" s="308"/>
      <c r="T299" s="308"/>
      <c r="U299" s="308"/>
      <c r="V299" s="308"/>
      <c r="W299" s="308"/>
      <c r="X299" s="308"/>
      <c r="Y299" s="308"/>
      <c r="Z299" s="308"/>
    </row>
    <row r="300" spans="1:26" ht="14.25" customHeight="1" x14ac:dyDescent="0.3">
      <c r="A300" s="474" t="s">
        <v>2165</v>
      </c>
      <c r="B300" s="460" t="s">
        <v>1142</v>
      </c>
      <c r="C300" s="447" t="s">
        <v>1144</v>
      </c>
      <c r="D300" s="521" t="s">
        <v>1231</v>
      </c>
      <c r="E300" s="447">
        <v>36</v>
      </c>
      <c r="F300" s="448">
        <v>45994</v>
      </c>
      <c r="G300" s="447"/>
      <c r="H300" s="267" t="s">
        <v>1083</v>
      </c>
      <c r="I300" s="447">
        <v>6</v>
      </c>
      <c r="J300" s="447"/>
      <c r="K300" s="447" t="s">
        <v>1232</v>
      </c>
      <c r="L300" s="308"/>
      <c r="M300" s="308"/>
      <c r="N300" s="308"/>
      <c r="O300" s="308"/>
      <c r="P300" s="308"/>
      <c r="Q300" s="308"/>
      <c r="R300" s="308"/>
      <c r="S300" s="308"/>
      <c r="T300" s="308"/>
      <c r="U300" s="308"/>
      <c r="V300" s="308"/>
      <c r="W300" s="308"/>
      <c r="X300" s="308"/>
      <c r="Y300" s="308"/>
      <c r="Z300" s="308"/>
    </row>
    <row r="301" spans="1:26" ht="14.25" customHeight="1" x14ac:dyDescent="0.3">
      <c r="A301" s="474" t="s">
        <v>713</v>
      </c>
      <c r="B301" s="418" t="s">
        <v>1122</v>
      </c>
      <c r="C301" s="447" t="s">
        <v>1144</v>
      </c>
      <c r="D301" s="447" t="s">
        <v>1235</v>
      </c>
      <c r="E301" s="447">
        <v>32</v>
      </c>
      <c r="F301" s="448">
        <v>45987</v>
      </c>
      <c r="G301" s="447"/>
      <c r="H301" s="447" t="s">
        <v>1078</v>
      </c>
      <c r="I301" s="447"/>
      <c r="J301" s="447"/>
      <c r="K301" s="447" t="s">
        <v>1236</v>
      </c>
      <c r="L301" s="308"/>
      <c r="M301" s="308"/>
      <c r="N301" s="308"/>
      <c r="O301" s="308"/>
      <c r="P301" s="308"/>
      <c r="Q301" s="308"/>
      <c r="R301" s="308"/>
      <c r="S301" s="308"/>
      <c r="T301" s="308"/>
      <c r="U301" s="308"/>
      <c r="V301" s="308"/>
      <c r="W301" s="308"/>
      <c r="X301" s="308"/>
      <c r="Y301" s="308"/>
      <c r="Z301" s="308"/>
    </row>
    <row r="302" spans="1:26" ht="14.25" customHeight="1" x14ac:dyDescent="0.3">
      <c r="A302" s="475" t="s">
        <v>713</v>
      </c>
      <c r="B302" s="424" t="s">
        <v>1122</v>
      </c>
      <c r="C302" s="352" t="s">
        <v>1089</v>
      </c>
      <c r="D302" s="326" t="s">
        <v>1088</v>
      </c>
      <c r="E302" s="423">
        <v>21</v>
      </c>
      <c r="F302" s="428">
        <v>45929</v>
      </c>
      <c r="G302" s="423" t="s">
        <v>451</v>
      </c>
      <c r="H302" s="443" t="s">
        <v>1090</v>
      </c>
      <c r="I302" s="423" t="s">
        <v>451</v>
      </c>
      <c r="J302" s="423" t="s">
        <v>451</v>
      </c>
      <c r="K302" s="308"/>
      <c r="L302" s="308"/>
      <c r="M302" s="308"/>
      <c r="N302" s="308"/>
      <c r="O302" s="308"/>
      <c r="P302" s="308"/>
      <c r="Q302" s="308"/>
      <c r="R302" s="308"/>
      <c r="S302" s="308"/>
      <c r="T302" s="308"/>
      <c r="U302" s="308"/>
      <c r="V302" s="308"/>
      <c r="W302" s="308"/>
      <c r="X302" s="308"/>
      <c r="Y302" s="308"/>
      <c r="Z302" s="308"/>
    </row>
    <row r="303" spans="1:26" ht="14.25" customHeight="1" x14ac:dyDescent="0.3">
      <c r="A303" s="352" t="s">
        <v>1058</v>
      </c>
      <c r="B303" s="424" t="s">
        <v>1122</v>
      </c>
      <c r="C303" s="425" t="s">
        <v>1089</v>
      </c>
      <c r="D303" s="441" t="s">
        <v>1088</v>
      </c>
      <c r="E303" s="450">
        <v>13</v>
      </c>
      <c r="F303" s="451">
        <v>45824</v>
      </c>
      <c r="G303" s="429" t="s">
        <v>451</v>
      </c>
      <c r="H303" s="428" t="s">
        <v>1078</v>
      </c>
      <c r="I303" s="429" t="s">
        <v>451</v>
      </c>
      <c r="J303" s="429" t="s">
        <v>451</v>
      </c>
      <c r="K303" s="308"/>
      <c r="L303" s="308"/>
      <c r="M303" s="308"/>
      <c r="N303" s="308"/>
      <c r="O303" s="308"/>
      <c r="P303" s="308"/>
      <c r="Q303" s="308"/>
      <c r="R303" s="308"/>
      <c r="S303" s="308"/>
      <c r="T303" s="308"/>
      <c r="U303" s="308"/>
      <c r="V303" s="308"/>
      <c r="W303" s="308"/>
      <c r="X303" s="308"/>
      <c r="Y303" s="308"/>
      <c r="Z303" s="308"/>
    </row>
    <row r="304" spans="1:26" ht="14.25" customHeight="1" x14ac:dyDescent="0.3">
      <c r="A304" s="352" t="s">
        <v>1058</v>
      </c>
      <c r="B304" s="424" t="s">
        <v>1122</v>
      </c>
      <c r="C304" s="425" t="s">
        <v>1089</v>
      </c>
      <c r="D304" s="441" t="s">
        <v>1088</v>
      </c>
      <c r="E304" s="450">
        <v>8</v>
      </c>
      <c r="F304" s="451">
        <v>45824</v>
      </c>
      <c r="G304" s="429" t="s">
        <v>451</v>
      </c>
      <c r="H304" s="428" t="s">
        <v>1078</v>
      </c>
      <c r="I304" s="429" t="s">
        <v>451</v>
      </c>
      <c r="J304" s="429" t="s">
        <v>451</v>
      </c>
      <c r="K304" s="308"/>
      <c r="L304" s="308"/>
      <c r="M304" s="308"/>
      <c r="N304" s="308"/>
      <c r="O304" s="308"/>
      <c r="P304" s="308"/>
      <c r="Q304" s="308"/>
      <c r="R304" s="308"/>
      <c r="S304" s="308"/>
      <c r="T304" s="308"/>
      <c r="U304" s="308"/>
      <c r="V304" s="308"/>
      <c r="W304" s="308"/>
      <c r="X304" s="308"/>
      <c r="Y304" s="308"/>
      <c r="Z304" s="308"/>
    </row>
    <row r="305" spans="1:26" ht="14.25" customHeight="1" x14ac:dyDescent="0.3">
      <c r="A305" s="352" t="s">
        <v>1058</v>
      </c>
      <c r="B305" s="433" t="s">
        <v>1142</v>
      </c>
      <c r="C305" s="511" t="s">
        <v>1089</v>
      </c>
      <c r="D305" s="518" t="s">
        <v>1088</v>
      </c>
      <c r="E305" s="445">
        <v>23</v>
      </c>
      <c r="F305" s="464">
        <v>45938</v>
      </c>
      <c r="G305" s="267"/>
      <c r="H305" s="267" t="s">
        <v>1083</v>
      </c>
      <c r="I305" s="267">
        <v>7</v>
      </c>
      <c r="J305" s="267"/>
      <c r="K305" s="267"/>
      <c r="L305" s="308"/>
      <c r="M305" s="308"/>
      <c r="N305" s="308"/>
      <c r="O305" s="308"/>
      <c r="P305" s="308"/>
      <c r="Q305" s="308"/>
      <c r="R305" s="308"/>
      <c r="S305" s="308"/>
      <c r="T305" s="308"/>
      <c r="U305" s="308"/>
      <c r="V305" s="308"/>
      <c r="W305" s="308"/>
      <c r="X305" s="308"/>
      <c r="Y305" s="308"/>
      <c r="Z305" s="308"/>
    </row>
    <row r="306" spans="1:26" ht="14.25" customHeight="1" x14ac:dyDescent="0.3">
      <c r="A306" s="352" t="s">
        <v>717</v>
      </c>
      <c r="B306" s="433" t="s">
        <v>1142</v>
      </c>
      <c r="C306" s="511" t="s">
        <v>1089</v>
      </c>
      <c r="D306" s="442" t="s">
        <v>1088</v>
      </c>
      <c r="E306" s="450">
        <v>13</v>
      </c>
      <c r="F306" s="451">
        <v>45824</v>
      </c>
      <c r="G306" s="428">
        <v>45905</v>
      </c>
      <c r="H306" s="435" t="s">
        <v>1083</v>
      </c>
      <c r="I306" s="427">
        <v>3</v>
      </c>
      <c r="J306" s="428">
        <v>45910</v>
      </c>
      <c r="K306" s="308"/>
      <c r="L306" s="308"/>
      <c r="M306" s="308"/>
      <c r="N306" s="308"/>
      <c r="O306" s="308"/>
      <c r="P306" s="308"/>
      <c r="Q306" s="308"/>
      <c r="R306" s="308"/>
      <c r="S306" s="308"/>
      <c r="T306" s="308"/>
      <c r="U306" s="308"/>
      <c r="V306" s="308"/>
      <c r="W306" s="308"/>
      <c r="X306" s="308"/>
      <c r="Y306" s="308"/>
      <c r="Z306" s="308"/>
    </row>
    <row r="307" spans="1:26" ht="14.25" customHeight="1" x14ac:dyDescent="0.3">
      <c r="A307" s="474" t="s">
        <v>2226</v>
      </c>
      <c r="B307" s="418" t="s">
        <v>1122</v>
      </c>
      <c r="C307" s="447" t="s">
        <v>1144</v>
      </c>
      <c r="D307" s="447" t="s">
        <v>1235</v>
      </c>
      <c r="E307" s="447">
        <v>32</v>
      </c>
      <c r="F307" s="448">
        <v>45987</v>
      </c>
      <c r="G307" s="447"/>
      <c r="H307" s="447" t="s">
        <v>1128</v>
      </c>
      <c r="I307" s="447"/>
      <c r="J307" s="447"/>
      <c r="K307" s="447" t="s">
        <v>1236</v>
      </c>
      <c r="L307" s="308"/>
      <c r="M307" s="308"/>
      <c r="N307" s="308"/>
      <c r="O307" s="308"/>
      <c r="P307" s="308"/>
      <c r="Q307" s="308"/>
      <c r="R307" s="308"/>
      <c r="S307" s="308"/>
      <c r="T307" s="308"/>
      <c r="U307" s="308"/>
      <c r="V307" s="308"/>
      <c r="W307" s="308"/>
      <c r="X307" s="308"/>
      <c r="Y307" s="308"/>
      <c r="Z307" s="308"/>
    </row>
    <row r="308" spans="1:26" ht="14.25" customHeight="1" x14ac:dyDescent="0.3">
      <c r="A308" s="474" t="s">
        <v>2226</v>
      </c>
      <c r="B308" s="460" t="s">
        <v>1142</v>
      </c>
      <c r="C308" s="447" t="s">
        <v>1144</v>
      </c>
      <c r="D308" s="521" t="s">
        <v>1231</v>
      </c>
      <c r="E308" s="447">
        <v>36</v>
      </c>
      <c r="F308" s="448">
        <v>45994</v>
      </c>
      <c r="G308" s="447"/>
      <c r="H308" s="267" t="s">
        <v>1083</v>
      </c>
      <c r="I308" s="447">
        <v>6</v>
      </c>
      <c r="J308" s="447"/>
      <c r="K308" s="447" t="s">
        <v>1232</v>
      </c>
      <c r="L308" s="308"/>
      <c r="M308" s="308"/>
      <c r="N308" s="308"/>
      <c r="O308" s="308"/>
      <c r="P308" s="308"/>
      <c r="Q308" s="308"/>
      <c r="R308" s="308"/>
      <c r="S308" s="308"/>
      <c r="T308" s="308"/>
      <c r="U308" s="308"/>
      <c r="V308" s="308"/>
      <c r="W308" s="308"/>
      <c r="X308" s="308"/>
      <c r="Y308" s="308"/>
      <c r="Z308" s="308"/>
    </row>
    <row r="309" spans="1:26" ht="14.25" customHeight="1" x14ac:dyDescent="0.3">
      <c r="A309" s="352" t="s">
        <v>1145</v>
      </c>
      <c r="B309" s="424" t="s">
        <v>1122</v>
      </c>
      <c r="C309" s="425" t="s">
        <v>1089</v>
      </c>
      <c r="D309" s="441" t="s">
        <v>1088</v>
      </c>
      <c r="E309" s="427">
        <v>5</v>
      </c>
      <c r="F309" s="440">
        <v>45817</v>
      </c>
      <c r="G309" s="423" t="s">
        <v>451</v>
      </c>
      <c r="H309" s="428" t="s">
        <v>1078</v>
      </c>
      <c r="I309" s="423" t="s">
        <v>451</v>
      </c>
      <c r="J309" s="423" t="s">
        <v>451</v>
      </c>
      <c r="K309" s="308"/>
      <c r="L309" s="308"/>
      <c r="M309" s="308"/>
      <c r="N309" s="308"/>
      <c r="O309" s="308"/>
      <c r="P309" s="308"/>
      <c r="Q309" s="308"/>
      <c r="R309" s="308"/>
      <c r="S309" s="308"/>
      <c r="T309" s="308"/>
      <c r="U309" s="308"/>
      <c r="V309" s="308"/>
      <c r="W309" s="308"/>
      <c r="X309" s="308"/>
      <c r="Y309" s="308"/>
      <c r="Z309" s="308"/>
    </row>
    <row r="310" spans="1:26" ht="14.25" customHeight="1" x14ac:dyDescent="0.3">
      <c r="A310" s="352" t="s">
        <v>1145</v>
      </c>
      <c r="B310" s="433" t="s">
        <v>1142</v>
      </c>
      <c r="C310" s="352" t="s">
        <v>1089</v>
      </c>
      <c r="D310" s="515" t="s">
        <v>1088</v>
      </c>
      <c r="E310" s="308">
        <v>23</v>
      </c>
      <c r="F310" s="431">
        <v>45938</v>
      </c>
      <c r="G310" s="308"/>
      <c r="H310" s="435" t="s">
        <v>1083</v>
      </c>
      <c r="I310" s="308">
        <v>4</v>
      </c>
      <c r="J310" s="431">
        <v>45944</v>
      </c>
      <c r="K310" s="308"/>
      <c r="L310" s="308"/>
      <c r="M310" s="308"/>
      <c r="N310" s="308"/>
      <c r="O310" s="308"/>
      <c r="P310" s="308"/>
      <c r="Q310" s="308"/>
      <c r="R310" s="308"/>
      <c r="S310" s="308"/>
      <c r="T310" s="308"/>
      <c r="U310" s="308"/>
      <c r="V310" s="308"/>
      <c r="W310" s="308"/>
      <c r="X310" s="308"/>
      <c r="Y310" s="308"/>
      <c r="Z310" s="308"/>
    </row>
    <row r="311" spans="1:26" ht="14.25" customHeight="1" x14ac:dyDescent="0.3">
      <c r="A311" s="352" t="s">
        <v>2240</v>
      </c>
      <c r="B311" s="433" t="s">
        <v>1142</v>
      </c>
      <c r="C311" s="511" t="s">
        <v>1089</v>
      </c>
      <c r="D311" s="442" t="s">
        <v>1088</v>
      </c>
      <c r="E311" s="425"/>
      <c r="F311" s="440">
        <v>45817</v>
      </c>
      <c r="G311" s="423" t="s">
        <v>451</v>
      </c>
      <c r="H311" s="435" t="s">
        <v>1083</v>
      </c>
      <c r="I311" s="439">
        <v>1</v>
      </c>
      <c r="J311" s="428">
        <v>45824</v>
      </c>
      <c r="K311" s="308"/>
      <c r="L311" s="308"/>
      <c r="M311" s="308"/>
      <c r="N311" s="308"/>
      <c r="O311" s="308"/>
      <c r="P311" s="308"/>
      <c r="Q311" s="308"/>
      <c r="R311" s="308"/>
      <c r="S311" s="308"/>
      <c r="T311" s="308"/>
      <c r="U311" s="308"/>
      <c r="V311" s="308"/>
      <c r="W311" s="308"/>
      <c r="X311" s="308"/>
      <c r="Y311" s="308"/>
      <c r="Z311" s="308"/>
    </row>
    <row r="312" spans="1:26" ht="14.25" customHeight="1" x14ac:dyDescent="0.3">
      <c r="A312" s="474" t="s">
        <v>2227</v>
      </c>
      <c r="B312" s="418" t="s">
        <v>1122</v>
      </c>
      <c r="C312" s="447" t="s">
        <v>1144</v>
      </c>
      <c r="D312" s="447" t="s">
        <v>1235</v>
      </c>
      <c r="E312" s="447">
        <v>32</v>
      </c>
      <c r="F312" s="448">
        <v>45987</v>
      </c>
      <c r="G312" s="447"/>
      <c r="H312" s="447" t="s">
        <v>1128</v>
      </c>
      <c r="I312" s="447"/>
      <c r="J312" s="447"/>
      <c r="K312" s="447" t="s">
        <v>1236</v>
      </c>
      <c r="L312" s="308"/>
      <c r="M312" s="308"/>
      <c r="N312" s="308"/>
      <c r="O312" s="308"/>
      <c r="P312" s="308"/>
      <c r="Q312" s="308"/>
      <c r="R312" s="308"/>
      <c r="S312" s="308"/>
      <c r="T312" s="308"/>
      <c r="U312" s="308"/>
      <c r="V312" s="308"/>
      <c r="W312" s="308"/>
      <c r="X312" s="308"/>
      <c r="Y312" s="308"/>
      <c r="Z312" s="308"/>
    </row>
    <row r="313" spans="1:26" ht="14.25" customHeight="1" x14ac:dyDescent="0.3">
      <c r="A313" s="352" t="s">
        <v>2227</v>
      </c>
      <c r="B313" s="433" t="s">
        <v>1142</v>
      </c>
      <c r="C313" s="352" t="s">
        <v>1089</v>
      </c>
      <c r="D313" s="519" t="s">
        <v>1088</v>
      </c>
      <c r="E313" s="308">
        <v>21</v>
      </c>
      <c r="F313" s="431">
        <v>45929</v>
      </c>
      <c r="G313" s="308"/>
      <c r="H313" s="435" t="s">
        <v>1083</v>
      </c>
      <c r="I313" s="308">
        <v>4</v>
      </c>
      <c r="J313" s="431">
        <v>45944</v>
      </c>
      <c r="K313" s="308"/>
      <c r="L313" s="308"/>
      <c r="M313" s="308"/>
      <c r="N313" s="308"/>
      <c r="O313" s="308"/>
      <c r="P313" s="308"/>
      <c r="Q313" s="308"/>
      <c r="R313" s="308"/>
      <c r="S313" s="308"/>
      <c r="T313" s="308"/>
      <c r="U313" s="308"/>
      <c r="V313" s="308"/>
      <c r="W313" s="308"/>
      <c r="X313" s="308"/>
      <c r="Y313" s="308"/>
      <c r="Z313" s="308"/>
    </row>
    <row r="314" spans="1:26" ht="17.25" customHeight="1" x14ac:dyDescent="0.3">
      <c r="A314" s="474" t="s">
        <v>2227</v>
      </c>
      <c r="B314" s="460" t="s">
        <v>1142</v>
      </c>
      <c r="C314" s="447" t="s">
        <v>1144</v>
      </c>
      <c r="D314" s="521" t="s">
        <v>1231</v>
      </c>
      <c r="E314" s="447">
        <v>36</v>
      </c>
      <c r="F314" s="448">
        <v>45994</v>
      </c>
      <c r="G314" s="447"/>
      <c r="H314" s="267" t="s">
        <v>1083</v>
      </c>
      <c r="I314" s="447">
        <v>6</v>
      </c>
      <c r="J314" s="447"/>
      <c r="K314" s="447" t="s">
        <v>1232</v>
      </c>
      <c r="L314" s="308"/>
      <c r="M314" s="308"/>
      <c r="N314" s="308"/>
      <c r="O314" s="308"/>
      <c r="P314" s="308"/>
      <c r="Q314" s="308"/>
      <c r="R314" s="308"/>
      <c r="S314" s="308"/>
      <c r="T314" s="308"/>
      <c r="U314" s="308"/>
      <c r="V314" s="308"/>
      <c r="W314" s="308"/>
      <c r="X314" s="308"/>
      <c r="Y314" s="308"/>
      <c r="Z314" s="308"/>
    </row>
    <row r="315" spans="1:26" ht="14.25" customHeight="1" x14ac:dyDescent="0.3">
      <c r="A315" s="352" t="s">
        <v>1067</v>
      </c>
      <c r="B315" s="424" t="s">
        <v>1122</v>
      </c>
      <c r="C315" s="425" t="s">
        <v>1089</v>
      </c>
      <c r="D315" s="441" t="s">
        <v>1088</v>
      </c>
      <c r="E315" s="427">
        <v>5</v>
      </c>
      <c r="F315" s="440">
        <v>45817</v>
      </c>
      <c r="G315" s="429" t="s">
        <v>451</v>
      </c>
      <c r="H315" s="428" t="s">
        <v>1078</v>
      </c>
      <c r="I315" s="429" t="s">
        <v>451</v>
      </c>
      <c r="J315" s="429" t="s">
        <v>451</v>
      </c>
      <c r="K315" s="308"/>
      <c r="L315" s="308"/>
      <c r="M315" s="308"/>
      <c r="N315" s="308"/>
      <c r="O315" s="308"/>
      <c r="P315" s="308"/>
      <c r="Q315" s="308"/>
      <c r="R315" s="308"/>
      <c r="S315" s="308"/>
      <c r="T315" s="308"/>
      <c r="U315" s="308"/>
      <c r="V315" s="308"/>
      <c r="W315" s="308"/>
      <c r="X315" s="308"/>
      <c r="Y315" s="308"/>
      <c r="Z315" s="308"/>
    </row>
    <row r="316" spans="1:26" ht="14.25" customHeight="1" x14ac:dyDescent="0.3">
      <c r="A316" s="352" t="s">
        <v>1067</v>
      </c>
      <c r="B316" s="433" t="s">
        <v>1142</v>
      </c>
      <c r="C316" s="511" t="s">
        <v>1089</v>
      </c>
      <c r="D316" s="518" t="s">
        <v>1088</v>
      </c>
      <c r="E316" s="423">
        <v>23</v>
      </c>
      <c r="F316" s="428">
        <v>45938</v>
      </c>
      <c r="G316" s="308"/>
      <c r="H316" s="267" t="s">
        <v>1083</v>
      </c>
      <c r="I316" s="308">
        <v>6</v>
      </c>
      <c r="J316" s="308"/>
      <c r="K316" s="308"/>
      <c r="L316" s="308"/>
      <c r="M316" s="308"/>
      <c r="N316" s="308"/>
      <c r="O316" s="308"/>
      <c r="P316" s="308"/>
      <c r="Q316" s="308"/>
      <c r="R316" s="308"/>
      <c r="S316" s="308"/>
      <c r="T316" s="308"/>
      <c r="U316" s="308"/>
      <c r="V316" s="308"/>
      <c r="W316" s="308"/>
      <c r="X316" s="308"/>
      <c r="Y316" s="308"/>
      <c r="Z316" s="308"/>
    </row>
    <row r="317" spans="1:26" ht="14.25" customHeight="1" x14ac:dyDescent="0.3">
      <c r="A317" s="474" t="s">
        <v>724</v>
      </c>
      <c r="B317" s="418" t="s">
        <v>1122</v>
      </c>
      <c r="C317" s="447" t="s">
        <v>1144</v>
      </c>
      <c r="D317" s="447" t="s">
        <v>1235</v>
      </c>
      <c r="E317" s="447">
        <v>32</v>
      </c>
      <c r="F317" s="448">
        <v>45987</v>
      </c>
      <c r="G317" s="447"/>
      <c r="H317" s="447" t="s">
        <v>1250</v>
      </c>
      <c r="I317" s="447"/>
      <c r="J317" s="447"/>
      <c r="K317" s="447" t="s">
        <v>1236</v>
      </c>
      <c r="L317" s="308"/>
      <c r="M317" s="308"/>
      <c r="N317" s="308"/>
      <c r="O317" s="308"/>
      <c r="P317" s="308"/>
      <c r="Q317" s="308"/>
      <c r="R317" s="308"/>
      <c r="S317" s="308"/>
      <c r="T317" s="308"/>
      <c r="U317" s="308"/>
      <c r="V317" s="308"/>
      <c r="W317" s="308"/>
      <c r="X317" s="308"/>
      <c r="Y317" s="308"/>
      <c r="Z317" s="308"/>
    </row>
    <row r="318" spans="1:26" ht="14.25" customHeight="1" x14ac:dyDescent="0.3">
      <c r="A318" s="474" t="s">
        <v>724</v>
      </c>
      <c r="B318" s="268" t="s">
        <v>1122</v>
      </c>
      <c r="C318" s="447"/>
      <c r="D318" s="447" t="s">
        <v>1231</v>
      </c>
      <c r="E318" s="447">
        <v>36</v>
      </c>
      <c r="F318" s="448">
        <v>45994</v>
      </c>
      <c r="G318" s="447"/>
      <c r="H318" s="447" t="s">
        <v>1128</v>
      </c>
      <c r="I318" s="447"/>
      <c r="J318" s="447"/>
      <c r="K318" s="447" t="s">
        <v>1232</v>
      </c>
      <c r="L318" s="308"/>
      <c r="M318" s="308"/>
      <c r="N318" s="308"/>
      <c r="O318" s="308"/>
      <c r="P318" s="308"/>
      <c r="Q318" s="308"/>
      <c r="R318" s="308"/>
      <c r="S318" s="308"/>
      <c r="T318" s="308"/>
      <c r="U318" s="308"/>
      <c r="V318" s="308"/>
      <c r="W318" s="308"/>
      <c r="X318" s="308"/>
      <c r="Y318" s="308"/>
      <c r="Z318" s="308"/>
    </row>
    <row r="319" spans="1:26" ht="14.25" customHeight="1" x14ac:dyDescent="0.3">
      <c r="A319" s="352" t="s">
        <v>724</v>
      </c>
      <c r="B319" s="424" t="s">
        <v>1122</v>
      </c>
      <c r="C319" s="352" t="s">
        <v>1089</v>
      </c>
      <c r="D319" s="326" t="s">
        <v>1088</v>
      </c>
      <c r="E319" s="423">
        <v>21</v>
      </c>
      <c r="F319" s="428">
        <v>45929</v>
      </c>
      <c r="G319" s="429" t="s">
        <v>451</v>
      </c>
      <c r="H319" s="462" t="s">
        <v>1131</v>
      </c>
      <c r="I319" s="429" t="s">
        <v>451</v>
      </c>
      <c r="J319" s="429" t="s">
        <v>451</v>
      </c>
      <c r="K319" s="308"/>
      <c r="L319" s="308"/>
      <c r="M319" s="308"/>
      <c r="N319" s="308"/>
      <c r="O319" s="308"/>
      <c r="P319" s="308"/>
      <c r="Q319" s="308"/>
      <c r="R319" s="308"/>
      <c r="S319" s="308"/>
      <c r="T319" s="308"/>
      <c r="U319" s="308"/>
      <c r="V319" s="308"/>
      <c r="W319" s="308"/>
      <c r="X319" s="308"/>
      <c r="Y319" s="308"/>
      <c r="Z319" s="308"/>
    </row>
    <row r="320" spans="1:26" ht="14.25" customHeight="1" x14ac:dyDescent="0.3">
      <c r="A320" s="352" t="s">
        <v>1937</v>
      </c>
      <c r="B320" s="433" t="s">
        <v>1142</v>
      </c>
      <c r="C320" s="511" t="s">
        <v>1089</v>
      </c>
      <c r="D320" s="517" t="s">
        <v>1088</v>
      </c>
      <c r="E320" s="423">
        <v>21</v>
      </c>
      <c r="F320" s="428">
        <v>45929</v>
      </c>
      <c r="G320" s="429"/>
      <c r="H320" s="443" t="s">
        <v>1090</v>
      </c>
      <c r="I320" s="308"/>
      <c r="J320" s="429"/>
      <c r="K320" s="308"/>
      <c r="L320" s="308"/>
      <c r="M320" s="308"/>
      <c r="N320" s="308"/>
      <c r="O320" s="308"/>
      <c r="P320" s="308"/>
      <c r="Q320" s="308"/>
      <c r="R320" s="308"/>
      <c r="S320" s="308"/>
      <c r="T320" s="308"/>
      <c r="U320" s="308"/>
      <c r="V320" s="308"/>
      <c r="W320" s="308"/>
      <c r="X320" s="308"/>
      <c r="Y320" s="308"/>
      <c r="Z320" s="308"/>
    </row>
    <row r="321" spans="1:26" ht="14.25" customHeight="1" x14ac:dyDescent="0.3">
      <c r="A321" s="352" t="s">
        <v>2195</v>
      </c>
      <c r="B321" s="433" t="s">
        <v>1142</v>
      </c>
      <c r="C321" s="511" t="s">
        <v>1089</v>
      </c>
      <c r="D321" s="442" t="s">
        <v>1088</v>
      </c>
      <c r="E321" s="450">
        <v>13</v>
      </c>
      <c r="F321" s="451">
        <v>45824</v>
      </c>
      <c r="G321" s="428">
        <v>45905</v>
      </c>
      <c r="H321" s="443" t="s">
        <v>1090</v>
      </c>
      <c r="I321" s="308"/>
      <c r="J321" s="308"/>
      <c r="K321" s="308"/>
      <c r="L321" s="308"/>
      <c r="M321" s="308"/>
      <c r="N321" s="308"/>
      <c r="O321" s="308"/>
      <c r="P321" s="308"/>
      <c r="Q321" s="308"/>
      <c r="R321" s="308"/>
      <c r="S321" s="308"/>
      <c r="T321" s="308"/>
      <c r="U321" s="308"/>
      <c r="V321" s="308"/>
      <c r="W321" s="308"/>
      <c r="X321" s="308"/>
      <c r="Y321" s="308"/>
      <c r="Z321" s="308"/>
    </row>
    <row r="322" spans="1:26" ht="14.25" customHeight="1" x14ac:dyDescent="0.3">
      <c r="A322" s="352" t="s">
        <v>731</v>
      </c>
      <c r="B322" s="424" t="s">
        <v>1122</v>
      </c>
      <c r="C322" s="352" t="s">
        <v>1089</v>
      </c>
      <c r="D322" s="326" t="s">
        <v>1088</v>
      </c>
      <c r="E322" s="423">
        <v>21</v>
      </c>
      <c r="F322" s="428">
        <v>45929</v>
      </c>
      <c r="G322" s="423" t="s">
        <v>451</v>
      </c>
      <c r="H322" s="462" t="s">
        <v>1141</v>
      </c>
      <c r="I322" s="423" t="s">
        <v>451</v>
      </c>
      <c r="J322" s="423" t="s">
        <v>451</v>
      </c>
      <c r="K322" s="308"/>
      <c r="L322" s="308"/>
      <c r="M322" s="308"/>
      <c r="N322" s="308"/>
      <c r="O322" s="308"/>
      <c r="P322" s="308"/>
      <c r="Q322" s="308"/>
      <c r="R322" s="308"/>
      <c r="S322" s="308"/>
      <c r="T322" s="308"/>
      <c r="U322" s="308"/>
      <c r="V322" s="308"/>
      <c r="W322" s="308"/>
      <c r="X322" s="308"/>
      <c r="Y322" s="308"/>
      <c r="Z322" s="308"/>
    </row>
    <row r="323" spans="1:26" ht="14.25" customHeight="1" x14ac:dyDescent="0.3">
      <c r="A323" s="474" t="s">
        <v>2228</v>
      </c>
      <c r="B323" s="418" t="s">
        <v>1122</v>
      </c>
      <c r="C323" s="447" t="s">
        <v>1144</v>
      </c>
      <c r="D323" s="447" t="s">
        <v>1235</v>
      </c>
      <c r="E323" s="447">
        <v>32</v>
      </c>
      <c r="F323" s="448">
        <v>45987</v>
      </c>
      <c r="G323" s="447"/>
      <c r="H323" s="447" t="s">
        <v>1078</v>
      </c>
      <c r="I323" s="447"/>
      <c r="J323" s="447"/>
      <c r="K323" s="447" t="s">
        <v>1236</v>
      </c>
      <c r="L323" s="308"/>
      <c r="M323" s="308"/>
      <c r="N323" s="308"/>
      <c r="O323" s="308"/>
      <c r="P323" s="308"/>
      <c r="Q323" s="308"/>
      <c r="R323" s="308"/>
      <c r="S323" s="308"/>
      <c r="T323" s="308"/>
      <c r="U323" s="308"/>
      <c r="V323" s="308"/>
      <c r="W323" s="308"/>
      <c r="X323" s="308"/>
      <c r="Y323" s="308"/>
      <c r="Z323" s="308"/>
    </row>
    <row r="324" spans="1:26" ht="14.25" customHeight="1" x14ac:dyDescent="0.3">
      <c r="A324" s="474" t="s">
        <v>2228</v>
      </c>
      <c r="B324" s="460" t="s">
        <v>1142</v>
      </c>
      <c r="C324" s="447" t="s">
        <v>1144</v>
      </c>
      <c r="D324" s="521" t="s">
        <v>1231</v>
      </c>
      <c r="E324" s="447">
        <v>36</v>
      </c>
      <c r="F324" s="448">
        <v>45994</v>
      </c>
      <c r="G324" s="447"/>
      <c r="H324" s="267" t="s">
        <v>1083</v>
      </c>
      <c r="I324" s="447">
        <v>6</v>
      </c>
      <c r="J324" s="447"/>
      <c r="K324" s="447" t="s">
        <v>1232</v>
      </c>
      <c r="L324" s="308"/>
      <c r="M324" s="308"/>
      <c r="N324" s="308"/>
      <c r="O324" s="308"/>
      <c r="P324" s="308"/>
      <c r="Q324" s="308"/>
      <c r="R324" s="308"/>
      <c r="S324" s="308"/>
      <c r="T324" s="308"/>
      <c r="U324" s="308"/>
      <c r="V324" s="308"/>
      <c r="W324" s="308"/>
      <c r="X324" s="308"/>
      <c r="Y324" s="308"/>
      <c r="Z324" s="308"/>
    </row>
    <row r="325" spans="1:26" ht="14.25" customHeight="1" x14ac:dyDescent="0.3">
      <c r="A325" s="352" t="s">
        <v>2179</v>
      </c>
      <c r="B325" s="433" t="s">
        <v>1142</v>
      </c>
      <c r="C325" s="511" t="s">
        <v>1089</v>
      </c>
      <c r="D325" s="442" t="s">
        <v>1088</v>
      </c>
      <c r="E325" s="425"/>
      <c r="F325" s="440">
        <v>45817</v>
      </c>
      <c r="G325" s="423" t="s">
        <v>1102</v>
      </c>
      <c r="H325" s="435" t="s">
        <v>1083</v>
      </c>
      <c r="I325" s="439">
        <v>1</v>
      </c>
      <c r="J325" s="428">
        <v>45824</v>
      </c>
      <c r="K325" s="308"/>
      <c r="L325" s="308"/>
      <c r="M325" s="308"/>
      <c r="N325" s="308"/>
      <c r="O325" s="308"/>
      <c r="P325" s="308"/>
      <c r="Q325" s="308"/>
      <c r="R325" s="308"/>
      <c r="S325" s="308"/>
      <c r="T325" s="308"/>
      <c r="U325" s="308"/>
      <c r="V325" s="308"/>
      <c r="W325" s="308"/>
      <c r="X325" s="308"/>
      <c r="Y325" s="308"/>
      <c r="Z325" s="308"/>
    </row>
    <row r="326" spans="1:26" ht="14.25" customHeight="1" x14ac:dyDescent="0.3">
      <c r="A326" s="504" t="s">
        <v>2179</v>
      </c>
      <c r="B326" s="433" t="s">
        <v>1142</v>
      </c>
      <c r="C326" s="308" t="s">
        <v>1144</v>
      </c>
      <c r="D326" s="528" t="s">
        <v>1091</v>
      </c>
      <c r="E326" s="308">
        <v>28</v>
      </c>
      <c r="F326" s="431">
        <v>45958</v>
      </c>
      <c r="G326" s="308"/>
      <c r="H326" s="267" t="s">
        <v>1083</v>
      </c>
      <c r="I326" s="267">
        <v>7</v>
      </c>
      <c r="J326" s="267"/>
      <c r="K326" s="267"/>
      <c r="L326" s="308"/>
      <c r="M326" s="308"/>
      <c r="N326" s="308"/>
      <c r="O326" s="308"/>
      <c r="P326" s="308"/>
      <c r="Q326" s="308"/>
      <c r="R326" s="308"/>
      <c r="S326" s="308"/>
      <c r="T326" s="308"/>
      <c r="U326" s="308"/>
      <c r="V326" s="308"/>
      <c r="W326" s="308"/>
      <c r="X326" s="308"/>
      <c r="Y326" s="308"/>
      <c r="Z326" s="308"/>
    </row>
    <row r="327" spans="1:26" ht="14.25" customHeight="1" x14ac:dyDescent="0.3">
      <c r="A327" s="352" t="s">
        <v>1147</v>
      </c>
      <c r="B327" s="433" t="s">
        <v>1142</v>
      </c>
      <c r="C327" s="511" t="s">
        <v>1089</v>
      </c>
      <c r="D327" s="442" t="s">
        <v>1088</v>
      </c>
      <c r="E327" s="427">
        <v>5</v>
      </c>
      <c r="F327" s="440">
        <v>45817</v>
      </c>
      <c r="G327" s="429" t="s">
        <v>451</v>
      </c>
      <c r="H327" s="435" t="s">
        <v>1083</v>
      </c>
      <c r="I327" s="439">
        <v>1</v>
      </c>
      <c r="J327" s="428">
        <v>45824</v>
      </c>
      <c r="K327" s="308"/>
      <c r="L327" s="308"/>
      <c r="M327" s="308"/>
      <c r="N327" s="308"/>
      <c r="O327" s="308"/>
      <c r="P327" s="308"/>
      <c r="Q327" s="308"/>
      <c r="R327" s="308"/>
      <c r="S327" s="308"/>
      <c r="T327" s="308"/>
      <c r="U327" s="308"/>
      <c r="V327" s="308"/>
      <c r="W327" s="308"/>
      <c r="X327" s="308"/>
      <c r="Y327" s="308"/>
      <c r="Z327" s="308"/>
    </row>
    <row r="328" spans="1:26" ht="14.25" customHeight="1" x14ac:dyDescent="0.3">
      <c r="A328" s="474" t="s">
        <v>1147</v>
      </c>
      <c r="B328" s="418" t="s">
        <v>1122</v>
      </c>
      <c r="C328" s="447" t="s">
        <v>1144</v>
      </c>
      <c r="D328" s="447" t="s">
        <v>1235</v>
      </c>
      <c r="E328" s="447">
        <v>32</v>
      </c>
      <c r="F328" s="448">
        <v>45987</v>
      </c>
      <c r="G328" s="447"/>
      <c r="H328" s="428" t="s">
        <v>1078</v>
      </c>
      <c r="I328" s="447"/>
      <c r="J328" s="447"/>
      <c r="K328" s="447" t="s">
        <v>1236</v>
      </c>
      <c r="L328" s="308"/>
      <c r="M328" s="308"/>
      <c r="N328" s="308"/>
      <c r="O328" s="308"/>
      <c r="P328" s="308"/>
      <c r="Q328" s="308"/>
      <c r="R328" s="308"/>
      <c r="S328" s="308"/>
      <c r="T328" s="308"/>
      <c r="U328" s="308"/>
      <c r="V328" s="308"/>
      <c r="W328" s="308"/>
      <c r="X328" s="308"/>
      <c r="Y328" s="308"/>
      <c r="Z328" s="308"/>
    </row>
    <row r="329" spans="1:26" ht="14.25" customHeight="1" x14ac:dyDescent="0.3">
      <c r="A329" s="352" t="s">
        <v>1147</v>
      </c>
      <c r="B329" s="433" t="s">
        <v>1142</v>
      </c>
      <c r="C329" s="511" t="s">
        <v>1089</v>
      </c>
      <c r="D329" s="442" t="s">
        <v>1088</v>
      </c>
      <c r="E329" s="427">
        <v>18</v>
      </c>
      <c r="F329" s="428">
        <v>45835</v>
      </c>
      <c r="G329" s="428">
        <v>45905</v>
      </c>
      <c r="H329" s="435" t="s">
        <v>1083</v>
      </c>
      <c r="I329" s="427">
        <v>3</v>
      </c>
      <c r="J329" s="428">
        <v>45910</v>
      </c>
      <c r="K329" s="308"/>
      <c r="L329" s="308"/>
      <c r="M329" s="308"/>
      <c r="N329" s="308"/>
      <c r="O329" s="308"/>
      <c r="P329" s="308"/>
      <c r="Q329" s="308"/>
      <c r="R329" s="308"/>
      <c r="S329" s="308"/>
      <c r="T329" s="308"/>
      <c r="U329" s="308"/>
      <c r="V329" s="308"/>
      <c r="W329" s="308"/>
      <c r="X329" s="308"/>
      <c r="Y329" s="308"/>
      <c r="Z329" s="308"/>
    </row>
    <row r="330" spans="1:26" ht="14.25" customHeight="1" x14ac:dyDescent="0.3">
      <c r="A330" s="474" t="s">
        <v>1147</v>
      </c>
      <c r="B330" s="460" t="s">
        <v>1142</v>
      </c>
      <c r="C330" s="447" t="s">
        <v>1144</v>
      </c>
      <c r="D330" s="521" t="s">
        <v>1231</v>
      </c>
      <c r="E330" s="447">
        <v>36</v>
      </c>
      <c r="F330" s="448">
        <v>45994</v>
      </c>
      <c r="G330" s="447"/>
      <c r="H330" s="267" t="s">
        <v>1083</v>
      </c>
      <c r="I330" s="447">
        <v>6</v>
      </c>
      <c r="J330" s="447"/>
      <c r="K330" s="447" t="s">
        <v>1232</v>
      </c>
      <c r="L330" s="308"/>
      <c r="M330" s="308"/>
      <c r="N330" s="308"/>
      <c r="O330" s="308"/>
      <c r="P330" s="308"/>
      <c r="Q330" s="308"/>
      <c r="R330" s="308"/>
      <c r="S330" s="308"/>
      <c r="T330" s="308"/>
      <c r="U330" s="308"/>
      <c r="V330" s="308"/>
      <c r="W330" s="308"/>
      <c r="X330" s="308"/>
      <c r="Y330" s="308"/>
      <c r="Z330" s="308"/>
    </row>
    <row r="331" spans="1:26" ht="14.25" customHeight="1" x14ac:dyDescent="0.3">
      <c r="A331" s="352" t="s">
        <v>1147</v>
      </c>
      <c r="B331" s="433" t="s">
        <v>1142</v>
      </c>
      <c r="C331" s="511" t="s">
        <v>1089</v>
      </c>
      <c r="D331" s="522" t="s">
        <v>1100</v>
      </c>
      <c r="E331" s="450">
        <v>19</v>
      </c>
      <c r="F331" s="524">
        <v>45865</v>
      </c>
      <c r="G331" s="524">
        <v>45905</v>
      </c>
      <c r="H331" s="443" t="s">
        <v>1090</v>
      </c>
      <c r="I331" s="308"/>
      <c r="J331" s="308"/>
      <c r="K331" s="308"/>
      <c r="L331" s="308"/>
      <c r="M331" s="308"/>
      <c r="N331" s="308"/>
      <c r="O331" s="308"/>
      <c r="P331" s="308"/>
      <c r="Q331" s="308"/>
      <c r="R331" s="308"/>
      <c r="S331" s="308"/>
      <c r="T331" s="308"/>
      <c r="U331" s="308"/>
      <c r="V331" s="308"/>
      <c r="W331" s="308"/>
      <c r="X331" s="308"/>
      <c r="Y331" s="308"/>
      <c r="Z331" s="308"/>
    </row>
    <row r="332" spans="1:26" ht="14.25" customHeight="1" x14ac:dyDescent="0.3">
      <c r="A332" s="480" t="s">
        <v>1148</v>
      </c>
      <c r="B332" s="424" t="s">
        <v>1122</v>
      </c>
      <c r="C332" s="425" t="s">
        <v>1104</v>
      </c>
      <c r="D332" s="425" t="s">
        <v>1114</v>
      </c>
      <c r="E332" s="427">
        <v>11</v>
      </c>
      <c r="F332" s="428">
        <v>45824</v>
      </c>
      <c r="G332" s="429" t="s">
        <v>451</v>
      </c>
      <c r="H332" s="428" t="s">
        <v>1078</v>
      </c>
      <c r="I332" s="429" t="s">
        <v>451</v>
      </c>
      <c r="J332" s="429" t="s">
        <v>451</v>
      </c>
      <c r="K332" s="308"/>
      <c r="L332" s="308"/>
      <c r="M332" s="308"/>
      <c r="N332" s="308"/>
      <c r="O332" s="308"/>
      <c r="P332" s="308"/>
      <c r="Q332" s="308"/>
      <c r="R332" s="308"/>
      <c r="S332" s="308"/>
      <c r="T332" s="308"/>
      <c r="U332" s="308"/>
      <c r="V332" s="308"/>
      <c r="W332" s="308"/>
      <c r="X332" s="308"/>
      <c r="Y332" s="308"/>
      <c r="Z332" s="308"/>
    </row>
    <row r="333" spans="1:26" ht="14.25" customHeight="1" x14ac:dyDescent="0.3">
      <c r="A333" s="352" t="s">
        <v>1148</v>
      </c>
      <c r="B333" s="433" t="s">
        <v>1142</v>
      </c>
      <c r="C333" s="511" t="s">
        <v>1089</v>
      </c>
      <c r="D333" s="442" t="s">
        <v>1088</v>
      </c>
      <c r="E333" s="427">
        <v>18</v>
      </c>
      <c r="F333" s="428">
        <v>45835</v>
      </c>
      <c r="G333" s="428">
        <v>45905</v>
      </c>
      <c r="H333" s="435" t="s">
        <v>1083</v>
      </c>
      <c r="I333" s="427">
        <v>3</v>
      </c>
      <c r="J333" s="428">
        <v>45910</v>
      </c>
      <c r="K333" s="308"/>
      <c r="L333" s="308"/>
      <c r="M333" s="308"/>
      <c r="N333" s="308"/>
      <c r="O333" s="308"/>
      <c r="P333" s="308"/>
      <c r="Q333" s="308"/>
      <c r="R333" s="308"/>
      <c r="S333" s="308"/>
      <c r="T333" s="308"/>
      <c r="U333" s="308"/>
      <c r="V333" s="308"/>
      <c r="W333" s="308"/>
      <c r="X333" s="308"/>
      <c r="Y333" s="308"/>
      <c r="Z333" s="308"/>
    </row>
    <row r="334" spans="1:26" ht="14.25" customHeight="1" x14ac:dyDescent="0.3">
      <c r="A334" s="352" t="s">
        <v>1149</v>
      </c>
      <c r="B334" s="424" t="s">
        <v>1122</v>
      </c>
      <c r="C334" s="425" t="s">
        <v>1104</v>
      </c>
      <c r="D334" s="425" t="s">
        <v>1114</v>
      </c>
      <c r="E334" s="427">
        <v>11</v>
      </c>
      <c r="F334" s="428">
        <v>45824</v>
      </c>
      <c r="G334" s="423" t="s">
        <v>451</v>
      </c>
      <c r="H334" s="462" t="s">
        <v>1128</v>
      </c>
      <c r="I334" s="423" t="s">
        <v>451</v>
      </c>
      <c r="J334" s="423" t="s">
        <v>451</v>
      </c>
      <c r="K334" s="308"/>
      <c r="L334" s="308"/>
      <c r="M334" s="308"/>
      <c r="N334" s="308"/>
      <c r="O334" s="308"/>
      <c r="P334" s="308"/>
      <c r="Q334" s="308"/>
      <c r="R334" s="308"/>
      <c r="S334" s="308"/>
      <c r="T334" s="308"/>
      <c r="U334" s="308"/>
      <c r="V334" s="308"/>
      <c r="W334" s="308"/>
      <c r="X334" s="308"/>
      <c r="Y334" s="308"/>
      <c r="Z334" s="308"/>
    </row>
    <row r="335" spans="1:26" ht="14.25" customHeight="1" x14ac:dyDescent="0.3">
      <c r="A335" s="352" t="s">
        <v>1149</v>
      </c>
      <c r="B335" s="424" t="s">
        <v>1122</v>
      </c>
      <c r="C335" s="425" t="s">
        <v>1089</v>
      </c>
      <c r="D335" s="441" t="s">
        <v>1088</v>
      </c>
      <c r="E335" s="427">
        <v>18</v>
      </c>
      <c r="F335" s="428">
        <v>45835</v>
      </c>
      <c r="G335" s="423" t="s">
        <v>451</v>
      </c>
      <c r="H335" s="428" t="s">
        <v>1078</v>
      </c>
      <c r="I335" s="423" t="s">
        <v>451</v>
      </c>
      <c r="J335" s="423" t="s">
        <v>451</v>
      </c>
      <c r="K335" s="308"/>
      <c r="L335" s="308"/>
      <c r="M335" s="308"/>
      <c r="N335" s="308"/>
      <c r="O335" s="308"/>
      <c r="P335" s="308"/>
      <c r="Q335" s="308"/>
      <c r="R335" s="308"/>
      <c r="S335" s="308"/>
      <c r="T335" s="308"/>
      <c r="U335" s="308"/>
      <c r="V335" s="308"/>
      <c r="W335" s="308"/>
      <c r="X335" s="308"/>
      <c r="Y335" s="308"/>
      <c r="Z335" s="308"/>
    </row>
    <row r="336" spans="1:26" ht="14.25" customHeight="1" x14ac:dyDescent="0.3">
      <c r="A336" s="352" t="s">
        <v>1149</v>
      </c>
      <c r="B336" s="430" t="s">
        <v>1122</v>
      </c>
      <c r="C336" s="425" t="s">
        <v>1089</v>
      </c>
      <c r="D336" s="423" t="s">
        <v>1088</v>
      </c>
      <c r="E336" s="423">
        <v>23</v>
      </c>
      <c r="F336" s="428">
        <v>45938</v>
      </c>
      <c r="G336" s="423" t="s">
        <v>451</v>
      </c>
      <c r="H336" s="428" t="s">
        <v>1078</v>
      </c>
      <c r="I336" s="423" t="s">
        <v>451</v>
      </c>
      <c r="J336" s="423" t="s">
        <v>451</v>
      </c>
      <c r="K336" s="308"/>
      <c r="L336" s="308"/>
      <c r="M336" s="308"/>
      <c r="N336" s="308"/>
      <c r="O336" s="308"/>
      <c r="P336" s="308"/>
      <c r="Q336" s="308"/>
      <c r="R336" s="308"/>
      <c r="S336" s="308"/>
      <c r="T336" s="308"/>
      <c r="U336" s="308"/>
      <c r="V336" s="308"/>
      <c r="W336" s="308"/>
      <c r="X336" s="308"/>
      <c r="Y336" s="308"/>
      <c r="Z336" s="308"/>
    </row>
    <row r="337" spans="1:26" ht="14.25" customHeight="1" x14ac:dyDescent="0.3">
      <c r="A337" s="474" t="s">
        <v>1149</v>
      </c>
      <c r="B337" s="418" t="s">
        <v>1122</v>
      </c>
      <c r="C337" s="447" t="s">
        <v>1144</v>
      </c>
      <c r="D337" s="447" t="s">
        <v>1235</v>
      </c>
      <c r="E337" s="447">
        <v>32</v>
      </c>
      <c r="F337" s="448">
        <v>45987</v>
      </c>
      <c r="G337" s="447"/>
      <c r="H337" s="447" t="s">
        <v>1128</v>
      </c>
      <c r="I337" s="447"/>
      <c r="J337" s="447"/>
      <c r="K337" s="447" t="s">
        <v>1236</v>
      </c>
      <c r="L337" s="308"/>
      <c r="M337" s="308"/>
      <c r="N337" s="308"/>
      <c r="O337" s="308"/>
      <c r="P337" s="308"/>
      <c r="Q337" s="308"/>
      <c r="R337" s="308"/>
      <c r="S337" s="308"/>
      <c r="T337" s="308"/>
      <c r="U337" s="308"/>
      <c r="V337" s="308"/>
      <c r="W337" s="308"/>
      <c r="X337" s="308"/>
      <c r="Y337" s="308"/>
      <c r="Z337" s="308"/>
    </row>
    <row r="338" spans="1:26" s="445" customFormat="1" ht="14.25" customHeight="1" x14ac:dyDescent="0.3">
      <c r="A338" s="474" t="s">
        <v>1149</v>
      </c>
      <c r="B338" s="460" t="s">
        <v>1142</v>
      </c>
      <c r="C338" s="447" t="s">
        <v>1144</v>
      </c>
      <c r="D338" s="521" t="s">
        <v>1231</v>
      </c>
      <c r="E338" s="447">
        <v>36</v>
      </c>
      <c r="F338" s="448">
        <v>45994</v>
      </c>
      <c r="G338" s="447"/>
      <c r="H338" s="267" t="s">
        <v>1083</v>
      </c>
      <c r="I338" s="447">
        <v>6</v>
      </c>
      <c r="J338" s="447"/>
      <c r="K338" s="447" t="s">
        <v>1232</v>
      </c>
      <c r="L338" s="267"/>
      <c r="M338" s="267"/>
      <c r="N338" s="267"/>
      <c r="O338" s="267"/>
      <c r="P338" s="267"/>
      <c r="Q338" s="267"/>
      <c r="R338" s="267"/>
      <c r="S338" s="267"/>
      <c r="T338" s="267"/>
      <c r="U338" s="267"/>
      <c r="V338" s="267"/>
      <c r="W338" s="267"/>
      <c r="X338" s="267"/>
      <c r="Y338" s="267"/>
      <c r="Z338" s="267"/>
    </row>
    <row r="339" spans="1:26" ht="14.25" customHeight="1" x14ac:dyDescent="0.3">
      <c r="A339" s="352" t="s">
        <v>738</v>
      </c>
      <c r="B339" s="424" t="s">
        <v>1122</v>
      </c>
      <c r="C339" s="425" t="s">
        <v>1089</v>
      </c>
      <c r="D339" s="441" t="s">
        <v>1088</v>
      </c>
      <c r="E339" s="427">
        <v>5</v>
      </c>
      <c r="F339" s="440">
        <v>45817</v>
      </c>
      <c r="G339" s="429" t="s">
        <v>451</v>
      </c>
      <c r="H339" s="443" t="s">
        <v>1090</v>
      </c>
      <c r="I339" s="429" t="s">
        <v>451</v>
      </c>
      <c r="J339" s="429" t="s">
        <v>451</v>
      </c>
      <c r="K339" s="308"/>
      <c r="L339" s="308"/>
      <c r="M339" s="308"/>
      <c r="N339" s="308"/>
      <c r="O339" s="308"/>
      <c r="P339" s="308"/>
      <c r="Q339" s="308"/>
      <c r="R339" s="308"/>
      <c r="S339" s="308"/>
      <c r="T339" s="308"/>
      <c r="U339" s="308"/>
      <c r="V339" s="308"/>
      <c r="W339" s="308"/>
      <c r="X339" s="308"/>
      <c r="Y339" s="308"/>
      <c r="Z339" s="308"/>
    </row>
    <row r="340" spans="1:26" ht="14.25" customHeight="1" x14ac:dyDescent="0.3">
      <c r="A340" s="474" t="s">
        <v>2229</v>
      </c>
      <c r="B340" s="418" t="s">
        <v>1122</v>
      </c>
      <c r="C340" s="447" t="s">
        <v>1144</v>
      </c>
      <c r="D340" s="447" t="s">
        <v>1235</v>
      </c>
      <c r="E340" s="447">
        <v>32</v>
      </c>
      <c r="F340" s="448">
        <v>45987</v>
      </c>
      <c r="G340" s="447"/>
      <c r="H340" s="447" t="s">
        <v>1078</v>
      </c>
      <c r="I340" s="447"/>
      <c r="J340" s="447"/>
      <c r="K340" s="447" t="s">
        <v>1236</v>
      </c>
      <c r="L340" s="308"/>
      <c r="M340" s="308"/>
      <c r="N340" s="308"/>
      <c r="O340" s="308"/>
      <c r="P340" s="308"/>
      <c r="Q340" s="308"/>
      <c r="R340" s="308"/>
      <c r="S340" s="308"/>
      <c r="T340" s="308"/>
      <c r="U340" s="308"/>
      <c r="V340" s="308"/>
      <c r="W340" s="308"/>
      <c r="X340" s="308"/>
      <c r="Y340" s="308"/>
      <c r="Z340" s="308"/>
    </row>
    <row r="341" spans="1:26" ht="14.25" customHeight="1" x14ac:dyDescent="0.3">
      <c r="A341" s="474" t="s">
        <v>2229</v>
      </c>
      <c r="B341" s="460" t="s">
        <v>1142</v>
      </c>
      <c r="C341" s="447" t="s">
        <v>1144</v>
      </c>
      <c r="D341" s="521" t="s">
        <v>1231</v>
      </c>
      <c r="E341" s="447">
        <v>36</v>
      </c>
      <c r="F341" s="448">
        <v>45994</v>
      </c>
      <c r="G341" s="447"/>
      <c r="H341" s="267" t="s">
        <v>1083</v>
      </c>
      <c r="I341" s="447">
        <v>6</v>
      </c>
      <c r="J341" s="447"/>
      <c r="K341" s="447" t="s">
        <v>1232</v>
      </c>
      <c r="L341" s="308"/>
      <c r="M341" s="308"/>
      <c r="N341" s="308"/>
      <c r="O341" s="308"/>
      <c r="P341" s="308"/>
      <c r="Q341" s="308"/>
      <c r="R341" s="308"/>
      <c r="S341" s="308"/>
      <c r="T341" s="308"/>
      <c r="U341" s="308"/>
      <c r="V341" s="308"/>
      <c r="W341" s="308"/>
      <c r="X341" s="308"/>
      <c r="Y341" s="308"/>
      <c r="Z341" s="308"/>
    </row>
    <row r="342" spans="1:26" ht="14.25" customHeight="1" x14ac:dyDescent="0.3">
      <c r="A342" s="484" t="s">
        <v>740</v>
      </c>
      <c r="B342" s="268" t="s">
        <v>1122</v>
      </c>
      <c r="C342" s="447" t="s">
        <v>1144</v>
      </c>
      <c r="D342" s="447" t="s">
        <v>1138</v>
      </c>
      <c r="E342" s="447">
        <v>35</v>
      </c>
      <c r="F342" s="448">
        <v>45994</v>
      </c>
      <c r="G342" s="447"/>
      <c r="H342" s="447" t="s">
        <v>1238</v>
      </c>
      <c r="I342" s="447"/>
      <c r="J342" s="447"/>
      <c r="K342" s="447" t="s">
        <v>1251</v>
      </c>
      <c r="L342" s="308"/>
      <c r="M342" s="308"/>
      <c r="N342" s="308"/>
      <c r="O342" s="308"/>
      <c r="P342" s="308"/>
      <c r="Q342" s="308"/>
      <c r="R342" s="308"/>
      <c r="S342" s="308"/>
      <c r="T342" s="308"/>
      <c r="U342" s="308"/>
      <c r="V342" s="308"/>
      <c r="W342" s="308"/>
      <c r="X342" s="308"/>
      <c r="Y342" s="308"/>
      <c r="Z342" s="308"/>
    </row>
    <row r="343" spans="1:26" ht="14.25" customHeight="1" x14ac:dyDescent="0.3">
      <c r="A343" s="352" t="s">
        <v>748</v>
      </c>
      <c r="B343" s="433" t="s">
        <v>1142</v>
      </c>
      <c r="C343" s="352" t="s">
        <v>1089</v>
      </c>
      <c r="D343" s="515" t="s">
        <v>1088</v>
      </c>
      <c r="E343" s="308">
        <v>23</v>
      </c>
      <c r="F343" s="431">
        <v>45938</v>
      </c>
      <c r="G343" s="308"/>
      <c r="H343" s="435" t="s">
        <v>1083</v>
      </c>
      <c r="I343" s="308">
        <v>4</v>
      </c>
      <c r="J343" s="431">
        <v>45944</v>
      </c>
      <c r="K343" s="308"/>
      <c r="L343" s="308"/>
      <c r="M343" s="308"/>
      <c r="N343" s="308"/>
      <c r="O343" s="308"/>
      <c r="P343" s="308"/>
      <c r="Q343" s="308"/>
      <c r="R343" s="308"/>
      <c r="S343" s="308"/>
      <c r="T343" s="308"/>
      <c r="U343" s="308"/>
      <c r="V343" s="308"/>
      <c r="W343" s="308"/>
      <c r="X343" s="308"/>
      <c r="Y343" s="308"/>
      <c r="Z343" s="308"/>
    </row>
    <row r="344" spans="1:26" ht="14.25" customHeight="1" x14ac:dyDescent="0.3">
      <c r="A344" s="474" t="s">
        <v>748</v>
      </c>
      <c r="B344" s="418" t="s">
        <v>1122</v>
      </c>
      <c r="C344" s="447" t="s">
        <v>1144</v>
      </c>
      <c r="D344" s="447" t="s">
        <v>1235</v>
      </c>
      <c r="E344" s="447">
        <v>32</v>
      </c>
      <c r="F344" s="448">
        <v>45987</v>
      </c>
      <c r="G344" s="447"/>
      <c r="H344" s="447" t="s">
        <v>1078</v>
      </c>
      <c r="I344" s="447"/>
      <c r="J344" s="447"/>
      <c r="K344" s="447" t="s">
        <v>1236</v>
      </c>
      <c r="L344" s="308"/>
      <c r="M344" s="308"/>
      <c r="N344" s="308"/>
      <c r="O344" s="308"/>
      <c r="P344" s="308"/>
      <c r="Q344" s="308"/>
      <c r="R344" s="308"/>
      <c r="S344" s="308"/>
      <c r="T344" s="308"/>
      <c r="U344" s="308"/>
      <c r="V344" s="308"/>
      <c r="W344" s="308"/>
      <c r="X344" s="308"/>
      <c r="Y344" s="308"/>
      <c r="Z344" s="308"/>
    </row>
    <row r="345" spans="1:26" ht="14.25" customHeight="1" x14ac:dyDescent="0.3">
      <c r="A345" s="352" t="s">
        <v>748</v>
      </c>
      <c r="B345" s="424" t="s">
        <v>1122</v>
      </c>
      <c r="C345" s="425" t="s">
        <v>1089</v>
      </c>
      <c r="D345" s="441" t="s">
        <v>1088</v>
      </c>
      <c r="E345" s="450">
        <v>13</v>
      </c>
      <c r="F345" s="451">
        <v>45824</v>
      </c>
      <c r="G345" s="429" t="s">
        <v>451</v>
      </c>
      <c r="H345" s="428" t="s">
        <v>1078</v>
      </c>
      <c r="I345" s="429" t="s">
        <v>451</v>
      </c>
      <c r="J345" s="429" t="s">
        <v>451</v>
      </c>
      <c r="K345" s="308"/>
      <c r="L345" s="308"/>
      <c r="M345" s="308"/>
      <c r="N345" s="308"/>
      <c r="O345" s="308"/>
      <c r="P345" s="308"/>
      <c r="Q345" s="308"/>
      <c r="R345" s="308"/>
      <c r="S345" s="308"/>
      <c r="T345" s="308"/>
      <c r="U345" s="308"/>
      <c r="V345" s="308"/>
      <c r="W345" s="308"/>
      <c r="X345" s="308"/>
      <c r="Y345" s="308"/>
      <c r="Z345" s="308"/>
    </row>
    <row r="346" spans="1:26" ht="13.5" customHeight="1" x14ac:dyDescent="0.3">
      <c r="A346" s="474" t="s">
        <v>748</v>
      </c>
      <c r="B346" s="460" t="s">
        <v>1142</v>
      </c>
      <c r="C346" s="447" t="s">
        <v>1144</v>
      </c>
      <c r="D346" s="521" t="s">
        <v>1231</v>
      </c>
      <c r="E346" s="447">
        <v>36</v>
      </c>
      <c r="F346" s="448">
        <v>45994</v>
      </c>
      <c r="G346" s="447"/>
      <c r="H346" s="267" t="s">
        <v>1083</v>
      </c>
      <c r="I346" s="447">
        <v>6</v>
      </c>
      <c r="J346" s="447"/>
      <c r="K346" s="447" t="s">
        <v>1232</v>
      </c>
      <c r="L346" s="308"/>
      <c r="M346" s="308"/>
      <c r="N346" s="308"/>
      <c r="O346" s="308"/>
      <c r="P346" s="308"/>
      <c r="Q346" s="308"/>
      <c r="R346" s="308"/>
      <c r="S346" s="308"/>
      <c r="T346" s="308"/>
      <c r="U346" s="308"/>
      <c r="V346" s="308"/>
      <c r="W346" s="308"/>
      <c r="X346" s="308"/>
      <c r="Y346" s="308"/>
      <c r="Z346" s="308"/>
    </row>
    <row r="347" spans="1:26" ht="20.25" customHeight="1" x14ac:dyDescent="0.3">
      <c r="A347" s="352" t="s">
        <v>750</v>
      </c>
      <c r="B347" s="424" t="s">
        <v>1122</v>
      </c>
      <c r="C347" s="425" t="s">
        <v>1089</v>
      </c>
      <c r="D347" s="441" t="s">
        <v>1088</v>
      </c>
      <c r="E347" s="427">
        <v>5</v>
      </c>
      <c r="F347" s="440">
        <v>45817</v>
      </c>
      <c r="G347" s="429" t="s">
        <v>451</v>
      </c>
      <c r="H347" s="443" t="s">
        <v>1090</v>
      </c>
      <c r="I347" s="429" t="s">
        <v>451</v>
      </c>
      <c r="J347" s="429" t="s">
        <v>451</v>
      </c>
      <c r="K347" s="308"/>
      <c r="L347" s="308"/>
      <c r="M347" s="308"/>
      <c r="N347" s="308"/>
      <c r="O347" s="308"/>
      <c r="P347" s="308"/>
      <c r="Q347" s="308"/>
      <c r="R347" s="308"/>
      <c r="S347" s="308"/>
      <c r="T347" s="308"/>
      <c r="U347" s="308"/>
      <c r="V347" s="308"/>
      <c r="W347" s="308"/>
      <c r="X347" s="308"/>
      <c r="Y347" s="308"/>
      <c r="Z347" s="308"/>
    </row>
    <row r="348" spans="1:26" ht="14.25" customHeight="1" x14ac:dyDescent="0.3">
      <c r="A348" s="502" t="s">
        <v>1996</v>
      </c>
      <c r="B348" s="433" t="s">
        <v>1142</v>
      </c>
      <c r="C348" s="511" t="s">
        <v>1076</v>
      </c>
      <c r="D348" s="529" t="s">
        <v>1086</v>
      </c>
      <c r="E348" s="308">
        <v>26</v>
      </c>
      <c r="F348" s="431">
        <v>45958</v>
      </c>
      <c r="G348" s="308"/>
      <c r="H348" s="267" t="s">
        <v>1083</v>
      </c>
      <c r="I348" s="267">
        <v>7</v>
      </c>
      <c r="J348" s="267"/>
      <c r="K348" s="267"/>
      <c r="L348" s="308"/>
      <c r="M348" s="308"/>
      <c r="N348" s="308"/>
      <c r="O348" s="308"/>
      <c r="P348" s="308"/>
      <c r="Q348" s="308"/>
      <c r="R348" s="308"/>
      <c r="S348" s="308"/>
      <c r="T348" s="308"/>
      <c r="U348" s="308"/>
      <c r="V348" s="308"/>
      <c r="W348" s="308"/>
      <c r="X348" s="308"/>
      <c r="Y348" s="308"/>
      <c r="Z348" s="308"/>
    </row>
    <row r="349" spans="1:26" ht="14.25" customHeight="1" x14ac:dyDescent="0.3">
      <c r="A349" s="476" t="s">
        <v>754</v>
      </c>
      <c r="B349" s="424" t="s">
        <v>1122</v>
      </c>
      <c r="C349" s="308" t="s">
        <v>1144</v>
      </c>
      <c r="D349" s="308" t="s">
        <v>1091</v>
      </c>
      <c r="E349" s="308">
        <v>28</v>
      </c>
      <c r="F349" s="431">
        <v>45958</v>
      </c>
      <c r="G349" s="308"/>
      <c r="H349" s="308" t="s">
        <v>1107</v>
      </c>
      <c r="I349" s="308"/>
      <c r="J349" s="308"/>
      <c r="K349" s="308"/>
      <c r="L349" s="308"/>
      <c r="M349" s="308"/>
      <c r="N349" s="308"/>
      <c r="O349" s="308"/>
      <c r="P349" s="308"/>
      <c r="Q349" s="308"/>
      <c r="R349" s="308"/>
      <c r="S349" s="308"/>
      <c r="T349" s="308"/>
      <c r="U349" s="308"/>
      <c r="V349" s="308"/>
      <c r="W349" s="308"/>
      <c r="X349" s="308"/>
      <c r="Y349" s="308"/>
      <c r="Z349" s="308"/>
    </row>
    <row r="350" spans="1:26" ht="14.25" customHeight="1" x14ac:dyDescent="0.3">
      <c r="A350" s="474" t="s">
        <v>755</v>
      </c>
      <c r="B350" s="418" t="s">
        <v>1122</v>
      </c>
      <c r="C350" s="447" t="s">
        <v>1144</v>
      </c>
      <c r="D350" s="447" t="s">
        <v>1235</v>
      </c>
      <c r="E350" s="447">
        <v>32</v>
      </c>
      <c r="F350" s="448">
        <v>45987</v>
      </c>
      <c r="G350" s="447"/>
      <c r="H350" s="447" t="s">
        <v>1078</v>
      </c>
      <c r="I350" s="447"/>
      <c r="J350" s="447"/>
      <c r="K350" s="447" t="s">
        <v>1236</v>
      </c>
      <c r="L350" s="308"/>
      <c r="M350" s="308"/>
      <c r="N350" s="308"/>
      <c r="O350" s="308"/>
      <c r="P350" s="308"/>
      <c r="Q350" s="308"/>
      <c r="R350" s="308"/>
      <c r="S350" s="308"/>
      <c r="T350" s="308"/>
      <c r="U350" s="308"/>
      <c r="V350" s="308"/>
      <c r="W350" s="308"/>
      <c r="X350" s="308"/>
      <c r="Y350" s="308"/>
      <c r="Z350" s="308"/>
    </row>
    <row r="351" spans="1:26" s="445" customFormat="1" ht="14.25" customHeight="1" x14ac:dyDescent="0.3">
      <c r="A351" s="352" t="s">
        <v>755</v>
      </c>
      <c r="B351" s="433" t="s">
        <v>1142</v>
      </c>
      <c r="C351" s="511" t="s">
        <v>1089</v>
      </c>
      <c r="D351" s="442" t="s">
        <v>1088</v>
      </c>
      <c r="E351" s="450">
        <v>8</v>
      </c>
      <c r="F351" s="451">
        <v>45824</v>
      </c>
      <c r="G351" s="428">
        <v>45905</v>
      </c>
      <c r="H351" s="435" t="s">
        <v>1083</v>
      </c>
      <c r="I351" s="427">
        <v>3</v>
      </c>
      <c r="J351" s="428">
        <v>45910</v>
      </c>
      <c r="K351" s="308"/>
      <c r="L351" s="267"/>
      <c r="M351" s="267"/>
      <c r="N351" s="267"/>
      <c r="O351" s="267"/>
      <c r="P351" s="267"/>
      <c r="Q351" s="267"/>
      <c r="R351" s="267"/>
      <c r="S351" s="267"/>
      <c r="T351" s="267"/>
      <c r="U351" s="267"/>
      <c r="V351" s="267"/>
      <c r="W351" s="267"/>
      <c r="X351" s="267"/>
      <c r="Y351" s="267"/>
      <c r="Z351" s="267"/>
    </row>
    <row r="352" spans="1:26" s="445" customFormat="1" ht="15" customHeight="1" x14ac:dyDescent="0.3">
      <c r="A352" s="474" t="s">
        <v>755</v>
      </c>
      <c r="B352" s="460" t="s">
        <v>1142</v>
      </c>
      <c r="C352" s="447" t="s">
        <v>1144</v>
      </c>
      <c r="D352" s="521" t="s">
        <v>1231</v>
      </c>
      <c r="E352" s="447">
        <v>36</v>
      </c>
      <c r="F352" s="448">
        <v>45994</v>
      </c>
      <c r="G352" s="447"/>
      <c r="H352" s="267" t="s">
        <v>1083</v>
      </c>
      <c r="I352" s="447">
        <v>6</v>
      </c>
      <c r="J352" s="447"/>
      <c r="K352" s="447" t="s">
        <v>1232</v>
      </c>
      <c r="L352" s="267"/>
      <c r="M352" s="267"/>
      <c r="N352" s="267"/>
      <c r="O352" s="267"/>
      <c r="P352" s="267"/>
      <c r="Q352" s="267"/>
      <c r="R352" s="267"/>
      <c r="S352" s="267"/>
      <c r="T352" s="267"/>
      <c r="U352" s="267"/>
      <c r="V352" s="267"/>
      <c r="W352" s="267"/>
      <c r="X352" s="267"/>
      <c r="Y352" s="267"/>
      <c r="Z352" s="267"/>
    </row>
    <row r="353" spans="1:26" s="445" customFormat="1" ht="14.25" customHeight="1" x14ac:dyDescent="0.3">
      <c r="A353" s="474" t="s">
        <v>2274</v>
      </c>
      <c r="B353" s="418" t="s">
        <v>1122</v>
      </c>
      <c r="C353" s="447" t="s">
        <v>1144</v>
      </c>
      <c r="D353" s="447" t="s">
        <v>1235</v>
      </c>
      <c r="E353" s="447">
        <v>32</v>
      </c>
      <c r="F353" s="448">
        <v>45987</v>
      </c>
      <c r="G353" s="447"/>
      <c r="H353" s="447" t="s">
        <v>1128</v>
      </c>
      <c r="I353" s="447"/>
      <c r="J353" s="447"/>
      <c r="K353" s="447" t="s">
        <v>1236</v>
      </c>
      <c r="L353" s="267"/>
      <c r="M353" s="267"/>
      <c r="N353" s="267"/>
      <c r="O353" s="267"/>
      <c r="P353" s="267"/>
      <c r="Q353" s="267"/>
      <c r="R353" s="267"/>
      <c r="S353" s="267"/>
      <c r="T353" s="267"/>
      <c r="U353" s="267"/>
      <c r="V353" s="267"/>
      <c r="W353" s="267"/>
      <c r="X353" s="267"/>
      <c r="Y353" s="267"/>
      <c r="Z353" s="267"/>
    </row>
    <row r="354" spans="1:26" ht="14.25" customHeight="1" x14ac:dyDescent="0.3">
      <c r="A354" s="474" t="s">
        <v>2274</v>
      </c>
      <c r="B354" s="268" t="s">
        <v>1122</v>
      </c>
      <c r="C354" s="447"/>
      <c r="D354" s="447" t="s">
        <v>1231</v>
      </c>
      <c r="E354" s="447">
        <v>36</v>
      </c>
      <c r="F354" s="448">
        <v>45994</v>
      </c>
      <c r="G354" s="447"/>
      <c r="H354" s="447" t="s">
        <v>1128</v>
      </c>
      <c r="I354" s="447"/>
      <c r="J354" s="447"/>
      <c r="K354" s="447" t="s">
        <v>1232</v>
      </c>
      <c r="L354" s="308"/>
      <c r="M354" s="308"/>
      <c r="N354" s="308"/>
      <c r="O354" s="308"/>
      <c r="P354" s="308"/>
      <c r="Q354" s="308"/>
      <c r="R354" s="308"/>
      <c r="S354" s="308"/>
      <c r="T354" s="308"/>
      <c r="U354" s="308"/>
      <c r="V354" s="308"/>
      <c r="W354" s="308"/>
      <c r="X354" s="308"/>
      <c r="Y354" s="308"/>
      <c r="Z354" s="308"/>
    </row>
    <row r="355" spans="1:26" ht="14.25" customHeight="1" x14ac:dyDescent="0.3">
      <c r="A355" s="485" t="s">
        <v>759</v>
      </c>
      <c r="B355" s="411" t="s">
        <v>1122</v>
      </c>
      <c r="C355" s="308" t="s">
        <v>1144</v>
      </c>
      <c r="D355" s="308" t="s">
        <v>1086</v>
      </c>
      <c r="E355" s="308">
        <v>26</v>
      </c>
      <c r="F355" s="431">
        <v>45958</v>
      </c>
      <c r="G355" s="308"/>
      <c r="H355" s="308" t="s">
        <v>1238</v>
      </c>
      <c r="I355" s="308"/>
      <c r="J355" s="308"/>
      <c r="K355" s="308"/>
      <c r="L355" s="308"/>
      <c r="M355" s="308"/>
      <c r="N355" s="308"/>
      <c r="O355" s="308"/>
      <c r="P355" s="308"/>
      <c r="Q355" s="308"/>
      <c r="R355" s="308"/>
      <c r="S355" s="308"/>
      <c r="T355" s="308"/>
      <c r="U355" s="308"/>
      <c r="V355" s="308"/>
      <c r="W355" s="308"/>
      <c r="X355" s="308"/>
      <c r="Y355" s="308"/>
      <c r="Z355" s="308"/>
    </row>
    <row r="356" spans="1:26" ht="14.25" customHeight="1" x14ac:dyDescent="0.3">
      <c r="A356" s="484" t="s">
        <v>760</v>
      </c>
      <c r="B356" s="449" t="s">
        <v>1142</v>
      </c>
      <c r="C356" s="447" t="s">
        <v>1144</v>
      </c>
      <c r="D356" s="445" t="s">
        <v>1138</v>
      </c>
      <c r="E356" s="512">
        <v>35</v>
      </c>
      <c r="F356" s="513">
        <v>45994</v>
      </c>
      <c r="G356" s="512"/>
      <c r="H356" s="514" t="s">
        <v>1083</v>
      </c>
      <c r="I356" s="512">
        <v>7</v>
      </c>
      <c r="J356" s="512"/>
      <c r="K356" s="512" t="s">
        <v>1209</v>
      </c>
      <c r="L356" s="308"/>
      <c r="M356" s="308"/>
      <c r="N356" s="308"/>
      <c r="O356" s="308"/>
      <c r="P356" s="308"/>
      <c r="Q356" s="308"/>
      <c r="R356" s="308"/>
      <c r="S356" s="308"/>
      <c r="T356" s="308"/>
      <c r="U356" s="308"/>
      <c r="V356" s="308"/>
      <c r="W356" s="308"/>
      <c r="X356" s="308"/>
      <c r="Y356" s="308"/>
      <c r="Z356" s="308"/>
    </row>
    <row r="357" spans="1:26" ht="14.25" customHeight="1" x14ac:dyDescent="0.3">
      <c r="A357" s="475" t="s">
        <v>761</v>
      </c>
      <c r="B357" s="424" t="s">
        <v>1122</v>
      </c>
      <c r="C357" s="425" t="s">
        <v>1089</v>
      </c>
      <c r="D357" s="463" t="s">
        <v>1132</v>
      </c>
      <c r="E357" s="439">
        <v>20</v>
      </c>
      <c r="F357" s="428">
        <v>45912</v>
      </c>
      <c r="G357" s="423" t="s">
        <v>451</v>
      </c>
      <c r="H357" s="428" t="s">
        <v>1078</v>
      </c>
      <c r="I357" s="423" t="s">
        <v>451</v>
      </c>
      <c r="J357" s="423" t="s">
        <v>451</v>
      </c>
      <c r="K357" s="308"/>
      <c r="L357" s="308"/>
      <c r="M357" s="308"/>
      <c r="N357" s="308"/>
      <c r="O357" s="308"/>
      <c r="P357" s="308"/>
      <c r="Q357" s="308"/>
      <c r="R357" s="308"/>
      <c r="S357" s="308"/>
      <c r="T357" s="308"/>
      <c r="U357" s="308"/>
      <c r="V357" s="308"/>
      <c r="W357" s="308"/>
      <c r="X357" s="308"/>
      <c r="Y357" s="308"/>
      <c r="Z357" s="308"/>
    </row>
    <row r="358" spans="1:26" ht="14.25" customHeight="1" x14ac:dyDescent="0.3">
      <c r="A358" s="352" t="s">
        <v>761</v>
      </c>
      <c r="B358" s="433" t="s">
        <v>1142</v>
      </c>
      <c r="C358" s="352" t="s">
        <v>1089</v>
      </c>
      <c r="D358" s="531" t="s">
        <v>1114</v>
      </c>
      <c r="E358" s="308">
        <v>21</v>
      </c>
      <c r="F358" s="431">
        <v>45929</v>
      </c>
      <c r="G358" s="308"/>
      <c r="H358" s="435" t="s">
        <v>1083</v>
      </c>
      <c r="I358" s="308">
        <v>4</v>
      </c>
      <c r="J358" s="431">
        <v>45944</v>
      </c>
      <c r="K358" s="308"/>
      <c r="L358" s="308"/>
      <c r="M358" s="308"/>
      <c r="N358" s="308"/>
      <c r="O358" s="308"/>
      <c r="P358" s="308"/>
      <c r="Q358" s="308"/>
      <c r="R358" s="308"/>
      <c r="S358" s="308"/>
      <c r="T358" s="308"/>
      <c r="U358" s="308"/>
      <c r="V358" s="308"/>
      <c r="W358" s="308"/>
      <c r="X358" s="308"/>
      <c r="Y358" s="308"/>
      <c r="Z358" s="308"/>
    </row>
    <row r="359" spans="1:26" ht="14.25" customHeight="1" x14ac:dyDescent="0.3">
      <c r="A359" s="352" t="s">
        <v>765</v>
      </c>
      <c r="B359" s="424" t="s">
        <v>1122</v>
      </c>
      <c r="C359" s="425" t="s">
        <v>1089</v>
      </c>
      <c r="D359" s="441" t="s">
        <v>1088</v>
      </c>
      <c r="E359" s="427">
        <v>5</v>
      </c>
      <c r="F359" s="440">
        <v>45817</v>
      </c>
      <c r="G359" s="429" t="s">
        <v>451</v>
      </c>
      <c r="H359" s="428" t="s">
        <v>1078</v>
      </c>
      <c r="I359" s="429" t="s">
        <v>451</v>
      </c>
      <c r="J359" s="429" t="s">
        <v>451</v>
      </c>
      <c r="K359" s="308"/>
      <c r="L359" s="308"/>
      <c r="M359" s="308"/>
      <c r="N359" s="308"/>
      <c r="O359" s="308"/>
      <c r="P359" s="308"/>
      <c r="Q359" s="308"/>
      <c r="R359" s="308"/>
      <c r="S359" s="308"/>
      <c r="T359" s="308"/>
      <c r="U359" s="308"/>
      <c r="V359" s="308"/>
      <c r="W359" s="308"/>
      <c r="X359" s="308"/>
      <c r="Y359" s="308"/>
      <c r="Z359" s="308"/>
    </row>
    <row r="360" spans="1:26" ht="14.25" customHeight="1" x14ac:dyDescent="0.3">
      <c r="A360" s="352" t="s">
        <v>765</v>
      </c>
      <c r="B360" s="433" t="s">
        <v>1142</v>
      </c>
      <c r="C360" s="511" t="s">
        <v>1089</v>
      </c>
      <c r="D360" s="518" t="s">
        <v>1088</v>
      </c>
      <c r="E360" s="423">
        <v>23</v>
      </c>
      <c r="F360" s="428">
        <v>45938</v>
      </c>
      <c r="G360" s="308"/>
      <c r="H360" s="443" t="s">
        <v>1090</v>
      </c>
      <c r="I360" s="308"/>
      <c r="J360" s="308"/>
      <c r="K360" s="308"/>
      <c r="L360" s="308"/>
      <c r="M360" s="308"/>
      <c r="N360" s="308"/>
      <c r="O360" s="308"/>
      <c r="P360" s="308"/>
      <c r="Q360" s="308"/>
      <c r="R360" s="308"/>
      <c r="S360" s="308"/>
      <c r="T360" s="308"/>
      <c r="U360" s="308"/>
      <c r="V360" s="308"/>
      <c r="W360" s="308"/>
      <c r="X360" s="308"/>
      <c r="Y360" s="308"/>
      <c r="Z360" s="308"/>
    </row>
    <row r="361" spans="1:26" ht="14.25" customHeight="1" x14ac:dyDescent="0.3">
      <c r="A361" s="352" t="s">
        <v>767</v>
      </c>
      <c r="B361" s="424" t="s">
        <v>1122</v>
      </c>
      <c r="C361" s="352" t="s">
        <v>1089</v>
      </c>
      <c r="D361" s="326" t="s">
        <v>1088</v>
      </c>
      <c r="E361" s="423">
        <v>21</v>
      </c>
      <c r="F361" s="428">
        <v>45929</v>
      </c>
      <c r="G361" s="423" t="s">
        <v>451</v>
      </c>
      <c r="H361" s="462" t="s">
        <v>1131</v>
      </c>
      <c r="I361" s="423" t="s">
        <v>451</v>
      </c>
      <c r="J361" s="423" t="s">
        <v>451</v>
      </c>
      <c r="K361" s="308"/>
      <c r="L361" s="308"/>
      <c r="M361" s="308"/>
      <c r="N361" s="308"/>
      <c r="O361" s="308"/>
      <c r="P361" s="308"/>
      <c r="Q361" s="308"/>
      <c r="R361" s="308"/>
      <c r="S361" s="308"/>
      <c r="T361" s="308"/>
      <c r="U361" s="308"/>
      <c r="V361" s="308"/>
      <c r="W361" s="308"/>
      <c r="X361" s="308"/>
      <c r="Y361" s="308"/>
      <c r="Z361" s="308"/>
    </row>
    <row r="362" spans="1:26" ht="14.25" customHeight="1" x14ac:dyDescent="0.3">
      <c r="A362" s="474" t="s">
        <v>2230</v>
      </c>
      <c r="B362" s="418" t="s">
        <v>1122</v>
      </c>
      <c r="C362" s="447" t="s">
        <v>1144</v>
      </c>
      <c r="D362" s="447" t="s">
        <v>1235</v>
      </c>
      <c r="E362" s="447">
        <v>32</v>
      </c>
      <c r="F362" s="448">
        <v>45987</v>
      </c>
      <c r="G362" s="447"/>
      <c r="H362" s="447" t="s">
        <v>1078</v>
      </c>
      <c r="I362" s="447"/>
      <c r="J362" s="447"/>
      <c r="K362" s="447" t="s">
        <v>1236</v>
      </c>
      <c r="L362" s="308"/>
      <c r="M362" s="308"/>
      <c r="N362" s="308"/>
      <c r="O362" s="308"/>
      <c r="P362" s="308"/>
      <c r="Q362" s="308"/>
      <c r="R362" s="308"/>
      <c r="S362" s="308"/>
      <c r="T362" s="308"/>
      <c r="U362" s="308"/>
      <c r="V362" s="308"/>
      <c r="W362" s="308"/>
      <c r="X362" s="308"/>
      <c r="Y362" s="308"/>
      <c r="Z362" s="308"/>
    </row>
    <row r="363" spans="1:26" ht="14.25" customHeight="1" x14ac:dyDescent="0.3">
      <c r="A363" s="474" t="s">
        <v>2230</v>
      </c>
      <c r="B363" s="460" t="s">
        <v>1142</v>
      </c>
      <c r="C363" s="447" t="s">
        <v>1144</v>
      </c>
      <c r="D363" s="521" t="s">
        <v>1231</v>
      </c>
      <c r="E363" s="447">
        <v>36</v>
      </c>
      <c r="F363" s="448">
        <v>45994</v>
      </c>
      <c r="G363" s="447"/>
      <c r="H363" s="267" t="s">
        <v>1083</v>
      </c>
      <c r="I363" s="447">
        <v>6</v>
      </c>
      <c r="J363" s="447"/>
      <c r="K363" s="447" t="s">
        <v>1232</v>
      </c>
      <c r="L363" s="308"/>
      <c r="M363" s="308"/>
      <c r="N363" s="308"/>
      <c r="O363" s="308"/>
      <c r="P363" s="308"/>
      <c r="Q363" s="308"/>
      <c r="R363" s="308"/>
      <c r="S363" s="308"/>
      <c r="T363" s="308"/>
      <c r="U363" s="308"/>
      <c r="V363" s="308"/>
      <c r="W363" s="308"/>
      <c r="X363" s="308"/>
      <c r="Y363" s="308"/>
      <c r="Z363" s="308"/>
    </row>
    <row r="364" spans="1:26" ht="14.25" customHeight="1" x14ac:dyDescent="0.3">
      <c r="A364" s="352" t="s">
        <v>769</v>
      </c>
      <c r="B364" s="433" t="s">
        <v>1142</v>
      </c>
      <c r="C364" s="511" t="s">
        <v>1089</v>
      </c>
      <c r="D364" s="442" t="s">
        <v>1088</v>
      </c>
      <c r="E364" s="450">
        <v>13</v>
      </c>
      <c r="F364" s="451">
        <v>45824</v>
      </c>
      <c r="G364" s="428">
        <v>45905</v>
      </c>
      <c r="H364" s="443" t="s">
        <v>1090</v>
      </c>
      <c r="I364" s="308"/>
      <c r="J364" s="429"/>
      <c r="K364" s="308"/>
      <c r="L364" s="308"/>
      <c r="M364" s="308"/>
      <c r="N364" s="308"/>
      <c r="O364" s="308"/>
      <c r="P364" s="308"/>
      <c r="Q364" s="308"/>
      <c r="R364" s="308"/>
      <c r="S364" s="308"/>
      <c r="T364" s="308"/>
      <c r="U364" s="308"/>
      <c r="V364" s="308"/>
      <c r="W364" s="308"/>
      <c r="X364" s="308"/>
      <c r="Y364" s="308"/>
      <c r="Z364" s="308"/>
    </row>
    <row r="365" spans="1:26" ht="14.25" customHeight="1" x14ac:dyDescent="0.3">
      <c r="A365" s="352" t="s">
        <v>770</v>
      </c>
      <c r="B365" s="433" t="s">
        <v>1142</v>
      </c>
      <c r="C365" s="352" t="s">
        <v>1089</v>
      </c>
      <c r="D365" s="517" t="s">
        <v>1088</v>
      </c>
      <c r="E365" s="423">
        <v>21</v>
      </c>
      <c r="F365" s="428">
        <v>45929</v>
      </c>
      <c r="H365" s="443" t="s">
        <v>1090</v>
      </c>
      <c r="I365" s="308"/>
      <c r="J365" s="429"/>
      <c r="K365" s="308"/>
      <c r="L365" s="308"/>
      <c r="M365" s="308"/>
      <c r="N365" s="308"/>
      <c r="O365" s="308"/>
      <c r="P365" s="308"/>
      <c r="Q365" s="308"/>
      <c r="R365" s="308"/>
      <c r="S365" s="308"/>
      <c r="T365" s="308"/>
      <c r="U365" s="308"/>
      <c r="V365" s="308"/>
      <c r="W365" s="308"/>
      <c r="X365" s="308"/>
      <c r="Y365" s="308"/>
      <c r="Z365" s="308"/>
    </row>
    <row r="366" spans="1:26" ht="14.25" customHeight="1" x14ac:dyDescent="0.3">
      <c r="A366" s="352" t="s">
        <v>2253</v>
      </c>
      <c r="B366" s="433" t="s">
        <v>1142</v>
      </c>
      <c r="C366" s="352" t="s">
        <v>1089</v>
      </c>
      <c r="D366" s="519" t="s">
        <v>1088</v>
      </c>
      <c r="E366" s="308">
        <v>21</v>
      </c>
      <c r="F366" s="431">
        <v>45929</v>
      </c>
      <c r="G366" s="308"/>
      <c r="H366" s="435" t="s">
        <v>1083</v>
      </c>
      <c r="I366" s="308">
        <v>4</v>
      </c>
      <c r="J366" s="431">
        <v>45944</v>
      </c>
      <c r="K366" s="308"/>
      <c r="L366" s="308"/>
      <c r="M366" s="308"/>
      <c r="N366" s="308"/>
      <c r="O366" s="308"/>
      <c r="P366" s="308"/>
      <c r="Q366" s="308"/>
      <c r="R366" s="308"/>
      <c r="S366" s="308"/>
      <c r="T366" s="308"/>
      <c r="U366" s="308"/>
      <c r="V366" s="308"/>
      <c r="W366" s="308"/>
      <c r="X366" s="308"/>
      <c r="Y366" s="308"/>
      <c r="Z366" s="308"/>
    </row>
    <row r="367" spans="1:26" ht="14.25" customHeight="1" x14ac:dyDescent="0.3">
      <c r="A367" s="352" t="s">
        <v>774</v>
      </c>
      <c r="B367" s="433" t="s">
        <v>1142</v>
      </c>
      <c r="C367" s="352" t="s">
        <v>1089</v>
      </c>
      <c r="D367" s="517" t="s">
        <v>1088</v>
      </c>
      <c r="E367" s="423">
        <v>21</v>
      </c>
      <c r="F367" s="428">
        <v>45929</v>
      </c>
      <c r="G367" s="308"/>
      <c r="H367" s="443" t="s">
        <v>1090</v>
      </c>
      <c r="I367" s="308"/>
      <c r="J367" s="308"/>
      <c r="K367" s="308"/>
      <c r="L367" s="308"/>
      <c r="M367" s="308"/>
      <c r="N367" s="308"/>
      <c r="O367" s="308"/>
      <c r="P367" s="308"/>
      <c r="Q367" s="308"/>
      <c r="R367" s="308"/>
      <c r="S367" s="308"/>
      <c r="T367" s="308"/>
      <c r="U367" s="308"/>
      <c r="V367" s="308"/>
      <c r="W367" s="308"/>
      <c r="X367" s="308"/>
      <c r="Y367" s="308"/>
      <c r="Z367" s="308"/>
    </row>
    <row r="368" spans="1:26" ht="0.6" customHeight="1" x14ac:dyDescent="0.3">
      <c r="A368" s="505" t="s">
        <v>776</v>
      </c>
      <c r="B368" s="433" t="s">
        <v>1142</v>
      </c>
      <c r="C368" s="308" t="s">
        <v>1144</v>
      </c>
      <c r="D368" s="528" t="s">
        <v>1091</v>
      </c>
      <c r="E368" s="308">
        <v>28</v>
      </c>
      <c r="F368" s="431">
        <v>45958</v>
      </c>
      <c r="G368" s="308"/>
      <c r="H368" s="267" t="s">
        <v>1083</v>
      </c>
      <c r="I368" s="267">
        <v>7</v>
      </c>
      <c r="J368" s="267"/>
      <c r="K368" s="267"/>
      <c r="L368" s="308"/>
      <c r="M368" s="308"/>
      <c r="N368" s="308"/>
      <c r="O368" s="308"/>
      <c r="P368" s="308"/>
      <c r="Q368" s="308"/>
      <c r="R368" s="308"/>
      <c r="S368" s="308"/>
      <c r="T368" s="308"/>
      <c r="U368" s="308"/>
      <c r="V368" s="308"/>
      <c r="W368" s="308"/>
      <c r="X368" s="308"/>
      <c r="Y368" s="308"/>
      <c r="Z368" s="308"/>
    </row>
    <row r="369" spans="1:26" ht="14.25" customHeight="1" x14ac:dyDescent="0.3">
      <c r="A369" s="474" t="s">
        <v>778</v>
      </c>
      <c r="B369" s="418" t="s">
        <v>1122</v>
      </c>
      <c r="C369" s="447" t="s">
        <v>1144</v>
      </c>
      <c r="D369" s="447" t="s">
        <v>1235</v>
      </c>
      <c r="E369" s="447">
        <v>32</v>
      </c>
      <c r="F369" s="448">
        <v>45987</v>
      </c>
      <c r="G369" s="447"/>
      <c r="H369" s="447" t="s">
        <v>1078</v>
      </c>
      <c r="I369" s="447"/>
      <c r="J369" s="447"/>
      <c r="K369" s="447" t="s">
        <v>1236</v>
      </c>
      <c r="L369" s="308"/>
      <c r="M369" s="308"/>
      <c r="N369" s="308"/>
      <c r="O369" s="308"/>
      <c r="P369" s="308"/>
      <c r="Q369" s="308"/>
      <c r="R369" s="308"/>
      <c r="S369" s="308"/>
      <c r="T369" s="308"/>
      <c r="U369" s="308"/>
      <c r="V369" s="308"/>
      <c r="W369" s="308"/>
      <c r="X369" s="308"/>
      <c r="Y369" s="308"/>
      <c r="Z369" s="308"/>
    </row>
    <row r="370" spans="1:26" ht="14.25" customHeight="1" x14ac:dyDescent="0.3">
      <c r="A370" s="474" t="s">
        <v>778</v>
      </c>
      <c r="B370" s="460" t="s">
        <v>1142</v>
      </c>
      <c r="C370" s="447" t="s">
        <v>1144</v>
      </c>
      <c r="D370" s="521" t="s">
        <v>1231</v>
      </c>
      <c r="E370" s="447">
        <v>36</v>
      </c>
      <c r="F370" s="448">
        <v>45994</v>
      </c>
      <c r="G370" s="447"/>
      <c r="H370" s="267" t="s">
        <v>1083</v>
      </c>
      <c r="I370" s="447">
        <v>6</v>
      </c>
      <c r="J370" s="447"/>
      <c r="K370" s="447" t="s">
        <v>1232</v>
      </c>
      <c r="L370" s="308"/>
      <c r="M370" s="308"/>
      <c r="N370" s="308"/>
      <c r="O370" s="308"/>
      <c r="P370" s="308"/>
      <c r="Q370" s="308"/>
      <c r="R370" s="308"/>
      <c r="S370" s="308"/>
      <c r="T370" s="308"/>
      <c r="U370" s="308"/>
      <c r="V370" s="308"/>
      <c r="W370" s="308"/>
      <c r="X370" s="308"/>
      <c r="Y370" s="308"/>
      <c r="Z370" s="308"/>
    </row>
    <row r="371" spans="1:26" ht="14.25" customHeight="1" x14ac:dyDescent="0.3">
      <c r="A371" s="474" t="s">
        <v>2231</v>
      </c>
      <c r="B371" s="418" t="s">
        <v>1122</v>
      </c>
      <c r="C371" s="447" t="s">
        <v>1144</v>
      </c>
      <c r="D371" s="447" t="s">
        <v>1235</v>
      </c>
      <c r="E371" s="447">
        <v>32</v>
      </c>
      <c r="F371" s="448">
        <v>45987</v>
      </c>
      <c r="G371" s="447"/>
      <c r="H371" s="447" t="s">
        <v>1078</v>
      </c>
      <c r="I371" s="447"/>
      <c r="J371" s="447"/>
      <c r="K371" s="447" t="s">
        <v>1236</v>
      </c>
      <c r="L371" s="308"/>
      <c r="M371" s="308"/>
      <c r="N371" s="308"/>
      <c r="O371" s="308"/>
      <c r="P371" s="308"/>
      <c r="Q371" s="308"/>
      <c r="R371" s="308"/>
      <c r="S371" s="308"/>
      <c r="T371" s="308"/>
      <c r="U371" s="308"/>
      <c r="V371" s="308"/>
      <c r="W371" s="308"/>
      <c r="X371" s="308"/>
      <c r="Y371" s="308"/>
      <c r="Z371" s="308"/>
    </row>
    <row r="372" spans="1:26" ht="14.25" customHeight="1" x14ac:dyDescent="0.3">
      <c r="A372" s="474" t="s">
        <v>2231</v>
      </c>
      <c r="B372" s="460" t="s">
        <v>1142</v>
      </c>
      <c r="C372" s="447" t="s">
        <v>1144</v>
      </c>
      <c r="D372" s="521" t="s">
        <v>1231</v>
      </c>
      <c r="E372" s="447">
        <v>36</v>
      </c>
      <c r="F372" s="448">
        <v>45994</v>
      </c>
      <c r="G372" s="447"/>
      <c r="H372" s="267" t="s">
        <v>1083</v>
      </c>
      <c r="I372" s="447">
        <v>6</v>
      </c>
      <c r="J372" s="447"/>
      <c r="K372" s="447" t="s">
        <v>1232</v>
      </c>
      <c r="L372" s="308"/>
      <c r="M372" s="308"/>
      <c r="N372" s="308"/>
      <c r="O372" s="308"/>
      <c r="P372" s="308"/>
      <c r="Q372" s="308"/>
      <c r="R372" s="308"/>
      <c r="S372" s="308"/>
      <c r="T372" s="308"/>
      <c r="U372" s="308"/>
      <c r="V372" s="308"/>
      <c r="W372" s="308"/>
      <c r="X372" s="308"/>
      <c r="Y372" s="308"/>
      <c r="Z372" s="308"/>
    </row>
    <row r="373" spans="1:26" ht="14.25" customHeight="1" x14ac:dyDescent="0.3">
      <c r="A373" s="352" t="s">
        <v>782</v>
      </c>
      <c r="B373" s="433" t="s">
        <v>1142</v>
      </c>
      <c r="C373" s="511" t="s">
        <v>1089</v>
      </c>
      <c r="D373" s="442" t="s">
        <v>1088</v>
      </c>
      <c r="E373" s="450">
        <v>8</v>
      </c>
      <c r="F373" s="451">
        <v>45824</v>
      </c>
      <c r="G373" s="428">
        <v>45905</v>
      </c>
      <c r="H373" s="435" t="s">
        <v>1083</v>
      </c>
      <c r="I373" s="427">
        <v>3</v>
      </c>
      <c r="J373" s="428">
        <v>45910</v>
      </c>
      <c r="K373" s="308"/>
      <c r="L373" s="308"/>
      <c r="M373" s="308"/>
      <c r="N373" s="308"/>
      <c r="O373" s="308"/>
      <c r="P373" s="308"/>
      <c r="Q373" s="308"/>
      <c r="R373" s="308"/>
      <c r="S373" s="308"/>
      <c r="T373" s="308"/>
      <c r="U373" s="308"/>
      <c r="V373" s="308"/>
      <c r="W373" s="308"/>
      <c r="X373" s="308"/>
      <c r="Y373" s="308"/>
      <c r="Z373" s="308"/>
    </row>
    <row r="374" spans="1:26" s="445" customFormat="1" ht="14.25" customHeight="1" x14ac:dyDescent="0.3">
      <c r="A374" s="352" t="s">
        <v>783</v>
      </c>
      <c r="B374" s="424" t="s">
        <v>1122</v>
      </c>
      <c r="C374" s="425" t="s">
        <v>1089</v>
      </c>
      <c r="D374" s="441" t="s">
        <v>1088</v>
      </c>
      <c r="E374" s="427">
        <v>5</v>
      </c>
      <c r="F374" s="440">
        <v>45817</v>
      </c>
      <c r="G374" s="423" t="s">
        <v>451</v>
      </c>
      <c r="H374" s="461" t="s">
        <v>1131</v>
      </c>
      <c r="I374" s="423" t="s">
        <v>451</v>
      </c>
      <c r="J374" s="423" t="s">
        <v>451</v>
      </c>
      <c r="K374" s="308"/>
      <c r="L374" s="267"/>
      <c r="M374" s="267"/>
      <c r="N374" s="267"/>
      <c r="O374" s="267"/>
      <c r="P374" s="267"/>
      <c r="Q374" s="267"/>
      <c r="R374" s="267"/>
      <c r="S374" s="267"/>
      <c r="T374" s="267"/>
      <c r="U374" s="267"/>
      <c r="V374" s="267"/>
      <c r="W374" s="267"/>
      <c r="X374" s="267"/>
      <c r="Y374" s="267"/>
      <c r="Z374" s="267"/>
    </row>
    <row r="375" spans="1:26" ht="14.25" customHeight="1" x14ac:dyDescent="0.3">
      <c r="A375" s="486" t="s">
        <v>785</v>
      </c>
      <c r="B375" s="411" t="s">
        <v>1122</v>
      </c>
      <c r="C375" s="425" t="s">
        <v>1076</v>
      </c>
      <c r="D375" s="438" t="s">
        <v>1086</v>
      </c>
      <c r="E375" s="308">
        <v>26</v>
      </c>
      <c r="F375" s="431">
        <v>45958</v>
      </c>
      <c r="G375" s="308"/>
      <c r="H375" s="428" t="s">
        <v>1078</v>
      </c>
      <c r="I375" s="308"/>
      <c r="J375" s="308"/>
      <c r="K375" s="308"/>
      <c r="L375" s="308"/>
      <c r="M375" s="308"/>
      <c r="N375" s="308"/>
      <c r="O375" s="308"/>
      <c r="P375" s="308"/>
      <c r="Q375" s="308"/>
      <c r="R375" s="308"/>
      <c r="S375" s="308"/>
      <c r="T375" s="308"/>
      <c r="U375" s="308"/>
      <c r="V375" s="308"/>
      <c r="W375" s="308"/>
      <c r="X375" s="308"/>
      <c r="Y375" s="308"/>
      <c r="Z375" s="308"/>
    </row>
    <row r="376" spans="1:26" ht="14.25" customHeight="1" x14ac:dyDescent="0.3">
      <c r="A376" s="352" t="s">
        <v>785</v>
      </c>
      <c r="B376" s="424" t="s">
        <v>1122</v>
      </c>
      <c r="C376" s="425" t="s">
        <v>1089</v>
      </c>
      <c r="D376" s="441" t="s">
        <v>1088</v>
      </c>
      <c r="E376" s="450">
        <v>13</v>
      </c>
      <c r="F376" s="451">
        <v>45824</v>
      </c>
      <c r="G376" s="429" t="s">
        <v>451</v>
      </c>
      <c r="H376" s="461" t="s">
        <v>1131</v>
      </c>
      <c r="I376" s="423" t="s">
        <v>451</v>
      </c>
      <c r="J376" s="429" t="s">
        <v>451</v>
      </c>
      <c r="K376" s="308"/>
      <c r="L376" s="308"/>
      <c r="M376" s="308"/>
      <c r="N376" s="308"/>
      <c r="O376" s="308"/>
      <c r="P376" s="308"/>
      <c r="Q376" s="308"/>
      <c r="R376" s="308"/>
      <c r="S376" s="308"/>
      <c r="T376" s="308"/>
      <c r="U376" s="308"/>
      <c r="V376" s="308"/>
      <c r="W376" s="308"/>
      <c r="X376" s="308"/>
      <c r="Y376" s="308"/>
      <c r="Z376" s="308"/>
    </row>
    <row r="377" spans="1:26" ht="14.25" customHeight="1" x14ac:dyDescent="0.3">
      <c r="A377" s="352" t="s">
        <v>785</v>
      </c>
      <c r="B377" s="430" t="s">
        <v>1122</v>
      </c>
      <c r="C377" s="425" t="s">
        <v>1089</v>
      </c>
      <c r="D377" s="423" t="s">
        <v>1088</v>
      </c>
      <c r="E377" s="423">
        <v>23</v>
      </c>
      <c r="F377" s="428">
        <v>45938</v>
      </c>
      <c r="G377" s="423" t="s">
        <v>451</v>
      </c>
      <c r="H377" s="428" t="s">
        <v>1078</v>
      </c>
      <c r="I377" s="423" t="s">
        <v>451</v>
      </c>
      <c r="J377" s="429" t="s">
        <v>451</v>
      </c>
      <c r="K377" s="308"/>
      <c r="L377" s="308"/>
      <c r="M377" s="308"/>
      <c r="N377" s="308"/>
      <c r="O377" s="308"/>
      <c r="P377" s="308"/>
      <c r="Q377" s="308"/>
      <c r="R377" s="308"/>
      <c r="S377" s="308"/>
      <c r="T377" s="308"/>
      <c r="U377" s="308"/>
      <c r="V377" s="308"/>
      <c r="W377" s="308"/>
      <c r="X377" s="308"/>
      <c r="Y377" s="308"/>
      <c r="Z377" s="308"/>
    </row>
    <row r="378" spans="1:26" ht="14.25" customHeight="1" x14ac:dyDescent="0.3">
      <c r="A378" s="474" t="s">
        <v>786</v>
      </c>
      <c r="B378" s="418" t="s">
        <v>1122</v>
      </c>
      <c r="C378" s="447" t="s">
        <v>1144</v>
      </c>
      <c r="D378" s="447" t="s">
        <v>1235</v>
      </c>
      <c r="E378" s="447">
        <v>32</v>
      </c>
      <c r="F378" s="448">
        <v>45987</v>
      </c>
      <c r="G378" s="447"/>
      <c r="H378" s="447" t="s">
        <v>1078</v>
      </c>
      <c r="I378" s="447"/>
      <c r="J378" s="447"/>
      <c r="K378" s="447" t="s">
        <v>1236</v>
      </c>
      <c r="L378" s="308"/>
      <c r="M378" s="308"/>
      <c r="N378" s="308"/>
      <c r="O378" s="308"/>
      <c r="P378" s="308"/>
      <c r="Q378" s="308"/>
      <c r="R378" s="308"/>
      <c r="S378" s="308"/>
      <c r="T378" s="308"/>
      <c r="U378" s="308"/>
      <c r="V378" s="308"/>
      <c r="W378" s="308"/>
      <c r="X378" s="308"/>
      <c r="Y378" s="308"/>
      <c r="Z378" s="308"/>
    </row>
    <row r="379" spans="1:26" ht="14.25" customHeight="1" x14ac:dyDescent="0.3">
      <c r="A379" s="474" t="s">
        <v>786</v>
      </c>
      <c r="B379" s="460" t="s">
        <v>1142</v>
      </c>
      <c r="C379" s="447" t="s">
        <v>1144</v>
      </c>
      <c r="D379" s="521" t="s">
        <v>1231</v>
      </c>
      <c r="E379" s="447">
        <v>36</v>
      </c>
      <c r="F379" s="448">
        <v>45994</v>
      </c>
      <c r="G379" s="447"/>
      <c r="H379" s="267" t="s">
        <v>1083</v>
      </c>
      <c r="I379" s="447">
        <v>6</v>
      </c>
      <c r="J379" s="447"/>
      <c r="K379" s="447" t="s">
        <v>1232</v>
      </c>
      <c r="L379" s="308"/>
      <c r="M379" s="308"/>
      <c r="N379" s="308"/>
      <c r="O379" s="308"/>
      <c r="P379" s="308"/>
      <c r="Q379" s="308"/>
      <c r="R379" s="308"/>
      <c r="S379" s="308"/>
      <c r="T379" s="308"/>
      <c r="U379" s="308"/>
      <c r="V379" s="308"/>
      <c r="W379" s="308"/>
      <c r="X379" s="308"/>
      <c r="Y379" s="308"/>
      <c r="Z379" s="308"/>
    </row>
    <row r="380" spans="1:26" ht="14.25" customHeight="1" x14ac:dyDescent="0.3">
      <c r="A380" s="474" t="s">
        <v>787</v>
      </c>
      <c r="B380" s="268" t="s">
        <v>1122</v>
      </c>
      <c r="C380" s="447"/>
      <c r="D380" s="447" t="s">
        <v>1231</v>
      </c>
      <c r="E380" s="447">
        <v>36</v>
      </c>
      <c r="F380" s="448">
        <v>45994</v>
      </c>
      <c r="G380" s="447"/>
      <c r="H380" s="447" t="s">
        <v>1128</v>
      </c>
      <c r="I380" s="447"/>
      <c r="J380" s="447"/>
      <c r="K380" s="447" t="s">
        <v>1232</v>
      </c>
      <c r="L380" s="308"/>
      <c r="M380" s="308"/>
      <c r="N380" s="308"/>
      <c r="O380" s="308"/>
      <c r="P380" s="308"/>
      <c r="Q380" s="308"/>
      <c r="R380" s="308"/>
      <c r="S380" s="308"/>
      <c r="T380" s="308"/>
      <c r="U380" s="308"/>
      <c r="V380" s="308"/>
      <c r="W380" s="308"/>
      <c r="X380" s="308"/>
      <c r="Y380" s="308"/>
      <c r="Z380" s="308"/>
    </row>
    <row r="381" spans="1:26" ht="14.25" customHeight="1" x14ac:dyDescent="0.3">
      <c r="A381" s="421" t="s">
        <v>787</v>
      </c>
      <c r="B381" s="424" t="s">
        <v>1122</v>
      </c>
      <c r="C381" s="425" t="s">
        <v>1104</v>
      </c>
      <c r="D381" s="425" t="s">
        <v>1114</v>
      </c>
      <c r="E381" s="427">
        <v>11</v>
      </c>
      <c r="F381" s="428">
        <v>45824</v>
      </c>
      <c r="G381" s="429" t="s">
        <v>451</v>
      </c>
      <c r="H381" s="461" t="s">
        <v>1107</v>
      </c>
      <c r="I381" s="423" t="s">
        <v>451</v>
      </c>
      <c r="J381" s="429" t="s">
        <v>451</v>
      </c>
      <c r="K381" s="308"/>
      <c r="L381" s="308"/>
      <c r="M381" s="308"/>
      <c r="N381" s="308"/>
      <c r="O381" s="308"/>
      <c r="P381" s="308"/>
      <c r="Q381" s="308"/>
      <c r="R381" s="308"/>
      <c r="S381" s="308"/>
      <c r="T381" s="308"/>
      <c r="U381" s="308"/>
      <c r="V381" s="308"/>
      <c r="W381" s="308"/>
      <c r="X381" s="308"/>
      <c r="Y381" s="308"/>
      <c r="Z381" s="308"/>
    </row>
    <row r="382" spans="1:26" ht="14.25" customHeight="1" x14ac:dyDescent="0.3">
      <c r="A382" s="352" t="s">
        <v>788</v>
      </c>
      <c r="B382" s="433" t="s">
        <v>1142</v>
      </c>
      <c r="C382" s="511" t="s">
        <v>1089</v>
      </c>
      <c r="D382" s="529" t="s">
        <v>1086</v>
      </c>
      <c r="E382" s="537">
        <v>20</v>
      </c>
      <c r="F382" s="524">
        <v>45912</v>
      </c>
      <c r="G382" s="308"/>
      <c r="H382" s="417" t="s">
        <v>1107</v>
      </c>
      <c r="I382" s="308"/>
      <c r="J382" s="308"/>
      <c r="K382" s="308"/>
      <c r="L382" s="308"/>
      <c r="M382" s="308"/>
      <c r="N382" s="308"/>
      <c r="O382" s="308"/>
      <c r="P382" s="308"/>
      <c r="Q382" s="308"/>
      <c r="R382" s="308"/>
      <c r="S382" s="308"/>
      <c r="T382" s="308"/>
      <c r="U382" s="308"/>
      <c r="V382" s="308"/>
      <c r="W382" s="308"/>
      <c r="X382" s="308"/>
      <c r="Y382" s="308"/>
      <c r="Z382" s="308"/>
    </row>
    <row r="383" spans="1:26" ht="14.25" customHeight="1" x14ac:dyDescent="0.3">
      <c r="A383" s="421" t="s">
        <v>1894</v>
      </c>
      <c r="B383" s="433" t="s">
        <v>1142</v>
      </c>
      <c r="C383" s="511" t="s">
        <v>1104</v>
      </c>
      <c r="D383" s="529" t="s">
        <v>1086</v>
      </c>
      <c r="E383" s="525">
        <v>11</v>
      </c>
      <c r="F383" s="524">
        <v>45824</v>
      </c>
      <c r="G383" s="524">
        <v>45905</v>
      </c>
      <c r="H383" s="435" t="s">
        <v>1083</v>
      </c>
      <c r="I383" s="427">
        <v>2</v>
      </c>
      <c r="J383" s="428">
        <v>45910</v>
      </c>
      <c r="K383" s="308"/>
      <c r="L383" s="308"/>
      <c r="M383" s="308"/>
      <c r="N383" s="308"/>
      <c r="O383" s="308"/>
      <c r="P383" s="308"/>
      <c r="Q383" s="308"/>
      <c r="R383" s="308"/>
      <c r="S383" s="308"/>
      <c r="T383" s="308"/>
      <c r="U383" s="308"/>
      <c r="V383" s="308"/>
      <c r="W383" s="308"/>
      <c r="X383" s="308"/>
      <c r="Y383" s="308"/>
      <c r="Z383" s="308"/>
    </row>
    <row r="384" spans="1:26" ht="14.25" customHeight="1" x14ac:dyDescent="0.3">
      <c r="A384" s="466" t="s">
        <v>2244</v>
      </c>
      <c r="B384" s="433" t="s">
        <v>1142</v>
      </c>
      <c r="C384" s="425" t="s">
        <v>1089</v>
      </c>
      <c r="D384" s="544" t="s">
        <v>1082</v>
      </c>
      <c r="E384" s="427">
        <v>11</v>
      </c>
      <c r="F384" s="428">
        <v>45824</v>
      </c>
      <c r="G384" s="428">
        <v>45905</v>
      </c>
      <c r="H384" s="435" t="s">
        <v>1083</v>
      </c>
      <c r="I384" s="427">
        <v>3</v>
      </c>
      <c r="J384" s="428">
        <v>45910</v>
      </c>
      <c r="K384" s="308"/>
      <c r="L384" s="308"/>
      <c r="M384" s="308"/>
      <c r="N384" s="308"/>
      <c r="O384" s="308"/>
      <c r="P384" s="308"/>
      <c r="Q384" s="308"/>
      <c r="R384" s="308"/>
      <c r="S384" s="308"/>
      <c r="T384" s="308"/>
      <c r="U384" s="308"/>
      <c r="V384" s="308"/>
      <c r="W384" s="308"/>
      <c r="X384" s="308"/>
      <c r="Y384" s="308"/>
      <c r="Z384" s="308"/>
    </row>
    <row r="385" spans="1:26" ht="14.25" customHeight="1" x14ac:dyDescent="0.3">
      <c r="A385" s="466" t="s">
        <v>800</v>
      </c>
      <c r="B385" s="467" t="s">
        <v>1142</v>
      </c>
      <c r="C385" s="523" t="s">
        <v>1093</v>
      </c>
      <c r="D385" s="522" t="s">
        <v>1100</v>
      </c>
      <c r="E385" s="525">
        <v>19</v>
      </c>
      <c r="F385" s="524">
        <v>45865</v>
      </c>
      <c r="G385" s="524">
        <v>45848</v>
      </c>
      <c r="H385" s="435" t="s">
        <v>1083</v>
      </c>
      <c r="I385" s="427">
        <v>2</v>
      </c>
      <c r="J385" s="428">
        <v>45910</v>
      </c>
      <c r="K385" s="308"/>
      <c r="L385" s="308"/>
      <c r="M385" s="308"/>
      <c r="N385" s="308"/>
      <c r="O385" s="308"/>
      <c r="P385" s="308"/>
      <c r="Q385" s="308"/>
      <c r="R385" s="308"/>
      <c r="S385" s="308"/>
      <c r="T385" s="308"/>
      <c r="U385" s="308"/>
      <c r="V385" s="308"/>
      <c r="W385" s="308"/>
      <c r="X385" s="308"/>
      <c r="Y385" s="308"/>
      <c r="Z385" s="308"/>
    </row>
    <row r="386" spans="1:26" ht="14.25" customHeight="1" x14ac:dyDescent="0.3">
      <c r="A386" s="352" t="s">
        <v>800</v>
      </c>
      <c r="B386" s="433" t="s">
        <v>1142</v>
      </c>
      <c r="C386" s="511" t="s">
        <v>1089</v>
      </c>
      <c r="D386" s="442" t="s">
        <v>1088</v>
      </c>
      <c r="E386" s="450">
        <v>19</v>
      </c>
      <c r="F386" s="428">
        <v>45865</v>
      </c>
      <c r="G386" s="428">
        <v>45905</v>
      </c>
      <c r="H386" s="443" t="s">
        <v>1090</v>
      </c>
      <c r="I386" s="308"/>
      <c r="J386" s="308"/>
      <c r="K386" s="308"/>
      <c r="L386" s="308"/>
      <c r="M386" s="308"/>
      <c r="N386" s="308"/>
      <c r="O386" s="308"/>
      <c r="P386" s="308"/>
      <c r="Q386" s="308"/>
      <c r="R386" s="308"/>
      <c r="S386" s="308"/>
      <c r="T386" s="308"/>
      <c r="U386" s="308"/>
      <c r="V386" s="308"/>
      <c r="W386" s="308"/>
      <c r="X386" s="308"/>
      <c r="Y386" s="308"/>
      <c r="Z386" s="308"/>
    </row>
    <row r="387" spans="1:26" ht="14.25" customHeight="1" x14ac:dyDescent="0.3">
      <c r="A387" s="487" t="s">
        <v>801</v>
      </c>
      <c r="B387" s="469" t="s">
        <v>1122</v>
      </c>
      <c r="C387" s="468" t="s">
        <v>1089</v>
      </c>
      <c r="D387" s="441" t="s">
        <v>1088</v>
      </c>
      <c r="E387" s="450">
        <v>8</v>
      </c>
      <c r="F387" s="451">
        <v>45824</v>
      </c>
      <c r="G387" s="429" t="s">
        <v>451</v>
      </c>
      <c r="H387" s="443" t="s">
        <v>1090</v>
      </c>
      <c r="I387" s="423" t="s">
        <v>451</v>
      </c>
      <c r="J387" s="429" t="s">
        <v>451</v>
      </c>
      <c r="K387" s="308"/>
      <c r="L387" s="308"/>
      <c r="M387" s="308"/>
      <c r="N387" s="308"/>
      <c r="O387" s="308"/>
      <c r="P387" s="308"/>
      <c r="Q387" s="308"/>
      <c r="R387" s="308"/>
      <c r="S387" s="308"/>
      <c r="T387" s="308"/>
      <c r="U387" s="308"/>
      <c r="V387" s="308"/>
      <c r="W387" s="308"/>
      <c r="X387" s="308"/>
      <c r="Y387" s="308"/>
      <c r="Z387" s="308"/>
    </row>
    <row r="388" spans="1:26" ht="14.25" customHeight="1" x14ac:dyDescent="0.3">
      <c r="A388" s="352" t="s">
        <v>802</v>
      </c>
      <c r="B388" s="433" t="s">
        <v>1142</v>
      </c>
      <c r="C388" s="511" t="s">
        <v>1089</v>
      </c>
      <c r="D388" s="529" t="s">
        <v>1086</v>
      </c>
      <c r="E388" s="537">
        <v>20</v>
      </c>
      <c r="F388" s="524">
        <v>45912</v>
      </c>
      <c r="G388" s="539"/>
      <c r="H388" s="443" t="s">
        <v>1090</v>
      </c>
      <c r="I388" s="308"/>
      <c r="J388" s="429"/>
      <c r="K388" s="308"/>
      <c r="L388" s="308"/>
      <c r="M388" s="308"/>
      <c r="N388" s="308"/>
      <c r="O388" s="308"/>
      <c r="P388" s="308"/>
      <c r="Q388" s="308"/>
      <c r="R388" s="308"/>
      <c r="S388" s="308"/>
      <c r="T388" s="308"/>
      <c r="U388" s="308"/>
      <c r="V388" s="308"/>
      <c r="W388" s="308"/>
      <c r="X388" s="308"/>
      <c r="Y388" s="308"/>
      <c r="Z388" s="308"/>
    </row>
    <row r="389" spans="1:26" ht="14.25" customHeight="1" x14ac:dyDescent="0.3">
      <c r="A389" s="352" t="s">
        <v>805</v>
      </c>
      <c r="B389" s="433" t="s">
        <v>1142</v>
      </c>
      <c r="C389" s="511" t="s">
        <v>1089</v>
      </c>
      <c r="D389" s="529" t="s">
        <v>1086</v>
      </c>
      <c r="E389" s="537">
        <v>20</v>
      </c>
      <c r="F389" s="524">
        <v>45912</v>
      </c>
      <c r="G389" s="539"/>
      <c r="H389" s="443" t="s">
        <v>1090</v>
      </c>
      <c r="I389" s="308"/>
      <c r="J389" s="429"/>
      <c r="K389" s="308"/>
      <c r="L389" s="308"/>
      <c r="M389" s="308"/>
      <c r="N389" s="308"/>
      <c r="O389" s="308"/>
      <c r="P389" s="308"/>
      <c r="Q389" s="308"/>
      <c r="R389" s="308"/>
      <c r="S389" s="308"/>
      <c r="T389" s="308"/>
      <c r="U389" s="308"/>
      <c r="V389" s="308"/>
      <c r="W389" s="308"/>
      <c r="X389" s="308"/>
      <c r="Y389" s="308"/>
      <c r="Z389" s="308"/>
    </row>
    <row r="390" spans="1:26" ht="14.25" customHeight="1" x14ac:dyDescent="0.3">
      <c r="A390" s="352" t="s">
        <v>809</v>
      </c>
      <c r="B390" s="433" t="s">
        <v>1142</v>
      </c>
      <c r="C390" s="352" t="s">
        <v>1089</v>
      </c>
      <c r="D390" s="530" t="s">
        <v>1086</v>
      </c>
      <c r="E390" s="453">
        <v>20</v>
      </c>
      <c r="F390" s="431">
        <v>45912</v>
      </c>
      <c r="G390" s="308"/>
      <c r="H390" s="435" t="s">
        <v>1083</v>
      </c>
      <c r="I390" s="308">
        <v>4</v>
      </c>
      <c r="J390" s="431">
        <v>45944</v>
      </c>
      <c r="K390" s="308"/>
      <c r="L390" s="308"/>
      <c r="M390" s="308"/>
      <c r="N390" s="308"/>
      <c r="O390" s="308"/>
      <c r="P390" s="308"/>
      <c r="Q390" s="308"/>
      <c r="R390" s="308"/>
      <c r="S390" s="308"/>
      <c r="T390" s="308"/>
      <c r="U390" s="308"/>
      <c r="V390" s="308"/>
      <c r="W390" s="308"/>
      <c r="X390" s="308"/>
      <c r="Y390" s="308"/>
      <c r="Z390" s="308"/>
    </row>
    <row r="391" spans="1:26" ht="14.25" customHeight="1" x14ac:dyDescent="0.3">
      <c r="A391" s="352" t="s">
        <v>1050</v>
      </c>
      <c r="B391" s="433" t="s">
        <v>1142</v>
      </c>
      <c r="C391" s="352" t="s">
        <v>1089</v>
      </c>
      <c r="D391" s="530" t="s">
        <v>1086</v>
      </c>
      <c r="E391" s="453">
        <v>20</v>
      </c>
      <c r="F391" s="431">
        <v>45912</v>
      </c>
      <c r="G391" s="308"/>
      <c r="H391" s="435" t="s">
        <v>1083</v>
      </c>
      <c r="I391" s="308">
        <v>4</v>
      </c>
      <c r="J391" s="431">
        <v>45944</v>
      </c>
      <c r="K391" s="308"/>
      <c r="L391" s="308"/>
      <c r="M391" s="308"/>
      <c r="N391" s="308"/>
      <c r="O391" s="308"/>
      <c r="P391" s="308"/>
      <c r="Q391" s="308"/>
      <c r="R391" s="308"/>
      <c r="S391" s="308"/>
      <c r="T391" s="308"/>
      <c r="U391" s="308"/>
      <c r="V391" s="308"/>
      <c r="W391" s="308"/>
      <c r="X391" s="308"/>
      <c r="Y391" s="308"/>
      <c r="Z391" s="308"/>
    </row>
    <row r="392" spans="1:26" ht="14.25" customHeight="1" x14ac:dyDescent="0.3">
      <c r="A392" s="421" t="s">
        <v>812</v>
      </c>
      <c r="B392" s="433" t="s">
        <v>1142</v>
      </c>
      <c r="C392" s="511" t="s">
        <v>1104</v>
      </c>
      <c r="D392" s="529" t="s">
        <v>1086</v>
      </c>
      <c r="E392" s="525">
        <v>11</v>
      </c>
      <c r="F392" s="524">
        <v>45824</v>
      </c>
      <c r="G392" s="524">
        <v>45905</v>
      </c>
      <c r="H392" s="435" t="s">
        <v>1083</v>
      </c>
      <c r="I392" s="427">
        <v>2</v>
      </c>
      <c r="J392" s="428">
        <v>45910</v>
      </c>
      <c r="K392" s="308"/>
      <c r="L392" s="308"/>
      <c r="M392" s="308"/>
      <c r="N392" s="308"/>
      <c r="O392" s="308"/>
      <c r="P392" s="308"/>
      <c r="Q392" s="308"/>
      <c r="R392" s="308"/>
      <c r="S392" s="308"/>
      <c r="T392" s="308"/>
      <c r="U392" s="308"/>
      <c r="V392" s="308"/>
      <c r="W392" s="308"/>
      <c r="X392" s="308"/>
      <c r="Y392" s="308"/>
      <c r="Z392" s="308"/>
    </row>
    <row r="393" spans="1:26" ht="14.25" customHeight="1" x14ac:dyDescent="0.3">
      <c r="A393" s="352" t="s">
        <v>1150</v>
      </c>
      <c r="B393" s="424" t="s">
        <v>1122</v>
      </c>
      <c r="C393" s="425" t="s">
        <v>1104</v>
      </c>
      <c r="D393" s="425" t="s">
        <v>1114</v>
      </c>
      <c r="E393" s="427">
        <v>11</v>
      </c>
      <c r="F393" s="428">
        <v>45824</v>
      </c>
      <c r="G393" s="423" t="s">
        <v>451</v>
      </c>
      <c r="H393" s="462" t="s">
        <v>1083</v>
      </c>
      <c r="I393" s="423" t="s">
        <v>451</v>
      </c>
      <c r="J393" s="423" t="s">
        <v>451</v>
      </c>
      <c r="K393" s="308"/>
      <c r="L393" s="308"/>
      <c r="M393" s="308"/>
      <c r="N393" s="308"/>
      <c r="O393" s="308"/>
      <c r="P393" s="308"/>
      <c r="Q393" s="308"/>
      <c r="R393" s="308"/>
      <c r="S393" s="308"/>
      <c r="T393" s="308"/>
      <c r="U393" s="308"/>
      <c r="V393" s="308"/>
      <c r="W393" s="308"/>
      <c r="X393" s="308"/>
      <c r="Y393" s="308"/>
      <c r="Z393" s="308"/>
    </row>
    <row r="394" spans="1:26" ht="14.25" customHeight="1" x14ac:dyDescent="0.3">
      <c r="A394" s="484" t="s">
        <v>1150</v>
      </c>
      <c r="B394" s="268" t="s">
        <v>1122</v>
      </c>
      <c r="C394" s="447" t="s">
        <v>1144</v>
      </c>
      <c r="D394" s="447" t="s">
        <v>1138</v>
      </c>
      <c r="E394" s="447">
        <v>35</v>
      </c>
      <c r="F394" s="448">
        <v>45994</v>
      </c>
      <c r="G394" s="447"/>
      <c r="H394" s="462" t="s">
        <v>1083</v>
      </c>
      <c r="I394" s="447"/>
      <c r="J394" s="447"/>
      <c r="K394" s="447" t="s">
        <v>1252</v>
      </c>
      <c r="L394" s="308"/>
      <c r="M394" s="308"/>
      <c r="N394" s="308"/>
      <c r="O394" s="308"/>
      <c r="P394" s="308"/>
      <c r="Q394" s="308"/>
      <c r="R394" s="308"/>
      <c r="S394" s="308"/>
      <c r="T394" s="308"/>
      <c r="U394" s="308"/>
      <c r="V394" s="308"/>
      <c r="W394" s="308"/>
      <c r="X394" s="308"/>
      <c r="Y394" s="308"/>
      <c r="Z394" s="308"/>
    </row>
    <row r="395" spans="1:26" ht="14.25" customHeight="1" x14ac:dyDescent="0.3">
      <c r="A395" s="352" t="s">
        <v>1150</v>
      </c>
      <c r="B395" s="433" t="s">
        <v>1142</v>
      </c>
      <c r="C395" s="425" t="s">
        <v>1089</v>
      </c>
      <c r="D395" s="544" t="s">
        <v>1082</v>
      </c>
      <c r="E395" s="427">
        <v>18</v>
      </c>
      <c r="F395" s="428">
        <v>45835</v>
      </c>
      <c r="G395" s="428">
        <v>45905</v>
      </c>
      <c r="H395" s="435" t="s">
        <v>1083</v>
      </c>
      <c r="I395" s="427">
        <v>3</v>
      </c>
      <c r="J395" s="428">
        <v>45910</v>
      </c>
      <c r="K395" s="308"/>
      <c r="L395" s="308"/>
      <c r="M395" s="308"/>
      <c r="N395" s="308"/>
      <c r="O395" s="308"/>
      <c r="P395" s="308"/>
      <c r="Q395" s="308"/>
      <c r="R395" s="308"/>
      <c r="S395" s="308"/>
      <c r="T395" s="308"/>
      <c r="U395" s="308"/>
      <c r="V395" s="308"/>
      <c r="W395" s="308"/>
      <c r="X395" s="308"/>
      <c r="Y395" s="308"/>
      <c r="Z395" s="308"/>
    </row>
    <row r="396" spans="1:26" ht="14.25" customHeight="1" x14ac:dyDescent="0.3">
      <c r="A396" s="421" t="s">
        <v>2015</v>
      </c>
      <c r="B396" s="433" t="s">
        <v>1142</v>
      </c>
      <c r="C396" s="511" t="s">
        <v>1104</v>
      </c>
      <c r="D396" s="529" t="s">
        <v>1086</v>
      </c>
      <c r="E396" s="525">
        <v>11</v>
      </c>
      <c r="F396" s="524">
        <v>45824</v>
      </c>
      <c r="G396" s="524">
        <v>45905</v>
      </c>
      <c r="H396" s="435" t="s">
        <v>1083</v>
      </c>
      <c r="I396" s="427">
        <v>2</v>
      </c>
      <c r="J396" s="428">
        <v>45910</v>
      </c>
      <c r="K396" s="308"/>
      <c r="L396" s="308"/>
      <c r="M396" s="308"/>
      <c r="N396" s="308"/>
      <c r="O396" s="308"/>
      <c r="P396" s="308"/>
      <c r="Q396" s="308"/>
      <c r="R396" s="308"/>
      <c r="S396" s="308"/>
      <c r="T396" s="308"/>
      <c r="U396" s="308"/>
      <c r="V396" s="308"/>
      <c r="W396" s="308"/>
      <c r="X396" s="308"/>
      <c r="Y396" s="308"/>
      <c r="Z396" s="308"/>
    </row>
    <row r="397" spans="1:26" ht="14.25" customHeight="1" x14ac:dyDescent="0.3">
      <c r="A397" s="352" t="s">
        <v>1151</v>
      </c>
      <c r="B397" s="433" t="s">
        <v>1142</v>
      </c>
      <c r="C397" s="511" t="s">
        <v>1089</v>
      </c>
      <c r="D397" s="442" t="s">
        <v>1088</v>
      </c>
      <c r="E397" s="427">
        <v>5</v>
      </c>
      <c r="F397" s="440">
        <v>45817</v>
      </c>
      <c r="G397" s="423" t="s">
        <v>451</v>
      </c>
      <c r="H397" s="435" t="s">
        <v>1083</v>
      </c>
      <c r="I397" s="439">
        <v>1</v>
      </c>
      <c r="J397" s="428">
        <v>45824</v>
      </c>
      <c r="K397" s="308"/>
      <c r="L397" s="308"/>
      <c r="M397" s="308"/>
      <c r="N397" s="308"/>
      <c r="O397" s="308"/>
      <c r="P397" s="308"/>
      <c r="Q397" s="308"/>
      <c r="R397" s="308"/>
      <c r="S397" s="308"/>
      <c r="T397" s="308"/>
      <c r="U397" s="308"/>
      <c r="V397" s="308"/>
      <c r="W397" s="308"/>
      <c r="X397" s="308"/>
      <c r="Y397" s="308"/>
      <c r="Z397" s="308"/>
    </row>
    <row r="398" spans="1:26" ht="14.25" customHeight="1" x14ac:dyDescent="0.3">
      <c r="A398" s="502" t="s">
        <v>1151</v>
      </c>
      <c r="B398" s="433" t="s">
        <v>1142</v>
      </c>
      <c r="C398" s="308" t="s">
        <v>1144</v>
      </c>
      <c r="D398" s="528" t="s">
        <v>1091</v>
      </c>
      <c r="E398" s="308">
        <v>28</v>
      </c>
      <c r="F398" s="431">
        <v>45958</v>
      </c>
      <c r="G398" s="308"/>
      <c r="H398" s="267" t="s">
        <v>1083</v>
      </c>
      <c r="I398" s="267">
        <v>7</v>
      </c>
      <c r="J398" s="267"/>
      <c r="K398" s="267"/>
      <c r="L398" s="308"/>
      <c r="M398" s="308"/>
      <c r="N398" s="308"/>
      <c r="O398" s="308"/>
      <c r="P398" s="308"/>
      <c r="Q398" s="308"/>
      <c r="R398" s="308"/>
      <c r="S398" s="308"/>
      <c r="T398" s="308"/>
      <c r="U398" s="308"/>
      <c r="V398" s="308"/>
      <c r="W398" s="308"/>
      <c r="X398" s="308"/>
      <c r="Y398" s="308"/>
      <c r="Z398" s="308"/>
    </row>
    <row r="399" spans="1:26" ht="14.25" customHeight="1" x14ac:dyDescent="0.3">
      <c r="A399" s="352" t="s">
        <v>1615</v>
      </c>
      <c r="B399" s="433" t="s">
        <v>1142</v>
      </c>
      <c r="C399" s="511" t="s">
        <v>1089</v>
      </c>
      <c r="D399" s="442" t="s">
        <v>1088</v>
      </c>
      <c r="E399" s="427">
        <v>18</v>
      </c>
      <c r="F399" s="428">
        <v>45835</v>
      </c>
      <c r="G399" s="428">
        <v>45905</v>
      </c>
      <c r="H399" s="435" t="s">
        <v>1083</v>
      </c>
      <c r="I399" s="427">
        <v>3</v>
      </c>
      <c r="J399" s="428">
        <v>45910</v>
      </c>
      <c r="K399" s="308"/>
      <c r="L399" s="308"/>
      <c r="M399" s="308"/>
      <c r="N399" s="308"/>
      <c r="O399" s="308"/>
      <c r="P399" s="308"/>
      <c r="Q399" s="308"/>
      <c r="R399" s="308"/>
      <c r="S399" s="308"/>
      <c r="T399" s="308"/>
      <c r="U399" s="308"/>
      <c r="V399" s="308"/>
      <c r="W399" s="308"/>
      <c r="X399" s="308"/>
      <c r="Y399" s="308"/>
      <c r="Z399" s="308"/>
    </row>
    <row r="400" spans="1:26" ht="14.25" customHeight="1" x14ac:dyDescent="0.3">
      <c r="A400" s="352" t="s">
        <v>2180</v>
      </c>
      <c r="B400" s="433" t="s">
        <v>1142</v>
      </c>
      <c r="C400" s="511" t="s">
        <v>1089</v>
      </c>
      <c r="D400" s="442" t="s">
        <v>1088</v>
      </c>
      <c r="E400" s="450">
        <v>8</v>
      </c>
      <c r="F400" s="451">
        <v>45824</v>
      </c>
      <c r="G400" s="428">
        <v>45905</v>
      </c>
      <c r="H400" s="435" t="s">
        <v>1083</v>
      </c>
      <c r="I400" s="427">
        <v>3</v>
      </c>
      <c r="J400" s="428">
        <v>45910</v>
      </c>
      <c r="K400" s="444"/>
      <c r="L400" s="308"/>
      <c r="M400" s="308"/>
      <c r="N400" s="308"/>
      <c r="O400" s="308"/>
      <c r="P400" s="308"/>
      <c r="Q400" s="308"/>
      <c r="R400" s="308"/>
      <c r="S400" s="308"/>
      <c r="T400" s="308"/>
      <c r="U400" s="308"/>
      <c r="V400" s="308"/>
      <c r="W400" s="308"/>
      <c r="X400" s="308"/>
      <c r="Y400" s="308"/>
      <c r="Z400" s="308"/>
    </row>
    <row r="401" spans="1:26" ht="14.25" customHeight="1" x14ac:dyDescent="0.3">
      <c r="A401" s="506" t="s">
        <v>2180</v>
      </c>
      <c r="B401" s="433" t="s">
        <v>1142</v>
      </c>
      <c r="C401" s="308" t="s">
        <v>1144</v>
      </c>
      <c r="D401" s="528" t="s">
        <v>1091</v>
      </c>
      <c r="E401" s="308">
        <v>28</v>
      </c>
      <c r="F401" s="431">
        <v>45958</v>
      </c>
      <c r="G401" s="308"/>
      <c r="H401" s="267" t="s">
        <v>1083</v>
      </c>
      <c r="I401" s="267">
        <v>7</v>
      </c>
      <c r="J401" s="267"/>
      <c r="K401" s="267"/>
      <c r="L401" s="308"/>
      <c r="M401" s="308"/>
      <c r="N401" s="308"/>
      <c r="O401" s="308"/>
      <c r="P401" s="308"/>
      <c r="Q401" s="308"/>
      <c r="R401" s="308"/>
      <c r="S401" s="308"/>
      <c r="T401" s="308"/>
      <c r="U401" s="308"/>
      <c r="V401" s="308"/>
      <c r="W401" s="308"/>
      <c r="X401" s="308"/>
      <c r="Y401" s="308"/>
      <c r="Z401" s="308"/>
    </row>
    <row r="402" spans="1:26" ht="14.25" customHeight="1" x14ac:dyDescent="0.3">
      <c r="A402" s="352" t="s">
        <v>1930</v>
      </c>
      <c r="B402" s="433" t="s">
        <v>1142</v>
      </c>
      <c r="C402" s="511" t="s">
        <v>1089</v>
      </c>
      <c r="D402" s="442" t="s">
        <v>1088</v>
      </c>
      <c r="E402" s="450">
        <v>8</v>
      </c>
      <c r="F402" s="451">
        <v>45824</v>
      </c>
      <c r="G402" s="428">
        <v>45905</v>
      </c>
      <c r="H402" s="435" t="s">
        <v>1083</v>
      </c>
      <c r="I402" s="427">
        <v>3</v>
      </c>
      <c r="J402" s="428">
        <v>45910</v>
      </c>
      <c r="K402" s="444"/>
      <c r="L402" s="308"/>
      <c r="M402" s="308"/>
      <c r="N402" s="308"/>
      <c r="O402" s="308"/>
      <c r="P402" s="308"/>
      <c r="Q402" s="308"/>
      <c r="R402" s="308"/>
      <c r="S402" s="308"/>
      <c r="T402" s="308"/>
      <c r="U402" s="308"/>
      <c r="V402" s="308"/>
      <c r="W402" s="308"/>
      <c r="X402" s="308"/>
      <c r="Y402" s="308"/>
      <c r="Z402" s="308"/>
    </row>
    <row r="403" spans="1:26" ht="14.25" customHeight="1" x14ac:dyDescent="0.3">
      <c r="A403" s="480" t="s">
        <v>823</v>
      </c>
      <c r="B403" s="424" t="s">
        <v>1122</v>
      </c>
      <c r="C403" s="425" t="s">
        <v>1089</v>
      </c>
      <c r="D403" s="441" t="s">
        <v>1088</v>
      </c>
      <c r="E403" s="450">
        <v>8</v>
      </c>
      <c r="F403" s="451">
        <v>45824</v>
      </c>
      <c r="G403" s="423" t="s">
        <v>451</v>
      </c>
      <c r="H403" s="443" t="s">
        <v>1090</v>
      </c>
      <c r="I403" s="423" t="s">
        <v>451</v>
      </c>
      <c r="J403" s="429" t="s">
        <v>451</v>
      </c>
      <c r="K403" s="308"/>
      <c r="L403" s="308"/>
      <c r="M403" s="308"/>
      <c r="N403" s="308"/>
      <c r="O403" s="308"/>
      <c r="P403" s="308"/>
      <c r="Q403" s="308"/>
      <c r="R403" s="308"/>
      <c r="S403" s="308"/>
      <c r="T403" s="308"/>
      <c r="U403" s="308"/>
      <c r="V403" s="308"/>
      <c r="W403" s="308"/>
      <c r="X403" s="308"/>
      <c r="Y403" s="308"/>
      <c r="Z403" s="308"/>
    </row>
    <row r="404" spans="1:26" ht="14.25" customHeight="1" x14ac:dyDescent="0.3">
      <c r="A404" s="352" t="s">
        <v>826</v>
      </c>
      <c r="B404" s="433" t="s">
        <v>1142</v>
      </c>
      <c r="C404" s="511" t="s">
        <v>1089</v>
      </c>
      <c r="D404" s="529" t="s">
        <v>1086</v>
      </c>
      <c r="E404" s="537">
        <v>20</v>
      </c>
      <c r="F404" s="524">
        <v>45912</v>
      </c>
      <c r="G404" s="308"/>
      <c r="H404" s="443" t="s">
        <v>1090</v>
      </c>
      <c r="I404" s="308"/>
      <c r="J404" s="429"/>
      <c r="K404" s="308"/>
      <c r="L404" s="308"/>
      <c r="M404" s="308"/>
      <c r="N404" s="308"/>
      <c r="O404" s="308"/>
      <c r="P404" s="308"/>
      <c r="Q404" s="308"/>
      <c r="R404" s="308"/>
      <c r="S404" s="308"/>
      <c r="T404" s="308"/>
      <c r="U404" s="308"/>
      <c r="V404" s="308"/>
      <c r="W404" s="308"/>
      <c r="X404" s="308"/>
      <c r="Y404" s="308"/>
      <c r="Z404" s="308"/>
    </row>
    <row r="405" spans="1:26" ht="14.25" customHeight="1" x14ac:dyDescent="0.3">
      <c r="A405" s="475" t="s">
        <v>828</v>
      </c>
      <c r="B405" s="424" t="s">
        <v>1122</v>
      </c>
      <c r="C405" s="425" t="s">
        <v>1089</v>
      </c>
      <c r="D405" s="463" t="s">
        <v>1132</v>
      </c>
      <c r="E405" s="439">
        <v>20</v>
      </c>
      <c r="F405" s="428">
        <v>45912</v>
      </c>
      <c r="G405" s="423" t="s">
        <v>451</v>
      </c>
      <c r="H405" s="428" t="s">
        <v>1078</v>
      </c>
      <c r="I405" s="423" t="s">
        <v>451</v>
      </c>
      <c r="J405" s="429" t="s">
        <v>451</v>
      </c>
      <c r="K405" s="308"/>
      <c r="L405" s="308"/>
      <c r="M405" s="308"/>
      <c r="N405" s="308"/>
      <c r="O405" s="308"/>
      <c r="P405" s="308"/>
      <c r="Q405" s="308"/>
      <c r="R405" s="308"/>
      <c r="S405" s="308"/>
      <c r="T405" s="308"/>
      <c r="U405" s="308"/>
      <c r="V405" s="308"/>
      <c r="W405" s="308"/>
      <c r="X405" s="308"/>
      <c r="Y405" s="308"/>
      <c r="Z405" s="308"/>
    </row>
    <row r="406" spans="1:26" ht="14.25" customHeight="1" x14ac:dyDescent="0.3">
      <c r="A406" s="352" t="s">
        <v>828</v>
      </c>
      <c r="B406" s="433" t="s">
        <v>1142</v>
      </c>
      <c r="C406" s="352" t="s">
        <v>1089</v>
      </c>
      <c r="D406" s="532" t="s">
        <v>1132</v>
      </c>
      <c r="E406" s="447">
        <v>21</v>
      </c>
      <c r="F406" s="524">
        <v>45929</v>
      </c>
      <c r="G406" s="308"/>
      <c r="H406" s="417" t="s">
        <v>1134</v>
      </c>
      <c r="I406" s="308"/>
      <c r="J406" s="429"/>
      <c r="K406" s="308"/>
      <c r="L406" s="308"/>
      <c r="M406" s="308"/>
      <c r="N406" s="308"/>
      <c r="O406" s="308"/>
      <c r="P406" s="308"/>
      <c r="Q406" s="308"/>
      <c r="R406" s="308"/>
      <c r="S406" s="308"/>
      <c r="T406" s="308"/>
      <c r="U406" s="308"/>
      <c r="V406" s="308"/>
      <c r="W406" s="308"/>
      <c r="X406" s="308"/>
      <c r="Y406" s="308"/>
      <c r="Z406" s="308"/>
    </row>
    <row r="407" spans="1:26" ht="14.25" customHeight="1" x14ac:dyDescent="0.3">
      <c r="A407" s="421" t="s">
        <v>1629</v>
      </c>
      <c r="B407" s="433" t="s">
        <v>1142</v>
      </c>
      <c r="C407" s="511" t="s">
        <v>1104</v>
      </c>
      <c r="D407" s="529" t="s">
        <v>1086</v>
      </c>
      <c r="E407" s="525">
        <v>11</v>
      </c>
      <c r="F407" s="524">
        <v>45824</v>
      </c>
      <c r="G407" s="524">
        <v>45905</v>
      </c>
      <c r="H407" s="435" t="s">
        <v>1083</v>
      </c>
      <c r="I407" s="427">
        <v>2</v>
      </c>
      <c r="J407" s="428">
        <v>45910</v>
      </c>
      <c r="K407" s="308"/>
      <c r="L407" s="308"/>
      <c r="M407" s="308"/>
      <c r="N407" s="308"/>
      <c r="O407" s="308"/>
      <c r="P407" s="308"/>
      <c r="Q407" s="308"/>
      <c r="R407" s="308"/>
      <c r="S407" s="308"/>
      <c r="T407" s="308"/>
      <c r="U407" s="308"/>
      <c r="V407" s="308"/>
      <c r="W407" s="308"/>
      <c r="X407" s="308"/>
      <c r="Y407" s="308"/>
      <c r="Z407" s="308"/>
    </row>
    <row r="408" spans="1:26" ht="14.25" customHeight="1" x14ac:dyDescent="0.3">
      <c r="A408" s="421" t="s">
        <v>831</v>
      </c>
      <c r="B408" s="424" t="s">
        <v>1122</v>
      </c>
      <c r="C408" s="425" t="s">
        <v>1104</v>
      </c>
      <c r="D408" s="425" t="s">
        <v>1114</v>
      </c>
      <c r="E408" s="427">
        <v>11</v>
      </c>
      <c r="F408" s="428">
        <v>45824</v>
      </c>
      <c r="G408" s="423" t="s">
        <v>451</v>
      </c>
      <c r="H408" s="462" t="s">
        <v>1128</v>
      </c>
      <c r="I408" s="423" t="s">
        <v>451</v>
      </c>
      <c r="J408" s="429" t="s">
        <v>451</v>
      </c>
      <c r="K408" s="308"/>
      <c r="L408" s="308"/>
      <c r="M408" s="308"/>
      <c r="N408" s="308"/>
      <c r="O408" s="308"/>
      <c r="P408" s="308"/>
      <c r="Q408" s="308"/>
      <c r="R408" s="308"/>
      <c r="S408" s="308"/>
      <c r="T408" s="308"/>
      <c r="U408" s="308"/>
      <c r="V408" s="308"/>
      <c r="W408" s="308"/>
      <c r="X408" s="308"/>
      <c r="Y408" s="308"/>
      <c r="Z408" s="308"/>
    </row>
    <row r="409" spans="1:26" ht="14.25" customHeight="1" x14ac:dyDescent="0.3">
      <c r="A409" s="421" t="s">
        <v>2039</v>
      </c>
      <c r="B409" s="433" t="s">
        <v>1142</v>
      </c>
      <c r="C409" s="511" t="s">
        <v>1104</v>
      </c>
      <c r="D409" s="529" t="s">
        <v>1086</v>
      </c>
      <c r="E409" s="525">
        <v>11</v>
      </c>
      <c r="F409" s="524">
        <v>45824</v>
      </c>
      <c r="G409" s="524">
        <v>45905</v>
      </c>
      <c r="H409" s="435" t="s">
        <v>1083</v>
      </c>
      <c r="I409" s="427">
        <v>2</v>
      </c>
      <c r="J409" s="428">
        <v>45910</v>
      </c>
      <c r="K409" s="308"/>
      <c r="L409" s="308"/>
      <c r="M409" s="308"/>
      <c r="N409" s="308"/>
      <c r="O409" s="308"/>
      <c r="P409" s="308"/>
      <c r="Q409" s="308"/>
      <c r="R409" s="308"/>
      <c r="S409" s="308"/>
      <c r="T409" s="308"/>
      <c r="U409" s="308"/>
      <c r="V409" s="308"/>
      <c r="W409" s="308"/>
      <c r="X409" s="308"/>
      <c r="Y409" s="308"/>
      <c r="Z409" s="308"/>
    </row>
    <row r="410" spans="1:26" ht="14.25" customHeight="1" x14ac:dyDescent="0.3">
      <c r="A410" s="352" t="s">
        <v>832</v>
      </c>
      <c r="B410" s="433" t="s">
        <v>1142</v>
      </c>
      <c r="C410" s="511" t="s">
        <v>1089</v>
      </c>
      <c r="D410" s="529" t="s">
        <v>1086</v>
      </c>
      <c r="E410" s="537">
        <v>20</v>
      </c>
      <c r="F410" s="524">
        <v>45912</v>
      </c>
      <c r="G410" s="539"/>
      <c r="H410" s="443" t="s">
        <v>1090</v>
      </c>
      <c r="I410" s="308"/>
      <c r="J410" s="429"/>
      <c r="K410" s="308"/>
      <c r="L410" s="308"/>
      <c r="M410" s="308"/>
      <c r="N410" s="308"/>
      <c r="O410" s="308"/>
      <c r="P410" s="308"/>
      <c r="Q410" s="308"/>
      <c r="R410" s="308"/>
      <c r="S410" s="308"/>
      <c r="T410" s="308"/>
      <c r="U410" s="308"/>
      <c r="V410" s="308"/>
      <c r="W410" s="308"/>
      <c r="X410" s="308"/>
      <c r="Y410" s="308"/>
      <c r="Z410" s="308"/>
    </row>
    <row r="411" spans="1:26" ht="14.25" customHeight="1" x14ac:dyDescent="0.3">
      <c r="A411" s="352" t="s">
        <v>834</v>
      </c>
      <c r="B411" s="424" t="s">
        <v>1122</v>
      </c>
      <c r="C411" s="425" t="s">
        <v>1089</v>
      </c>
      <c r="D411" s="441" t="s">
        <v>1088</v>
      </c>
      <c r="E411" s="450">
        <v>8</v>
      </c>
      <c r="F411" s="451">
        <v>45824</v>
      </c>
      <c r="G411" s="429" t="s">
        <v>451</v>
      </c>
      <c r="H411" s="428" t="s">
        <v>1078</v>
      </c>
      <c r="I411" s="423" t="s">
        <v>451</v>
      </c>
      <c r="J411" s="429" t="s">
        <v>451</v>
      </c>
      <c r="K411" s="308"/>
      <c r="L411" s="308"/>
      <c r="M411" s="308"/>
      <c r="N411" s="308"/>
      <c r="O411" s="308"/>
      <c r="P411" s="308"/>
      <c r="Q411" s="308"/>
      <c r="R411" s="308"/>
      <c r="S411" s="308"/>
      <c r="T411" s="308"/>
      <c r="U411" s="308"/>
      <c r="V411" s="308"/>
      <c r="W411" s="308"/>
      <c r="X411" s="308"/>
      <c r="Y411" s="308"/>
      <c r="Z411" s="308"/>
    </row>
    <row r="412" spans="1:26" ht="14.25" customHeight="1" x14ac:dyDescent="0.3">
      <c r="A412" s="484" t="s">
        <v>834</v>
      </c>
      <c r="B412" s="449" t="s">
        <v>1142</v>
      </c>
      <c r="C412" s="447" t="s">
        <v>1144</v>
      </c>
      <c r="D412" s="445" t="s">
        <v>1138</v>
      </c>
      <c r="E412" s="512">
        <v>35</v>
      </c>
      <c r="F412" s="513">
        <v>45994</v>
      </c>
      <c r="G412" s="512"/>
      <c r="H412" s="514" t="s">
        <v>1083</v>
      </c>
      <c r="I412" s="512">
        <v>7</v>
      </c>
      <c r="J412" s="512"/>
      <c r="K412" s="512" t="s">
        <v>1210</v>
      </c>
      <c r="L412" s="308"/>
      <c r="M412" s="308"/>
      <c r="N412" s="308"/>
      <c r="O412" s="308"/>
      <c r="P412" s="308"/>
      <c r="Q412" s="308"/>
      <c r="R412" s="308"/>
      <c r="S412" s="308"/>
      <c r="T412" s="308"/>
      <c r="U412" s="308"/>
      <c r="V412" s="308"/>
      <c r="W412" s="308"/>
      <c r="X412" s="308"/>
      <c r="Y412" s="308"/>
      <c r="Z412" s="308"/>
    </row>
    <row r="413" spans="1:26" ht="14.25" customHeight="1" x14ac:dyDescent="0.3">
      <c r="A413" s="352" t="s">
        <v>2196</v>
      </c>
      <c r="B413" s="433" t="s">
        <v>1142</v>
      </c>
      <c r="C413" s="511" t="s">
        <v>1089</v>
      </c>
      <c r="D413" s="442" t="s">
        <v>1088</v>
      </c>
      <c r="E413" s="450">
        <v>8</v>
      </c>
      <c r="F413" s="451">
        <v>45824</v>
      </c>
      <c r="G413" s="428">
        <v>45905</v>
      </c>
      <c r="H413" s="435" t="s">
        <v>1083</v>
      </c>
      <c r="I413" s="427">
        <v>3</v>
      </c>
      <c r="J413" s="428">
        <v>45910</v>
      </c>
      <c r="K413" s="308"/>
      <c r="L413" s="308"/>
      <c r="M413" s="308"/>
      <c r="N413" s="308"/>
      <c r="O413" s="308"/>
      <c r="P413" s="308"/>
      <c r="Q413" s="308"/>
      <c r="R413" s="308"/>
      <c r="S413" s="308"/>
      <c r="T413" s="308"/>
      <c r="U413" s="308"/>
      <c r="V413" s="308"/>
      <c r="W413" s="308"/>
      <c r="X413" s="308"/>
      <c r="Y413" s="308"/>
      <c r="Z413" s="308"/>
    </row>
    <row r="414" spans="1:26" ht="14.25" customHeight="1" x14ac:dyDescent="0.3">
      <c r="A414" s="352" t="s">
        <v>836</v>
      </c>
      <c r="B414" s="424" t="s">
        <v>1122</v>
      </c>
      <c r="C414" s="425" t="s">
        <v>1089</v>
      </c>
      <c r="D414" s="441" t="s">
        <v>1088</v>
      </c>
      <c r="E414" s="450">
        <v>8</v>
      </c>
      <c r="F414" s="451">
        <v>45824</v>
      </c>
      <c r="G414" s="423" t="s">
        <v>451</v>
      </c>
      <c r="H414" s="461" t="s">
        <v>1128</v>
      </c>
      <c r="I414" s="423" t="s">
        <v>451</v>
      </c>
      <c r="J414" s="423" t="s">
        <v>451</v>
      </c>
      <c r="K414" s="308"/>
      <c r="L414" s="308"/>
      <c r="M414" s="308"/>
      <c r="N414" s="308"/>
      <c r="O414" s="308"/>
      <c r="P414" s="308"/>
      <c r="Q414" s="308"/>
      <c r="R414" s="308"/>
      <c r="S414" s="308"/>
      <c r="T414" s="308"/>
      <c r="U414" s="308"/>
      <c r="V414" s="308"/>
      <c r="W414" s="308"/>
      <c r="X414" s="308"/>
      <c r="Y414" s="308"/>
      <c r="Z414" s="308"/>
    </row>
    <row r="415" spans="1:26" ht="14.25" customHeight="1" x14ac:dyDescent="0.3">
      <c r="A415" s="474" t="s">
        <v>836</v>
      </c>
      <c r="B415" s="418" t="s">
        <v>1122</v>
      </c>
      <c r="C415" s="447" t="s">
        <v>1144</v>
      </c>
      <c r="D415" s="447" t="s">
        <v>1235</v>
      </c>
      <c r="E415" s="447">
        <v>32</v>
      </c>
      <c r="F415" s="448">
        <v>45987</v>
      </c>
      <c r="G415" s="447"/>
      <c r="H415" s="447" t="s">
        <v>1128</v>
      </c>
      <c r="I415" s="447"/>
      <c r="J415" s="447"/>
      <c r="K415" s="447" t="s">
        <v>1236</v>
      </c>
      <c r="L415" s="308"/>
      <c r="M415" s="308"/>
      <c r="N415" s="308"/>
      <c r="O415" s="308"/>
      <c r="P415" s="308"/>
      <c r="Q415" s="308"/>
      <c r="R415" s="308"/>
      <c r="S415" s="308"/>
      <c r="T415" s="308"/>
      <c r="U415" s="308"/>
      <c r="V415" s="308"/>
      <c r="W415" s="308"/>
      <c r="X415" s="308"/>
      <c r="Y415" s="308"/>
      <c r="Z415" s="308"/>
    </row>
    <row r="416" spans="1:26" ht="14.25" customHeight="1" x14ac:dyDescent="0.3">
      <c r="A416" s="474" t="s">
        <v>836</v>
      </c>
      <c r="B416" s="460" t="s">
        <v>1142</v>
      </c>
      <c r="C416" s="447" t="s">
        <v>1144</v>
      </c>
      <c r="D416" s="521" t="s">
        <v>1231</v>
      </c>
      <c r="E416" s="447">
        <v>36</v>
      </c>
      <c r="F416" s="448">
        <v>45994</v>
      </c>
      <c r="G416" s="447"/>
      <c r="H416" s="267" t="s">
        <v>1083</v>
      </c>
      <c r="I416" s="447">
        <v>6</v>
      </c>
      <c r="J416" s="447"/>
      <c r="K416" s="447" t="s">
        <v>1232</v>
      </c>
      <c r="L416" s="308"/>
      <c r="M416" s="308"/>
      <c r="N416" s="308"/>
      <c r="O416" s="308"/>
      <c r="P416" s="308"/>
      <c r="Q416" s="308"/>
      <c r="R416" s="308"/>
      <c r="S416" s="308"/>
      <c r="T416" s="308"/>
      <c r="U416" s="308"/>
      <c r="V416" s="308"/>
      <c r="W416" s="308"/>
      <c r="X416" s="308"/>
      <c r="Y416" s="308"/>
      <c r="Z416" s="308"/>
    </row>
    <row r="417" spans="1:26" ht="14.25" customHeight="1" x14ac:dyDescent="0.3">
      <c r="A417" s="352" t="s">
        <v>1056</v>
      </c>
      <c r="B417" s="424" t="s">
        <v>1122</v>
      </c>
      <c r="C417" s="425" t="s">
        <v>1089</v>
      </c>
      <c r="D417" s="441" t="s">
        <v>1088</v>
      </c>
      <c r="E417" s="450">
        <v>13</v>
      </c>
      <c r="F417" s="451">
        <v>45824</v>
      </c>
      <c r="G417" s="423" t="s">
        <v>451</v>
      </c>
      <c r="H417" s="443" t="s">
        <v>1090</v>
      </c>
      <c r="I417" s="423" t="s">
        <v>451</v>
      </c>
      <c r="J417" s="423" t="s">
        <v>451</v>
      </c>
      <c r="K417" s="308"/>
      <c r="L417" s="308"/>
      <c r="M417" s="308"/>
      <c r="N417" s="308"/>
      <c r="O417" s="308"/>
      <c r="P417" s="308"/>
      <c r="Q417" s="308"/>
      <c r="R417" s="308"/>
      <c r="S417" s="308"/>
      <c r="T417" s="308"/>
      <c r="U417" s="308"/>
      <c r="V417" s="308"/>
      <c r="W417" s="308"/>
      <c r="X417" s="308"/>
      <c r="Y417" s="308"/>
      <c r="Z417" s="308"/>
    </row>
    <row r="418" spans="1:26" ht="14.25" customHeight="1" x14ac:dyDescent="0.3">
      <c r="A418" s="474" t="s">
        <v>1056</v>
      </c>
      <c r="B418" s="418" t="s">
        <v>1122</v>
      </c>
      <c r="C418" s="447" t="s">
        <v>1144</v>
      </c>
      <c r="D418" s="447" t="s">
        <v>1235</v>
      </c>
      <c r="E418" s="447">
        <v>32</v>
      </c>
      <c r="F418" s="448">
        <v>45987</v>
      </c>
      <c r="G418" s="447"/>
      <c r="H418" s="447" t="s">
        <v>1078</v>
      </c>
      <c r="I418" s="447"/>
      <c r="J418" s="447"/>
      <c r="K418" s="447" t="s">
        <v>1236</v>
      </c>
      <c r="L418" s="308"/>
      <c r="M418" s="308"/>
      <c r="N418" s="308"/>
      <c r="O418" s="308"/>
      <c r="P418" s="308"/>
      <c r="Q418" s="308"/>
      <c r="R418" s="308"/>
      <c r="S418" s="308"/>
      <c r="T418" s="308"/>
      <c r="U418" s="308"/>
      <c r="V418" s="308"/>
      <c r="W418" s="308"/>
      <c r="X418" s="308"/>
      <c r="Y418" s="308"/>
      <c r="Z418" s="308"/>
    </row>
    <row r="419" spans="1:26" ht="14.25" customHeight="1" x14ac:dyDescent="0.3">
      <c r="A419" s="474" t="s">
        <v>1056</v>
      </c>
      <c r="B419" s="460" t="s">
        <v>1142</v>
      </c>
      <c r="C419" s="447" t="s">
        <v>1144</v>
      </c>
      <c r="D419" s="521" t="s">
        <v>1231</v>
      </c>
      <c r="E419" s="447">
        <v>36</v>
      </c>
      <c r="F419" s="448">
        <v>45994</v>
      </c>
      <c r="G419" s="447"/>
      <c r="H419" s="267" t="s">
        <v>1083</v>
      </c>
      <c r="I419" s="447">
        <v>6</v>
      </c>
      <c r="J419" s="447"/>
      <c r="K419" s="447" t="s">
        <v>1232</v>
      </c>
      <c r="L419" s="308"/>
      <c r="M419" s="308"/>
      <c r="N419" s="308"/>
      <c r="O419" s="308"/>
      <c r="P419" s="308"/>
      <c r="Q419" s="308"/>
      <c r="R419" s="308"/>
      <c r="S419" s="308"/>
      <c r="T419" s="308"/>
      <c r="U419" s="308"/>
      <c r="V419" s="308"/>
      <c r="W419" s="308"/>
      <c r="X419" s="308"/>
      <c r="Y419" s="308"/>
      <c r="Z419" s="308"/>
    </row>
    <row r="420" spans="1:26" ht="14.25" customHeight="1" x14ac:dyDescent="0.3">
      <c r="A420" s="506" t="s">
        <v>1993</v>
      </c>
      <c r="B420" s="433" t="s">
        <v>1142</v>
      </c>
      <c r="C420" s="511" t="s">
        <v>1076</v>
      </c>
      <c r="D420" s="529" t="s">
        <v>1086</v>
      </c>
      <c r="E420" s="308">
        <v>26</v>
      </c>
      <c r="F420" s="431">
        <v>45958</v>
      </c>
      <c r="G420" s="308"/>
      <c r="H420" s="267" t="s">
        <v>1083</v>
      </c>
      <c r="I420" s="267">
        <v>7</v>
      </c>
      <c r="J420" s="267"/>
      <c r="K420" s="267"/>
      <c r="L420" s="308"/>
      <c r="M420" s="308"/>
      <c r="N420" s="308"/>
      <c r="O420" s="308"/>
      <c r="P420" s="308"/>
      <c r="Q420" s="308"/>
      <c r="R420" s="308"/>
      <c r="S420" s="308"/>
      <c r="T420" s="308"/>
      <c r="U420" s="308"/>
      <c r="V420" s="308"/>
      <c r="W420" s="308"/>
      <c r="X420" s="308"/>
      <c r="Y420" s="308"/>
      <c r="Z420" s="308"/>
    </row>
    <row r="421" spans="1:26" ht="14.25" customHeight="1" x14ac:dyDescent="0.3">
      <c r="A421" s="506" t="s">
        <v>1995</v>
      </c>
      <c r="B421" s="433" t="s">
        <v>1142</v>
      </c>
      <c r="C421" s="511" t="s">
        <v>1076</v>
      </c>
      <c r="D421" s="529" t="s">
        <v>1086</v>
      </c>
      <c r="E421" s="308">
        <v>26</v>
      </c>
      <c r="F421" s="431">
        <v>45958</v>
      </c>
      <c r="G421" s="308"/>
      <c r="H421" s="267" t="s">
        <v>1083</v>
      </c>
      <c r="I421" s="267">
        <v>7</v>
      </c>
      <c r="J421" s="267"/>
      <c r="K421" s="267"/>
      <c r="L421" s="308"/>
      <c r="M421" s="308"/>
      <c r="N421" s="308"/>
      <c r="O421" s="308"/>
      <c r="P421" s="308"/>
      <c r="Q421" s="308"/>
      <c r="R421" s="308"/>
      <c r="S421" s="308"/>
      <c r="T421" s="308"/>
      <c r="U421" s="308"/>
      <c r="V421" s="308"/>
      <c r="W421" s="308"/>
      <c r="X421" s="308"/>
      <c r="Y421" s="308"/>
      <c r="Z421" s="308"/>
    </row>
    <row r="422" spans="1:26" ht="14.25" customHeight="1" x14ac:dyDescent="0.3">
      <c r="A422" s="352" t="s">
        <v>848</v>
      </c>
      <c r="B422" s="433" t="s">
        <v>1142</v>
      </c>
      <c r="C422" s="511" t="s">
        <v>1089</v>
      </c>
      <c r="D422" s="529" t="s">
        <v>1086</v>
      </c>
      <c r="E422" s="537">
        <v>20</v>
      </c>
      <c r="F422" s="524">
        <v>45912</v>
      </c>
      <c r="G422" s="308"/>
      <c r="H422" s="443" t="s">
        <v>1090</v>
      </c>
      <c r="I422" s="308"/>
      <c r="J422" s="423" t="s">
        <v>1152</v>
      </c>
      <c r="K422" s="308"/>
      <c r="L422" s="308"/>
      <c r="M422" s="308"/>
      <c r="N422" s="308"/>
      <c r="O422" s="308"/>
      <c r="P422" s="308"/>
      <c r="Q422" s="308"/>
      <c r="R422" s="308"/>
      <c r="S422" s="308"/>
      <c r="T422" s="308"/>
      <c r="U422" s="308"/>
      <c r="V422" s="308"/>
      <c r="W422" s="308"/>
      <c r="X422" s="308"/>
      <c r="Y422" s="308"/>
      <c r="Z422" s="308"/>
    </row>
    <row r="423" spans="1:26" ht="14.25" customHeight="1" x14ac:dyDescent="0.3">
      <c r="A423" s="481" t="s">
        <v>2269</v>
      </c>
      <c r="B423" s="433" t="s">
        <v>1142</v>
      </c>
      <c r="C423" s="267" t="s">
        <v>1089</v>
      </c>
      <c r="D423" s="545" t="s">
        <v>1080</v>
      </c>
      <c r="E423" s="267">
        <v>25</v>
      </c>
      <c r="F423" s="458">
        <v>45953</v>
      </c>
      <c r="G423" s="267"/>
      <c r="H423" s="267" t="s">
        <v>1083</v>
      </c>
      <c r="I423" s="267">
        <v>7</v>
      </c>
      <c r="J423" s="267"/>
      <c r="K423" s="267"/>
      <c r="L423" s="308"/>
      <c r="M423" s="308"/>
      <c r="N423" s="308"/>
      <c r="O423" s="308"/>
      <c r="P423" s="308"/>
      <c r="Q423" s="308"/>
      <c r="R423" s="308"/>
      <c r="S423" s="308"/>
      <c r="T423" s="308"/>
      <c r="U423" s="308"/>
      <c r="V423" s="308"/>
      <c r="W423" s="308"/>
      <c r="X423" s="308"/>
      <c r="Y423" s="308"/>
      <c r="Z423" s="308"/>
    </row>
    <row r="424" spans="1:26" ht="14.25" customHeight="1" x14ac:dyDescent="0.3">
      <c r="A424" s="476" t="s">
        <v>1223</v>
      </c>
      <c r="B424" s="411" t="s">
        <v>1122</v>
      </c>
      <c r="C424" s="425" t="s">
        <v>1076</v>
      </c>
      <c r="D424" s="438" t="s">
        <v>1086</v>
      </c>
      <c r="E424" s="308">
        <v>26</v>
      </c>
      <c r="F424" s="431">
        <v>45958</v>
      </c>
      <c r="G424" s="308"/>
      <c r="H424" s="428" t="s">
        <v>1128</v>
      </c>
      <c r="I424" s="308"/>
      <c r="J424" s="308"/>
      <c r="K424" s="308"/>
      <c r="L424" s="308"/>
      <c r="M424" s="308"/>
      <c r="N424" s="308"/>
      <c r="O424" s="308"/>
      <c r="P424" s="308"/>
      <c r="Q424" s="308"/>
      <c r="R424" s="308"/>
      <c r="S424" s="308"/>
      <c r="T424" s="308"/>
      <c r="U424" s="308"/>
      <c r="V424" s="308"/>
      <c r="W424" s="308"/>
      <c r="X424" s="308"/>
      <c r="Y424" s="308"/>
      <c r="Z424" s="308"/>
    </row>
    <row r="425" spans="1:26" ht="14.25" customHeight="1" x14ac:dyDescent="0.3">
      <c r="A425" s="476" t="s">
        <v>1222</v>
      </c>
      <c r="B425" s="411" t="s">
        <v>1122</v>
      </c>
      <c r="C425" s="425" t="s">
        <v>1076</v>
      </c>
      <c r="D425" s="438" t="s">
        <v>1086</v>
      </c>
      <c r="E425" s="308">
        <v>26</v>
      </c>
      <c r="F425" s="431">
        <v>45958</v>
      </c>
      <c r="G425" s="308"/>
      <c r="H425" s="428" t="s">
        <v>1128</v>
      </c>
      <c r="I425" s="308"/>
      <c r="J425" s="308"/>
      <c r="K425" s="308"/>
      <c r="L425" s="308"/>
      <c r="M425" s="308"/>
      <c r="N425" s="308"/>
      <c r="O425" s="308"/>
      <c r="P425" s="308"/>
      <c r="Q425" s="308"/>
      <c r="R425" s="308"/>
      <c r="S425" s="308"/>
      <c r="T425" s="308"/>
      <c r="U425" s="308"/>
      <c r="V425" s="308"/>
      <c r="W425" s="308"/>
      <c r="X425" s="308"/>
      <c r="Y425" s="308"/>
      <c r="Z425" s="308"/>
    </row>
    <row r="426" spans="1:26" ht="14.25" customHeight="1" x14ac:dyDescent="0.3">
      <c r="A426" s="421" t="s">
        <v>1664</v>
      </c>
      <c r="B426" s="433" t="s">
        <v>1142</v>
      </c>
      <c r="C426" s="511" t="s">
        <v>1104</v>
      </c>
      <c r="D426" s="529" t="s">
        <v>1086</v>
      </c>
      <c r="E426" s="525">
        <v>11</v>
      </c>
      <c r="F426" s="524">
        <v>45824</v>
      </c>
      <c r="G426" s="524">
        <v>45905</v>
      </c>
      <c r="H426" s="435" t="s">
        <v>1083</v>
      </c>
      <c r="I426" s="427">
        <v>2</v>
      </c>
      <c r="J426" s="428">
        <v>45910</v>
      </c>
      <c r="K426" s="308"/>
      <c r="L426" s="308"/>
      <c r="M426" s="308"/>
      <c r="N426" s="308"/>
      <c r="O426" s="308"/>
      <c r="P426" s="308"/>
      <c r="Q426" s="308"/>
      <c r="R426" s="308"/>
      <c r="S426" s="308"/>
      <c r="T426" s="308"/>
      <c r="U426" s="308"/>
      <c r="V426" s="308"/>
      <c r="W426" s="308"/>
      <c r="X426" s="308"/>
      <c r="Y426" s="308"/>
      <c r="Z426" s="308"/>
    </row>
    <row r="427" spans="1:26" ht="14.25" customHeight="1" x14ac:dyDescent="0.3">
      <c r="A427" s="352" t="s">
        <v>1153</v>
      </c>
      <c r="B427" s="433" t="s">
        <v>1142</v>
      </c>
      <c r="C427" s="352" t="s">
        <v>1089</v>
      </c>
      <c r="D427" s="529" t="s">
        <v>1086</v>
      </c>
      <c r="E427" s="447">
        <v>21</v>
      </c>
      <c r="F427" s="524">
        <v>45929</v>
      </c>
      <c r="G427" s="308"/>
      <c r="H427" s="443" t="s">
        <v>1090</v>
      </c>
      <c r="I427" s="308"/>
      <c r="J427" s="423" t="s">
        <v>1152</v>
      </c>
      <c r="K427" s="308"/>
      <c r="L427" s="308"/>
      <c r="M427" s="308"/>
      <c r="N427" s="308"/>
      <c r="O427" s="308"/>
      <c r="P427" s="308"/>
      <c r="Q427" s="308"/>
      <c r="R427" s="308"/>
      <c r="S427" s="308"/>
      <c r="T427" s="308"/>
      <c r="U427" s="308"/>
      <c r="V427" s="308"/>
      <c r="W427" s="308"/>
      <c r="X427" s="308"/>
      <c r="Y427" s="308"/>
      <c r="Z427" s="308"/>
    </row>
    <row r="428" spans="1:26" ht="14.25" customHeight="1" x14ac:dyDescent="0.3">
      <c r="A428" s="352" t="s">
        <v>1154</v>
      </c>
      <c r="B428" s="433" t="s">
        <v>1142</v>
      </c>
      <c r="C428" s="511" t="s">
        <v>1089</v>
      </c>
      <c r="D428" s="529" t="s">
        <v>1086</v>
      </c>
      <c r="E428" s="537">
        <v>20</v>
      </c>
      <c r="F428" s="524">
        <v>45912</v>
      </c>
      <c r="G428" s="539"/>
      <c r="H428" s="428" t="s">
        <v>1078</v>
      </c>
      <c r="I428" s="308"/>
      <c r="J428" s="429"/>
      <c r="K428" s="308"/>
      <c r="L428" s="308"/>
      <c r="M428" s="308"/>
      <c r="N428" s="308"/>
      <c r="O428" s="308"/>
      <c r="P428" s="308"/>
      <c r="Q428" s="308"/>
      <c r="R428" s="308"/>
      <c r="S428" s="308"/>
      <c r="T428" s="308"/>
      <c r="U428" s="308"/>
      <c r="V428" s="308"/>
      <c r="W428" s="308"/>
      <c r="X428" s="308"/>
      <c r="Y428" s="308"/>
      <c r="Z428" s="308"/>
    </row>
    <row r="429" spans="1:26" ht="14.25" customHeight="1" x14ac:dyDescent="0.3">
      <c r="A429" s="421" t="s">
        <v>1154</v>
      </c>
      <c r="B429" s="433" t="s">
        <v>1142</v>
      </c>
      <c r="C429" s="511" t="s">
        <v>1104</v>
      </c>
      <c r="D429" s="529" t="s">
        <v>1086</v>
      </c>
      <c r="E429" s="525">
        <v>11</v>
      </c>
      <c r="F429" s="524">
        <v>45824</v>
      </c>
      <c r="G429" s="524">
        <v>45905</v>
      </c>
      <c r="H429" s="435" t="s">
        <v>1083</v>
      </c>
      <c r="I429" s="427">
        <v>2</v>
      </c>
      <c r="J429" s="428">
        <v>45910</v>
      </c>
      <c r="K429" s="308"/>
      <c r="L429" s="308"/>
      <c r="M429" s="308"/>
      <c r="N429" s="308"/>
      <c r="O429" s="308"/>
      <c r="P429" s="308"/>
      <c r="Q429" s="308"/>
      <c r="R429" s="308"/>
      <c r="S429" s="308"/>
      <c r="T429" s="308"/>
      <c r="U429" s="308"/>
      <c r="V429" s="308"/>
      <c r="W429" s="308"/>
      <c r="X429" s="308"/>
      <c r="Y429" s="308"/>
      <c r="Z429" s="308"/>
    </row>
    <row r="430" spans="1:26" ht="14.25" customHeight="1" x14ac:dyDescent="0.3">
      <c r="A430" s="352" t="s">
        <v>890</v>
      </c>
      <c r="B430" s="433" t="s">
        <v>1142</v>
      </c>
      <c r="C430" s="511" t="s">
        <v>1089</v>
      </c>
      <c r="D430" s="517" t="s">
        <v>1088</v>
      </c>
      <c r="E430" s="439">
        <v>20</v>
      </c>
      <c r="F430" s="428">
        <v>45912</v>
      </c>
      <c r="G430" s="308"/>
      <c r="H430" s="428" t="s">
        <v>1078</v>
      </c>
      <c r="I430" s="308"/>
      <c r="J430" s="308"/>
      <c r="K430" s="308"/>
      <c r="L430" s="308"/>
      <c r="M430" s="308"/>
      <c r="N430" s="308"/>
      <c r="O430" s="308"/>
      <c r="P430" s="308"/>
      <c r="Q430" s="308"/>
      <c r="R430" s="308"/>
      <c r="S430" s="308"/>
      <c r="T430" s="308"/>
      <c r="U430" s="308"/>
      <c r="V430" s="308"/>
      <c r="W430" s="308"/>
      <c r="X430" s="308"/>
      <c r="Y430" s="308"/>
      <c r="Z430" s="308"/>
    </row>
    <row r="431" spans="1:26" ht="14.25" customHeight="1" x14ac:dyDescent="0.3">
      <c r="A431" s="475" t="s">
        <v>1051</v>
      </c>
      <c r="B431" s="424" t="s">
        <v>1122</v>
      </c>
      <c r="C431" s="425" t="s">
        <v>1089</v>
      </c>
      <c r="D431" s="463" t="s">
        <v>1132</v>
      </c>
      <c r="E431" s="439">
        <v>20</v>
      </c>
      <c r="F431" s="428">
        <v>45912</v>
      </c>
      <c r="G431" s="429" t="s">
        <v>451</v>
      </c>
      <c r="H431" s="443" t="s">
        <v>1090</v>
      </c>
      <c r="I431" s="423" t="s">
        <v>451</v>
      </c>
      <c r="J431" s="429" t="s">
        <v>451</v>
      </c>
      <c r="K431" s="308"/>
      <c r="L431" s="308"/>
      <c r="M431" s="308"/>
      <c r="N431" s="308"/>
      <c r="O431" s="308"/>
      <c r="P431" s="308"/>
      <c r="Q431" s="308"/>
      <c r="R431" s="308"/>
      <c r="S431" s="308"/>
      <c r="T431" s="308"/>
      <c r="U431" s="308"/>
      <c r="V431" s="308"/>
      <c r="W431" s="308"/>
      <c r="X431" s="308"/>
      <c r="Y431" s="308"/>
      <c r="Z431" s="308"/>
    </row>
    <row r="432" spans="1:26" ht="14.25" customHeight="1" x14ac:dyDescent="0.3">
      <c r="A432" s="475" t="s">
        <v>895</v>
      </c>
      <c r="B432" s="424" t="s">
        <v>1122</v>
      </c>
      <c r="C432" s="425" t="s">
        <v>1089</v>
      </c>
      <c r="D432" s="463" t="s">
        <v>1132</v>
      </c>
      <c r="E432" s="439">
        <v>20</v>
      </c>
      <c r="F432" s="428">
        <v>45912</v>
      </c>
      <c r="G432" s="423" t="s">
        <v>451</v>
      </c>
      <c r="H432" s="443" t="s">
        <v>1090</v>
      </c>
      <c r="I432" s="423" t="s">
        <v>451</v>
      </c>
      <c r="J432" s="423" t="s">
        <v>451</v>
      </c>
      <c r="K432" s="308"/>
      <c r="L432" s="308"/>
      <c r="M432" s="308"/>
      <c r="N432" s="308"/>
      <c r="O432" s="308"/>
      <c r="P432" s="308"/>
      <c r="Q432" s="308"/>
      <c r="R432" s="308"/>
      <c r="S432" s="308"/>
      <c r="T432" s="308"/>
      <c r="U432" s="308"/>
      <c r="V432" s="308"/>
      <c r="W432" s="308"/>
      <c r="X432" s="308"/>
      <c r="Y432" s="308"/>
      <c r="Z432" s="308"/>
    </row>
    <row r="433" spans="1:26" ht="14.25" customHeight="1" x14ac:dyDescent="0.3">
      <c r="A433" s="352" t="s">
        <v>895</v>
      </c>
      <c r="B433" s="433" t="s">
        <v>1142</v>
      </c>
      <c r="C433" s="352" t="s">
        <v>1089</v>
      </c>
      <c r="D433" s="543" t="s">
        <v>1155</v>
      </c>
      <c r="E433" s="423">
        <v>21</v>
      </c>
      <c r="F433" s="428">
        <v>45929</v>
      </c>
      <c r="G433" s="429"/>
      <c r="H433" s="443" t="s">
        <v>1090</v>
      </c>
      <c r="I433" s="429"/>
      <c r="J433" s="429"/>
      <c r="K433" s="308"/>
      <c r="L433" s="308"/>
      <c r="M433" s="308"/>
      <c r="N433" s="308"/>
      <c r="O433" s="308"/>
      <c r="P433" s="308"/>
      <c r="Q433" s="308"/>
      <c r="R433" s="308"/>
      <c r="S433" s="308"/>
      <c r="T433" s="308"/>
      <c r="U433" s="308"/>
      <c r="V433" s="308"/>
      <c r="W433" s="308"/>
      <c r="X433" s="308"/>
      <c r="Y433" s="308"/>
      <c r="Z433" s="308"/>
    </row>
    <row r="434" spans="1:26" ht="14.25" customHeight="1" x14ac:dyDescent="0.3">
      <c r="A434" s="352" t="s">
        <v>1156</v>
      </c>
      <c r="B434" s="424" t="s">
        <v>1122</v>
      </c>
      <c r="C434" s="425" t="s">
        <v>1104</v>
      </c>
      <c r="D434" s="425" t="s">
        <v>1114</v>
      </c>
      <c r="E434" s="427">
        <v>11</v>
      </c>
      <c r="F434" s="428">
        <v>45824</v>
      </c>
      <c r="G434" s="423" t="s">
        <v>451</v>
      </c>
      <c r="H434" s="428" t="s">
        <v>1078</v>
      </c>
      <c r="I434" s="423" t="s">
        <v>451</v>
      </c>
      <c r="J434" s="423" t="s">
        <v>451</v>
      </c>
      <c r="K434" s="308"/>
      <c r="L434" s="308"/>
      <c r="M434" s="308"/>
      <c r="N434" s="308"/>
      <c r="O434" s="308"/>
      <c r="P434" s="308"/>
      <c r="Q434" s="308"/>
      <c r="R434" s="308"/>
      <c r="S434" s="308"/>
      <c r="T434" s="308"/>
      <c r="U434" s="308"/>
      <c r="V434" s="308"/>
      <c r="W434" s="308"/>
      <c r="X434" s="308"/>
      <c r="Y434" s="308"/>
      <c r="Z434" s="308"/>
    </row>
    <row r="435" spans="1:26" ht="14.25" customHeight="1" x14ac:dyDescent="0.3">
      <c r="A435" s="484" t="s">
        <v>1156</v>
      </c>
      <c r="B435" s="449" t="s">
        <v>1142</v>
      </c>
      <c r="C435" s="447" t="s">
        <v>1144</v>
      </c>
      <c r="D435" s="445" t="s">
        <v>1138</v>
      </c>
      <c r="E435" s="512">
        <v>35</v>
      </c>
      <c r="F435" s="513">
        <v>45994</v>
      </c>
      <c r="G435" s="512"/>
      <c r="H435" s="514" t="s">
        <v>1083</v>
      </c>
      <c r="I435" s="512">
        <v>7</v>
      </c>
      <c r="J435" s="512"/>
      <c r="K435" s="512" t="s">
        <v>1211</v>
      </c>
      <c r="L435" s="308"/>
      <c r="M435" s="308"/>
      <c r="N435" s="308"/>
      <c r="O435" s="308"/>
      <c r="P435" s="308"/>
      <c r="Q435" s="308"/>
      <c r="R435" s="308"/>
      <c r="S435" s="308"/>
      <c r="T435" s="308"/>
      <c r="U435" s="308"/>
      <c r="V435" s="308"/>
      <c r="W435" s="308"/>
      <c r="X435" s="308"/>
      <c r="Y435" s="308"/>
      <c r="Z435" s="308"/>
    </row>
    <row r="436" spans="1:26" s="445" customFormat="1" ht="14.25" customHeight="1" x14ac:dyDescent="0.3">
      <c r="A436" s="475" t="s">
        <v>898</v>
      </c>
      <c r="B436" s="424" t="s">
        <v>1122</v>
      </c>
      <c r="C436" s="425" t="s">
        <v>1089</v>
      </c>
      <c r="D436" s="463" t="s">
        <v>1132</v>
      </c>
      <c r="E436" s="439">
        <v>20</v>
      </c>
      <c r="F436" s="428">
        <v>45912</v>
      </c>
      <c r="G436" s="423" t="s">
        <v>451</v>
      </c>
      <c r="H436" s="428" t="s">
        <v>1078</v>
      </c>
      <c r="I436" s="423" t="s">
        <v>451</v>
      </c>
      <c r="J436" s="423" t="s">
        <v>451</v>
      </c>
      <c r="K436" s="308"/>
      <c r="L436" s="267"/>
      <c r="M436" s="267"/>
      <c r="N436" s="267"/>
      <c r="O436" s="267"/>
      <c r="P436" s="267"/>
      <c r="Q436" s="267"/>
      <c r="R436" s="267"/>
      <c r="S436" s="267"/>
      <c r="T436" s="267"/>
      <c r="U436" s="267"/>
      <c r="V436" s="267"/>
      <c r="W436" s="267"/>
      <c r="X436" s="267"/>
      <c r="Y436" s="267"/>
      <c r="Z436" s="267"/>
    </row>
    <row r="437" spans="1:26" ht="14.25" customHeight="1" x14ac:dyDescent="0.3">
      <c r="A437" s="352" t="s">
        <v>898</v>
      </c>
      <c r="B437" s="433" t="s">
        <v>1142</v>
      </c>
      <c r="C437" s="352" t="s">
        <v>1089</v>
      </c>
      <c r="D437" s="543" t="s">
        <v>1155</v>
      </c>
      <c r="E437" s="423">
        <v>21</v>
      </c>
      <c r="F437" s="428">
        <v>45929</v>
      </c>
      <c r="G437" s="308"/>
      <c r="H437" s="443" t="s">
        <v>1090</v>
      </c>
      <c r="I437" s="308"/>
      <c r="J437" s="308"/>
      <c r="K437" s="308"/>
      <c r="L437" s="308"/>
      <c r="M437" s="308"/>
      <c r="N437" s="308"/>
      <c r="O437" s="308"/>
      <c r="P437" s="308"/>
      <c r="Q437" s="308"/>
      <c r="R437" s="308"/>
      <c r="S437" s="308"/>
      <c r="T437" s="308"/>
      <c r="U437" s="308"/>
      <c r="V437" s="308"/>
      <c r="W437" s="308"/>
      <c r="X437" s="308"/>
      <c r="Y437" s="308"/>
      <c r="Z437" s="308"/>
    </row>
    <row r="438" spans="1:26" ht="14.25" customHeight="1" x14ac:dyDescent="0.3">
      <c r="A438" s="475" t="s">
        <v>1063</v>
      </c>
      <c r="B438" s="424" t="s">
        <v>1122</v>
      </c>
      <c r="C438" s="425" t="s">
        <v>1089</v>
      </c>
      <c r="D438" s="463" t="s">
        <v>1132</v>
      </c>
      <c r="E438" s="439">
        <v>20</v>
      </c>
      <c r="F438" s="428">
        <v>45912</v>
      </c>
      <c r="G438" s="423" t="s">
        <v>451</v>
      </c>
      <c r="H438" s="428" t="s">
        <v>1078</v>
      </c>
      <c r="I438" s="423" t="s">
        <v>451</v>
      </c>
      <c r="J438" s="423" t="s">
        <v>451</v>
      </c>
      <c r="K438" s="308"/>
      <c r="L438" s="308"/>
      <c r="M438" s="308"/>
      <c r="N438" s="308"/>
      <c r="O438" s="308"/>
      <c r="P438" s="308"/>
      <c r="Q438" s="308"/>
      <c r="R438" s="308"/>
      <c r="S438" s="308"/>
      <c r="T438" s="308"/>
      <c r="U438" s="308"/>
      <c r="V438" s="308"/>
      <c r="W438" s="308"/>
      <c r="X438" s="308"/>
      <c r="Y438" s="308"/>
      <c r="Z438" s="308"/>
    </row>
    <row r="439" spans="1:26" ht="14.25" customHeight="1" x14ac:dyDescent="0.3">
      <c r="A439" s="352" t="s">
        <v>1063</v>
      </c>
      <c r="B439" s="433" t="s">
        <v>1142</v>
      </c>
      <c r="C439" s="352" t="s">
        <v>1089</v>
      </c>
      <c r="D439" s="541" t="s">
        <v>1079</v>
      </c>
      <c r="E439" s="308">
        <v>21</v>
      </c>
      <c r="F439" s="431">
        <v>45929</v>
      </c>
      <c r="G439" s="308"/>
      <c r="H439" s="435" t="s">
        <v>1083</v>
      </c>
      <c r="I439" s="308">
        <v>4</v>
      </c>
      <c r="J439" s="431">
        <v>45944</v>
      </c>
      <c r="K439" s="308"/>
      <c r="L439" s="308"/>
      <c r="M439" s="308"/>
      <c r="N439" s="308"/>
      <c r="O439" s="308"/>
      <c r="P439" s="308"/>
      <c r="Q439" s="308"/>
      <c r="R439" s="308"/>
      <c r="S439" s="308"/>
      <c r="T439" s="308"/>
      <c r="U439" s="308"/>
      <c r="V439" s="308"/>
      <c r="W439" s="308"/>
      <c r="X439" s="308"/>
      <c r="Y439" s="308"/>
      <c r="Z439" s="308"/>
    </row>
    <row r="440" spans="1:26" ht="14.25" customHeight="1" x14ac:dyDescent="0.3">
      <c r="A440" s="488" t="s">
        <v>1670</v>
      </c>
      <c r="B440" s="424" t="s">
        <v>1122</v>
      </c>
      <c r="C440" s="425" t="s">
        <v>1104</v>
      </c>
      <c r="D440" s="425" t="s">
        <v>1114</v>
      </c>
      <c r="E440" s="427">
        <v>11</v>
      </c>
      <c r="F440" s="428">
        <v>45824</v>
      </c>
      <c r="G440" s="423" t="s">
        <v>451</v>
      </c>
      <c r="H440" s="435" t="s">
        <v>1083</v>
      </c>
      <c r="I440" s="423" t="s">
        <v>451</v>
      </c>
      <c r="J440" s="423" t="s">
        <v>451</v>
      </c>
      <c r="K440" s="308"/>
      <c r="L440" s="308"/>
      <c r="M440" s="308"/>
      <c r="N440" s="308"/>
      <c r="O440" s="308"/>
      <c r="P440" s="308"/>
      <c r="Q440" s="308"/>
      <c r="R440" s="308"/>
      <c r="S440" s="308"/>
      <c r="T440" s="308"/>
      <c r="U440" s="308"/>
      <c r="V440" s="308"/>
      <c r="W440" s="308"/>
      <c r="X440" s="308"/>
      <c r="Y440" s="308"/>
      <c r="Z440" s="308"/>
    </row>
    <row r="441" spans="1:26" ht="14.25" customHeight="1" x14ac:dyDescent="0.3">
      <c r="A441" s="484" t="s">
        <v>904</v>
      </c>
      <c r="B441" s="449" t="s">
        <v>1142</v>
      </c>
      <c r="C441" s="447" t="s">
        <v>1144</v>
      </c>
      <c r="D441" s="445" t="s">
        <v>1138</v>
      </c>
      <c r="E441" s="512">
        <v>35</v>
      </c>
      <c r="F441" s="513">
        <v>45994</v>
      </c>
      <c r="G441" s="512"/>
      <c r="H441" s="514" t="s">
        <v>1083</v>
      </c>
      <c r="I441" s="512">
        <v>7</v>
      </c>
      <c r="J441" s="512"/>
      <c r="K441" s="512" t="s">
        <v>1212</v>
      </c>
      <c r="L441" s="308"/>
      <c r="M441" s="308"/>
      <c r="N441" s="308"/>
      <c r="O441" s="308"/>
      <c r="P441" s="308"/>
      <c r="Q441" s="308"/>
      <c r="R441" s="308"/>
      <c r="S441" s="308"/>
      <c r="T441" s="308"/>
      <c r="U441" s="308"/>
      <c r="V441" s="308"/>
      <c r="W441" s="308"/>
      <c r="X441" s="308"/>
      <c r="Y441" s="308"/>
      <c r="Z441" s="308"/>
    </row>
    <row r="442" spans="1:26" ht="14.25" customHeight="1" x14ac:dyDescent="0.3">
      <c r="A442" s="488" t="s">
        <v>904</v>
      </c>
      <c r="B442" s="424" t="s">
        <v>1122</v>
      </c>
      <c r="C442" s="425" t="s">
        <v>1104</v>
      </c>
      <c r="D442" s="425" t="s">
        <v>1114</v>
      </c>
      <c r="E442" s="427">
        <v>11</v>
      </c>
      <c r="F442" s="428">
        <v>45824</v>
      </c>
      <c r="G442" s="423" t="s">
        <v>451</v>
      </c>
      <c r="H442" s="435" t="s">
        <v>1083</v>
      </c>
      <c r="I442" s="423" t="s">
        <v>451</v>
      </c>
      <c r="J442" s="423" t="s">
        <v>451</v>
      </c>
      <c r="K442" s="308"/>
      <c r="L442" s="308"/>
      <c r="M442" s="308"/>
      <c r="N442" s="308"/>
      <c r="O442" s="308"/>
      <c r="P442" s="308"/>
      <c r="Q442" s="308"/>
      <c r="R442" s="308"/>
      <c r="S442" s="308"/>
      <c r="T442" s="308"/>
      <c r="U442" s="308"/>
      <c r="V442" s="308"/>
      <c r="W442" s="308"/>
      <c r="X442" s="308"/>
      <c r="Y442" s="308"/>
      <c r="Z442" s="308"/>
    </row>
    <row r="443" spans="1:26" s="445" customFormat="1" ht="14.25" customHeight="1" x14ac:dyDescent="0.3">
      <c r="A443" s="480" t="s">
        <v>1158</v>
      </c>
      <c r="B443" s="424" t="s">
        <v>1122</v>
      </c>
      <c r="C443" s="425" t="s">
        <v>1104</v>
      </c>
      <c r="D443" s="425" t="s">
        <v>1114</v>
      </c>
      <c r="E443" s="427">
        <v>11</v>
      </c>
      <c r="F443" s="428">
        <v>45824</v>
      </c>
      <c r="G443" s="423" t="s">
        <v>451</v>
      </c>
      <c r="H443" s="428" t="s">
        <v>1078</v>
      </c>
      <c r="I443" s="423" t="s">
        <v>451</v>
      </c>
      <c r="J443" s="423" t="s">
        <v>451</v>
      </c>
      <c r="K443" s="308"/>
      <c r="L443" s="267"/>
      <c r="M443" s="267"/>
      <c r="N443" s="267"/>
      <c r="O443" s="267"/>
      <c r="P443" s="267"/>
      <c r="Q443" s="267"/>
      <c r="R443" s="267"/>
      <c r="S443" s="267"/>
      <c r="T443" s="267"/>
      <c r="U443" s="267"/>
      <c r="V443" s="267"/>
      <c r="W443" s="267"/>
      <c r="X443" s="267"/>
      <c r="Y443" s="267"/>
      <c r="Z443" s="267"/>
    </row>
    <row r="444" spans="1:26" ht="14.25" customHeight="1" x14ac:dyDescent="0.3">
      <c r="A444" s="352" t="s">
        <v>1158</v>
      </c>
      <c r="B444" s="433" t="s">
        <v>1142</v>
      </c>
      <c r="C444" s="425" t="s">
        <v>1089</v>
      </c>
      <c r="D444" s="544" t="s">
        <v>1082</v>
      </c>
      <c r="E444" s="427">
        <v>18</v>
      </c>
      <c r="F444" s="428">
        <v>45835</v>
      </c>
      <c r="G444" s="428">
        <v>45905</v>
      </c>
      <c r="H444" s="443" t="s">
        <v>1090</v>
      </c>
      <c r="I444" s="427">
        <v>3</v>
      </c>
      <c r="J444" s="428">
        <v>45910</v>
      </c>
      <c r="K444" s="308"/>
      <c r="L444" s="308"/>
      <c r="M444" s="308"/>
      <c r="N444" s="308"/>
      <c r="O444" s="308"/>
      <c r="P444" s="308"/>
      <c r="Q444" s="308"/>
      <c r="R444" s="308"/>
      <c r="S444" s="308"/>
      <c r="T444" s="308"/>
      <c r="U444" s="308"/>
      <c r="V444" s="308"/>
      <c r="W444" s="308"/>
      <c r="X444" s="308"/>
      <c r="Y444" s="308"/>
      <c r="Z444" s="308"/>
    </row>
    <row r="445" spans="1:26" ht="14.25" customHeight="1" x14ac:dyDescent="0.3">
      <c r="A445" s="489" t="s">
        <v>1159</v>
      </c>
      <c r="B445" s="430" t="s">
        <v>1122</v>
      </c>
      <c r="C445" s="308" t="s">
        <v>1089</v>
      </c>
      <c r="D445" s="308" t="s">
        <v>1080</v>
      </c>
      <c r="E445" s="308">
        <v>25</v>
      </c>
      <c r="F445" s="431">
        <v>45953</v>
      </c>
      <c r="G445" s="308"/>
      <c r="H445" s="308" t="s">
        <v>1107</v>
      </c>
      <c r="I445" s="308"/>
      <c r="J445" s="308"/>
      <c r="K445" s="308"/>
      <c r="L445" s="308"/>
      <c r="M445" s="308"/>
      <c r="N445" s="308"/>
      <c r="O445" s="308"/>
      <c r="P445" s="308"/>
      <c r="Q445" s="308"/>
      <c r="R445" s="308"/>
      <c r="S445" s="308"/>
      <c r="T445" s="308"/>
      <c r="U445" s="308"/>
      <c r="V445" s="308"/>
      <c r="W445" s="308"/>
      <c r="X445" s="308"/>
      <c r="Y445" s="308"/>
      <c r="Z445" s="308"/>
    </row>
    <row r="446" spans="1:26" ht="14.25" customHeight="1" x14ac:dyDescent="0.3">
      <c r="A446" s="507" t="s">
        <v>1994</v>
      </c>
      <c r="B446" s="433" t="s">
        <v>1142</v>
      </c>
      <c r="C446" s="511" t="s">
        <v>1076</v>
      </c>
      <c r="D446" s="529" t="s">
        <v>1086</v>
      </c>
      <c r="E446" s="308">
        <v>26</v>
      </c>
      <c r="F446" s="431">
        <v>45958</v>
      </c>
      <c r="G446" s="308"/>
      <c r="H446" s="428" t="s">
        <v>1078</v>
      </c>
      <c r="I446" s="308" t="s">
        <v>1200</v>
      </c>
      <c r="J446" s="308"/>
      <c r="K446" s="308"/>
      <c r="L446" s="308"/>
      <c r="M446" s="308"/>
      <c r="N446" s="308"/>
      <c r="O446" s="308"/>
      <c r="P446" s="308"/>
      <c r="Q446" s="308"/>
      <c r="R446" s="308"/>
      <c r="S446" s="308"/>
      <c r="T446" s="308"/>
      <c r="U446" s="308"/>
      <c r="V446" s="308"/>
      <c r="W446" s="308"/>
      <c r="X446" s="308"/>
      <c r="Y446" s="308"/>
      <c r="Z446" s="308"/>
    </row>
    <row r="447" spans="1:26" ht="14.25" customHeight="1" x14ac:dyDescent="0.3">
      <c r="A447" s="352" t="s">
        <v>1994</v>
      </c>
      <c r="B447" s="433" t="s">
        <v>1142</v>
      </c>
      <c r="C447" s="425" t="s">
        <v>1089</v>
      </c>
      <c r="D447" s="544" t="s">
        <v>1082</v>
      </c>
      <c r="E447" s="427">
        <v>18</v>
      </c>
      <c r="F447" s="428">
        <v>45835</v>
      </c>
      <c r="G447" s="428">
        <v>45905</v>
      </c>
      <c r="H447" s="435" t="s">
        <v>1083</v>
      </c>
      <c r="I447" s="427">
        <v>3</v>
      </c>
      <c r="J447" s="428">
        <v>45910</v>
      </c>
      <c r="K447" s="308"/>
      <c r="L447" s="308"/>
      <c r="M447" s="308"/>
      <c r="N447" s="308"/>
      <c r="O447" s="308"/>
      <c r="P447" s="308"/>
      <c r="Q447" s="308"/>
      <c r="R447" s="308"/>
      <c r="S447" s="308"/>
      <c r="T447" s="308"/>
      <c r="U447" s="308"/>
      <c r="V447" s="308"/>
      <c r="W447" s="308"/>
      <c r="X447" s="308"/>
      <c r="Y447" s="308"/>
      <c r="Z447" s="308"/>
    </row>
    <row r="448" spans="1:26" ht="14.25" customHeight="1" x14ac:dyDescent="0.3">
      <c r="A448" s="352" t="s">
        <v>1052</v>
      </c>
      <c r="B448" s="424" t="s">
        <v>1122</v>
      </c>
      <c r="C448" s="425" t="s">
        <v>1089</v>
      </c>
      <c r="D448" s="441" t="s">
        <v>1088</v>
      </c>
      <c r="E448" s="450">
        <v>8</v>
      </c>
      <c r="F448" s="451">
        <v>45824</v>
      </c>
      <c r="G448" s="429" t="s">
        <v>451</v>
      </c>
      <c r="H448" s="428" t="s">
        <v>1078</v>
      </c>
      <c r="I448" s="429" t="s">
        <v>451</v>
      </c>
      <c r="J448" s="429" t="s">
        <v>451</v>
      </c>
      <c r="K448" s="308"/>
      <c r="L448" s="308"/>
      <c r="M448" s="308"/>
      <c r="N448" s="308"/>
      <c r="O448" s="308"/>
      <c r="P448" s="308"/>
      <c r="Q448" s="308"/>
      <c r="R448" s="308"/>
      <c r="S448" s="308"/>
      <c r="T448" s="308"/>
      <c r="U448" s="308"/>
      <c r="V448" s="308"/>
      <c r="W448" s="308"/>
      <c r="X448" s="308"/>
      <c r="Y448" s="308"/>
      <c r="Z448" s="308"/>
    </row>
    <row r="449" spans="1:26" ht="14.25" customHeight="1" x14ac:dyDescent="0.3">
      <c r="A449" s="484" t="s">
        <v>1052</v>
      </c>
      <c r="B449" s="449" t="s">
        <v>1142</v>
      </c>
      <c r="C449" s="447" t="s">
        <v>1144</v>
      </c>
      <c r="D449" s="445" t="s">
        <v>1138</v>
      </c>
      <c r="E449" s="512">
        <v>35</v>
      </c>
      <c r="F449" s="513">
        <v>45994</v>
      </c>
      <c r="G449" s="512"/>
      <c r="H449" s="514" t="s">
        <v>1083</v>
      </c>
      <c r="I449" s="512">
        <v>7</v>
      </c>
      <c r="J449" s="512"/>
      <c r="K449" s="512" t="s">
        <v>1213</v>
      </c>
      <c r="L449" s="308"/>
      <c r="M449" s="308"/>
      <c r="N449" s="308"/>
      <c r="O449" s="308"/>
      <c r="P449" s="308"/>
      <c r="Q449" s="308"/>
      <c r="R449" s="308"/>
      <c r="S449" s="308"/>
      <c r="T449" s="308"/>
      <c r="U449" s="308"/>
      <c r="V449" s="308"/>
      <c r="W449" s="308"/>
      <c r="X449" s="308"/>
      <c r="Y449" s="308"/>
      <c r="Z449" s="308"/>
    </row>
    <row r="450" spans="1:26" ht="14.25" customHeight="1" x14ac:dyDescent="0.3">
      <c r="A450" s="352" t="s">
        <v>913</v>
      </c>
      <c r="B450" s="424" t="s">
        <v>1122</v>
      </c>
      <c r="C450" s="425" t="s">
        <v>1089</v>
      </c>
      <c r="D450" s="441" t="s">
        <v>1088</v>
      </c>
      <c r="E450" s="450">
        <v>8</v>
      </c>
      <c r="F450" s="451">
        <v>45824</v>
      </c>
      <c r="G450" s="429" t="s">
        <v>451</v>
      </c>
      <c r="H450" s="428" t="s">
        <v>1078</v>
      </c>
      <c r="I450" s="429" t="s">
        <v>451</v>
      </c>
      <c r="J450" s="429" t="s">
        <v>451</v>
      </c>
      <c r="K450" s="308"/>
      <c r="L450" s="308"/>
      <c r="M450" s="308"/>
      <c r="N450" s="308"/>
      <c r="O450" s="308"/>
      <c r="P450" s="308"/>
      <c r="Q450" s="308"/>
      <c r="R450" s="308"/>
      <c r="S450" s="308"/>
      <c r="T450" s="308"/>
      <c r="U450" s="308"/>
      <c r="V450" s="308"/>
      <c r="W450" s="308"/>
      <c r="X450" s="308"/>
      <c r="Y450" s="308"/>
      <c r="Z450" s="308"/>
    </row>
    <row r="451" spans="1:26" ht="14.25" customHeight="1" x14ac:dyDescent="0.3">
      <c r="A451" s="484" t="s">
        <v>913</v>
      </c>
      <c r="B451" s="449" t="s">
        <v>1142</v>
      </c>
      <c r="C451" s="447" t="s">
        <v>1144</v>
      </c>
      <c r="D451" s="445" t="s">
        <v>1138</v>
      </c>
      <c r="E451" s="512">
        <v>35</v>
      </c>
      <c r="F451" s="513">
        <v>45994</v>
      </c>
      <c r="G451" s="512"/>
      <c r="H451" s="514" t="s">
        <v>1083</v>
      </c>
      <c r="I451" s="512">
        <v>7</v>
      </c>
      <c r="J451" s="512"/>
      <c r="K451" s="512" t="s">
        <v>1214</v>
      </c>
      <c r="L451" s="308"/>
      <c r="M451" s="308"/>
      <c r="N451" s="308"/>
      <c r="O451" s="308"/>
      <c r="P451" s="308"/>
      <c r="Q451" s="308"/>
      <c r="R451" s="308"/>
      <c r="S451" s="308"/>
      <c r="T451" s="308"/>
      <c r="U451" s="308"/>
      <c r="V451" s="308"/>
      <c r="W451" s="308"/>
      <c r="X451" s="308"/>
      <c r="Y451" s="308"/>
      <c r="Z451" s="308"/>
    </row>
    <row r="452" spans="1:26" ht="14.25" customHeight="1" x14ac:dyDescent="0.3">
      <c r="A452" s="480" t="s">
        <v>914</v>
      </c>
      <c r="B452" s="424" t="s">
        <v>1122</v>
      </c>
      <c r="C452" s="425" t="s">
        <v>1089</v>
      </c>
      <c r="D452" s="441" t="s">
        <v>1088</v>
      </c>
      <c r="E452" s="450">
        <v>8</v>
      </c>
      <c r="F452" s="451">
        <v>45824</v>
      </c>
      <c r="G452" s="429" t="s">
        <v>451</v>
      </c>
      <c r="H452" s="443" t="s">
        <v>1090</v>
      </c>
      <c r="I452" s="429" t="s">
        <v>451</v>
      </c>
      <c r="J452" s="429" t="s">
        <v>451</v>
      </c>
      <c r="K452" s="308"/>
      <c r="L452" s="308"/>
      <c r="M452" s="308"/>
      <c r="N452" s="308"/>
      <c r="O452" s="308"/>
      <c r="P452" s="308"/>
      <c r="Q452" s="308"/>
      <c r="R452" s="308"/>
      <c r="S452" s="308"/>
      <c r="T452" s="308"/>
      <c r="U452" s="308"/>
      <c r="V452" s="308"/>
      <c r="W452" s="308"/>
      <c r="X452" s="308"/>
      <c r="Y452" s="308"/>
      <c r="Z452" s="308"/>
    </row>
    <row r="453" spans="1:26" ht="14.25" customHeight="1" x14ac:dyDescent="0.3">
      <c r="A453" s="352" t="s">
        <v>1053</v>
      </c>
      <c r="B453" s="424" t="s">
        <v>1122</v>
      </c>
      <c r="C453" s="425" t="s">
        <v>1089</v>
      </c>
      <c r="D453" s="441" t="s">
        <v>1088</v>
      </c>
      <c r="E453" s="450">
        <v>8</v>
      </c>
      <c r="F453" s="451">
        <v>45824</v>
      </c>
      <c r="G453" s="429" t="s">
        <v>451</v>
      </c>
      <c r="H453" s="428" t="s">
        <v>1078</v>
      </c>
      <c r="I453" s="429" t="s">
        <v>451</v>
      </c>
      <c r="J453" s="429" t="s">
        <v>451</v>
      </c>
      <c r="K453" s="308"/>
      <c r="L453" s="308"/>
      <c r="M453" s="308"/>
      <c r="N453" s="308"/>
      <c r="O453" s="308"/>
      <c r="P453" s="308"/>
      <c r="Q453" s="308"/>
      <c r="R453" s="308"/>
      <c r="S453" s="308"/>
      <c r="T453" s="308"/>
      <c r="U453" s="308"/>
      <c r="V453" s="308"/>
      <c r="W453" s="308"/>
      <c r="X453" s="308"/>
      <c r="Y453" s="308"/>
      <c r="Z453" s="308"/>
    </row>
    <row r="454" spans="1:26" ht="14.25" customHeight="1" x14ac:dyDescent="0.3">
      <c r="A454" s="507" t="s">
        <v>1053</v>
      </c>
      <c r="B454" s="433" t="s">
        <v>1142</v>
      </c>
      <c r="C454" s="308" t="s">
        <v>1144</v>
      </c>
      <c r="D454" s="528" t="s">
        <v>1091</v>
      </c>
      <c r="E454" s="308">
        <v>28</v>
      </c>
      <c r="F454" s="431">
        <v>45958</v>
      </c>
      <c r="G454" s="308"/>
      <c r="H454" s="267" t="s">
        <v>1083</v>
      </c>
      <c r="I454" s="267">
        <v>7</v>
      </c>
      <c r="J454" s="267"/>
      <c r="K454" s="267"/>
      <c r="L454" s="308"/>
      <c r="M454" s="308"/>
      <c r="N454" s="308"/>
      <c r="O454" s="308"/>
      <c r="P454" s="308"/>
      <c r="Q454" s="308"/>
      <c r="R454" s="308"/>
      <c r="S454" s="308"/>
      <c r="T454" s="308"/>
      <c r="U454" s="308"/>
      <c r="V454" s="308"/>
      <c r="W454" s="308"/>
      <c r="X454" s="308"/>
      <c r="Y454" s="308"/>
      <c r="Z454" s="308"/>
    </row>
    <row r="455" spans="1:26" ht="14.25" customHeight="1" x14ac:dyDescent="0.3">
      <c r="A455" s="352" t="s">
        <v>2187</v>
      </c>
      <c r="B455" s="433" t="s">
        <v>1142</v>
      </c>
      <c r="C455" s="511" t="s">
        <v>1093</v>
      </c>
      <c r="D455" s="442" t="s">
        <v>1088</v>
      </c>
      <c r="E455" s="450">
        <v>19</v>
      </c>
      <c r="F455" s="428">
        <v>45865</v>
      </c>
      <c r="G455" s="428">
        <v>45905</v>
      </c>
      <c r="H455" s="443" t="s">
        <v>1090</v>
      </c>
      <c r="I455" s="308"/>
      <c r="J455" s="429" t="s">
        <v>1160</v>
      </c>
      <c r="K455" s="308"/>
      <c r="L455" s="308"/>
      <c r="M455" s="308"/>
      <c r="N455" s="308"/>
      <c r="O455" s="308"/>
      <c r="P455" s="308"/>
      <c r="Q455" s="308"/>
      <c r="R455" s="308"/>
      <c r="S455" s="308"/>
      <c r="T455" s="308"/>
      <c r="U455" s="308"/>
      <c r="V455" s="308"/>
      <c r="W455" s="308"/>
      <c r="X455" s="308"/>
      <c r="Y455" s="308"/>
      <c r="Z455" s="308"/>
    </row>
    <row r="456" spans="1:26" ht="14.25" customHeight="1" x14ac:dyDescent="0.3">
      <c r="A456" s="352" t="s">
        <v>2187</v>
      </c>
      <c r="B456" s="433" t="s">
        <v>1142</v>
      </c>
      <c r="C456" s="511" t="s">
        <v>1093</v>
      </c>
      <c r="D456" s="522" t="s">
        <v>1100</v>
      </c>
      <c r="E456" s="525">
        <v>19</v>
      </c>
      <c r="F456" s="524">
        <v>45865</v>
      </c>
      <c r="G456" s="524">
        <v>45848</v>
      </c>
      <c r="H456" s="435" t="s">
        <v>1083</v>
      </c>
      <c r="I456" s="427">
        <v>2</v>
      </c>
      <c r="J456" s="428">
        <v>45910</v>
      </c>
      <c r="K456" s="308"/>
      <c r="L456" s="308"/>
      <c r="M456" s="308"/>
      <c r="N456" s="308"/>
      <c r="O456" s="308"/>
      <c r="P456" s="308"/>
      <c r="Q456" s="308"/>
      <c r="R456" s="308"/>
      <c r="S456" s="308"/>
      <c r="T456" s="308"/>
      <c r="U456" s="308"/>
      <c r="V456" s="308"/>
      <c r="W456" s="308"/>
      <c r="X456" s="308"/>
      <c r="Y456" s="308"/>
      <c r="Z456" s="308"/>
    </row>
    <row r="457" spans="1:26" ht="14.25" customHeight="1" x14ac:dyDescent="0.3">
      <c r="A457" s="352" t="s">
        <v>920</v>
      </c>
      <c r="B457" s="433" t="s">
        <v>1142</v>
      </c>
      <c r="C457" s="511" t="s">
        <v>1089</v>
      </c>
      <c r="D457" s="442" t="s">
        <v>1088</v>
      </c>
      <c r="E457" s="450">
        <v>8</v>
      </c>
      <c r="F457" s="451">
        <v>45824</v>
      </c>
      <c r="G457" s="428">
        <v>45905</v>
      </c>
      <c r="H457" s="435" t="s">
        <v>1083</v>
      </c>
      <c r="I457" s="427">
        <v>3</v>
      </c>
      <c r="J457" s="428">
        <v>45910</v>
      </c>
      <c r="K457" s="308"/>
      <c r="L457" s="308"/>
      <c r="M457" s="308"/>
      <c r="N457" s="308"/>
      <c r="O457" s="308"/>
      <c r="P457" s="308"/>
      <c r="Q457" s="308"/>
      <c r="R457" s="308"/>
      <c r="S457" s="308"/>
      <c r="T457" s="308"/>
      <c r="U457" s="308"/>
      <c r="V457" s="308"/>
      <c r="W457" s="308"/>
      <c r="X457" s="308"/>
      <c r="Y457" s="308"/>
      <c r="Z457" s="308"/>
    </row>
    <row r="458" spans="1:26" ht="14.25" customHeight="1" x14ac:dyDescent="0.3">
      <c r="A458" s="475" t="s">
        <v>921</v>
      </c>
      <c r="B458" s="424" t="s">
        <v>1122</v>
      </c>
      <c r="C458" s="425" t="s">
        <v>1089</v>
      </c>
      <c r="D458" s="463" t="s">
        <v>1132</v>
      </c>
      <c r="E458" s="439">
        <v>20</v>
      </c>
      <c r="F458" s="428">
        <v>45912</v>
      </c>
      <c r="G458" s="423" t="s">
        <v>451</v>
      </c>
      <c r="H458" s="428" t="s">
        <v>1078</v>
      </c>
      <c r="I458" s="423" t="s">
        <v>451</v>
      </c>
      <c r="J458" s="423" t="s">
        <v>451</v>
      </c>
      <c r="K458" s="308"/>
      <c r="L458" s="308"/>
      <c r="M458" s="308"/>
      <c r="N458" s="308"/>
      <c r="O458" s="308"/>
      <c r="P458" s="308"/>
      <c r="Q458" s="308"/>
      <c r="R458" s="308"/>
      <c r="S458" s="308"/>
      <c r="T458" s="308"/>
      <c r="U458" s="308"/>
      <c r="V458" s="308"/>
      <c r="W458" s="308"/>
      <c r="X458" s="308"/>
      <c r="Y458" s="308"/>
      <c r="Z458" s="308"/>
    </row>
    <row r="459" spans="1:26" ht="14.25" customHeight="1" x14ac:dyDescent="0.3">
      <c r="A459" s="352" t="s">
        <v>921</v>
      </c>
      <c r="B459" s="433" t="s">
        <v>1142</v>
      </c>
      <c r="C459" s="511" t="s">
        <v>1089</v>
      </c>
      <c r="D459" s="533" t="s">
        <v>1161</v>
      </c>
      <c r="E459" s="450">
        <v>13</v>
      </c>
      <c r="F459" s="451">
        <v>45824</v>
      </c>
      <c r="G459" s="524">
        <v>45905</v>
      </c>
      <c r="H459" s="428" t="s">
        <v>1078</v>
      </c>
      <c r="I459" s="308"/>
      <c r="J459" s="423" t="s">
        <v>1162</v>
      </c>
      <c r="K459" s="308"/>
      <c r="L459" s="308"/>
      <c r="M459" s="308"/>
      <c r="N459" s="308"/>
      <c r="O459" s="308"/>
      <c r="P459" s="308"/>
      <c r="Q459" s="308"/>
      <c r="R459" s="308"/>
      <c r="S459" s="308"/>
      <c r="T459" s="308"/>
      <c r="U459" s="308"/>
      <c r="V459" s="308"/>
      <c r="W459" s="308"/>
      <c r="X459" s="308"/>
      <c r="Y459" s="308"/>
      <c r="Z459" s="308"/>
    </row>
    <row r="460" spans="1:26" ht="14.25" customHeight="1" x14ac:dyDescent="0.3">
      <c r="A460" s="484" t="s">
        <v>921</v>
      </c>
      <c r="B460" s="449" t="s">
        <v>1142</v>
      </c>
      <c r="C460" s="447" t="s">
        <v>1144</v>
      </c>
      <c r="D460" s="445" t="s">
        <v>1138</v>
      </c>
      <c r="E460" s="512">
        <v>35</v>
      </c>
      <c r="F460" s="513">
        <v>45994</v>
      </c>
      <c r="G460" s="512"/>
      <c r="H460" s="514" t="s">
        <v>1083</v>
      </c>
      <c r="I460" s="512">
        <v>7</v>
      </c>
      <c r="J460" s="512"/>
      <c r="K460" s="512" t="s">
        <v>1233</v>
      </c>
      <c r="L460" s="308"/>
      <c r="M460" s="308"/>
      <c r="N460" s="308"/>
      <c r="O460" s="308"/>
      <c r="P460" s="308"/>
      <c r="Q460" s="308"/>
      <c r="R460" s="308"/>
      <c r="S460" s="308"/>
      <c r="T460" s="308"/>
      <c r="U460" s="308"/>
      <c r="V460" s="308"/>
      <c r="W460" s="308"/>
      <c r="X460" s="308"/>
      <c r="Y460" s="308"/>
      <c r="Z460" s="308"/>
    </row>
    <row r="461" spans="1:26" ht="14.25" customHeight="1" x14ac:dyDescent="0.3">
      <c r="A461" s="475" t="s">
        <v>921</v>
      </c>
      <c r="B461" s="424" t="s">
        <v>1122</v>
      </c>
      <c r="C461" s="352" t="s">
        <v>1089</v>
      </c>
      <c r="D461" s="423" t="s">
        <v>1155</v>
      </c>
      <c r="E461" s="423">
        <v>21</v>
      </c>
      <c r="F461" s="428">
        <v>45929</v>
      </c>
      <c r="G461" s="423" t="s">
        <v>451</v>
      </c>
      <c r="H461" s="428" t="s">
        <v>1078</v>
      </c>
      <c r="I461" s="423" t="s">
        <v>451</v>
      </c>
      <c r="J461" s="423" t="s">
        <v>451</v>
      </c>
      <c r="K461" s="308"/>
      <c r="L461" s="308"/>
      <c r="M461" s="308"/>
      <c r="N461" s="308"/>
      <c r="O461" s="308"/>
      <c r="P461" s="308"/>
      <c r="Q461" s="308"/>
      <c r="R461" s="308"/>
      <c r="S461" s="308"/>
      <c r="T461" s="308"/>
      <c r="U461" s="308"/>
      <c r="V461" s="308"/>
      <c r="W461" s="308"/>
      <c r="X461" s="308"/>
      <c r="Y461" s="308"/>
      <c r="Z461" s="308"/>
    </row>
    <row r="462" spans="1:26" ht="14.25" customHeight="1" x14ac:dyDescent="0.3">
      <c r="A462" s="421" t="s">
        <v>924</v>
      </c>
      <c r="B462" s="433" t="s">
        <v>1142</v>
      </c>
      <c r="C462" s="511" t="s">
        <v>1104</v>
      </c>
      <c r="D462" s="529" t="s">
        <v>1086</v>
      </c>
      <c r="E462" s="525">
        <v>11</v>
      </c>
      <c r="F462" s="524">
        <v>45824</v>
      </c>
      <c r="G462" s="524">
        <v>45905</v>
      </c>
      <c r="H462" s="435" t="s">
        <v>1083</v>
      </c>
      <c r="I462" s="427">
        <v>2</v>
      </c>
      <c r="J462" s="428">
        <v>45910</v>
      </c>
      <c r="K462" s="308"/>
      <c r="L462" s="308"/>
      <c r="M462" s="308"/>
      <c r="N462" s="308"/>
      <c r="O462" s="308"/>
      <c r="P462" s="308"/>
      <c r="Q462" s="308"/>
      <c r="R462" s="308"/>
      <c r="S462" s="308"/>
      <c r="T462" s="308"/>
      <c r="U462" s="308"/>
      <c r="V462" s="308"/>
      <c r="W462" s="308"/>
      <c r="X462" s="308"/>
      <c r="Y462" s="308"/>
      <c r="Z462" s="308"/>
    </row>
    <row r="463" spans="1:26" ht="14.25" customHeight="1" x14ac:dyDescent="0.3">
      <c r="A463" s="352" t="s">
        <v>1977</v>
      </c>
      <c r="B463" s="433" t="s">
        <v>1142</v>
      </c>
      <c r="C463" s="511" t="s">
        <v>1089</v>
      </c>
      <c r="D463" s="442" t="s">
        <v>1088</v>
      </c>
      <c r="E463" s="450">
        <v>8</v>
      </c>
      <c r="F463" s="451">
        <v>45824</v>
      </c>
      <c r="G463" s="428">
        <v>45905</v>
      </c>
      <c r="H463" s="435" t="s">
        <v>1083</v>
      </c>
      <c r="I463" s="427">
        <v>3</v>
      </c>
      <c r="J463" s="428">
        <v>45910</v>
      </c>
      <c r="K463" s="308"/>
      <c r="L463" s="308"/>
      <c r="M463" s="308"/>
      <c r="N463" s="308"/>
      <c r="O463" s="308"/>
      <c r="P463" s="308"/>
      <c r="Q463" s="308"/>
      <c r="R463" s="308"/>
      <c r="S463" s="308"/>
      <c r="T463" s="308"/>
      <c r="U463" s="308"/>
      <c r="V463" s="308"/>
      <c r="W463" s="308"/>
      <c r="X463" s="308"/>
      <c r="Y463" s="308"/>
      <c r="Z463" s="308"/>
    </row>
    <row r="464" spans="1:26" ht="14.25" customHeight="1" x14ac:dyDescent="0.3">
      <c r="A464" s="480" t="s">
        <v>926</v>
      </c>
      <c r="B464" s="424" t="s">
        <v>1122</v>
      </c>
      <c r="C464" s="425" t="s">
        <v>1089</v>
      </c>
      <c r="D464" s="441" t="s">
        <v>1088</v>
      </c>
      <c r="E464" s="450">
        <v>8</v>
      </c>
      <c r="F464" s="451">
        <v>45824</v>
      </c>
      <c r="G464" s="423" t="s">
        <v>451</v>
      </c>
      <c r="H464" s="443" t="s">
        <v>1090</v>
      </c>
      <c r="I464" s="423" t="s">
        <v>451</v>
      </c>
      <c r="J464" s="423" t="s">
        <v>451</v>
      </c>
      <c r="K464" s="308"/>
      <c r="L464" s="308"/>
      <c r="M464" s="308"/>
      <c r="N464" s="308"/>
      <c r="O464" s="308"/>
      <c r="P464" s="308"/>
      <c r="Q464" s="308"/>
      <c r="R464" s="308"/>
      <c r="S464" s="308"/>
      <c r="T464" s="308"/>
      <c r="U464" s="308"/>
      <c r="V464" s="308"/>
      <c r="W464" s="308"/>
      <c r="X464" s="308"/>
      <c r="Y464" s="308"/>
      <c r="Z464" s="308"/>
    </row>
    <row r="465" spans="1:26" s="445" customFormat="1" ht="14.25" customHeight="1" x14ac:dyDescent="0.3">
      <c r="A465" s="480" t="s">
        <v>1163</v>
      </c>
      <c r="B465" s="424" t="s">
        <v>1122</v>
      </c>
      <c r="C465" s="425" t="s">
        <v>1104</v>
      </c>
      <c r="D465" s="425" t="s">
        <v>1114</v>
      </c>
      <c r="E465" s="427">
        <v>11</v>
      </c>
      <c r="F465" s="428">
        <v>45824</v>
      </c>
      <c r="G465" s="423" t="s">
        <v>451</v>
      </c>
      <c r="H465" s="443" t="s">
        <v>1090</v>
      </c>
      <c r="I465" s="423" t="s">
        <v>451</v>
      </c>
      <c r="J465" s="423" t="s">
        <v>451</v>
      </c>
      <c r="K465" s="308"/>
      <c r="L465" s="267"/>
      <c r="M465" s="267"/>
      <c r="N465" s="267"/>
      <c r="O465" s="267"/>
      <c r="P465" s="267"/>
      <c r="Q465" s="267"/>
      <c r="R465" s="267"/>
      <c r="S465" s="267"/>
      <c r="T465" s="267"/>
      <c r="U465" s="267"/>
      <c r="V465" s="267"/>
      <c r="W465" s="267"/>
      <c r="X465" s="267"/>
      <c r="Y465" s="267"/>
      <c r="Z465" s="267"/>
    </row>
    <row r="466" spans="1:26" ht="14.25" customHeight="1" x14ac:dyDescent="0.3">
      <c r="A466" s="507" t="s">
        <v>1163</v>
      </c>
      <c r="B466" s="433" t="s">
        <v>1142</v>
      </c>
      <c r="C466" s="308" t="s">
        <v>1144</v>
      </c>
      <c r="D466" s="528" t="s">
        <v>1091</v>
      </c>
      <c r="E466" s="308">
        <v>28</v>
      </c>
      <c r="F466" s="431">
        <v>45958</v>
      </c>
      <c r="G466" s="308"/>
      <c r="H466" s="267" t="s">
        <v>1083</v>
      </c>
      <c r="I466" s="267">
        <v>7</v>
      </c>
      <c r="J466" s="267"/>
      <c r="K466" s="267"/>
      <c r="L466" s="308"/>
      <c r="M466" s="308"/>
      <c r="N466" s="308"/>
      <c r="O466" s="308"/>
      <c r="P466" s="308"/>
      <c r="Q466" s="308"/>
      <c r="R466" s="308"/>
      <c r="S466" s="308"/>
      <c r="T466" s="308"/>
      <c r="U466" s="308"/>
      <c r="V466" s="308"/>
      <c r="W466" s="308"/>
      <c r="X466" s="308"/>
      <c r="Y466" s="308"/>
      <c r="Z466" s="308"/>
    </row>
    <row r="467" spans="1:26" ht="14.25" customHeight="1" x14ac:dyDescent="0.3">
      <c r="A467" s="352" t="s">
        <v>927</v>
      </c>
      <c r="B467" s="433" t="s">
        <v>1142</v>
      </c>
      <c r="C467" s="511" t="s">
        <v>1093</v>
      </c>
      <c r="D467" s="522" t="s">
        <v>1091</v>
      </c>
      <c r="E467" s="450">
        <v>19</v>
      </c>
      <c r="F467" s="524">
        <v>45865</v>
      </c>
      <c r="G467" s="524">
        <v>45905</v>
      </c>
      <c r="H467" s="443" t="s">
        <v>1090</v>
      </c>
      <c r="I467" s="439"/>
      <c r="J467" s="308"/>
      <c r="K467" s="308"/>
      <c r="L467" s="308"/>
      <c r="M467" s="308"/>
      <c r="N467" s="308"/>
      <c r="O467" s="308"/>
      <c r="P467" s="308"/>
      <c r="Q467" s="308"/>
      <c r="R467" s="308"/>
      <c r="S467" s="308"/>
      <c r="T467" s="308"/>
      <c r="U467" s="308"/>
      <c r="V467" s="308"/>
      <c r="W467" s="308"/>
      <c r="X467" s="308"/>
      <c r="Y467" s="308"/>
      <c r="Z467" s="308"/>
    </row>
    <row r="468" spans="1:26" ht="14.25" customHeight="1" x14ac:dyDescent="0.3">
      <c r="A468" s="352" t="s">
        <v>1164</v>
      </c>
      <c r="B468" s="424" t="s">
        <v>1122</v>
      </c>
      <c r="C468" s="425" t="s">
        <v>1125</v>
      </c>
      <c r="D468" s="425" t="s">
        <v>1079</v>
      </c>
      <c r="E468" s="427">
        <v>16</v>
      </c>
      <c r="F468" s="428">
        <v>45833</v>
      </c>
      <c r="G468" s="423" t="s">
        <v>451</v>
      </c>
      <c r="H468" s="428" t="s">
        <v>1107</v>
      </c>
      <c r="I468" s="423" t="s">
        <v>451</v>
      </c>
      <c r="J468" s="423" t="s">
        <v>451</v>
      </c>
      <c r="K468" s="308"/>
      <c r="L468" s="308"/>
      <c r="M468" s="308"/>
      <c r="N468" s="308"/>
      <c r="O468" s="308"/>
      <c r="P468" s="308"/>
      <c r="Q468" s="308"/>
      <c r="R468" s="308"/>
      <c r="S468" s="308"/>
      <c r="T468" s="308"/>
      <c r="U468" s="308"/>
      <c r="V468" s="308"/>
      <c r="W468" s="308"/>
      <c r="X468" s="308"/>
      <c r="Y468" s="308"/>
      <c r="Z468" s="308"/>
    </row>
    <row r="469" spans="1:26" ht="14.25" customHeight="1" x14ac:dyDescent="0.3">
      <c r="A469" s="480" t="s">
        <v>1164</v>
      </c>
      <c r="B469" s="424" t="s">
        <v>1122</v>
      </c>
      <c r="C469" s="425" t="s">
        <v>1104</v>
      </c>
      <c r="D469" s="425" t="s">
        <v>1114</v>
      </c>
      <c r="E469" s="427">
        <v>11</v>
      </c>
      <c r="F469" s="428">
        <v>45824</v>
      </c>
      <c r="G469" s="423" t="s">
        <v>451</v>
      </c>
      <c r="H469" s="428" t="s">
        <v>1078</v>
      </c>
      <c r="I469" s="423" t="s">
        <v>451</v>
      </c>
      <c r="J469" s="423" t="s">
        <v>451</v>
      </c>
      <c r="K469" s="308"/>
      <c r="L469" s="308"/>
      <c r="M469" s="308"/>
      <c r="N469" s="308"/>
      <c r="O469" s="308"/>
      <c r="P469" s="308"/>
      <c r="Q469" s="308"/>
      <c r="R469" s="308"/>
      <c r="S469" s="308"/>
      <c r="T469" s="308"/>
      <c r="U469" s="308"/>
      <c r="V469" s="308"/>
      <c r="W469" s="308"/>
      <c r="X469" s="308"/>
      <c r="Y469" s="308"/>
      <c r="Z469" s="308"/>
    </row>
    <row r="470" spans="1:26" ht="14.25" customHeight="1" x14ac:dyDescent="0.3">
      <c r="A470" s="421" t="s">
        <v>1164</v>
      </c>
      <c r="B470" s="433" t="s">
        <v>1142</v>
      </c>
      <c r="C470" s="425" t="s">
        <v>1125</v>
      </c>
      <c r="D470" s="544" t="s">
        <v>1082</v>
      </c>
      <c r="E470" s="427">
        <v>17</v>
      </c>
      <c r="F470" s="428">
        <v>45833</v>
      </c>
      <c r="G470" s="428">
        <v>45905</v>
      </c>
      <c r="H470" s="443" t="s">
        <v>1090</v>
      </c>
      <c r="I470" s="427">
        <v>2</v>
      </c>
      <c r="J470" s="428">
        <v>45910</v>
      </c>
      <c r="K470" s="308"/>
      <c r="L470" s="308"/>
      <c r="M470" s="308"/>
      <c r="N470" s="308"/>
      <c r="O470" s="308"/>
      <c r="P470" s="308"/>
      <c r="Q470" s="308"/>
      <c r="R470" s="308"/>
      <c r="S470" s="308"/>
      <c r="T470" s="308"/>
      <c r="U470" s="308"/>
      <c r="V470" s="308"/>
      <c r="W470" s="308"/>
      <c r="X470" s="308"/>
      <c r="Y470" s="308"/>
      <c r="Z470" s="308"/>
    </row>
    <row r="471" spans="1:26" ht="14.25" customHeight="1" x14ac:dyDescent="0.3">
      <c r="A471" s="480" t="s">
        <v>1165</v>
      </c>
      <c r="B471" s="424" t="s">
        <v>1122</v>
      </c>
      <c r="C471" s="425" t="s">
        <v>1104</v>
      </c>
      <c r="D471" s="425" t="s">
        <v>1114</v>
      </c>
      <c r="E471" s="427">
        <v>11</v>
      </c>
      <c r="F471" s="428">
        <v>45824</v>
      </c>
      <c r="G471" s="423" t="s">
        <v>451</v>
      </c>
      <c r="H471" s="428" t="s">
        <v>1078</v>
      </c>
      <c r="I471" s="308"/>
      <c r="J471" s="423" t="s">
        <v>451</v>
      </c>
      <c r="K471" s="308"/>
      <c r="L471" s="308"/>
      <c r="M471" s="308"/>
      <c r="N471" s="308"/>
      <c r="O471" s="308"/>
      <c r="P471" s="308"/>
      <c r="Q471" s="308"/>
      <c r="R471" s="308"/>
      <c r="S471" s="308"/>
      <c r="T471" s="308"/>
      <c r="U471" s="308"/>
      <c r="V471" s="308"/>
      <c r="W471" s="308"/>
      <c r="X471" s="308"/>
      <c r="Y471" s="308"/>
      <c r="Z471" s="308"/>
    </row>
    <row r="472" spans="1:26" ht="14.25" customHeight="1" x14ac:dyDescent="0.3">
      <c r="A472" s="508" t="s">
        <v>2277</v>
      </c>
      <c r="B472" s="433" t="s">
        <v>1142</v>
      </c>
      <c r="C472" s="425" t="s">
        <v>1125</v>
      </c>
      <c r="D472" s="540" t="s">
        <v>1079</v>
      </c>
      <c r="E472" s="427">
        <v>16</v>
      </c>
      <c r="F472" s="428">
        <v>45833</v>
      </c>
      <c r="G472" s="428">
        <v>45905</v>
      </c>
      <c r="H472" s="435" t="s">
        <v>1083</v>
      </c>
      <c r="I472" s="427">
        <v>2</v>
      </c>
      <c r="J472" s="428">
        <v>45910</v>
      </c>
      <c r="K472" s="308"/>
      <c r="L472" s="308"/>
      <c r="M472" s="308"/>
      <c r="N472" s="308"/>
      <c r="O472" s="308"/>
      <c r="P472" s="308"/>
      <c r="Q472" s="308"/>
      <c r="R472" s="308"/>
      <c r="S472" s="308"/>
      <c r="T472" s="308"/>
      <c r="U472" s="308"/>
      <c r="V472" s="308"/>
      <c r="W472" s="308"/>
      <c r="X472" s="308"/>
      <c r="Y472" s="308"/>
      <c r="Z472" s="308"/>
    </row>
    <row r="473" spans="1:26" ht="14.25" customHeight="1" x14ac:dyDescent="0.3">
      <c r="A473" s="421" t="s">
        <v>1165</v>
      </c>
      <c r="B473" s="433" t="s">
        <v>1142</v>
      </c>
      <c r="C473" s="425" t="s">
        <v>1125</v>
      </c>
      <c r="D473" s="544" t="s">
        <v>1082</v>
      </c>
      <c r="E473" s="427">
        <v>17</v>
      </c>
      <c r="F473" s="428">
        <v>45833</v>
      </c>
      <c r="G473" s="428">
        <v>45905</v>
      </c>
      <c r="H473" s="435" t="s">
        <v>1083</v>
      </c>
      <c r="I473" s="427">
        <v>2</v>
      </c>
      <c r="J473" s="428">
        <v>45910</v>
      </c>
      <c r="K473" s="308"/>
      <c r="L473" s="308"/>
      <c r="M473" s="308"/>
      <c r="N473" s="308"/>
      <c r="O473" s="308"/>
      <c r="P473" s="308"/>
      <c r="Q473" s="308"/>
      <c r="R473" s="308"/>
      <c r="S473" s="308"/>
      <c r="T473" s="308"/>
      <c r="U473" s="308"/>
      <c r="V473" s="308"/>
      <c r="W473" s="308"/>
      <c r="X473" s="308"/>
      <c r="Y473" s="308"/>
      <c r="Z473" s="308"/>
    </row>
    <row r="474" spans="1:26" ht="14.25" customHeight="1" x14ac:dyDescent="0.3">
      <c r="A474" s="352" t="s">
        <v>937</v>
      </c>
      <c r="B474" s="424" t="s">
        <v>1122</v>
      </c>
      <c r="C474" s="425" t="s">
        <v>1125</v>
      </c>
      <c r="D474" s="425" t="s">
        <v>1079</v>
      </c>
      <c r="E474" s="427">
        <v>16</v>
      </c>
      <c r="F474" s="428">
        <v>45833</v>
      </c>
      <c r="G474" s="429" t="s">
        <v>451</v>
      </c>
      <c r="H474" s="447" t="s">
        <v>1238</v>
      </c>
      <c r="I474" s="429" t="s">
        <v>451</v>
      </c>
      <c r="J474" s="429" t="s">
        <v>451</v>
      </c>
      <c r="K474" s="308"/>
      <c r="L474" s="308"/>
      <c r="M474" s="308"/>
      <c r="N474" s="308"/>
      <c r="O474" s="308"/>
      <c r="P474" s="308"/>
      <c r="Q474" s="308"/>
      <c r="R474" s="308"/>
      <c r="S474" s="308"/>
      <c r="T474" s="308"/>
      <c r="U474" s="308"/>
      <c r="V474" s="308"/>
      <c r="W474" s="308"/>
      <c r="X474" s="308"/>
      <c r="Y474" s="308"/>
      <c r="Z474" s="308"/>
    </row>
    <row r="475" spans="1:26" ht="14.25" customHeight="1" x14ac:dyDescent="0.3">
      <c r="A475" s="484" t="s">
        <v>937</v>
      </c>
      <c r="B475" s="268" t="s">
        <v>1122</v>
      </c>
      <c r="C475" s="447" t="s">
        <v>1144</v>
      </c>
      <c r="D475" s="447" t="s">
        <v>1138</v>
      </c>
      <c r="E475" s="447">
        <v>35</v>
      </c>
      <c r="F475" s="448">
        <v>45994</v>
      </c>
      <c r="G475" s="447"/>
      <c r="H475" s="447" t="s">
        <v>1238</v>
      </c>
      <c r="I475" s="447"/>
      <c r="J475" s="447"/>
      <c r="K475" s="447" t="s">
        <v>1256</v>
      </c>
      <c r="L475" s="308"/>
      <c r="M475" s="308"/>
      <c r="N475" s="308"/>
      <c r="O475" s="308"/>
      <c r="P475" s="308"/>
      <c r="Q475" s="308"/>
      <c r="R475" s="308"/>
      <c r="S475" s="308"/>
      <c r="T475" s="308"/>
      <c r="U475" s="308"/>
      <c r="V475" s="308"/>
      <c r="W475" s="308"/>
      <c r="X475" s="308"/>
      <c r="Y475" s="308"/>
      <c r="Z475" s="308"/>
    </row>
    <row r="476" spans="1:26" ht="14.25" customHeight="1" x14ac:dyDescent="0.3">
      <c r="A476" s="488" t="s">
        <v>937</v>
      </c>
      <c r="B476" s="424" t="s">
        <v>1122</v>
      </c>
      <c r="C476" s="425" t="s">
        <v>1104</v>
      </c>
      <c r="D476" s="425" t="s">
        <v>1114</v>
      </c>
      <c r="E476" s="427">
        <v>11</v>
      </c>
      <c r="F476" s="428">
        <v>45824</v>
      </c>
      <c r="G476" s="429" t="s">
        <v>451</v>
      </c>
      <c r="H476" s="447" t="s">
        <v>1238</v>
      </c>
      <c r="I476" s="429" t="s">
        <v>451</v>
      </c>
      <c r="J476" s="429" t="s">
        <v>451</v>
      </c>
      <c r="K476" s="308"/>
      <c r="L476" s="308"/>
      <c r="M476" s="308"/>
      <c r="N476" s="308"/>
      <c r="O476" s="308"/>
      <c r="P476" s="308"/>
      <c r="Q476" s="308"/>
      <c r="R476" s="308"/>
      <c r="S476" s="308"/>
      <c r="T476" s="308"/>
      <c r="U476" s="308"/>
      <c r="V476" s="308"/>
      <c r="W476" s="308"/>
      <c r="X476" s="308"/>
      <c r="Y476" s="308"/>
      <c r="Z476" s="308"/>
    </row>
    <row r="477" spans="1:26" ht="14.25" customHeight="1" x14ac:dyDescent="0.3">
      <c r="A477" s="480" t="s">
        <v>938</v>
      </c>
      <c r="B477" s="424" t="s">
        <v>1122</v>
      </c>
      <c r="C477" s="425" t="s">
        <v>1125</v>
      </c>
      <c r="D477" s="425" t="s">
        <v>1079</v>
      </c>
      <c r="E477" s="427">
        <v>16</v>
      </c>
      <c r="F477" s="428">
        <v>45833</v>
      </c>
      <c r="G477" s="429" t="s">
        <v>451</v>
      </c>
      <c r="H477" s="428" t="s">
        <v>1078</v>
      </c>
      <c r="I477" s="429" t="s">
        <v>451</v>
      </c>
      <c r="J477" s="429" t="s">
        <v>451</v>
      </c>
      <c r="K477" s="308"/>
      <c r="L477" s="308"/>
      <c r="M477" s="308"/>
      <c r="N477" s="308"/>
      <c r="O477" s="308"/>
      <c r="P477" s="308"/>
      <c r="Q477" s="308"/>
      <c r="R477" s="308"/>
      <c r="S477" s="308"/>
      <c r="T477" s="308"/>
      <c r="U477" s="308"/>
      <c r="V477" s="308"/>
      <c r="W477" s="308"/>
      <c r="X477" s="308"/>
      <c r="Y477" s="308"/>
      <c r="Z477" s="308"/>
    </row>
    <row r="478" spans="1:26" ht="14.25" customHeight="1" x14ac:dyDescent="0.3">
      <c r="A478" s="352" t="s">
        <v>938</v>
      </c>
      <c r="B478" s="433" t="s">
        <v>1142</v>
      </c>
      <c r="C478" s="511" t="s">
        <v>1089</v>
      </c>
      <c r="D478" s="534" t="s">
        <v>1114</v>
      </c>
      <c r="E478" s="525">
        <v>18</v>
      </c>
      <c r="F478" s="524">
        <v>45835</v>
      </c>
      <c r="G478" s="447" t="s">
        <v>1102</v>
      </c>
      <c r="H478" s="417" t="s">
        <v>1107</v>
      </c>
      <c r="I478" s="308"/>
      <c r="J478" s="423" t="s">
        <v>1162</v>
      </c>
      <c r="K478" s="308"/>
      <c r="L478" s="308"/>
      <c r="M478" s="308"/>
      <c r="N478" s="308"/>
      <c r="O478" s="308"/>
      <c r="P478" s="308"/>
      <c r="Q478" s="308"/>
      <c r="R478" s="308"/>
      <c r="S478" s="308"/>
      <c r="T478" s="308"/>
      <c r="U478" s="308"/>
      <c r="V478" s="308"/>
      <c r="W478" s="308"/>
      <c r="X478" s="308"/>
      <c r="Y478" s="308"/>
      <c r="Z478" s="308"/>
    </row>
    <row r="479" spans="1:26" ht="14.25" customHeight="1" x14ac:dyDescent="0.3">
      <c r="A479" s="484" t="s">
        <v>938</v>
      </c>
      <c r="B479" s="449" t="s">
        <v>1142</v>
      </c>
      <c r="C479" s="447" t="s">
        <v>1144</v>
      </c>
      <c r="D479" s="445" t="s">
        <v>1138</v>
      </c>
      <c r="E479" s="512">
        <v>35</v>
      </c>
      <c r="F479" s="513">
        <v>45994</v>
      </c>
      <c r="G479" s="512"/>
      <c r="H479" s="514" t="s">
        <v>1083</v>
      </c>
      <c r="I479" s="512">
        <v>7</v>
      </c>
      <c r="J479" s="512"/>
      <c r="K479" s="512" t="s">
        <v>1253</v>
      </c>
      <c r="L479" s="308"/>
      <c r="M479" s="308"/>
      <c r="N479" s="308"/>
      <c r="O479" s="308"/>
      <c r="P479" s="308"/>
      <c r="Q479" s="308"/>
      <c r="R479" s="308"/>
      <c r="S479" s="308"/>
      <c r="T479" s="308"/>
      <c r="U479" s="308"/>
      <c r="V479" s="308"/>
      <c r="W479" s="308"/>
      <c r="X479" s="308"/>
      <c r="Y479" s="308"/>
      <c r="Z479" s="308"/>
    </row>
    <row r="480" spans="1:26" ht="14.25" customHeight="1" x14ac:dyDescent="0.3">
      <c r="A480" s="488" t="s">
        <v>938</v>
      </c>
      <c r="B480" s="424" t="s">
        <v>1122</v>
      </c>
      <c r="C480" s="425" t="s">
        <v>1104</v>
      </c>
      <c r="D480" s="425" t="s">
        <v>1114</v>
      </c>
      <c r="E480" s="427">
        <v>11</v>
      </c>
      <c r="F480" s="428">
        <v>45824</v>
      </c>
      <c r="G480" s="423" t="s">
        <v>451</v>
      </c>
      <c r="H480" s="428" t="s">
        <v>1078</v>
      </c>
      <c r="I480" s="423" t="s">
        <v>451</v>
      </c>
      <c r="J480" s="423" t="s">
        <v>451</v>
      </c>
      <c r="K480" s="308"/>
      <c r="L480" s="308"/>
      <c r="M480" s="308"/>
      <c r="N480" s="308"/>
      <c r="O480" s="308"/>
      <c r="P480" s="308"/>
      <c r="Q480" s="308"/>
      <c r="R480" s="308"/>
      <c r="S480" s="308"/>
      <c r="T480" s="308"/>
      <c r="U480" s="308"/>
      <c r="V480" s="308"/>
      <c r="W480" s="308"/>
      <c r="X480" s="308"/>
      <c r="Y480" s="308"/>
      <c r="Z480" s="308"/>
    </row>
    <row r="481" spans="1:26" ht="14.25" customHeight="1" x14ac:dyDescent="0.3">
      <c r="A481" s="480" t="s">
        <v>938</v>
      </c>
      <c r="B481" s="424" t="s">
        <v>1122</v>
      </c>
      <c r="C481" s="425" t="s">
        <v>1125</v>
      </c>
      <c r="D481" s="425" t="s">
        <v>1082</v>
      </c>
      <c r="E481" s="427">
        <v>17</v>
      </c>
      <c r="F481" s="428">
        <v>45833</v>
      </c>
      <c r="G481" s="423" t="s">
        <v>451</v>
      </c>
      <c r="H481" s="428" t="s">
        <v>1078</v>
      </c>
      <c r="I481" s="423" t="s">
        <v>451</v>
      </c>
      <c r="J481" s="423" t="s">
        <v>451</v>
      </c>
      <c r="K481" s="308"/>
      <c r="L481" s="308"/>
      <c r="M481" s="308"/>
      <c r="N481" s="308"/>
      <c r="O481" s="308"/>
      <c r="P481" s="308"/>
      <c r="Q481" s="308"/>
      <c r="R481" s="308"/>
      <c r="S481" s="308"/>
      <c r="T481" s="308"/>
      <c r="U481" s="308"/>
      <c r="V481" s="308"/>
      <c r="W481" s="308"/>
      <c r="X481" s="308"/>
      <c r="Y481" s="308"/>
      <c r="Z481" s="308"/>
    </row>
    <row r="482" spans="1:26" ht="14.25" customHeight="1" x14ac:dyDescent="0.3">
      <c r="A482" s="490" t="s">
        <v>939</v>
      </c>
      <c r="B482" s="418" t="s">
        <v>1122</v>
      </c>
      <c r="C482" s="447" t="s">
        <v>1144</v>
      </c>
      <c r="D482" s="447" t="s">
        <v>1132</v>
      </c>
      <c r="E482" s="447">
        <v>29</v>
      </c>
      <c r="F482" s="448">
        <v>45986</v>
      </c>
      <c r="G482" s="447"/>
      <c r="H482" s="447" t="s">
        <v>1238</v>
      </c>
      <c r="I482" s="447"/>
      <c r="J482" s="447"/>
      <c r="K482" s="447" t="s">
        <v>1257</v>
      </c>
      <c r="L482" s="308"/>
      <c r="M482" s="308"/>
      <c r="N482" s="308"/>
      <c r="O482" s="308"/>
      <c r="P482" s="308"/>
      <c r="Q482" s="308"/>
      <c r="R482" s="308"/>
      <c r="S482" s="308"/>
      <c r="T482" s="308"/>
      <c r="U482" s="308"/>
      <c r="V482" s="308"/>
      <c r="W482" s="308"/>
      <c r="X482" s="308"/>
      <c r="Y482" s="308"/>
      <c r="Z482" s="308"/>
    </row>
    <row r="483" spans="1:26" ht="14.25" customHeight="1" x14ac:dyDescent="0.3">
      <c r="A483" s="454" t="s">
        <v>939</v>
      </c>
      <c r="B483" s="418" t="s">
        <v>1122</v>
      </c>
      <c r="C483" s="447" t="s">
        <v>1144</v>
      </c>
      <c r="D483" s="447" t="s">
        <v>1132</v>
      </c>
      <c r="E483" s="447">
        <v>33</v>
      </c>
      <c r="F483" s="448">
        <v>45989</v>
      </c>
      <c r="G483" s="447"/>
      <c r="H483" s="447" t="s">
        <v>1238</v>
      </c>
      <c r="I483" s="447"/>
      <c r="J483" s="447"/>
      <c r="K483" s="447"/>
      <c r="L483" s="308"/>
      <c r="M483" s="308"/>
      <c r="N483" s="308"/>
      <c r="O483" s="308"/>
      <c r="P483" s="308"/>
      <c r="Q483" s="308"/>
      <c r="R483" s="308"/>
      <c r="S483" s="308"/>
      <c r="T483" s="308"/>
      <c r="U483" s="308"/>
      <c r="V483" s="308"/>
      <c r="W483" s="308"/>
      <c r="X483" s="308"/>
      <c r="Y483" s="308"/>
      <c r="Z483" s="308"/>
    </row>
    <row r="484" spans="1:26" ht="14.25" customHeight="1" x14ac:dyDescent="0.3">
      <c r="A484" s="490" t="s">
        <v>2245</v>
      </c>
      <c r="B484" s="418" t="s">
        <v>1122</v>
      </c>
      <c r="C484" s="447" t="s">
        <v>1144</v>
      </c>
      <c r="D484" s="447" t="s">
        <v>1082</v>
      </c>
      <c r="E484" s="447">
        <v>31</v>
      </c>
      <c r="F484" s="448">
        <v>45986</v>
      </c>
      <c r="G484" s="447"/>
      <c r="H484" s="447" t="s">
        <v>1238</v>
      </c>
      <c r="I484" s="447"/>
      <c r="J484" s="447"/>
      <c r="K484" s="447" t="s">
        <v>1258</v>
      </c>
      <c r="L484" s="308"/>
      <c r="M484" s="308"/>
      <c r="N484" s="308"/>
      <c r="O484" s="308"/>
      <c r="P484" s="308"/>
      <c r="Q484" s="308"/>
      <c r="R484" s="308"/>
      <c r="S484" s="308"/>
      <c r="T484" s="308"/>
      <c r="U484" s="308"/>
      <c r="V484" s="308"/>
      <c r="W484" s="308"/>
      <c r="X484" s="308"/>
      <c r="Y484" s="308"/>
      <c r="Z484" s="308"/>
    </row>
    <row r="485" spans="1:26" ht="14.25" customHeight="1" x14ac:dyDescent="0.3">
      <c r="A485" s="454" t="s">
        <v>2245</v>
      </c>
      <c r="B485" s="418" t="s">
        <v>1122</v>
      </c>
      <c r="C485" s="447" t="s">
        <v>1144</v>
      </c>
      <c r="D485" s="447" t="s">
        <v>1082</v>
      </c>
      <c r="E485" s="447">
        <v>33</v>
      </c>
      <c r="F485" s="448">
        <v>45989</v>
      </c>
      <c r="G485" s="447"/>
      <c r="H485" s="447" t="s">
        <v>1238</v>
      </c>
      <c r="I485" s="447"/>
      <c r="J485" s="447"/>
      <c r="K485" s="447"/>
      <c r="L485" s="308"/>
      <c r="M485" s="308"/>
      <c r="N485" s="308"/>
      <c r="O485" s="308"/>
      <c r="P485" s="308"/>
      <c r="Q485" s="308"/>
      <c r="R485" s="308"/>
      <c r="S485" s="308"/>
      <c r="T485" s="308"/>
      <c r="U485" s="308"/>
      <c r="V485" s="308"/>
      <c r="W485" s="308"/>
      <c r="X485" s="308"/>
      <c r="Y485" s="308"/>
      <c r="Z485" s="308"/>
    </row>
    <row r="486" spans="1:26" ht="14.25" customHeight="1" x14ac:dyDescent="0.3">
      <c r="A486" s="490" t="s">
        <v>2245</v>
      </c>
      <c r="B486" s="418" t="s">
        <v>1122</v>
      </c>
      <c r="C486" s="447" t="s">
        <v>1144</v>
      </c>
      <c r="D486" s="447" t="s">
        <v>1259</v>
      </c>
      <c r="E486" s="447">
        <v>30</v>
      </c>
      <c r="F486" s="448">
        <v>45986</v>
      </c>
      <c r="G486" s="447"/>
      <c r="H486" s="447" t="s">
        <v>1238</v>
      </c>
      <c r="I486" s="447"/>
      <c r="J486" s="447"/>
      <c r="K486" s="447" t="s">
        <v>1260</v>
      </c>
      <c r="L486" s="308"/>
      <c r="M486" s="308"/>
      <c r="N486" s="308"/>
      <c r="O486" s="308"/>
      <c r="P486" s="308"/>
      <c r="Q486" s="308"/>
      <c r="R486" s="308"/>
      <c r="S486" s="308"/>
      <c r="T486" s="308"/>
      <c r="U486" s="308"/>
      <c r="V486" s="308"/>
      <c r="W486" s="308"/>
      <c r="X486" s="308"/>
      <c r="Y486" s="308"/>
      <c r="Z486" s="308"/>
    </row>
    <row r="487" spans="1:26" ht="14.25" customHeight="1" x14ac:dyDescent="0.3">
      <c r="A487" s="454" t="s">
        <v>2245</v>
      </c>
      <c r="B487" s="268" t="s">
        <v>1122</v>
      </c>
      <c r="C487" s="447"/>
      <c r="D487" s="447" t="s">
        <v>1254</v>
      </c>
      <c r="E487" s="447">
        <v>35</v>
      </c>
      <c r="F487" s="448">
        <v>45994</v>
      </c>
      <c r="G487" s="447"/>
      <c r="H487" s="447" t="s">
        <v>1238</v>
      </c>
      <c r="I487" s="447"/>
      <c r="J487" s="447"/>
      <c r="K487" s="447" t="s">
        <v>1261</v>
      </c>
      <c r="L487" s="308"/>
      <c r="M487" s="308"/>
      <c r="N487" s="308"/>
      <c r="O487" s="308"/>
      <c r="P487" s="308"/>
      <c r="Q487" s="308"/>
      <c r="R487" s="308"/>
      <c r="S487" s="308"/>
      <c r="T487" s="308"/>
      <c r="U487" s="308"/>
      <c r="V487" s="308"/>
      <c r="W487" s="308"/>
      <c r="X487" s="308"/>
      <c r="Y487" s="308"/>
      <c r="Z487" s="308"/>
    </row>
    <row r="488" spans="1:26" ht="14.25" customHeight="1" x14ac:dyDescent="0.3">
      <c r="A488" s="490" t="s">
        <v>940</v>
      </c>
      <c r="B488" s="418" t="s">
        <v>1122</v>
      </c>
      <c r="C488" s="447" t="s">
        <v>1144</v>
      </c>
      <c r="D488" s="447" t="s">
        <v>1132</v>
      </c>
      <c r="E488" s="447">
        <v>29</v>
      </c>
      <c r="F488" s="448">
        <v>45986</v>
      </c>
      <c r="G488" s="447"/>
      <c r="H488" s="447" t="s">
        <v>1238</v>
      </c>
      <c r="I488" s="447"/>
      <c r="J488" s="447"/>
      <c r="K488" s="447" t="s">
        <v>1262</v>
      </c>
      <c r="L488" s="308"/>
      <c r="M488" s="308"/>
      <c r="N488" s="308"/>
      <c r="O488" s="308"/>
      <c r="P488" s="308"/>
      <c r="Q488" s="308"/>
      <c r="R488" s="308"/>
      <c r="S488" s="308"/>
      <c r="T488" s="308"/>
      <c r="U488" s="308"/>
      <c r="V488" s="308"/>
      <c r="W488" s="308"/>
      <c r="X488" s="308"/>
      <c r="Y488" s="308"/>
      <c r="Z488" s="308"/>
    </row>
    <row r="489" spans="1:26" ht="14.25" customHeight="1" x14ac:dyDescent="0.3">
      <c r="A489" s="454" t="s">
        <v>940</v>
      </c>
      <c r="B489" s="418" t="s">
        <v>1122</v>
      </c>
      <c r="C489" s="447" t="s">
        <v>1144</v>
      </c>
      <c r="D489" s="447" t="s">
        <v>1132</v>
      </c>
      <c r="E489" s="447">
        <v>33</v>
      </c>
      <c r="F489" s="448">
        <v>45989</v>
      </c>
      <c r="G489" s="447"/>
      <c r="H489" s="447" t="s">
        <v>1238</v>
      </c>
      <c r="I489" s="447"/>
      <c r="J489" s="447"/>
      <c r="K489" s="447"/>
      <c r="L489" s="308"/>
      <c r="M489" s="308"/>
      <c r="N489" s="308"/>
      <c r="O489" s="308"/>
      <c r="P489" s="308"/>
      <c r="Q489" s="308"/>
      <c r="R489" s="308"/>
      <c r="S489" s="308"/>
      <c r="T489" s="308"/>
      <c r="U489" s="308"/>
      <c r="V489" s="308"/>
      <c r="W489" s="308"/>
      <c r="X489" s="308"/>
      <c r="Y489" s="308"/>
      <c r="Z489" s="308"/>
    </row>
    <row r="490" spans="1:26" ht="14.25" customHeight="1" x14ac:dyDescent="0.3">
      <c r="A490" s="490" t="s">
        <v>2246</v>
      </c>
      <c r="B490" s="418" t="s">
        <v>1122</v>
      </c>
      <c r="C490" s="447" t="s">
        <v>1144</v>
      </c>
      <c r="D490" s="447" t="s">
        <v>1082</v>
      </c>
      <c r="E490" s="447">
        <v>31</v>
      </c>
      <c r="F490" s="448">
        <v>45986</v>
      </c>
      <c r="G490" s="447"/>
      <c r="H490" s="447" t="s">
        <v>1238</v>
      </c>
      <c r="I490" s="447"/>
      <c r="J490" s="447"/>
      <c r="K490" s="447" t="s">
        <v>1263</v>
      </c>
      <c r="L490" s="308"/>
      <c r="M490" s="308"/>
      <c r="N490" s="308"/>
      <c r="O490" s="308"/>
      <c r="P490" s="308"/>
      <c r="Q490" s="308"/>
      <c r="R490" s="308"/>
      <c r="S490" s="308"/>
      <c r="T490" s="308"/>
      <c r="U490" s="308"/>
      <c r="V490" s="308"/>
      <c r="W490" s="308"/>
      <c r="X490" s="308"/>
      <c r="Y490" s="308"/>
      <c r="Z490" s="308"/>
    </row>
    <row r="491" spans="1:26" ht="14.25" customHeight="1" x14ac:dyDescent="0.3">
      <c r="A491" s="454" t="s">
        <v>2246</v>
      </c>
      <c r="B491" s="418" t="s">
        <v>1122</v>
      </c>
      <c r="C491" s="447" t="s">
        <v>1144</v>
      </c>
      <c r="D491" s="447" t="s">
        <v>1082</v>
      </c>
      <c r="E491" s="447">
        <v>33</v>
      </c>
      <c r="F491" s="448">
        <v>45989</v>
      </c>
      <c r="G491" s="447"/>
      <c r="H491" s="447" t="s">
        <v>1238</v>
      </c>
      <c r="I491" s="447"/>
      <c r="J491" s="447"/>
      <c r="K491" s="447"/>
      <c r="L491" s="308"/>
      <c r="M491" s="308"/>
      <c r="N491" s="308"/>
      <c r="O491" s="308"/>
      <c r="P491" s="308"/>
      <c r="Q491" s="308"/>
      <c r="R491" s="308"/>
      <c r="S491" s="308"/>
      <c r="T491" s="308"/>
      <c r="U491" s="308"/>
      <c r="V491" s="308"/>
      <c r="W491" s="308"/>
      <c r="X491" s="308"/>
      <c r="Y491" s="308"/>
      <c r="Z491" s="308"/>
    </row>
    <row r="492" spans="1:26" ht="14.25" customHeight="1" x14ac:dyDescent="0.3">
      <c r="A492" s="490" t="s">
        <v>2246</v>
      </c>
      <c r="B492" s="418" t="s">
        <v>1122</v>
      </c>
      <c r="C492" s="447" t="s">
        <v>1144</v>
      </c>
      <c r="D492" s="447" t="s">
        <v>1264</v>
      </c>
      <c r="E492" s="447">
        <v>30</v>
      </c>
      <c r="F492" s="448">
        <v>45986</v>
      </c>
      <c r="G492" s="447"/>
      <c r="H492" s="447" t="s">
        <v>1238</v>
      </c>
      <c r="I492" s="447"/>
      <c r="J492" s="447"/>
      <c r="K492" s="447" t="s">
        <v>1265</v>
      </c>
      <c r="L492" s="308"/>
      <c r="M492" s="308"/>
      <c r="N492" s="308"/>
      <c r="O492" s="308"/>
      <c r="P492" s="308"/>
      <c r="Q492" s="308"/>
      <c r="R492" s="308"/>
      <c r="S492" s="308"/>
      <c r="T492" s="308"/>
      <c r="U492" s="308"/>
      <c r="V492" s="308"/>
      <c r="W492" s="308"/>
      <c r="X492" s="308"/>
      <c r="Y492" s="308"/>
      <c r="Z492" s="308"/>
    </row>
    <row r="493" spans="1:26" ht="14.25" customHeight="1" x14ac:dyDescent="0.3">
      <c r="A493" s="454" t="s">
        <v>2246</v>
      </c>
      <c r="B493" s="268" t="s">
        <v>1122</v>
      </c>
      <c r="C493" s="447"/>
      <c r="D493" s="447" t="s">
        <v>1254</v>
      </c>
      <c r="E493" s="447">
        <v>35</v>
      </c>
      <c r="F493" s="448">
        <v>45994</v>
      </c>
      <c r="G493" s="447"/>
      <c r="H493" s="447" t="s">
        <v>1238</v>
      </c>
      <c r="I493" s="447"/>
      <c r="J493" s="447"/>
      <c r="K493" s="447" t="s">
        <v>1266</v>
      </c>
      <c r="L493" s="308"/>
      <c r="M493" s="308"/>
      <c r="N493" s="308"/>
      <c r="O493" s="308"/>
      <c r="P493" s="308"/>
      <c r="Q493" s="308"/>
      <c r="R493" s="308"/>
      <c r="S493" s="308"/>
      <c r="T493" s="308"/>
      <c r="U493" s="308"/>
      <c r="V493" s="308"/>
      <c r="W493" s="308"/>
      <c r="X493" s="308"/>
      <c r="Y493" s="308"/>
      <c r="Z493" s="308"/>
    </row>
    <row r="494" spans="1:26" ht="14.25" customHeight="1" x14ac:dyDescent="0.3">
      <c r="A494" s="490" t="s">
        <v>2164</v>
      </c>
      <c r="B494" s="418" t="s">
        <v>1122</v>
      </c>
      <c r="C494" s="447" t="s">
        <v>1144</v>
      </c>
      <c r="D494" s="447" t="s">
        <v>1082</v>
      </c>
      <c r="E494" s="447">
        <v>31</v>
      </c>
      <c r="F494" s="448">
        <v>45986</v>
      </c>
      <c r="G494" s="447"/>
      <c r="H494" s="447" t="s">
        <v>1238</v>
      </c>
      <c r="I494" s="447"/>
      <c r="J494" s="447"/>
      <c r="K494" s="447" t="s">
        <v>1267</v>
      </c>
      <c r="L494" s="308"/>
      <c r="M494" s="308"/>
      <c r="N494" s="308"/>
      <c r="O494" s="308"/>
      <c r="P494" s="308"/>
      <c r="Q494" s="308"/>
      <c r="R494" s="308"/>
      <c r="S494" s="308"/>
      <c r="T494" s="308"/>
      <c r="U494" s="308"/>
      <c r="V494" s="308"/>
      <c r="W494" s="308"/>
      <c r="X494" s="308"/>
      <c r="Y494" s="308"/>
      <c r="Z494" s="308"/>
    </row>
    <row r="495" spans="1:26" ht="14.25" customHeight="1" x14ac:dyDescent="0.3">
      <c r="A495" s="454" t="s">
        <v>941</v>
      </c>
      <c r="B495" s="449" t="s">
        <v>1142</v>
      </c>
      <c r="C495" s="511" t="s">
        <v>1076</v>
      </c>
      <c r="D495" s="535" t="s">
        <v>1132</v>
      </c>
      <c r="E495" s="447" t="s">
        <v>1140</v>
      </c>
      <c r="F495" s="448">
        <v>45989</v>
      </c>
      <c r="G495" s="447"/>
      <c r="H495" s="267" t="s">
        <v>1083</v>
      </c>
      <c r="I495" s="445">
        <v>7</v>
      </c>
      <c r="J495" s="445"/>
      <c r="K495" s="445"/>
      <c r="L495" s="308"/>
      <c r="M495" s="308"/>
      <c r="N495" s="308"/>
      <c r="O495" s="308"/>
      <c r="P495" s="308"/>
      <c r="Q495" s="308"/>
      <c r="R495" s="308"/>
      <c r="S495" s="308"/>
      <c r="T495" s="308"/>
      <c r="U495" s="308"/>
      <c r="V495" s="308"/>
      <c r="W495" s="308"/>
      <c r="X495" s="308"/>
      <c r="Y495" s="308"/>
      <c r="Z495" s="308"/>
    </row>
    <row r="496" spans="1:26" ht="14.25" customHeight="1" x14ac:dyDescent="0.3">
      <c r="A496" s="490" t="s">
        <v>941</v>
      </c>
      <c r="B496" s="418" t="s">
        <v>1122</v>
      </c>
      <c r="C496" s="447" t="s">
        <v>1144</v>
      </c>
      <c r="D496" s="447" t="s">
        <v>1132</v>
      </c>
      <c r="E496" s="447">
        <v>29</v>
      </c>
      <c r="F496" s="448">
        <v>45986</v>
      </c>
      <c r="G496" s="447"/>
      <c r="H496" s="447" t="s">
        <v>1238</v>
      </c>
      <c r="I496" s="447"/>
      <c r="J496" s="447"/>
      <c r="K496" s="447" t="s">
        <v>1234</v>
      </c>
      <c r="L496" s="308"/>
      <c r="M496" s="308"/>
      <c r="N496" s="308"/>
      <c r="O496" s="308"/>
      <c r="P496" s="308"/>
      <c r="Q496" s="308"/>
      <c r="R496" s="308"/>
      <c r="S496" s="308"/>
      <c r="T496" s="308"/>
      <c r="U496" s="308"/>
      <c r="V496" s="308"/>
      <c r="W496" s="308"/>
      <c r="X496" s="308"/>
      <c r="Y496" s="308"/>
      <c r="Z496" s="308"/>
    </row>
    <row r="497" spans="1:26" ht="14.25" customHeight="1" x14ac:dyDescent="0.3">
      <c r="A497" s="454" t="s">
        <v>2164</v>
      </c>
      <c r="B497" s="418" t="s">
        <v>1122</v>
      </c>
      <c r="C497" s="447" t="s">
        <v>1144</v>
      </c>
      <c r="D497" s="447" t="s">
        <v>1082</v>
      </c>
      <c r="E497" s="447">
        <v>33</v>
      </c>
      <c r="F497" s="448">
        <v>45989</v>
      </c>
      <c r="G497" s="447"/>
      <c r="H497" s="447" t="s">
        <v>1238</v>
      </c>
      <c r="I497" s="447"/>
      <c r="J497" s="447"/>
      <c r="K497" s="447"/>
      <c r="L497" s="308"/>
      <c r="M497" s="308"/>
      <c r="N497" s="308"/>
      <c r="O497" s="308"/>
      <c r="P497" s="308"/>
      <c r="Q497" s="308"/>
      <c r="R497" s="308"/>
      <c r="S497" s="308"/>
      <c r="T497" s="308"/>
      <c r="U497" s="308"/>
      <c r="V497" s="308"/>
      <c r="W497" s="308"/>
      <c r="X497" s="308"/>
      <c r="Y497" s="308"/>
      <c r="Z497" s="308"/>
    </row>
    <row r="498" spans="1:26" ht="14.25" customHeight="1" x14ac:dyDescent="0.3">
      <c r="A498" s="490" t="s">
        <v>2164</v>
      </c>
      <c r="B498" s="418" t="s">
        <v>1122</v>
      </c>
      <c r="C498" s="447" t="s">
        <v>1144</v>
      </c>
      <c r="D498" s="447" t="s">
        <v>1268</v>
      </c>
      <c r="E498" s="447">
        <v>30</v>
      </c>
      <c r="F498" s="448">
        <v>45986</v>
      </c>
      <c r="G498" s="447"/>
      <c r="H498" s="447" t="s">
        <v>1238</v>
      </c>
      <c r="I498" s="447"/>
      <c r="J498" s="447"/>
      <c r="K498" s="447" t="s">
        <v>1269</v>
      </c>
      <c r="L498" s="308"/>
      <c r="M498" s="308"/>
      <c r="N498" s="308"/>
      <c r="O498" s="308"/>
      <c r="P498" s="308"/>
      <c r="Q498" s="308"/>
      <c r="R498" s="308"/>
      <c r="S498" s="308"/>
      <c r="T498" s="308"/>
      <c r="U498" s="308"/>
      <c r="V498" s="308"/>
      <c r="W498" s="308"/>
      <c r="X498" s="308"/>
      <c r="Y498" s="308"/>
      <c r="Z498" s="308"/>
    </row>
    <row r="499" spans="1:26" ht="14.25" customHeight="1" x14ac:dyDescent="0.3">
      <c r="A499" s="454" t="s">
        <v>2164</v>
      </c>
      <c r="B499" s="460" t="s">
        <v>1142</v>
      </c>
      <c r="C499" s="425" t="s">
        <v>1076</v>
      </c>
      <c r="D499" s="547" t="s">
        <v>1254</v>
      </c>
      <c r="E499" s="447">
        <v>35</v>
      </c>
      <c r="F499" s="448">
        <v>45994</v>
      </c>
      <c r="G499" s="447"/>
      <c r="H499" s="308" t="s">
        <v>1083</v>
      </c>
      <c r="I499" s="447">
        <v>7</v>
      </c>
      <c r="J499" s="447"/>
      <c r="K499" s="447" t="s">
        <v>1255</v>
      </c>
      <c r="L499" s="308"/>
      <c r="M499" s="308"/>
      <c r="N499" s="308"/>
      <c r="O499" s="308"/>
      <c r="P499" s="308"/>
      <c r="Q499" s="308"/>
      <c r="R499" s="308"/>
      <c r="S499" s="308"/>
      <c r="T499" s="308"/>
      <c r="U499" s="308"/>
      <c r="V499" s="308"/>
      <c r="W499" s="308"/>
      <c r="X499" s="308"/>
      <c r="Y499" s="308"/>
      <c r="Z499" s="308"/>
    </row>
    <row r="500" spans="1:26" ht="14.25" customHeight="1" x14ac:dyDescent="0.3">
      <c r="A500" s="480" t="s">
        <v>1166</v>
      </c>
      <c r="B500" s="424" t="s">
        <v>1122</v>
      </c>
      <c r="C500" s="425" t="s">
        <v>1104</v>
      </c>
      <c r="D500" s="425" t="s">
        <v>1114</v>
      </c>
      <c r="E500" s="427">
        <v>11</v>
      </c>
      <c r="F500" s="428">
        <v>45824</v>
      </c>
      <c r="G500" s="423" t="s">
        <v>451</v>
      </c>
      <c r="H500" s="428" t="s">
        <v>1128</v>
      </c>
      <c r="I500" s="423" t="s">
        <v>451</v>
      </c>
      <c r="J500" s="423" t="s">
        <v>451</v>
      </c>
      <c r="K500" s="308"/>
      <c r="L500" s="308"/>
      <c r="M500" s="308"/>
      <c r="N500" s="308"/>
      <c r="O500" s="308"/>
      <c r="P500" s="308"/>
      <c r="Q500" s="308"/>
      <c r="R500" s="308"/>
      <c r="S500" s="308"/>
      <c r="T500" s="308"/>
      <c r="U500" s="308"/>
      <c r="V500" s="308"/>
      <c r="W500" s="308"/>
      <c r="X500" s="308"/>
      <c r="Y500" s="308"/>
      <c r="Z500" s="308"/>
    </row>
    <row r="501" spans="1:26" ht="14.25" customHeight="1" x14ac:dyDescent="0.3">
      <c r="A501" s="421" t="s">
        <v>1166</v>
      </c>
      <c r="B501" s="433" t="s">
        <v>1142</v>
      </c>
      <c r="C501" s="425" t="s">
        <v>1125</v>
      </c>
      <c r="D501" s="544" t="s">
        <v>1082</v>
      </c>
      <c r="E501" s="427">
        <v>17</v>
      </c>
      <c r="F501" s="428">
        <v>45833</v>
      </c>
      <c r="G501" s="428">
        <v>45905</v>
      </c>
      <c r="H501" s="435" t="s">
        <v>1083</v>
      </c>
      <c r="I501" s="427">
        <v>2</v>
      </c>
      <c r="J501" s="428">
        <v>45910</v>
      </c>
      <c r="K501" s="308"/>
      <c r="L501" s="308"/>
      <c r="M501" s="308"/>
      <c r="N501" s="308"/>
      <c r="O501" s="308"/>
      <c r="P501" s="308"/>
      <c r="Q501" s="308"/>
      <c r="R501" s="308"/>
      <c r="S501" s="308"/>
      <c r="T501" s="308"/>
      <c r="U501" s="308"/>
      <c r="V501" s="308"/>
      <c r="W501" s="308"/>
      <c r="X501" s="308"/>
      <c r="Y501" s="308"/>
      <c r="Z501" s="308"/>
    </row>
    <row r="502" spans="1:26" ht="14.25" customHeight="1" x14ac:dyDescent="0.3">
      <c r="A502" s="352" t="s">
        <v>1166</v>
      </c>
      <c r="B502" s="424" t="s">
        <v>1122</v>
      </c>
      <c r="C502" s="425" t="s">
        <v>1125</v>
      </c>
      <c r="D502" s="425" t="s">
        <v>1082</v>
      </c>
      <c r="E502" s="427">
        <v>17</v>
      </c>
      <c r="F502" s="428">
        <v>45833</v>
      </c>
      <c r="G502" s="429" t="s">
        <v>451</v>
      </c>
      <c r="H502" s="428" t="s">
        <v>1078</v>
      </c>
      <c r="I502" s="429" t="s">
        <v>451</v>
      </c>
      <c r="J502" s="429" t="s">
        <v>451</v>
      </c>
      <c r="K502" s="308"/>
      <c r="L502" s="308"/>
      <c r="M502" s="308"/>
      <c r="N502" s="308"/>
      <c r="O502" s="308"/>
      <c r="P502" s="308"/>
      <c r="Q502" s="308"/>
      <c r="R502" s="308"/>
      <c r="S502" s="308"/>
      <c r="T502" s="308"/>
      <c r="U502" s="308"/>
      <c r="V502" s="308"/>
      <c r="W502" s="308"/>
      <c r="X502" s="308"/>
      <c r="Y502" s="308"/>
      <c r="Z502" s="308"/>
    </row>
    <row r="503" spans="1:26" ht="14.25" customHeight="1" x14ac:dyDescent="0.3">
      <c r="A503" s="352" t="s">
        <v>1166</v>
      </c>
      <c r="B503" s="433" t="s">
        <v>1142</v>
      </c>
      <c r="C503" s="425" t="s">
        <v>1089</v>
      </c>
      <c r="D503" s="544" t="s">
        <v>1082</v>
      </c>
      <c r="E503" s="427">
        <v>18</v>
      </c>
      <c r="F503" s="428">
        <v>45835</v>
      </c>
      <c r="G503" s="428">
        <v>45905</v>
      </c>
      <c r="H503" s="435" t="s">
        <v>1083</v>
      </c>
      <c r="I503" s="427">
        <v>3</v>
      </c>
      <c r="J503" s="428">
        <v>45910</v>
      </c>
      <c r="K503" s="308"/>
      <c r="L503" s="308"/>
      <c r="M503" s="308"/>
      <c r="N503" s="308"/>
      <c r="O503" s="308"/>
      <c r="P503" s="308"/>
      <c r="Q503" s="308"/>
      <c r="R503" s="308"/>
      <c r="S503" s="308"/>
      <c r="T503" s="308"/>
      <c r="U503" s="308"/>
      <c r="V503" s="308"/>
      <c r="W503" s="308"/>
      <c r="X503" s="308"/>
      <c r="Y503" s="308"/>
      <c r="Z503" s="308"/>
    </row>
    <row r="504" spans="1:26" ht="14.25" customHeight="1" x14ac:dyDescent="0.3">
      <c r="A504" s="480" t="s">
        <v>946</v>
      </c>
      <c r="B504" s="424" t="s">
        <v>1122</v>
      </c>
      <c r="C504" s="425" t="s">
        <v>1104</v>
      </c>
      <c r="D504" s="425" t="s">
        <v>1114</v>
      </c>
      <c r="E504" s="427">
        <v>11</v>
      </c>
      <c r="F504" s="428">
        <v>45824</v>
      </c>
      <c r="G504" s="423" t="s">
        <v>451</v>
      </c>
      <c r="H504" s="428" t="s">
        <v>1078</v>
      </c>
      <c r="I504" s="423" t="s">
        <v>451</v>
      </c>
      <c r="J504" s="423" t="s">
        <v>451</v>
      </c>
      <c r="K504" s="308"/>
      <c r="L504" s="308"/>
      <c r="M504" s="308"/>
      <c r="N504" s="308"/>
      <c r="O504" s="308"/>
      <c r="P504" s="308"/>
      <c r="Q504" s="308"/>
      <c r="R504" s="308"/>
      <c r="S504" s="308"/>
      <c r="T504" s="308"/>
      <c r="U504" s="308"/>
      <c r="V504" s="308"/>
      <c r="W504" s="308"/>
      <c r="X504" s="308"/>
      <c r="Y504" s="308"/>
      <c r="Z504" s="308"/>
    </row>
    <row r="505" spans="1:26" ht="14.25" customHeight="1" x14ac:dyDescent="0.3">
      <c r="A505" s="509" t="s">
        <v>946</v>
      </c>
      <c r="B505" s="433" t="s">
        <v>1142</v>
      </c>
      <c r="C505" s="425" t="s">
        <v>1125</v>
      </c>
      <c r="D505" s="540" t="s">
        <v>1079</v>
      </c>
      <c r="E505" s="427">
        <v>16</v>
      </c>
      <c r="F505" s="428">
        <v>45833</v>
      </c>
      <c r="G505" s="428">
        <v>45905</v>
      </c>
      <c r="H505" s="435" t="s">
        <v>1083</v>
      </c>
      <c r="I505" s="427">
        <v>2</v>
      </c>
      <c r="J505" s="428">
        <v>45910</v>
      </c>
      <c r="K505" s="308"/>
      <c r="L505" s="308"/>
      <c r="M505" s="308"/>
      <c r="N505" s="308"/>
      <c r="O505" s="308"/>
      <c r="P505" s="308"/>
      <c r="Q505" s="308"/>
      <c r="R505" s="308"/>
      <c r="S505" s="308"/>
      <c r="T505" s="308"/>
      <c r="U505" s="308"/>
      <c r="V505" s="308"/>
      <c r="W505" s="308"/>
      <c r="X505" s="308"/>
      <c r="Y505" s="308"/>
      <c r="Z505" s="308"/>
    </row>
    <row r="506" spans="1:26" ht="14.25" customHeight="1" x14ac:dyDescent="0.3">
      <c r="A506" s="421" t="s">
        <v>946</v>
      </c>
      <c r="B506" s="433" t="s">
        <v>1142</v>
      </c>
      <c r="C506" s="425" t="s">
        <v>1125</v>
      </c>
      <c r="D506" s="544" t="s">
        <v>1082</v>
      </c>
      <c r="E506" s="427">
        <v>17</v>
      </c>
      <c r="F506" s="428">
        <v>45833</v>
      </c>
      <c r="G506" s="428">
        <v>45905</v>
      </c>
      <c r="H506" s="435" t="s">
        <v>1083</v>
      </c>
      <c r="I506" s="427">
        <v>2</v>
      </c>
      <c r="J506" s="428">
        <v>45910</v>
      </c>
      <c r="K506" s="308"/>
      <c r="L506" s="308"/>
      <c r="M506" s="308"/>
      <c r="N506" s="308"/>
      <c r="O506" s="308"/>
      <c r="P506" s="308"/>
      <c r="Q506" s="308"/>
      <c r="R506" s="308"/>
      <c r="S506" s="308"/>
      <c r="T506" s="308"/>
      <c r="U506" s="308"/>
      <c r="V506" s="308"/>
      <c r="W506" s="308"/>
      <c r="X506" s="308"/>
      <c r="Y506" s="308"/>
      <c r="Z506" s="308"/>
    </row>
    <row r="507" spans="1:26" ht="14.25" customHeight="1" x14ac:dyDescent="0.3">
      <c r="A507" s="352" t="s">
        <v>947</v>
      </c>
      <c r="B507" s="424" t="s">
        <v>1122</v>
      </c>
      <c r="C507" s="425" t="s">
        <v>1089</v>
      </c>
      <c r="D507" s="441" t="s">
        <v>1088</v>
      </c>
      <c r="E507" s="450">
        <v>8</v>
      </c>
      <c r="F507" s="451">
        <v>45824</v>
      </c>
      <c r="G507" s="429" t="s">
        <v>451</v>
      </c>
      <c r="H507" s="461" t="s">
        <v>1128</v>
      </c>
      <c r="I507" s="429" t="s">
        <v>451</v>
      </c>
      <c r="J507" s="429" t="s">
        <v>451</v>
      </c>
      <c r="K507" s="308"/>
      <c r="L507" s="308"/>
      <c r="M507" s="308"/>
      <c r="N507" s="308"/>
      <c r="O507" s="308"/>
      <c r="P507" s="308"/>
      <c r="Q507" s="308"/>
      <c r="R507" s="308"/>
      <c r="S507" s="308"/>
      <c r="T507" s="308"/>
      <c r="U507" s="308"/>
      <c r="V507" s="308"/>
      <c r="W507" s="308"/>
      <c r="X507" s="308"/>
      <c r="Y507" s="308"/>
      <c r="Z507" s="308"/>
    </row>
    <row r="508" spans="1:26" ht="14.25" customHeight="1" x14ac:dyDescent="0.3">
      <c r="A508" s="485" t="s">
        <v>948</v>
      </c>
      <c r="B508" s="411" t="s">
        <v>1122</v>
      </c>
      <c r="C508" s="308" t="s">
        <v>1144</v>
      </c>
      <c r="D508" s="308" t="s">
        <v>1086</v>
      </c>
      <c r="E508" s="308">
        <v>26</v>
      </c>
      <c r="F508" s="431">
        <v>45958</v>
      </c>
      <c r="G508" s="308"/>
      <c r="H508" s="308" t="s">
        <v>1128</v>
      </c>
      <c r="I508" s="308"/>
      <c r="J508" s="308"/>
      <c r="K508" s="308"/>
      <c r="L508" s="308"/>
      <c r="M508" s="308"/>
      <c r="N508" s="308"/>
      <c r="O508" s="308"/>
      <c r="P508" s="308"/>
      <c r="Q508" s="308"/>
      <c r="R508" s="308"/>
      <c r="S508" s="308"/>
      <c r="T508" s="308"/>
      <c r="U508" s="308"/>
      <c r="V508" s="308"/>
      <c r="W508" s="308"/>
      <c r="X508" s="308"/>
      <c r="Y508" s="308"/>
      <c r="Z508" s="308"/>
    </row>
    <row r="509" spans="1:26" ht="14.25" customHeight="1" x14ac:dyDescent="0.3">
      <c r="A509" s="484" t="s">
        <v>2250</v>
      </c>
      <c r="B509" s="268" t="s">
        <v>1122</v>
      </c>
      <c r="C509" s="447" t="s">
        <v>1144</v>
      </c>
      <c r="D509" s="447" t="s">
        <v>1138</v>
      </c>
      <c r="E509" s="447">
        <v>35</v>
      </c>
      <c r="F509" s="448">
        <v>45994</v>
      </c>
      <c r="G509" s="447"/>
      <c r="H509" s="447" t="s">
        <v>1238</v>
      </c>
      <c r="I509" s="447"/>
      <c r="J509" s="447"/>
      <c r="K509" s="447" t="s">
        <v>1270</v>
      </c>
      <c r="L509" s="308"/>
      <c r="M509" s="308"/>
      <c r="N509" s="308"/>
      <c r="O509" s="308"/>
      <c r="P509" s="308"/>
      <c r="Q509" s="308"/>
      <c r="R509" s="308"/>
      <c r="S509" s="308"/>
      <c r="T509" s="308"/>
      <c r="U509" s="308"/>
      <c r="V509" s="308"/>
      <c r="W509" s="308"/>
      <c r="X509" s="308"/>
      <c r="Y509" s="308"/>
      <c r="Z509" s="308"/>
    </row>
    <row r="510" spans="1:26" ht="14.25" customHeight="1" x14ac:dyDescent="0.3">
      <c r="A510" s="352" t="s">
        <v>1167</v>
      </c>
      <c r="B510" s="424" t="s">
        <v>1122</v>
      </c>
      <c r="C510" s="425" t="s">
        <v>1125</v>
      </c>
      <c r="D510" s="425" t="s">
        <v>1079</v>
      </c>
      <c r="E510" s="427">
        <v>16</v>
      </c>
      <c r="F510" s="428">
        <v>45833</v>
      </c>
      <c r="G510" s="429" t="s">
        <v>451</v>
      </c>
      <c r="H510" s="462" t="s">
        <v>1131</v>
      </c>
      <c r="I510" s="429" t="s">
        <v>451</v>
      </c>
      <c r="J510" s="429" t="s">
        <v>451</v>
      </c>
      <c r="K510" s="308"/>
      <c r="L510" s="308"/>
      <c r="M510" s="308"/>
      <c r="N510" s="308"/>
      <c r="O510" s="308"/>
      <c r="P510" s="308"/>
      <c r="Q510" s="308"/>
      <c r="R510" s="308"/>
      <c r="S510" s="308"/>
      <c r="T510" s="308"/>
      <c r="U510" s="308"/>
      <c r="V510" s="308"/>
      <c r="W510" s="308"/>
      <c r="X510" s="308"/>
      <c r="Y510" s="308"/>
      <c r="Z510" s="308"/>
    </row>
    <row r="511" spans="1:26" ht="14.25" customHeight="1" x14ac:dyDescent="0.3">
      <c r="A511" s="506" t="s">
        <v>1997</v>
      </c>
      <c r="B511" s="433" t="s">
        <v>1142</v>
      </c>
      <c r="C511" s="308" t="s">
        <v>1144</v>
      </c>
      <c r="D511" s="536" t="s">
        <v>1086</v>
      </c>
      <c r="E511" s="308">
        <v>26</v>
      </c>
      <c r="F511" s="431">
        <v>45958</v>
      </c>
      <c r="G511" s="308"/>
      <c r="H511" s="267" t="s">
        <v>1083</v>
      </c>
      <c r="I511" s="267">
        <v>7</v>
      </c>
      <c r="J511" s="267"/>
      <c r="K511" s="267"/>
      <c r="L511" s="308"/>
      <c r="M511" s="308"/>
      <c r="N511" s="308"/>
      <c r="O511" s="308"/>
      <c r="P511" s="308"/>
      <c r="Q511" s="308"/>
      <c r="R511" s="308"/>
      <c r="S511" s="308"/>
      <c r="T511" s="308"/>
      <c r="U511" s="308"/>
      <c r="V511" s="308"/>
      <c r="W511" s="308"/>
      <c r="X511" s="308"/>
      <c r="Y511" s="308"/>
      <c r="Z511" s="308"/>
    </row>
    <row r="512" spans="1:26" ht="14.25" customHeight="1" x14ac:dyDescent="0.3">
      <c r="A512" s="480" t="s">
        <v>1168</v>
      </c>
      <c r="B512" s="424" t="s">
        <v>1122</v>
      </c>
      <c r="C512" s="425" t="s">
        <v>1104</v>
      </c>
      <c r="D512" s="425" t="s">
        <v>1114</v>
      </c>
      <c r="E512" s="427">
        <v>11</v>
      </c>
      <c r="F512" s="428">
        <v>45824</v>
      </c>
      <c r="G512" s="429" t="s">
        <v>451</v>
      </c>
      <c r="H512" s="428" t="s">
        <v>1078</v>
      </c>
      <c r="I512" s="429" t="s">
        <v>451</v>
      </c>
      <c r="J512" s="429" t="s">
        <v>451</v>
      </c>
      <c r="K512" s="308"/>
      <c r="L512" s="308"/>
      <c r="M512" s="308"/>
      <c r="N512" s="308"/>
      <c r="O512" s="308"/>
      <c r="P512" s="308"/>
      <c r="Q512" s="308"/>
      <c r="R512" s="308"/>
      <c r="S512" s="308"/>
      <c r="T512" s="308"/>
      <c r="U512" s="308"/>
      <c r="V512" s="308"/>
      <c r="W512" s="308"/>
      <c r="X512" s="308"/>
      <c r="Y512" s="308"/>
      <c r="Z512" s="308"/>
    </row>
    <row r="513" spans="1:26" ht="14.25" customHeight="1" x14ac:dyDescent="0.3">
      <c r="A513" s="352" t="s">
        <v>2278</v>
      </c>
      <c r="B513" s="433" t="s">
        <v>1142</v>
      </c>
      <c r="C513" s="352" t="s">
        <v>1089</v>
      </c>
      <c r="D513" s="540" t="s">
        <v>1079</v>
      </c>
      <c r="E513" s="427">
        <v>16</v>
      </c>
      <c r="F513" s="428">
        <v>45833</v>
      </c>
      <c r="G513" s="428">
        <v>45905</v>
      </c>
      <c r="H513" s="435" t="s">
        <v>1083</v>
      </c>
      <c r="I513" s="427">
        <v>2</v>
      </c>
      <c r="J513" s="428">
        <v>45910</v>
      </c>
      <c r="K513" s="308"/>
      <c r="L513" s="308"/>
      <c r="M513" s="308"/>
      <c r="N513" s="308"/>
      <c r="O513" s="308"/>
      <c r="P513" s="308"/>
      <c r="Q513" s="308"/>
      <c r="R513" s="308"/>
      <c r="S513" s="308"/>
      <c r="T513" s="308"/>
      <c r="U513" s="308"/>
      <c r="V513" s="308"/>
      <c r="W513" s="308"/>
      <c r="X513" s="308"/>
      <c r="Y513" s="308"/>
      <c r="Z513" s="308"/>
    </row>
    <row r="514" spans="1:26" ht="14.25" customHeight="1" x14ac:dyDescent="0.3">
      <c r="A514" s="421" t="s">
        <v>1168</v>
      </c>
      <c r="B514" s="433" t="s">
        <v>1142</v>
      </c>
      <c r="C514" s="425" t="s">
        <v>1125</v>
      </c>
      <c r="D514" s="544" t="s">
        <v>1082</v>
      </c>
      <c r="E514" s="427">
        <v>17</v>
      </c>
      <c r="F514" s="428">
        <v>45833</v>
      </c>
      <c r="G514" s="428">
        <v>45905</v>
      </c>
      <c r="H514" s="435" t="s">
        <v>1083</v>
      </c>
      <c r="I514" s="427">
        <v>2</v>
      </c>
      <c r="J514" s="428">
        <v>45910</v>
      </c>
      <c r="K514" s="308"/>
      <c r="L514" s="308"/>
      <c r="M514" s="308"/>
      <c r="N514" s="308"/>
      <c r="O514" s="308"/>
      <c r="P514" s="308"/>
      <c r="Q514" s="308"/>
      <c r="R514" s="308"/>
      <c r="S514" s="308"/>
      <c r="T514" s="308"/>
      <c r="U514" s="308"/>
      <c r="V514" s="308"/>
      <c r="W514" s="308"/>
      <c r="X514" s="308"/>
      <c r="Y514" s="308"/>
      <c r="Z514" s="308"/>
    </row>
    <row r="515" spans="1:26" ht="14.25" customHeight="1" x14ac:dyDescent="0.3">
      <c r="A515" s="352" t="s">
        <v>952</v>
      </c>
      <c r="B515" s="433" t="s">
        <v>1142</v>
      </c>
      <c r="C515" s="511" t="s">
        <v>1089</v>
      </c>
      <c r="D515" s="442" t="s">
        <v>1088</v>
      </c>
      <c r="E515" s="470">
        <v>13</v>
      </c>
      <c r="F515" s="471">
        <v>45824</v>
      </c>
      <c r="G515" s="464">
        <v>45905</v>
      </c>
      <c r="H515" s="267" t="s">
        <v>1083</v>
      </c>
      <c r="I515" s="267">
        <v>7</v>
      </c>
      <c r="J515" s="267"/>
      <c r="K515" s="267"/>
      <c r="L515" s="308"/>
      <c r="M515" s="308"/>
      <c r="N515" s="308"/>
      <c r="O515" s="308"/>
      <c r="P515" s="308"/>
      <c r="Q515" s="308"/>
      <c r="R515" s="308"/>
      <c r="S515" s="308"/>
      <c r="T515" s="308"/>
      <c r="U515" s="308"/>
      <c r="V515" s="308"/>
      <c r="W515" s="308"/>
      <c r="X515" s="308"/>
      <c r="Y515" s="308"/>
      <c r="Z515" s="308"/>
    </row>
    <row r="516" spans="1:26" ht="14.25" customHeight="1" x14ac:dyDescent="0.3">
      <c r="A516" s="352" t="s">
        <v>2197</v>
      </c>
      <c r="B516" s="433" t="s">
        <v>1142</v>
      </c>
      <c r="C516" s="511" t="s">
        <v>1089</v>
      </c>
      <c r="D516" s="442" t="s">
        <v>1088</v>
      </c>
      <c r="E516" s="450">
        <v>8</v>
      </c>
      <c r="F516" s="451">
        <v>45824</v>
      </c>
      <c r="G516" s="428">
        <v>45905</v>
      </c>
      <c r="H516" s="435" t="s">
        <v>1083</v>
      </c>
      <c r="I516" s="427">
        <v>3</v>
      </c>
      <c r="J516" s="428">
        <v>45910</v>
      </c>
      <c r="K516" s="308"/>
      <c r="L516" s="308"/>
      <c r="M516" s="308"/>
      <c r="N516" s="308"/>
      <c r="O516" s="308"/>
      <c r="P516" s="308"/>
      <c r="Q516" s="308"/>
      <c r="R516" s="308"/>
      <c r="S516" s="308"/>
      <c r="T516" s="308"/>
      <c r="U516" s="308"/>
      <c r="V516" s="308"/>
      <c r="W516" s="308"/>
      <c r="X516" s="308"/>
      <c r="Y516" s="308"/>
      <c r="Z516" s="308"/>
    </row>
    <row r="517" spans="1:26" ht="14.25" customHeight="1" x14ac:dyDescent="0.3">
      <c r="A517" s="352" t="s">
        <v>1169</v>
      </c>
      <c r="B517" s="433" t="s">
        <v>1142</v>
      </c>
      <c r="C517" s="511" t="s">
        <v>1089</v>
      </c>
      <c r="D517" s="442" t="s">
        <v>1088</v>
      </c>
      <c r="E517" s="427">
        <v>18</v>
      </c>
      <c r="F517" s="428">
        <v>45835</v>
      </c>
      <c r="G517" s="428">
        <v>45905</v>
      </c>
      <c r="H517" s="435" t="s">
        <v>1083</v>
      </c>
      <c r="I517" s="427">
        <v>3</v>
      </c>
      <c r="J517" s="428">
        <v>45910</v>
      </c>
      <c r="K517" s="308"/>
      <c r="L517" s="308"/>
      <c r="M517" s="308"/>
      <c r="N517" s="308"/>
      <c r="O517" s="308"/>
      <c r="P517" s="308"/>
      <c r="Q517" s="308"/>
      <c r="R517" s="308"/>
      <c r="S517" s="308"/>
      <c r="T517" s="308"/>
      <c r="U517" s="308"/>
      <c r="V517" s="308"/>
      <c r="W517" s="308"/>
      <c r="X517" s="308"/>
      <c r="Y517" s="308"/>
      <c r="Z517" s="308"/>
    </row>
    <row r="518" spans="1:26" ht="14.25" customHeight="1" x14ac:dyDescent="0.3">
      <c r="A518" s="415" t="s">
        <v>1169</v>
      </c>
      <c r="B518" s="433" t="s">
        <v>1142</v>
      </c>
      <c r="C518" s="511" t="s">
        <v>1089</v>
      </c>
      <c r="D518" s="517" t="s">
        <v>1088</v>
      </c>
      <c r="E518" s="450">
        <v>8</v>
      </c>
      <c r="F518" s="428">
        <v>45824</v>
      </c>
      <c r="G518" s="428">
        <v>45905</v>
      </c>
      <c r="H518" s="435" t="s">
        <v>1083</v>
      </c>
      <c r="I518" s="427">
        <v>3</v>
      </c>
      <c r="J518" s="428">
        <v>45910</v>
      </c>
      <c r="K518" s="308"/>
      <c r="L518" s="308"/>
      <c r="M518" s="308"/>
      <c r="N518" s="308"/>
      <c r="O518" s="308"/>
      <c r="P518" s="308"/>
      <c r="Q518" s="308"/>
      <c r="R518" s="308"/>
      <c r="S518" s="308"/>
      <c r="T518" s="308"/>
      <c r="U518" s="308"/>
      <c r="V518" s="308"/>
      <c r="W518" s="308"/>
      <c r="X518" s="308"/>
      <c r="Y518" s="308"/>
      <c r="Z518" s="308"/>
    </row>
    <row r="519" spans="1:26" ht="14.25" customHeight="1" x14ac:dyDescent="0.3">
      <c r="A519" s="352" t="s">
        <v>954</v>
      </c>
      <c r="B519" s="433" t="s">
        <v>1142</v>
      </c>
      <c r="C519" s="511" t="s">
        <v>1089</v>
      </c>
      <c r="D519" s="442" t="s">
        <v>1088</v>
      </c>
      <c r="E519" s="427">
        <v>18</v>
      </c>
      <c r="F519" s="428">
        <v>45835</v>
      </c>
      <c r="G519" s="428">
        <v>45905</v>
      </c>
      <c r="H519" s="435" t="s">
        <v>1083</v>
      </c>
      <c r="I519" s="427">
        <v>3</v>
      </c>
      <c r="J519" s="428">
        <v>45910</v>
      </c>
      <c r="K519" s="308"/>
      <c r="L519" s="308"/>
      <c r="M519" s="308"/>
      <c r="N519" s="308"/>
      <c r="O519" s="308"/>
      <c r="P519" s="308"/>
      <c r="Q519" s="308"/>
      <c r="R519" s="308"/>
      <c r="S519" s="308"/>
      <c r="T519" s="308"/>
      <c r="U519" s="308"/>
      <c r="V519" s="308"/>
      <c r="W519" s="308"/>
      <c r="X519" s="308"/>
      <c r="Y519" s="308"/>
      <c r="Z519" s="308"/>
    </row>
    <row r="520" spans="1:26" s="445" customFormat="1" ht="14.25" customHeight="1" x14ac:dyDescent="0.3">
      <c r="A520" s="507" t="s">
        <v>954</v>
      </c>
      <c r="B520" s="433" t="s">
        <v>1142</v>
      </c>
      <c r="C520" s="308" t="s">
        <v>1144</v>
      </c>
      <c r="D520" s="528" t="s">
        <v>1091</v>
      </c>
      <c r="E520" s="308">
        <v>28</v>
      </c>
      <c r="F520" s="431">
        <v>45958</v>
      </c>
      <c r="G520" s="308"/>
      <c r="H520" s="267" t="s">
        <v>1083</v>
      </c>
      <c r="I520" s="267">
        <v>7</v>
      </c>
      <c r="J520" s="267"/>
      <c r="K520" s="267"/>
      <c r="L520" s="267"/>
      <c r="M520" s="267"/>
      <c r="N520" s="267"/>
      <c r="O520" s="267"/>
      <c r="P520" s="267"/>
      <c r="Q520" s="267"/>
      <c r="R520" s="267"/>
      <c r="S520" s="267"/>
      <c r="T520" s="267"/>
      <c r="U520" s="267"/>
      <c r="V520" s="267"/>
      <c r="W520" s="267"/>
      <c r="X520" s="267"/>
      <c r="Y520" s="267"/>
      <c r="Z520" s="267"/>
    </row>
    <row r="521" spans="1:26" s="445" customFormat="1" ht="14.25" customHeight="1" x14ac:dyDescent="0.3">
      <c r="A521" s="480" t="s">
        <v>1170</v>
      </c>
      <c r="B521" s="424" t="s">
        <v>1122</v>
      </c>
      <c r="C521" s="425" t="s">
        <v>1104</v>
      </c>
      <c r="D521" s="425" t="s">
        <v>1114</v>
      </c>
      <c r="E521" s="427">
        <v>11</v>
      </c>
      <c r="F521" s="428">
        <v>45824</v>
      </c>
      <c r="G521" s="429" t="s">
        <v>451</v>
      </c>
      <c r="H521" s="428" t="s">
        <v>1128</v>
      </c>
      <c r="I521" s="429" t="s">
        <v>451</v>
      </c>
      <c r="J521" s="429" t="s">
        <v>451</v>
      </c>
      <c r="K521" s="308"/>
      <c r="L521" s="267"/>
      <c r="M521" s="267"/>
      <c r="N521" s="267"/>
      <c r="O521" s="267"/>
      <c r="P521" s="267"/>
      <c r="Q521" s="267"/>
      <c r="R521" s="267"/>
      <c r="S521" s="267"/>
      <c r="T521" s="267"/>
      <c r="U521" s="267"/>
      <c r="V521" s="267"/>
      <c r="W521" s="267"/>
      <c r="X521" s="267"/>
      <c r="Y521" s="267"/>
      <c r="Z521" s="267"/>
    </row>
    <row r="522" spans="1:26" ht="14.25" customHeight="1" x14ac:dyDescent="0.3">
      <c r="A522" s="352" t="s">
        <v>1170</v>
      </c>
      <c r="B522" s="433" t="s">
        <v>1142</v>
      </c>
      <c r="C522" s="425" t="s">
        <v>1089</v>
      </c>
      <c r="D522" s="544" t="s">
        <v>1082</v>
      </c>
      <c r="E522" s="427">
        <v>18</v>
      </c>
      <c r="F522" s="428">
        <v>45835</v>
      </c>
      <c r="G522" s="428">
        <v>45905</v>
      </c>
      <c r="H522" s="435" t="s">
        <v>1083</v>
      </c>
      <c r="I522" s="427">
        <v>3</v>
      </c>
      <c r="J522" s="428">
        <v>45910</v>
      </c>
      <c r="K522" s="308"/>
      <c r="L522" s="308"/>
      <c r="M522" s="308"/>
      <c r="N522" s="308"/>
      <c r="O522" s="308"/>
      <c r="P522" s="308"/>
      <c r="Q522" s="308"/>
      <c r="R522" s="308"/>
      <c r="S522" s="308"/>
      <c r="T522" s="308"/>
      <c r="U522" s="308"/>
      <c r="V522" s="308"/>
      <c r="W522" s="308"/>
      <c r="X522" s="308"/>
      <c r="Y522" s="308"/>
      <c r="Z522" s="308"/>
    </row>
    <row r="523" spans="1:26" s="445" customFormat="1" ht="14.25" customHeight="1" x14ac:dyDescent="0.3">
      <c r="A523" s="480" t="s">
        <v>1171</v>
      </c>
      <c r="B523" s="424" t="s">
        <v>1122</v>
      </c>
      <c r="C523" s="425" t="s">
        <v>1104</v>
      </c>
      <c r="D523" s="425" t="s">
        <v>1114</v>
      </c>
      <c r="E523" s="427">
        <v>11</v>
      </c>
      <c r="F523" s="428">
        <v>45824</v>
      </c>
      <c r="G523" s="429" t="s">
        <v>451</v>
      </c>
      <c r="H523" s="428" t="s">
        <v>1128</v>
      </c>
      <c r="I523" s="429" t="s">
        <v>451</v>
      </c>
      <c r="J523" s="429" t="s">
        <v>451</v>
      </c>
      <c r="K523" s="308"/>
      <c r="L523" s="267"/>
      <c r="M523" s="267"/>
      <c r="N523" s="267"/>
      <c r="O523" s="267"/>
      <c r="P523" s="267"/>
      <c r="Q523" s="267"/>
      <c r="R523" s="267"/>
      <c r="S523" s="267"/>
      <c r="T523" s="267"/>
      <c r="U523" s="267"/>
      <c r="V523" s="267"/>
      <c r="W523" s="267"/>
      <c r="X523" s="267"/>
      <c r="Y523" s="267"/>
      <c r="Z523" s="267"/>
    </row>
    <row r="524" spans="1:26" ht="14.25" customHeight="1" x14ac:dyDescent="0.3">
      <c r="A524" s="480" t="s">
        <v>1171</v>
      </c>
      <c r="B524" s="424" t="s">
        <v>1122</v>
      </c>
      <c r="C524" s="425" t="s">
        <v>1089</v>
      </c>
      <c r="D524" s="441" t="s">
        <v>1088</v>
      </c>
      <c r="E524" s="450">
        <v>8</v>
      </c>
      <c r="F524" s="451">
        <v>45824</v>
      </c>
      <c r="G524" s="423" t="s">
        <v>451</v>
      </c>
      <c r="H524" s="428" t="s">
        <v>1078</v>
      </c>
      <c r="I524" s="423" t="s">
        <v>451</v>
      </c>
      <c r="J524" s="423" t="s">
        <v>451</v>
      </c>
      <c r="K524" s="308"/>
      <c r="L524" s="308"/>
      <c r="M524" s="308"/>
      <c r="N524" s="308"/>
      <c r="O524" s="308"/>
      <c r="P524" s="308"/>
      <c r="Q524" s="308"/>
      <c r="R524" s="308"/>
      <c r="S524" s="308"/>
      <c r="T524" s="308"/>
      <c r="U524" s="308"/>
      <c r="V524" s="308"/>
      <c r="W524" s="308"/>
      <c r="X524" s="308"/>
      <c r="Y524" s="308"/>
      <c r="Z524" s="308"/>
    </row>
    <row r="525" spans="1:26" s="445" customFormat="1" ht="14.25" customHeight="1" x14ac:dyDescent="0.3">
      <c r="A525" s="352" t="s">
        <v>1171</v>
      </c>
      <c r="B525" s="433" t="s">
        <v>1142</v>
      </c>
      <c r="C525" s="425" t="s">
        <v>1089</v>
      </c>
      <c r="D525" s="544" t="s">
        <v>1082</v>
      </c>
      <c r="E525" s="427">
        <v>18</v>
      </c>
      <c r="F525" s="428">
        <v>45835</v>
      </c>
      <c r="G525" s="428">
        <v>45905</v>
      </c>
      <c r="H525" s="435" t="s">
        <v>1083</v>
      </c>
      <c r="I525" s="427">
        <v>3</v>
      </c>
      <c r="J525" s="428">
        <v>45910</v>
      </c>
      <c r="K525" s="308"/>
      <c r="L525" s="267"/>
      <c r="M525" s="267"/>
      <c r="N525" s="267"/>
      <c r="O525" s="267"/>
      <c r="P525" s="267"/>
      <c r="Q525" s="267"/>
      <c r="R525" s="267"/>
      <c r="S525" s="267"/>
      <c r="T525" s="267"/>
      <c r="U525" s="267"/>
      <c r="V525" s="267"/>
      <c r="W525" s="267"/>
      <c r="X525" s="267"/>
      <c r="Y525" s="267"/>
      <c r="Z525" s="267"/>
    </row>
    <row r="526" spans="1:26" s="445" customFormat="1" ht="14.25" customHeight="1" x14ac:dyDescent="0.3">
      <c r="A526" s="352" t="s">
        <v>955</v>
      </c>
      <c r="B526" s="424" t="s">
        <v>1122</v>
      </c>
      <c r="C526" s="425" t="s">
        <v>1104</v>
      </c>
      <c r="D526" s="425" t="s">
        <v>1114</v>
      </c>
      <c r="E526" s="427">
        <v>11</v>
      </c>
      <c r="F526" s="428">
        <v>45824</v>
      </c>
      <c r="G526" s="423" t="s">
        <v>451</v>
      </c>
      <c r="H526" s="447" t="s">
        <v>1238</v>
      </c>
      <c r="I526" s="423" t="s">
        <v>451</v>
      </c>
      <c r="J526" s="423" t="s">
        <v>451</v>
      </c>
      <c r="K526" s="308"/>
      <c r="L526" s="267"/>
      <c r="M526" s="267"/>
      <c r="N526" s="267"/>
      <c r="O526" s="267"/>
      <c r="P526" s="267"/>
      <c r="Q526" s="267"/>
      <c r="R526" s="267"/>
      <c r="S526" s="267"/>
      <c r="T526" s="267"/>
      <c r="U526" s="267"/>
      <c r="V526" s="267"/>
      <c r="W526" s="267"/>
      <c r="X526" s="267"/>
      <c r="Y526" s="267"/>
      <c r="Z526" s="267"/>
    </row>
    <row r="527" spans="1:26" s="445" customFormat="1" ht="14.25" customHeight="1" x14ac:dyDescent="0.3">
      <c r="A527" s="484" t="s">
        <v>955</v>
      </c>
      <c r="B527" s="268" t="s">
        <v>1122</v>
      </c>
      <c r="C527" s="447" t="s">
        <v>1144</v>
      </c>
      <c r="D527" s="447" t="s">
        <v>1138</v>
      </c>
      <c r="E527" s="447">
        <v>35</v>
      </c>
      <c r="F527" s="448">
        <v>45994</v>
      </c>
      <c r="G527" s="447"/>
      <c r="H527" s="447" t="s">
        <v>1238</v>
      </c>
      <c r="I527" s="447"/>
      <c r="J527" s="447"/>
      <c r="K527" s="447" t="s">
        <v>1271</v>
      </c>
      <c r="L527" s="267"/>
      <c r="M527" s="267"/>
      <c r="N527" s="267"/>
      <c r="O527" s="267"/>
      <c r="P527" s="267"/>
      <c r="Q527" s="267"/>
      <c r="R527" s="267"/>
      <c r="S527" s="267"/>
      <c r="T527" s="267"/>
      <c r="U527" s="267"/>
      <c r="V527" s="267"/>
      <c r="W527" s="267"/>
      <c r="X527" s="267"/>
      <c r="Y527" s="267"/>
      <c r="Z527" s="267"/>
    </row>
    <row r="528" spans="1:26" s="445" customFormat="1" ht="14.25" customHeight="1" x14ac:dyDescent="0.3">
      <c r="A528" s="352" t="s">
        <v>955</v>
      </c>
      <c r="B528" s="424" t="s">
        <v>1122</v>
      </c>
      <c r="C528" s="425" t="s">
        <v>1089</v>
      </c>
      <c r="D528" s="434" t="s">
        <v>1082</v>
      </c>
      <c r="E528" s="427">
        <v>18</v>
      </c>
      <c r="F528" s="428">
        <v>45835</v>
      </c>
      <c r="G528" s="429" t="s">
        <v>451</v>
      </c>
      <c r="H528" s="447" t="s">
        <v>1238</v>
      </c>
      <c r="I528" s="429" t="s">
        <v>451</v>
      </c>
      <c r="J528" s="429" t="s">
        <v>451</v>
      </c>
      <c r="K528" s="308"/>
      <c r="L528" s="267"/>
      <c r="M528" s="267"/>
      <c r="N528" s="267"/>
      <c r="O528" s="267"/>
      <c r="P528" s="267"/>
      <c r="Q528" s="267"/>
      <c r="R528" s="267"/>
      <c r="S528" s="267"/>
      <c r="T528" s="267"/>
      <c r="U528" s="267"/>
      <c r="V528" s="267"/>
      <c r="W528" s="267"/>
      <c r="X528" s="267"/>
      <c r="Y528" s="267"/>
      <c r="Z528" s="267"/>
    </row>
    <row r="529" spans="1:26" s="445" customFormat="1" ht="14.25" customHeight="1" x14ac:dyDescent="0.3">
      <c r="A529" s="421" t="s">
        <v>2257</v>
      </c>
      <c r="B529" s="433" t="s">
        <v>1142</v>
      </c>
      <c r="C529" s="511" t="s">
        <v>1104</v>
      </c>
      <c r="D529" s="529" t="s">
        <v>1086</v>
      </c>
      <c r="E529" s="525">
        <v>11</v>
      </c>
      <c r="F529" s="524">
        <v>45824</v>
      </c>
      <c r="G529" s="524">
        <v>45905</v>
      </c>
      <c r="H529" s="435" t="s">
        <v>1083</v>
      </c>
      <c r="I529" s="427">
        <v>2</v>
      </c>
      <c r="J529" s="428">
        <v>45910</v>
      </c>
      <c r="K529" s="308"/>
      <c r="L529" s="267"/>
      <c r="M529" s="267"/>
      <c r="N529" s="267"/>
      <c r="O529" s="267"/>
      <c r="P529" s="267"/>
      <c r="Q529" s="267"/>
      <c r="R529" s="267"/>
      <c r="S529" s="267"/>
      <c r="T529" s="267"/>
      <c r="U529" s="267"/>
      <c r="V529" s="267"/>
      <c r="W529" s="267"/>
      <c r="X529" s="267"/>
      <c r="Y529" s="267"/>
      <c r="Z529" s="267"/>
    </row>
    <row r="530" spans="1:26" s="445" customFormat="1" ht="14.25" customHeight="1" x14ac:dyDescent="0.3">
      <c r="A530" s="352" t="s">
        <v>2198</v>
      </c>
      <c r="B530" s="433" t="s">
        <v>1142</v>
      </c>
      <c r="C530" s="511" t="s">
        <v>1089</v>
      </c>
      <c r="D530" s="442" t="s">
        <v>1088</v>
      </c>
      <c r="E530" s="470">
        <v>13</v>
      </c>
      <c r="F530" s="471">
        <v>45824</v>
      </c>
      <c r="G530" s="464">
        <v>45905</v>
      </c>
      <c r="H530" s="267" t="s">
        <v>1083</v>
      </c>
      <c r="I530" s="267">
        <v>7</v>
      </c>
      <c r="J530" s="267"/>
      <c r="K530" s="267"/>
      <c r="L530" s="267"/>
      <c r="M530" s="267"/>
      <c r="N530" s="267"/>
      <c r="O530" s="267"/>
      <c r="P530" s="267"/>
      <c r="Q530" s="267"/>
      <c r="R530" s="267"/>
      <c r="S530" s="267"/>
      <c r="T530" s="267"/>
      <c r="U530" s="267"/>
      <c r="V530" s="267"/>
      <c r="W530" s="267"/>
      <c r="X530" s="267"/>
      <c r="Y530" s="267"/>
      <c r="Z530" s="267"/>
    </row>
    <row r="531" spans="1:26" ht="14.25" customHeight="1" x14ac:dyDescent="0.3">
      <c r="A531" s="352" t="s">
        <v>2199</v>
      </c>
      <c r="B531" s="433" t="s">
        <v>1142</v>
      </c>
      <c r="C531" s="511" t="s">
        <v>1089</v>
      </c>
      <c r="D531" s="442" t="s">
        <v>1088</v>
      </c>
      <c r="E531" s="470">
        <v>13</v>
      </c>
      <c r="F531" s="471">
        <v>45824</v>
      </c>
      <c r="G531" s="464">
        <v>45905</v>
      </c>
      <c r="H531" s="267" t="s">
        <v>1083</v>
      </c>
      <c r="I531" s="267">
        <v>7</v>
      </c>
      <c r="J531" s="267"/>
      <c r="K531" s="267"/>
      <c r="L531" s="308"/>
      <c r="M531" s="308"/>
      <c r="N531" s="308"/>
      <c r="O531" s="308"/>
      <c r="P531" s="308"/>
      <c r="Q531" s="308"/>
      <c r="R531" s="308"/>
      <c r="S531" s="308"/>
      <c r="T531" s="308"/>
      <c r="U531" s="308"/>
      <c r="V531" s="308"/>
      <c r="W531" s="308"/>
      <c r="X531" s="308"/>
      <c r="Y531" s="308"/>
      <c r="Z531" s="308"/>
    </row>
    <row r="532" spans="1:26" s="445" customFormat="1" ht="14.25" customHeight="1" x14ac:dyDescent="0.3">
      <c r="A532" s="352" t="s">
        <v>2200</v>
      </c>
      <c r="B532" s="433" t="s">
        <v>1142</v>
      </c>
      <c r="C532" s="511" t="s">
        <v>1089</v>
      </c>
      <c r="D532" s="442" t="s">
        <v>1088</v>
      </c>
      <c r="E532" s="470">
        <v>13</v>
      </c>
      <c r="F532" s="471">
        <v>45824</v>
      </c>
      <c r="G532" s="464">
        <v>45905</v>
      </c>
      <c r="H532" s="267" t="s">
        <v>1083</v>
      </c>
      <c r="I532" s="267">
        <v>7</v>
      </c>
      <c r="J532" s="267"/>
      <c r="K532" s="267"/>
      <c r="L532" s="267"/>
      <c r="M532" s="267"/>
      <c r="N532" s="267"/>
      <c r="O532" s="267"/>
      <c r="P532" s="267"/>
      <c r="Q532" s="267"/>
      <c r="R532" s="267"/>
      <c r="S532" s="267"/>
      <c r="T532" s="267"/>
      <c r="U532" s="267"/>
      <c r="V532" s="267"/>
      <c r="W532" s="267"/>
      <c r="X532" s="267"/>
      <c r="Y532" s="267"/>
      <c r="Z532" s="267"/>
    </row>
    <row r="533" spans="1:26" s="445" customFormat="1" ht="14.25" customHeight="1" x14ac:dyDescent="0.3">
      <c r="A533" s="352" t="s">
        <v>959</v>
      </c>
      <c r="B533" s="424" t="s">
        <v>1122</v>
      </c>
      <c r="C533" s="425" t="s">
        <v>1089</v>
      </c>
      <c r="D533" s="441" t="s">
        <v>1088</v>
      </c>
      <c r="E533" s="427">
        <v>18</v>
      </c>
      <c r="F533" s="428">
        <v>45835</v>
      </c>
      <c r="G533" s="423" t="s">
        <v>451</v>
      </c>
      <c r="H533" s="462" t="s">
        <v>1128</v>
      </c>
      <c r="I533" s="423" t="s">
        <v>451</v>
      </c>
      <c r="J533" s="423" t="s">
        <v>451</v>
      </c>
      <c r="K533" s="308"/>
      <c r="L533" s="267"/>
      <c r="M533" s="267"/>
      <c r="N533" s="267"/>
      <c r="O533" s="267"/>
      <c r="P533" s="267"/>
      <c r="Q533" s="267"/>
      <c r="R533" s="267"/>
      <c r="S533" s="267"/>
      <c r="T533" s="267"/>
      <c r="U533" s="267"/>
      <c r="V533" s="267"/>
      <c r="W533" s="267"/>
      <c r="X533" s="267"/>
      <c r="Y533" s="267"/>
      <c r="Z533" s="267"/>
    </row>
    <row r="534" spans="1:26" s="445" customFormat="1" ht="14.25" customHeight="1" x14ac:dyDescent="0.3">
      <c r="A534" s="485" t="s">
        <v>1215</v>
      </c>
      <c r="B534" s="424" t="s">
        <v>1122</v>
      </c>
      <c r="C534" s="308" t="s">
        <v>1144</v>
      </c>
      <c r="D534" s="308" t="s">
        <v>1091</v>
      </c>
      <c r="E534" s="308">
        <v>28</v>
      </c>
      <c r="F534" s="431">
        <v>45958</v>
      </c>
      <c r="G534" s="308"/>
      <c r="H534" s="308" t="s">
        <v>1107</v>
      </c>
      <c r="I534" s="308"/>
      <c r="J534" s="308"/>
      <c r="K534" s="308"/>
      <c r="L534" s="267"/>
      <c r="M534" s="267"/>
      <c r="N534" s="267"/>
      <c r="O534" s="267"/>
      <c r="P534" s="267"/>
      <c r="Q534" s="267"/>
      <c r="R534" s="267"/>
      <c r="S534" s="267"/>
      <c r="T534" s="267"/>
      <c r="U534" s="267"/>
      <c r="V534" s="267"/>
      <c r="W534" s="267"/>
      <c r="X534" s="267"/>
      <c r="Y534" s="267"/>
      <c r="Z534" s="267"/>
    </row>
    <row r="535" spans="1:26" s="445" customFormat="1" ht="14.25" customHeight="1" x14ac:dyDescent="0.3">
      <c r="A535" s="485" t="s">
        <v>1216</v>
      </c>
      <c r="B535" s="424" t="s">
        <v>1122</v>
      </c>
      <c r="C535" s="308" t="s">
        <v>1144</v>
      </c>
      <c r="D535" s="308" t="s">
        <v>1091</v>
      </c>
      <c r="E535" s="308">
        <v>28</v>
      </c>
      <c r="F535" s="431">
        <v>45958</v>
      </c>
      <c r="G535" s="308"/>
      <c r="H535" s="428" t="s">
        <v>1078</v>
      </c>
      <c r="I535" s="308"/>
      <c r="J535" s="308"/>
      <c r="K535" s="308"/>
      <c r="L535" s="267"/>
      <c r="M535" s="267"/>
      <c r="N535" s="267"/>
      <c r="O535" s="267"/>
      <c r="P535" s="267"/>
      <c r="Q535" s="267"/>
      <c r="R535" s="267"/>
      <c r="S535" s="267"/>
      <c r="T535" s="267"/>
      <c r="U535" s="267"/>
      <c r="V535" s="267"/>
      <c r="W535" s="267"/>
      <c r="X535" s="267"/>
      <c r="Y535" s="267"/>
      <c r="Z535" s="267"/>
    </row>
    <row r="536" spans="1:26" s="445" customFormat="1" ht="14.25" customHeight="1" x14ac:dyDescent="0.3">
      <c r="A536" s="485" t="s">
        <v>1217</v>
      </c>
      <c r="B536" s="424" t="s">
        <v>1122</v>
      </c>
      <c r="C536" s="308" t="s">
        <v>1144</v>
      </c>
      <c r="D536" s="308" t="s">
        <v>1091</v>
      </c>
      <c r="E536" s="308">
        <v>28</v>
      </c>
      <c r="F536" s="431">
        <v>45958</v>
      </c>
      <c r="G536" s="308"/>
      <c r="H536" s="308" t="s">
        <v>1107</v>
      </c>
      <c r="I536" s="308"/>
      <c r="J536" s="308"/>
      <c r="K536" s="308"/>
      <c r="L536" s="267"/>
      <c r="M536" s="267"/>
      <c r="N536" s="267"/>
      <c r="O536" s="267"/>
      <c r="P536" s="267"/>
      <c r="Q536" s="267"/>
      <c r="R536" s="267"/>
      <c r="S536" s="267"/>
      <c r="T536" s="267"/>
      <c r="U536" s="267"/>
      <c r="V536" s="267"/>
      <c r="W536" s="267"/>
      <c r="X536" s="267"/>
      <c r="Y536" s="267"/>
      <c r="Z536" s="267"/>
    </row>
    <row r="537" spans="1:26" s="445" customFormat="1" ht="14.25" customHeight="1" x14ac:dyDescent="0.3">
      <c r="A537" s="474" t="s">
        <v>2275</v>
      </c>
      <c r="B537" s="418" t="s">
        <v>1122</v>
      </c>
      <c r="C537" s="447" t="s">
        <v>1144</v>
      </c>
      <c r="D537" s="447" t="s">
        <v>1235</v>
      </c>
      <c r="E537" s="447">
        <v>32</v>
      </c>
      <c r="F537" s="448">
        <v>45987</v>
      </c>
      <c r="G537" s="447"/>
      <c r="H537" s="447" t="s">
        <v>1128</v>
      </c>
      <c r="I537" s="447"/>
      <c r="J537" s="447"/>
      <c r="K537" s="447" t="s">
        <v>1236</v>
      </c>
      <c r="L537" s="267"/>
      <c r="M537" s="267"/>
      <c r="N537" s="267"/>
      <c r="O537" s="267"/>
      <c r="P537" s="267"/>
      <c r="Q537" s="267"/>
      <c r="R537" s="267"/>
      <c r="S537" s="267"/>
      <c r="T537" s="267"/>
      <c r="U537" s="267"/>
      <c r="V537" s="267"/>
      <c r="W537" s="267"/>
      <c r="X537" s="267"/>
      <c r="Y537" s="267"/>
      <c r="Z537" s="267"/>
    </row>
    <row r="538" spans="1:26" ht="14.25" customHeight="1" x14ac:dyDescent="0.3">
      <c r="A538" s="474" t="s">
        <v>2275</v>
      </c>
      <c r="B538" s="268" t="s">
        <v>1122</v>
      </c>
      <c r="C538" s="447"/>
      <c r="D538" s="447" t="s">
        <v>1231</v>
      </c>
      <c r="E538" s="447">
        <v>36</v>
      </c>
      <c r="F538" s="448">
        <v>45994</v>
      </c>
      <c r="G538" s="447"/>
      <c r="H538" s="447" t="s">
        <v>1128</v>
      </c>
      <c r="I538" s="447"/>
      <c r="J538" s="447"/>
      <c r="K538" s="447" t="s">
        <v>1232</v>
      </c>
      <c r="L538" s="308"/>
      <c r="M538" s="308"/>
      <c r="N538" s="308"/>
      <c r="O538" s="308"/>
      <c r="P538" s="308"/>
      <c r="Q538" s="308"/>
      <c r="R538" s="308"/>
      <c r="S538" s="308"/>
      <c r="T538" s="308"/>
      <c r="U538" s="308"/>
      <c r="V538" s="308"/>
      <c r="W538" s="308"/>
      <c r="X538" s="308"/>
      <c r="Y538" s="308"/>
      <c r="Z538" s="308"/>
    </row>
    <row r="539" spans="1:26" ht="14.25" customHeight="1" x14ac:dyDescent="0.3">
      <c r="A539" s="474" t="s">
        <v>2181</v>
      </c>
      <c r="B539" s="449" t="s">
        <v>1142</v>
      </c>
      <c r="C539" s="425" t="s">
        <v>1076</v>
      </c>
      <c r="D539" s="521" t="s">
        <v>1231</v>
      </c>
      <c r="E539" s="447">
        <v>32</v>
      </c>
      <c r="F539" s="448">
        <v>45987</v>
      </c>
      <c r="G539" s="447"/>
      <c r="H539" s="267" t="s">
        <v>1083</v>
      </c>
      <c r="I539" s="447">
        <v>6</v>
      </c>
      <c r="J539" s="447"/>
      <c r="K539" s="447" t="s">
        <v>1236</v>
      </c>
      <c r="L539" s="308"/>
      <c r="M539" s="308"/>
      <c r="N539" s="308"/>
      <c r="O539" s="308"/>
      <c r="P539" s="308"/>
      <c r="Q539" s="308"/>
      <c r="R539" s="308"/>
      <c r="S539" s="308"/>
      <c r="T539" s="308"/>
      <c r="U539" s="308"/>
      <c r="V539" s="308"/>
      <c r="W539" s="308"/>
      <c r="X539" s="308"/>
      <c r="Y539" s="308"/>
      <c r="Z539" s="308"/>
    </row>
    <row r="540" spans="1:26" ht="14.25" customHeight="1" x14ac:dyDescent="0.3">
      <c r="A540" s="507" t="s">
        <v>2181</v>
      </c>
      <c r="B540" s="433" t="s">
        <v>1142</v>
      </c>
      <c r="C540" s="511" t="s">
        <v>1076</v>
      </c>
      <c r="D540" s="528" t="s">
        <v>1091</v>
      </c>
      <c r="E540" s="308">
        <v>28</v>
      </c>
      <c r="F540" s="431">
        <v>45958</v>
      </c>
      <c r="G540" s="308"/>
      <c r="H540" s="308" t="s">
        <v>1083</v>
      </c>
      <c r="I540" s="308">
        <v>5</v>
      </c>
      <c r="J540" s="308"/>
      <c r="K540" s="308"/>
      <c r="L540" s="308"/>
      <c r="M540" s="308"/>
      <c r="N540" s="308"/>
      <c r="O540" s="308"/>
      <c r="P540" s="308"/>
      <c r="Q540" s="308"/>
      <c r="R540" s="308"/>
      <c r="S540" s="308"/>
      <c r="T540" s="308"/>
      <c r="U540" s="308"/>
      <c r="V540" s="308"/>
      <c r="W540" s="308"/>
      <c r="X540" s="308"/>
      <c r="Y540" s="308"/>
      <c r="Z540" s="308"/>
    </row>
    <row r="541" spans="1:26" ht="14.25" customHeight="1" x14ac:dyDescent="0.3">
      <c r="A541" s="491" t="s">
        <v>2141</v>
      </c>
      <c r="B541" s="268" t="s">
        <v>1122</v>
      </c>
      <c r="C541" s="447"/>
      <c r="D541" s="447" t="s">
        <v>1272</v>
      </c>
      <c r="E541" s="447">
        <v>35</v>
      </c>
      <c r="F541" s="448">
        <v>45994</v>
      </c>
      <c r="G541" s="447"/>
      <c r="H541" s="447" t="s">
        <v>1208</v>
      </c>
      <c r="I541" s="447"/>
      <c r="J541" s="447"/>
      <c r="K541" s="447" t="s">
        <v>1271</v>
      </c>
      <c r="L541" s="308"/>
      <c r="M541" s="308"/>
      <c r="N541" s="308"/>
      <c r="O541" s="308"/>
      <c r="P541" s="308"/>
      <c r="Q541" s="308"/>
      <c r="R541" s="308"/>
      <c r="S541" s="308"/>
      <c r="T541" s="308"/>
      <c r="U541" s="308"/>
      <c r="V541" s="308"/>
      <c r="W541" s="308"/>
      <c r="X541" s="308"/>
      <c r="Y541" s="308"/>
      <c r="Z541" s="308"/>
    </row>
    <row r="542" spans="1:26" ht="14.25" customHeight="1" x14ac:dyDescent="0.3">
      <c r="A542" s="491" t="s">
        <v>2141</v>
      </c>
      <c r="B542" s="268" t="s">
        <v>1122</v>
      </c>
      <c r="C542" s="447" t="s">
        <v>1144</v>
      </c>
      <c r="D542" s="447" t="s">
        <v>1138</v>
      </c>
      <c r="E542" s="447">
        <v>35</v>
      </c>
      <c r="F542" s="448">
        <v>45994</v>
      </c>
      <c r="G542" s="447"/>
      <c r="H542" s="447" t="s">
        <v>1238</v>
      </c>
      <c r="I542" s="447"/>
      <c r="J542" s="447"/>
      <c r="K542" s="447" t="s">
        <v>1273</v>
      </c>
      <c r="L542" s="308"/>
      <c r="M542" s="308"/>
      <c r="N542" s="308"/>
      <c r="O542" s="308"/>
      <c r="P542" s="308"/>
      <c r="Q542" s="308"/>
      <c r="R542" s="308"/>
      <c r="S542" s="308"/>
      <c r="T542" s="308"/>
      <c r="U542" s="308"/>
      <c r="V542" s="308"/>
      <c r="W542" s="308"/>
      <c r="X542" s="308"/>
      <c r="Y542" s="308"/>
      <c r="Z542" s="308"/>
    </row>
    <row r="543" spans="1:26" ht="14.25" customHeight="1" x14ac:dyDescent="0.3">
      <c r="A543" s="491" t="s">
        <v>2258</v>
      </c>
      <c r="B543" s="418" t="s">
        <v>1122</v>
      </c>
      <c r="C543" s="447" t="s">
        <v>1144</v>
      </c>
      <c r="D543" s="447" t="s">
        <v>1132</v>
      </c>
      <c r="E543" s="447">
        <v>33</v>
      </c>
      <c r="F543" s="448">
        <v>45989</v>
      </c>
      <c r="G543" s="447"/>
      <c r="H543" s="447" t="s">
        <v>1107</v>
      </c>
      <c r="I543" s="447"/>
      <c r="J543" s="447"/>
      <c r="K543" s="447"/>
      <c r="L543" s="308"/>
      <c r="M543" s="308"/>
      <c r="N543" s="308"/>
      <c r="O543" s="308"/>
      <c r="P543" s="308"/>
      <c r="Q543" s="308"/>
      <c r="R543" s="308"/>
      <c r="S543" s="308"/>
      <c r="T543" s="308"/>
      <c r="U543" s="308"/>
      <c r="V543" s="308"/>
      <c r="W543" s="308"/>
      <c r="X543" s="308"/>
      <c r="Y543" s="308"/>
      <c r="Z543" s="308"/>
    </row>
    <row r="544" spans="1:26" ht="14.25" customHeight="1" x14ac:dyDescent="0.3">
      <c r="A544" s="491" t="s">
        <v>2141</v>
      </c>
      <c r="B544" s="418" t="s">
        <v>1122</v>
      </c>
      <c r="C544" s="447" t="s">
        <v>1144</v>
      </c>
      <c r="D544" s="447" t="s">
        <v>1082</v>
      </c>
      <c r="E544" s="447">
        <v>33</v>
      </c>
      <c r="F544" s="448">
        <v>45989</v>
      </c>
      <c r="G544" s="447"/>
      <c r="H544" s="447" t="s">
        <v>1208</v>
      </c>
      <c r="I544" s="447"/>
      <c r="J544" s="447"/>
      <c r="K544" s="447"/>
      <c r="L544" s="308"/>
      <c r="M544" s="308"/>
      <c r="N544" s="308"/>
      <c r="O544" s="308"/>
      <c r="P544" s="308"/>
      <c r="Q544" s="308"/>
      <c r="R544" s="308"/>
      <c r="S544" s="308"/>
      <c r="T544" s="308"/>
      <c r="U544" s="308"/>
      <c r="V544" s="308"/>
      <c r="W544" s="308"/>
      <c r="X544" s="308"/>
      <c r="Y544" s="308"/>
      <c r="Z544" s="308"/>
    </row>
    <row r="545" spans="1:26" ht="14.25" customHeight="1" x14ac:dyDescent="0.3">
      <c r="A545" s="474" t="s">
        <v>2182</v>
      </c>
      <c r="B545" s="418" t="s">
        <v>1122</v>
      </c>
      <c r="C545" s="447" t="s">
        <v>1144</v>
      </c>
      <c r="D545" s="447" t="s">
        <v>1235</v>
      </c>
      <c r="E545" s="447">
        <v>32</v>
      </c>
      <c r="F545" s="448">
        <v>45987</v>
      </c>
      <c r="G545" s="447"/>
      <c r="H545" s="447" t="s">
        <v>1078</v>
      </c>
      <c r="I545" s="447"/>
      <c r="J545" s="447"/>
      <c r="K545" s="447" t="s">
        <v>1236</v>
      </c>
      <c r="L545" s="308"/>
      <c r="M545" s="308"/>
      <c r="N545" s="308"/>
      <c r="O545" s="308"/>
      <c r="P545" s="308"/>
      <c r="Q545" s="308"/>
      <c r="R545" s="308"/>
      <c r="S545" s="308"/>
      <c r="T545" s="308"/>
      <c r="U545" s="308"/>
      <c r="V545" s="308"/>
      <c r="W545" s="308"/>
      <c r="X545" s="308"/>
      <c r="Y545" s="308"/>
      <c r="Z545" s="308"/>
    </row>
    <row r="546" spans="1:26" ht="14.25" customHeight="1" x14ac:dyDescent="0.3">
      <c r="A546" s="474" t="s">
        <v>2182</v>
      </c>
      <c r="B546" s="460" t="s">
        <v>1142</v>
      </c>
      <c r="C546" s="425" t="s">
        <v>1076</v>
      </c>
      <c r="D546" s="521" t="s">
        <v>1231</v>
      </c>
      <c r="E546" s="447">
        <v>36</v>
      </c>
      <c r="F546" s="448">
        <v>45994</v>
      </c>
      <c r="G546" s="447"/>
      <c r="H546" s="267" t="s">
        <v>1083</v>
      </c>
      <c r="I546" s="447">
        <v>6</v>
      </c>
      <c r="J546" s="447"/>
      <c r="K546" s="447" t="s">
        <v>1232</v>
      </c>
      <c r="L546" s="308"/>
      <c r="M546" s="308"/>
      <c r="N546" s="308"/>
      <c r="O546" s="308"/>
      <c r="P546" s="308"/>
      <c r="Q546" s="308"/>
      <c r="R546" s="308"/>
      <c r="S546" s="308"/>
      <c r="T546" s="308"/>
      <c r="U546" s="308"/>
      <c r="V546" s="308"/>
      <c r="W546" s="308"/>
      <c r="X546" s="308"/>
      <c r="Y546" s="308"/>
      <c r="Z546" s="308"/>
    </row>
    <row r="547" spans="1:26" ht="14.25" customHeight="1" x14ac:dyDescent="0.3">
      <c r="A547" s="507" t="s">
        <v>2182</v>
      </c>
      <c r="B547" s="433" t="s">
        <v>1142</v>
      </c>
      <c r="C547" s="511" t="s">
        <v>1076</v>
      </c>
      <c r="D547" s="528" t="s">
        <v>1091</v>
      </c>
      <c r="E547" s="308">
        <v>28</v>
      </c>
      <c r="F547" s="431">
        <v>45958</v>
      </c>
      <c r="G547" s="308"/>
      <c r="H547" s="308" t="s">
        <v>1083</v>
      </c>
      <c r="I547" s="308">
        <v>5</v>
      </c>
      <c r="J547" s="308"/>
      <c r="K547" s="308"/>
      <c r="L547" s="308"/>
      <c r="M547" s="308"/>
      <c r="N547" s="308"/>
      <c r="O547" s="308"/>
      <c r="P547" s="308"/>
      <c r="Q547" s="308"/>
      <c r="R547" s="308"/>
      <c r="S547" s="308"/>
      <c r="T547" s="308"/>
      <c r="U547" s="308"/>
      <c r="V547" s="308"/>
      <c r="W547" s="308"/>
      <c r="X547" s="308"/>
      <c r="Y547" s="308"/>
      <c r="Z547" s="308"/>
    </row>
    <row r="548" spans="1:26" ht="14.25" customHeight="1" x14ac:dyDescent="0.3">
      <c r="A548" s="475" t="s">
        <v>1172</v>
      </c>
      <c r="B548" s="430" t="s">
        <v>1122</v>
      </c>
      <c r="C548" s="308" t="s">
        <v>1089</v>
      </c>
      <c r="D548" s="308" t="s">
        <v>1080</v>
      </c>
      <c r="E548" s="308">
        <v>25</v>
      </c>
      <c r="F548" s="431">
        <v>45953</v>
      </c>
      <c r="G548" s="308"/>
      <c r="H548" s="308" t="s">
        <v>1128</v>
      </c>
      <c r="I548" s="308"/>
      <c r="J548" s="308"/>
      <c r="K548" s="308"/>
      <c r="L548" s="308"/>
      <c r="M548" s="308"/>
      <c r="N548" s="308"/>
      <c r="O548" s="308"/>
      <c r="P548" s="308"/>
      <c r="Q548" s="308"/>
      <c r="R548" s="308"/>
      <c r="S548" s="308"/>
      <c r="T548" s="308"/>
      <c r="U548" s="308"/>
      <c r="V548" s="308"/>
      <c r="W548" s="308"/>
      <c r="X548" s="308"/>
      <c r="Y548" s="308"/>
      <c r="Z548" s="308"/>
    </row>
    <row r="549" spans="1:26" ht="14.25" customHeight="1" x14ac:dyDescent="0.3">
      <c r="A549" s="485" t="s">
        <v>1172</v>
      </c>
      <c r="B549" s="411" t="s">
        <v>1122</v>
      </c>
      <c r="C549" s="425" t="s">
        <v>1076</v>
      </c>
      <c r="D549" s="438" t="s">
        <v>1086</v>
      </c>
      <c r="E549" s="308">
        <v>26</v>
      </c>
      <c r="F549" s="431">
        <v>45958</v>
      </c>
      <c r="G549" s="308"/>
      <c r="H549" s="308" t="s">
        <v>1128</v>
      </c>
      <c r="I549" s="308"/>
      <c r="J549" s="308"/>
      <c r="K549" s="308"/>
      <c r="L549" s="308"/>
      <c r="M549" s="308"/>
      <c r="N549" s="308"/>
      <c r="O549" s="308"/>
      <c r="P549" s="308"/>
      <c r="Q549" s="308"/>
      <c r="R549" s="308"/>
      <c r="S549" s="308"/>
      <c r="T549" s="308"/>
      <c r="U549" s="308"/>
      <c r="V549" s="308"/>
      <c r="W549" s="308"/>
      <c r="X549" s="308"/>
      <c r="Y549" s="308"/>
      <c r="Z549" s="308"/>
    </row>
    <row r="550" spans="1:26" ht="14.25" customHeight="1" x14ac:dyDescent="0.3">
      <c r="A550" s="492" t="s">
        <v>1172</v>
      </c>
      <c r="B550" s="418" t="s">
        <v>1122</v>
      </c>
      <c r="C550" s="425" t="s">
        <v>1076</v>
      </c>
      <c r="D550" s="447" t="s">
        <v>1082</v>
      </c>
      <c r="E550" s="447">
        <v>31</v>
      </c>
      <c r="F550" s="448">
        <v>45986</v>
      </c>
      <c r="G550" s="447"/>
      <c r="H550" s="308" t="s">
        <v>1128</v>
      </c>
      <c r="I550" s="447"/>
      <c r="J550" s="447"/>
      <c r="K550" s="447" t="s">
        <v>1274</v>
      </c>
      <c r="L550" s="308"/>
      <c r="M550" s="308"/>
      <c r="N550" s="308"/>
      <c r="O550" s="308"/>
      <c r="P550" s="308"/>
      <c r="Q550" s="308"/>
      <c r="R550" s="308"/>
      <c r="S550" s="308"/>
      <c r="T550" s="308"/>
      <c r="U550" s="308"/>
      <c r="V550" s="308"/>
      <c r="W550" s="308"/>
      <c r="X550" s="308"/>
      <c r="Y550" s="308"/>
      <c r="Z550" s="308"/>
    </row>
    <row r="551" spans="1:26" ht="14.25" customHeight="1" x14ac:dyDescent="0.3">
      <c r="A551" s="492" t="s">
        <v>970</v>
      </c>
      <c r="B551" s="418" t="s">
        <v>1122</v>
      </c>
      <c r="C551" s="425" t="s">
        <v>1076</v>
      </c>
      <c r="D551" s="438" t="s">
        <v>1086</v>
      </c>
      <c r="E551" s="447">
        <v>29</v>
      </c>
      <c r="F551" s="448">
        <v>45986</v>
      </c>
      <c r="G551" s="447"/>
      <c r="H551" s="308" t="s">
        <v>1128</v>
      </c>
      <c r="I551" s="447"/>
      <c r="J551" s="447"/>
      <c r="K551" s="447" t="s">
        <v>1275</v>
      </c>
      <c r="L551" s="308"/>
      <c r="M551" s="308"/>
      <c r="N551" s="308"/>
      <c r="O551" s="308"/>
      <c r="P551" s="308"/>
      <c r="Q551" s="308"/>
      <c r="R551" s="308"/>
      <c r="S551" s="308"/>
      <c r="T551" s="308"/>
      <c r="U551" s="308"/>
      <c r="V551" s="308"/>
      <c r="W551" s="308"/>
      <c r="X551" s="308"/>
      <c r="Y551" s="308"/>
      <c r="Z551" s="308"/>
    </row>
    <row r="552" spans="1:26" ht="14.25" customHeight="1" x14ac:dyDescent="0.3">
      <c r="A552" s="492" t="s">
        <v>1172</v>
      </c>
      <c r="B552" s="418" t="s">
        <v>1122</v>
      </c>
      <c r="C552" s="425" t="s">
        <v>1076</v>
      </c>
      <c r="D552" s="432" t="s">
        <v>1080</v>
      </c>
      <c r="E552" s="447">
        <v>30</v>
      </c>
      <c r="F552" s="448">
        <v>45986</v>
      </c>
      <c r="G552" s="447"/>
      <c r="H552" s="428" t="s">
        <v>1078</v>
      </c>
      <c r="I552" s="447"/>
      <c r="J552" s="447"/>
      <c r="K552" s="447" t="s">
        <v>1276</v>
      </c>
      <c r="L552" s="308"/>
      <c r="M552" s="308"/>
      <c r="N552" s="308"/>
      <c r="O552" s="308"/>
      <c r="P552" s="308"/>
      <c r="Q552" s="308"/>
      <c r="R552" s="308"/>
      <c r="S552" s="308"/>
      <c r="T552" s="308"/>
      <c r="U552" s="308"/>
      <c r="V552" s="308"/>
      <c r="W552" s="308"/>
      <c r="X552" s="308"/>
      <c r="Y552" s="308"/>
      <c r="Z552" s="308"/>
    </row>
    <row r="553" spans="1:26" ht="14.25" customHeight="1" x14ac:dyDescent="0.3">
      <c r="A553" s="491" t="s">
        <v>2142</v>
      </c>
      <c r="B553" s="268" t="s">
        <v>1122</v>
      </c>
      <c r="C553" s="447"/>
      <c r="D553" s="447" t="s">
        <v>1272</v>
      </c>
      <c r="E553" s="447">
        <v>35</v>
      </c>
      <c r="F553" s="448">
        <v>45994</v>
      </c>
      <c r="G553" s="447"/>
      <c r="H553" s="447" t="s">
        <v>1208</v>
      </c>
      <c r="I553" s="447"/>
      <c r="J553" s="447"/>
      <c r="K553" s="447" t="s">
        <v>1271</v>
      </c>
      <c r="L553" s="308"/>
      <c r="M553" s="308"/>
      <c r="N553" s="308"/>
      <c r="O553" s="308"/>
      <c r="P553" s="308"/>
      <c r="Q553" s="308"/>
      <c r="R553" s="308"/>
      <c r="S553" s="308"/>
      <c r="T553" s="308"/>
      <c r="U553" s="308"/>
      <c r="V553" s="308"/>
      <c r="W553" s="308"/>
      <c r="X553" s="308"/>
      <c r="Y553" s="308"/>
      <c r="Z553" s="308"/>
    </row>
    <row r="554" spans="1:26" ht="14.25" customHeight="1" x14ac:dyDescent="0.3">
      <c r="A554" s="491" t="s">
        <v>2142</v>
      </c>
      <c r="B554" s="268" t="s">
        <v>1122</v>
      </c>
      <c r="C554" s="447" t="s">
        <v>1144</v>
      </c>
      <c r="D554" s="447" t="s">
        <v>1138</v>
      </c>
      <c r="E554" s="447">
        <v>35</v>
      </c>
      <c r="F554" s="448">
        <v>45994</v>
      </c>
      <c r="G554" s="447"/>
      <c r="H554" s="447" t="s">
        <v>1238</v>
      </c>
      <c r="I554" s="447"/>
      <c r="J554" s="447"/>
      <c r="K554" s="447" t="s">
        <v>1277</v>
      </c>
      <c r="L554" s="308"/>
      <c r="M554" s="308"/>
      <c r="N554" s="308"/>
      <c r="O554" s="308"/>
      <c r="P554" s="308"/>
      <c r="Q554" s="308"/>
      <c r="R554" s="308"/>
      <c r="S554" s="308"/>
      <c r="T554" s="308"/>
      <c r="U554" s="308"/>
      <c r="V554" s="308"/>
      <c r="W554" s="308"/>
      <c r="X554" s="308"/>
      <c r="Y554" s="308"/>
      <c r="Z554" s="308"/>
    </row>
    <row r="555" spans="1:26" ht="14.25" customHeight="1" x14ac:dyDescent="0.3">
      <c r="A555" s="492" t="s">
        <v>2259</v>
      </c>
      <c r="B555" s="418" t="s">
        <v>1122</v>
      </c>
      <c r="C555" s="425" t="s">
        <v>1076</v>
      </c>
      <c r="D555" s="438" t="s">
        <v>1086</v>
      </c>
      <c r="E555" s="447">
        <v>29</v>
      </c>
      <c r="F555" s="448">
        <v>45986</v>
      </c>
      <c r="G555" s="447"/>
      <c r="H555" s="428" t="s">
        <v>1078</v>
      </c>
      <c r="I555" s="447"/>
      <c r="J555" s="447"/>
      <c r="K555" s="447" t="s">
        <v>1278</v>
      </c>
      <c r="L555" s="308"/>
      <c r="M555" s="308"/>
      <c r="N555" s="308"/>
      <c r="O555" s="308"/>
      <c r="P555" s="308"/>
      <c r="Q555" s="308"/>
      <c r="R555" s="308"/>
      <c r="S555" s="308"/>
      <c r="T555" s="308"/>
      <c r="U555" s="308"/>
      <c r="V555" s="308"/>
      <c r="W555" s="308"/>
      <c r="X555" s="308"/>
      <c r="Y555" s="308"/>
      <c r="Z555" s="308"/>
    </row>
    <row r="556" spans="1:26" ht="14.25" customHeight="1" x14ac:dyDescent="0.3">
      <c r="A556" s="491" t="s">
        <v>2259</v>
      </c>
      <c r="B556" s="449" t="s">
        <v>1142</v>
      </c>
      <c r="C556" s="511" t="s">
        <v>1076</v>
      </c>
      <c r="D556" s="535" t="s">
        <v>1132</v>
      </c>
      <c r="E556" s="447" t="s">
        <v>1140</v>
      </c>
      <c r="F556" s="448">
        <v>45989</v>
      </c>
      <c r="G556" s="447"/>
      <c r="H556" s="267" t="s">
        <v>1083</v>
      </c>
      <c r="I556" s="445">
        <v>7</v>
      </c>
      <c r="J556" s="445"/>
      <c r="K556" s="445"/>
      <c r="L556" s="308"/>
      <c r="M556" s="308"/>
      <c r="N556" s="308"/>
      <c r="O556" s="308"/>
      <c r="P556" s="308"/>
      <c r="Q556" s="308"/>
      <c r="R556" s="308"/>
      <c r="S556" s="308"/>
      <c r="T556" s="308"/>
      <c r="U556" s="308"/>
      <c r="V556" s="308"/>
      <c r="W556" s="308"/>
      <c r="X556" s="308"/>
      <c r="Y556" s="308"/>
      <c r="Z556" s="308"/>
    </row>
    <row r="557" spans="1:26" ht="14.25" customHeight="1" x14ac:dyDescent="0.3">
      <c r="A557" s="492" t="s">
        <v>2142</v>
      </c>
      <c r="B557" s="418" t="s">
        <v>1122</v>
      </c>
      <c r="C557" s="425" t="s">
        <v>1076</v>
      </c>
      <c r="D557" s="447" t="s">
        <v>1082</v>
      </c>
      <c r="E557" s="447">
        <v>31</v>
      </c>
      <c r="F557" s="448">
        <v>45986</v>
      </c>
      <c r="G557" s="447"/>
      <c r="H557" s="428" t="s">
        <v>1078</v>
      </c>
      <c r="I557" s="447"/>
      <c r="J557" s="447"/>
      <c r="K557" s="447" t="s">
        <v>1279</v>
      </c>
      <c r="L557" s="308"/>
      <c r="M557" s="308"/>
      <c r="N557" s="308"/>
      <c r="O557" s="308"/>
      <c r="P557" s="308"/>
      <c r="Q557" s="308"/>
      <c r="R557" s="308"/>
      <c r="S557" s="308"/>
      <c r="T557" s="308"/>
      <c r="U557" s="308"/>
      <c r="V557" s="308"/>
      <c r="W557" s="308"/>
      <c r="X557" s="308"/>
      <c r="Y557" s="308"/>
      <c r="Z557" s="308"/>
    </row>
    <row r="558" spans="1:26" ht="14.25" customHeight="1" x14ac:dyDescent="0.3">
      <c r="A558" s="491" t="s">
        <v>2142</v>
      </c>
      <c r="B558" s="418" t="s">
        <v>1122</v>
      </c>
      <c r="C558" s="447" t="s">
        <v>1144</v>
      </c>
      <c r="D558" s="447" t="s">
        <v>1082</v>
      </c>
      <c r="E558" s="447">
        <v>33</v>
      </c>
      <c r="F558" s="448">
        <v>45989</v>
      </c>
      <c r="G558" s="447"/>
      <c r="H558" s="447" t="s">
        <v>1078</v>
      </c>
      <c r="I558" s="447"/>
      <c r="J558" s="447"/>
      <c r="K558" s="447"/>
      <c r="L558" s="308"/>
      <c r="M558" s="308"/>
      <c r="N558" s="308"/>
      <c r="O558" s="308"/>
      <c r="P558" s="308"/>
      <c r="Q558" s="308"/>
      <c r="R558" s="308"/>
      <c r="S558" s="308"/>
      <c r="T558" s="308"/>
      <c r="U558" s="308"/>
      <c r="V558" s="308"/>
      <c r="W558" s="308"/>
      <c r="X558" s="308"/>
      <c r="Y558" s="308"/>
      <c r="Z558" s="308"/>
    </row>
    <row r="559" spans="1:26" ht="14.25" customHeight="1" x14ac:dyDescent="0.3">
      <c r="A559" s="492" t="s">
        <v>2142</v>
      </c>
      <c r="B559" s="418" t="s">
        <v>1122</v>
      </c>
      <c r="C559" s="425" t="s">
        <v>1076</v>
      </c>
      <c r="D559" s="432" t="s">
        <v>1080</v>
      </c>
      <c r="E559" s="447">
        <v>30</v>
      </c>
      <c r="F559" s="448">
        <v>45986</v>
      </c>
      <c r="G559" s="447"/>
      <c r="H559" s="428" t="s">
        <v>1078</v>
      </c>
      <c r="I559" s="447"/>
      <c r="J559" s="447"/>
      <c r="K559" s="447" t="s">
        <v>1280</v>
      </c>
      <c r="L559" s="308"/>
      <c r="M559" s="308"/>
      <c r="N559" s="308"/>
      <c r="O559" s="308"/>
      <c r="P559" s="308"/>
      <c r="Q559" s="308"/>
      <c r="R559" s="308"/>
      <c r="S559" s="308"/>
      <c r="T559" s="308"/>
      <c r="U559" s="308"/>
      <c r="V559" s="308"/>
      <c r="W559" s="308"/>
      <c r="X559" s="308"/>
      <c r="Y559" s="308"/>
      <c r="Z559" s="308"/>
    </row>
    <row r="560" spans="1:26" ht="14.25" customHeight="1" x14ac:dyDescent="0.3">
      <c r="A560" s="474" t="s">
        <v>2142</v>
      </c>
      <c r="B560" s="268" t="s">
        <v>1122</v>
      </c>
      <c r="C560" s="447"/>
      <c r="D560" s="447" t="s">
        <v>1254</v>
      </c>
      <c r="E560" s="447">
        <v>35</v>
      </c>
      <c r="F560" s="448">
        <v>45994</v>
      </c>
      <c r="G560" s="447"/>
      <c r="H560" s="447" t="s">
        <v>1208</v>
      </c>
      <c r="I560" s="447"/>
      <c r="J560" s="447"/>
      <c r="K560" s="447" t="s">
        <v>1271</v>
      </c>
      <c r="L560" s="308"/>
      <c r="M560" s="308"/>
      <c r="N560" s="308"/>
      <c r="O560" s="308"/>
      <c r="P560" s="308"/>
      <c r="Q560" s="308"/>
      <c r="R560" s="308"/>
      <c r="S560" s="308"/>
      <c r="T560" s="308"/>
      <c r="U560" s="308"/>
      <c r="V560" s="308"/>
      <c r="W560" s="308"/>
      <c r="X560" s="308"/>
      <c r="Y560" s="308"/>
      <c r="Z560" s="308"/>
    </row>
    <row r="561" spans="1:26" ht="14.25" customHeight="1" x14ac:dyDescent="0.3">
      <c r="A561" s="484" t="s">
        <v>2110</v>
      </c>
      <c r="B561" s="268" t="s">
        <v>1122</v>
      </c>
      <c r="C561" s="447"/>
      <c r="D561" s="447" t="s">
        <v>1272</v>
      </c>
      <c r="E561" s="447">
        <v>35</v>
      </c>
      <c r="F561" s="448">
        <v>45994</v>
      </c>
      <c r="G561" s="447"/>
      <c r="H561" s="447" t="s">
        <v>1208</v>
      </c>
      <c r="I561" s="447"/>
      <c r="J561" s="447"/>
      <c r="K561" s="447" t="s">
        <v>1271</v>
      </c>
      <c r="L561" s="308"/>
      <c r="M561" s="308"/>
      <c r="N561" s="308"/>
      <c r="O561" s="308"/>
      <c r="P561" s="308"/>
      <c r="Q561" s="308"/>
      <c r="R561" s="308"/>
      <c r="S561" s="308"/>
      <c r="T561" s="308"/>
      <c r="U561" s="308"/>
      <c r="V561" s="308"/>
      <c r="W561" s="308"/>
      <c r="X561" s="308"/>
      <c r="Y561" s="308"/>
      <c r="Z561" s="308"/>
    </row>
    <row r="562" spans="1:26" ht="14.25" customHeight="1" x14ac:dyDescent="0.3">
      <c r="A562" s="493" t="s">
        <v>2260</v>
      </c>
      <c r="B562" s="449" t="s">
        <v>1142</v>
      </c>
      <c r="C562" s="511" t="s">
        <v>1076</v>
      </c>
      <c r="D562" s="529" t="s">
        <v>1086</v>
      </c>
      <c r="E562" s="447">
        <v>29</v>
      </c>
      <c r="F562" s="448">
        <v>45986</v>
      </c>
      <c r="G562" s="447"/>
      <c r="H562" s="267" t="s">
        <v>1083</v>
      </c>
      <c r="I562" s="445">
        <v>7</v>
      </c>
      <c r="J562" s="445"/>
      <c r="K562" s="445" t="s">
        <v>1281</v>
      </c>
      <c r="L562" s="308"/>
      <c r="M562" s="308"/>
      <c r="N562" s="308"/>
      <c r="O562" s="308"/>
      <c r="P562" s="308"/>
      <c r="Q562" s="308"/>
      <c r="R562" s="308"/>
      <c r="S562" s="308"/>
      <c r="T562" s="308"/>
      <c r="U562" s="308"/>
      <c r="V562" s="308"/>
      <c r="W562" s="308"/>
      <c r="X562" s="308"/>
      <c r="Y562" s="308"/>
      <c r="Z562" s="308"/>
    </row>
    <row r="563" spans="1:26" ht="14.25" customHeight="1" x14ac:dyDescent="0.3">
      <c r="A563" s="484" t="s">
        <v>2260</v>
      </c>
      <c r="B563" s="418" t="s">
        <v>1122</v>
      </c>
      <c r="C563" s="447" t="s">
        <v>1144</v>
      </c>
      <c r="D563" s="447" t="s">
        <v>1132</v>
      </c>
      <c r="E563" s="447">
        <v>33</v>
      </c>
      <c r="F563" s="448">
        <v>45989</v>
      </c>
      <c r="G563" s="447"/>
      <c r="H563" s="447" t="s">
        <v>1078</v>
      </c>
      <c r="I563" s="447"/>
      <c r="J563" s="447"/>
      <c r="K563" s="447"/>
      <c r="L563" s="308"/>
      <c r="M563" s="308"/>
      <c r="N563" s="308"/>
      <c r="O563" s="308"/>
      <c r="P563" s="308"/>
      <c r="Q563" s="308"/>
      <c r="R563" s="308"/>
      <c r="S563" s="308"/>
      <c r="T563" s="308"/>
      <c r="U563" s="308"/>
      <c r="V563" s="308"/>
      <c r="W563" s="308"/>
      <c r="X563" s="308"/>
      <c r="Y563" s="308"/>
      <c r="Z563" s="308"/>
    </row>
    <row r="564" spans="1:26" ht="14.25" customHeight="1" x14ac:dyDescent="0.3">
      <c r="A564" s="493" t="s">
        <v>2110</v>
      </c>
      <c r="B564" s="418" t="s">
        <v>1122</v>
      </c>
      <c r="C564" s="425" t="s">
        <v>1076</v>
      </c>
      <c r="D564" s="447" t="s">
        <v>1082</v>
      </c>
      <c r="E564" s="447">
        <v>31</v>
      </c>
      <c r="F564" s="448">
        <v>45986</v>
      </c>
      <c r="G564" s="447"/>
      <c r="H564" s="428" t="s">
        <v>1078</v>
      </c>
      <c r="I564" s="447"/>
      <c r="J564" s="447"/>
      <c r="K564" s="447" t="s">
        <v>1282</v>
      </c>
      <c r="L564" s="308"/>
      <c r="M564" s="308"/>
      <c r="N564" s="308"/>
      <c r="O564" s="308"/>
      <c r="P564" s="308"/>
      <c r="Q564" s="308"/>
      <c r="R564" s="308"/>
      <c r="S564" s="308"/>
      <c r="T564" s="308"/>
      <c r="U564" s="308"/>
      <c r="V564" s="308"/>
      <c r="W564" s="308"/>
      <c r="X564" s="308"/>
      <c r="Y564" s="308"/>
      <c r="Z564" s="308"/>
    </row>
    <row r="565" spans="1:26" ht="14.25" customHeight="1" x14ac:dyDescent="0.3">
      <c r="A565" s="484" t="s">
        <v>2110</v>
      </c>
      <c r="B565" s="418" t="s">
        <v>1122</v>
      </c>
      <c r="C565" s="447" t="s">
        <v>1144</v>
      </c>
      <c r="D565" s="447" t="s">
        <v>1082</v>
      </c>
      <c r="E565" s="447">
        <v>33</v>
      </c>
      <c r="F565" s="448">
        <v>45989</v>
      </c>
      <c r="G565" s="447"/>
      <c r="H565" s="447" t="s">
        <v>1078</v>
      </c>
      <c r="I565" s="447"/>
      <c r="J565" s="447"/>
      <c r="K565" s="447"/>
      <c r="L565" s="308"/>
      <c r="M565" s="308"/>
      <c r="N565" s="308"/>
      <c r="O565" s="308"/>
      <c r="P565" s="308"/>
      <c r="Q565" s="308"/>
      <c r="R565" s="308"/>
      <c r="S565" s="308"/>
      <c r="T565" s="308"/>
      <c r="U565" s="308"/>
      <c r="V565" s="308"/>
      <c r="W565" s="308"/>
      <c r="X565" s="308"/>
      <c r="Y565" s="308"/>
      <c r="Z565" s="308"/>
    </row>
    <row r="566" spans="1:26" ht="14.25" customHeight="1" x14ac:dyDescent="0.3">
      <c r="A566" s="493" t="s">
        <v>2110</v>
      </c>
      <c r="B566" s="418" t="s">
        <v>1122</v>
      </c>
      <c r="C566" s="425" t="s">
        <v>1076</v>
      </c>
      <c r="D566" s="432" t="s">
        <v>1080</v>
      </c>
      <c r="E566" s="447">
        <v>30</v>
      </c>
      <c r="F566" s="448">
        <v>45986</v>
      </c>
      <c r="G566" s="447"/>
      <c r="H566" s="428" t="s">
        <v>1078</v>
      </c>
      <c r="I566" s="447"/>
      <c r="J566" s="447"/>
      <c r="K566" s="447" t="s">
        <v>1283</v>
      </c>
      <c r="L566" s="308"/>
      <c r="M566" s="308"/>
      <c r="N566" s="308"/>
      <c r="O566" s="308"/>
      <c r="P566" s="308"/>
      <c r="Q566" s="308"/>
      <c r="R566" s="308"/>
      <c r="S566" s="308"/>
      <c r="T566" s="308"/>
      <c r="U566" s="308"/>
      <c r="V566" s="308"/>
      <c r="W566" s="308"/>
      <c r="X566" s="308"/>
      <c r="Y566" s="308"/>
      <c r="Z566" s="308"/>
    </row>
    <row r="567" spans="1:26" ht="14.25" customHeight="1" x14ac:dyDescent="0.3">
      <c r="A567" s="484" t="s">
        <v>2112</v>
      </c>
      <c r="B567" s="268" t="s">
        <v>1122</v>
      </c>
      <c r="C567" s="447"/>
      <c r="D567" s="447" t="s">
        <v>1272</v>
      </c>
      <c r="E567" s="447">
        <v>35</v>
      </c>
      <c r="F567" s="448">
        <v>45994</v>
      </c>
      <c r="G567" s="447"/>
      <c r="H567" s="447" t="s">
        <v>1208</v>
      </c>
      <c r="I567" s="447"/>
      <c r="J567" s="447"/>
      <c r="K567" s="447" t="s">
        <v>1271</v>
      </c>
      <c r="L567" s="308"/>
      <c r="M567" s="308"/>
      <c r="N567" s="308"/>
      <c r="O567" s="308"/>
      <c r="P567" s="308"/>
      <c r="Q567" s="308"/>
      <c r="R567" s="308"/>
      <c r="S567" s="308"/>
      <c r="T567" s="308"/>
      <c r="U567" s="308"/>
      <c r="V567" s="308"/>
      <c r="W567" s="308"/>
      <c r="X567" s="308"/>
      <c r="Y567" s="308"/>
      <c r="Z567" s="308"/>
    </row>
    <row r="568" spans="1:26" ht="14.25" customHeight="1" x14ac:dyDescent="0.3">
      <c r="A568" s="484" t="s">
        <v>2112</v>
      </c>
      <c r="B568" s="449" t="s">
        <v>1142</v>
      </c>
      <c r="C568" s="511" t="s">
        <v>1076</v>
      </c>
      <c r="D568" s="445" t="s">
        <v>1138</v>
      </c>
      <c r="E568" s="512">
        <v>35</v>
      </c>
      <c r="F568" s="513">
        <v>45994</v>
      </c>
      <c r="G568" s="512"/>
      <c r="H568" s="514" t="s">
        <v>1083</v>
      </c>
      <c r="I568" s="512">
        <v>7</v>
      </c>
      <c r="J568" s="512"/>
      <c r="K568" s="512" t="s">
        <v>1284</v>
      </c>
      <c r="L568" s="308"/>
      <c r="M568" s="308"/>
      <c r="N568" s="308"/>
      <c r="O568" s="308"/>
      <c r="P568" s="308"/>
      <c r="Q568" s="308"/>
      <c r="R568" s="308"/>
      <c r="S568" s="308"/>
      <c r="T568" s="308"/>
      <c r="U568" s="308"/>
      <c r="V568" s="308"/>
      <c r="W568" s="308"/>
      <c r="X568" s="308"/>
      <c r="Y568" s="308"/>
      <c r="Z568" s="308"/>
    </row>
    <row r="569" spans="1:26" ht="14.25" customHeight="1" x14ac:dyDescent="0.3">
      <c r="A569" s="494" t="s">
        <v>2261</v>
      </c>
      <c r="B569" s="418" t="s">
        <v>1122</v>
      </c>
      <c r="C569" s="425" t="s">
        <v>1076</v>
      </c>
      <c r="D569" s="438" t="s">
        <v>1086</v>
      </c>
      <c r="E569" s="447">
        <v>29</v>
      </c>
      <c r="F569" s="448">
        <v>45986</v>
      </c>
      <c r="G569" s="447"/>
      <c r="H569" s="428" t="s">
        <v>1078</v>
      </c>
      <c r="I569" s="447"/>
      <c r="J569" s="447"/>
      <c r="K569" s="447" t="s">
        <v>1285</v>
      </c>
      <c r="L569" s="308"/>
      <c r="M569" s="308"/>
      <c r="N569" s="308"/>
      <c r="O569" s="308"/>
      <c r="P569" s="308"/>
      <c r="Q569" s="308"/>
      <c r="R569" s="308"/>
      <c r="S569" s="308"/>
      <c r="T569" s="308"/>
      <c r="U569" s="308"/>
      <c r="V569" s="308"/>
      <c r="W569" s="308"/>
      <c r="X569" s="308"/>
      <c r="Y569" s="308"/>
      <c r="Z569" s="308"/>
    </row>
    <row r="570" spans="1:26" ht="14.25" customHeight="1" x14ac:dyDescent="0.3">
      <c r="A570" s="484" t="s">
        <v>2261</v>
      </c>
      <c r="B570" s="449" t="s">
        <v>1142</v>
      </c>
      <c r="C570" s="511" t="s">
        <v>1076</v>
      </c>
      <c r="D570" s="535" t="s">
        <v>1132</v>
      </c>
      <c r="E570" s="447" t="s">
        <v>1140</v>
      </c>
      <c r="F570" s="448">
        <v>45989</v>
      </c>
      <c r="G570" s="447"/>
      <c r="H570" s="267" t="s">
        <v>1083</v>
      </c>
      <c r="I570" s="445">
        <v>7</v>
      </c>
      <c r="J570" s="445"/>
      <c r="K570" s="445"/>
      <c r="L570" s="308"/>
      <c r="M570" s="308"/>
      <c r="N570" s="308"/>
      <c r="O570" s="308"/>
      <c r="P570" s="308"/>
      <c r="Q570" s="308"/>
      <c r="R570" s="308"/>
      <c r="S570" s="308"/>
      <c r="T570" s="308"/>
      <c r="U570" s="308"/>
      <c r="V570" s="308"/>
      <c r="W570" s="308"/>
      <c r="X570" s="308"/>
      <c r="Y570" s="308"/>
      <c r="Z570" s="308"/>
    </row>
    <row r="571" spans="1:26" ht="14.25" customHeight="1" x14ac:dyDescent="0.3">
      <c r="A571" s="494" t="s">
        <v>2112</v>
      </c>
      <c r="B571" s="418" t="s">
        <v>1122</v>
      </c>
      <c r="C571" s="425" t="s">
        <v>1076</v>
      </c>
      <c r="D571" s="447" t="s">
        <v>1082</v>
      </c>
      <c r="E571" s="447">
        <v>31</v>
      </c>
      <c r="F571" s="448">
        <v>45986</v>
      </c>
      <c r="G571" s="447"/>
      <c r="H571" s="428" t="s">
        <v>1078</v>
      </c>
      <c r="I571" s="447"/>
      <c r="J571" s="447"/>
      <c r="K571" s="447" t="s">
        <v>1286</v>
      </c>
      <c r="L571" s="308"/>
      <c r="M571" s="308"/>
      <c r="N571" s="308"/>
      <c r="O571" s="308"/>
      <c r="P571" s="308"/>
      <c r="Q571" s="308"/>
      <c r="R571" s="308"/>
      <c r="S571" s="308"/>
      <c r="T571" s="308"/>
      <c r="U571" s="308"/>
      <c r="V571" s="308"/>
      <c r="W571" s="308"/>
      <c r="X571" s="308"/>
      <c r="Y571" s="308"/>
      <c r="Z571" s="308"/>
    </row>
    <row r="572" spans="1:26" ht="14.25" customHeight="1" x14ac:dyDescent="0.3">
      <c r="A572" s="484" t="s">
        <v>2112</v>
      </c>
      <c r="B572" s="418" t="s">
        <v>1122</v>
      </c>
      <c r="C572" s="447" t="s">
        <v>1144</v>
      </c>
      <c r="D572" s="447" t="s">
        <v>1082</v>
      </c>
      <c r="E572" s="447">
        <v>33</v>
      </c>
      <c r="F572" s="448">
        <v>45989</v>
      </c>
      <c r="G572" s="447"/>
      <c r="H572" s="447" t="s">
        <v>1078</v>
      </c>
      <c r="I572" s="447"/>
      <c r="J572" s="447"/>
      <c r="K572" s="447"/>
      <c r="L572" s="308"/>
      <c r="M572" s="308"/>
      <c r="N572" s="308"/>
      <c r="O572" s="308"/>
      <c r="P572" s="308"/>
      <c r="Q572" s="308"/>
      <c r="R572" s="308"/>
      <c r="S572" s="308"/>
      <c r="T572" s="308"/>
      <c r="U572" s="308"/>
      <c r="V572" s="308"/>
      <c r="W572" s="308"/>
      <c r="X572" s="308"/>
      <c r="Y572" s="308"/>
      <c r="Z572" s="308"/>
    </row>
    <row r="573" spans="1:26" ht="14.25" customHeight="1" x14ac:dyDescent="0.3">
      <c r="A573" s="494" t="s">
        <v>2112</v>
      </c>
      <c r="B573" s="418" t="s">
        <v>1122</v>
      </c>
      <c r="C573" s="425" t="s">
        <v>1076</v>
      </c>
      <c r="D573" s="432" t="s">
        <v>1080</v>
      </c>
      <c r="E573" s="447">
        <v>30</v>
      </c>
      <c r="F573" s="448">
        <v>45986</v>
      </c>
      <c r="G573" s="447"/>
      <c r="H573" s="428" t="s">
        <v>1078</v>
      </c>
      <c r="I573" s="447"/>
      <c r="J573" s="447"/>
      <c r="K573" s="447" t="s">
        <v>1287</v>
      </c>
      <c r="L573" s="308"/>
      <c r="M573" s="308"/>
      <c r="N573" s="308"/>
      <c r="O573" s="308"/>
      <c r="P573" s="308"/>
      <c r="Q573" s="308"/>
      <c r="R573" s="308"/>
      <c r="S573" s="308"/>
      <c r="T573" s="308"/>
      <c r="U573" s="308"/>
      <c r="V573" s="308"/>
      <c r="W573" s="308"/>
      <c r="X573" s="308"/>
      <c r="Y573" s="308"/>
      <c r="Z573" s="308"/>
    </row>
    <row r="574" spans="1:26" ht="14.25" customHeight="1" x14ac:dyDescent="0.3">
      <c r="A574" s="484" t="s">
        <v>2113</v>
      </c>
      <c r="B574" s="268" t="s">
        <v>1122</v>
      </c>
      <c r="C574" s="447"/>
      <c r="D574" s="447" t="s">
        <v>1272</v>
      </c>
      <c r="E574" s="447">
        <v>35</v>
      </c>
      <c r="F574" s="448">
        <v>45994</v>
      </c>
      <c r="G574" s="447"/>
      <c r="H574" s="447" t="s">
        <v>1208</v>
      </c>
      <c r="I574" s="447"/>
      <c r="J574" s="447"/>
      <c r="K574" s="447" t="s">
        <v>1271</v>
      </c>
      <c r="L574" s="308"/>
      <c r="M574" s="308"/>
      <c r="N574" s="308"/>
      <c r="O574" s="308"/>
      <c r="P574" s="308"/>
      <c r="Q574" s="308"/>
      <c r="R574" s="308"/>
      <c r="S574" s="308"/>
      <c r="T574" s="308"/>
      <c r="U574" s="308"/>
      <c r="V574" s="308"/>
      <c r="W574" s="308"/>
      <c r="X574" s="308"/>
      <c r="Y574" s="308"/>
      <c r="Z574" s="308"/>
    </row>
    <row r="575" spans="1:26" ht="14.25" customHeight="1" x14ac:dyDescent="0.3">
      <c r="A575" s="493" t="s">
        <v>2262</v>
      </c>
      <c r="B575" s="449" t="s">
        <v>1142</v>
      </c>
      <c r="C575" s="511" t="s">
        <v>1076</v>
      </c>
      <c r="D575" s="529" t="s">
        <v>1086</v>
      </c>
      <c r="E575" s="447">
        <v>29</v>
      </c>
      <c r="F575" s="448">
        <v>45986</v>
      </c>
      <c r="G575" s="447"/>
      <c r="H575" s="267" t="s">
        <v>1083</v>
      </c>
      <c r="I575" s="445">
        <v>7</v>
      </c>
      <c r="J575" s="445"/>
      <c r="K575" s="445" t="s">
        <v>1288</v>
      </c>
      <c r="L575" s="308"/>
      <c r="M575" s="308"/>
      <c r="N575" s="308"/>
      <c r="O575" s="308"/>
      <c r="P575" s="308"/>
      <c r="Q575" s="308"/>
      <c r="R575" s="308"/>
      <c r="S575" s="308"/>
      <c r="T575" s="308"/>
      <c r="U575" s="308"/>
      <c r="V575" s="308"/>
      <c r="W575" s="308"/>
      <c r="X575" s="308"/>
      <c r="Y575" s="308"/>
      <c r="Z575" s="308"/>
    </row>
    <row r="576" spans="1:26" ht="14.25" customHeight="1" x14ac:dyDescent="0.3">
      <c r="A576" s="484" t="s">
        <v>2262</v>
      </c>
      <c r="B576" s="449" t="s">
        <v>1142</v>
      </c>
      <c r="C576" s="511" t="s">
        <v>1076</v>
      </c>
      <c r="D576" s="535" t="s">
        <v>1132</v>
      </c>
      <c r="E576" s="447" t="s">
        <v>1140</v>
      </c>
      <c r="F576" s="448">
        <v>45989</v>
      </c>
      <c r="G576" s="447"/>
      <c r="H576" s="267" t="s">
        <v>1083</v>
      </c>
      <c r="I576" s="445">
        <v>7</v>
      </c>
      <c r="J576" s="445"/>
      <c r="K576" s="445"/>
      <c r="L576" s="308"/>
      <c r="M576" s="308"/>
      <c r="N576" s="308"/>
      <c r="O576" s="308"/>
      <c r="P576" s="308"/>
      <c r="Q576" s="308"/>
      <c r="R576" s="308"/>
      <c r="S576" s="308"/>
      <c r="T576" s="308"/>
      <c r="U576" s="308"/>
      <c r="V576" s="308"/>
      <c r="W576" s="308"/>
      <c r="X576" s="308"/>
      <c r="Y576" s="308"/>
      <c r="Z576" s="308"/>
    </row>
    <row r="577" spans="1:26" ht="14.25" customHeight="1" x14ac:dyDescent="0.3">
      <c r="A577" s="493" t="s">
        <v>2113</v>
      </c>
      <c r="B577" s="418" t="s">
        <v>1122</v>
      </c>
      <c r="C577" s="425" t="s">
        <v>1076</v>
      </c>
      <c r="D577" s="447" t="s">
        <v>1082</v>
      </c>
      <c r="E577" s="447">
        <v>31</v>
      </c>
      <c r="F577" s="448">
        <v>45986</v>
      </c>
      <c r="G577" s="447"/>
      <c r="H577" s="428" t="s">
        <v>1078</v>
      </c>
      <c r="I577" s="447"/>
      <c r="J577" s="447"/>
      <c r="K577" s="447" t="s">
        <v>1289</v>
      </c>
      <c r="L577" s="308"/>
      <c r="M577" s="308"/>
      <c r="N577" s="308"/>
      <c r="O577" s="308"/>
      <c r="P577" s="308"/>
      <c r="Q577" s="308"/>
      <c r="R577" s="308"/>
      <c r="S577" s="308"/>
      <c r="T577" s="308"/>
      <c r="U577" s="308"/>
      <c r="V577" s="308"/>
      <c r="W577" s="308"/>
      <c r="X577" s="308"/>
      <c r="Y577" s="308"/>
      <c r="Z577" s="308"/>
    </row>
    <row r="578" spans="1:26" ht="14.25" customHeight="1" x14ac:dyDescent="0.3">
      <c r="A578" s="484" t="s">
        <v>2113</v>
      </c>
      <c r="B578" s="418" t="s">
        <v>1122</v>
      </c>
      <c r="C578" s="447" t="s">
        <v>1144</v>
      </c>
      <c r="D578" s="447" t="s">
        <v>1082</v>
      </c>
      <c r="E578" s="447">
        <v>33</v>
      </c>
      <c r="F578" s="448">
        <v>45989</v>
      </c>
      <c r="G578" s="447"/>
      <c r="H578" s="447" t="s">
        <v>1078</v>
      </c>
      <c r="I578" s="447"/>
      <c r="J578" s="447"/>
      <c r="K578" s="447"/>
      <c r="L578" s="308"/>
      <c r="M578" s="308"/>
      <c r="N578" s="308"/>
      <c r="O578" s="308"/>
      <c r="P578" s="308"/>
      <c r="Q578" s="308"/>
      <c r="R578" s="308"/>
      <c r="S578" s="308"/>
      <c r="T578" s="308"/>
      <c r="U578" s="308"/>
      <c r="V578" s="308"/>
      <c r="W578" s="308"/>
      <c r="X578" s="308"/>
      <c r="Y578" s="308"/>
      <c r="Z578" s="308"/>
    </row>
    <row r="579" spans="1:26" ht="14.25" customHeight="1" x14ac:dyDescent="0.3">
      <c r="A579" s="493" t="s">
        <v>2113</v>
      </c>
      <c r="B579" s="418" t="s">
        <v>1122</v>
      </c>
      <c r="C579" s="425" t="s">
        <v>1076</v>
      </c>
      <c r="D579" s="432" t="s">
        <v>1080</v>
      </c>
      <c r="E579" s="447">
        <v>30</v>
      </c>
      <c r="F579" s="448">
        <v>45986</v>
      </c>
      <c r="G579" s="447"/>
      <c r="H579" s="428" t="s">
        <v>1078</v>
      </c>
      <c r="I579" s="447"/>
      <c r="J579" s="447"/>
      <c r="K579" s="447" t="s">
        <v>1290</v>
      </c>
      <c r="L579" s="308"/>
      <c r="M579" s="308"/>
      <c r="N579" s="308"/>
      <c r="O579" s="308"/>
      <c r="P579" s="308"/>
      <c r="Q579" s="308"/>
      <c r="R579" s="308"/>
      <c r="S579" s="308"/>
      <c r="T579" s="308"/>
      <c r="U579" s="308"/>
      <c r="V579" s="308"/>
      <c r="W579" s="308"/>
      <c r="X579" s="308"/>
      <c r="Y579" s="308"/>
      <c r="Z579" s="308"/>
    </row>
    <row r="580" spans="1:26" ht="14.25" customHeight="1" x14ac:dyDescent="0.3">
      <c r="A580" s="485" t="s">
        <v>1220</v>
      </c>
      <c r="B580" s="411" t="s">
        <v>1122</v>
      </c>
      <c r="C580" s="425" t="s">
        <v>1076</v>
      </c>
      <c r="D580" s="438" t="s">
        <v>1086</v>
      </c>
      <c r="E580" s="308">
        <v>26</v>
      </c>
      <c r="F580" s="431">
        <v>45958</v>
      </c>
      <c r="G580" s="308"/>
      <c r="H580" s="428" t="s">
        <v>1107</v>
      </c>
      <c r="I580" s="308"/>
      <c r="J580" s="308"/>
      <c r="K580" s="308"/>
      <c r="L580" s="308"/>
      <c r="M580" s="308"/>
      <c r="N580" s="308"/>
      <c r="O580" s="308"/>
      <c r="P580" s="308"/>
      <c r="Q580" s="308"/>
      <c r="R580" s="308"/>
      <c r="S580" s="308"/>
      <c r="T580" s="308"/>
      <c r="U580" s="308"/>
      <c r="V580" s="308"/>
      <c r="W580" s="308"/>
      <c r="X580" s="308"/>
      <c r="Y580" s="308"/>
      <c r="Z580" s="308"/>
    </row>
    <row r="581" spans="1:26" ht="14.25" customHeight="1" x14ac:dyDescent="0.3">
      <c r="A581" s="481" t="s">
        <v>1220</v>
      </c>
      <c r="B581" s="433" t="s">
        <v>1142</v>
      </c>
      <c r="C581" s="308" t="s">
        <v>1089</v>
      </c>
      <c r="D581" s="545" t="s">
        <v>1080</v>
      </c>
      <c r="E581" s="308">
        <v>25</v>
      </c>
      <c r="F581" s="431">
        <v>45953</v>
      </c>
      <c r="G581" s="308"/>
      <c r="H581" s="436" t="s">
        <v>1083</v>
      </c>
      <c r="I581" s="308">
        <v>5</v>
      </c>
      <c r="J581" s="308"/>
      <c r="K581" s="308"/>
      <c r="L581" s="308"/>
      <c r="M581" s="308"/>
      <c r="N581" s="308"/>
      <c r="O581" s="308"/>
      <c r="P581" s="308"/>
      <c r="Q581" s="308"/>
      <c r="R581" s="308"/>
      <c r="S581" s="308"/>
      <c r="T581" s="308"/>
      <c r="U581" s="308"/>
      <c r="V581" s="308"/>
      <c r="W581" s="308"/>
      <c r="X581" s="308"/>
      <c r="Y581" s="308"/>
      <c r="Z581" s="308"/>
    </row>
    <row r="582" spans="1:26" ht="14.25" customHeight="1" x14ac:dyDescent="0.3">
      <c r="A582" s="486" t="s">
        <v>2279</v>
      </c>
      <c r="B582" s="430" t="s">
        <v>1122</v>
      </c>
      <c r="C582" s="425" t="s">
        <v>1076</v>
      </c>
      <c r="D582" s="432" t="s">
        <v>1080</v>
      </c>
      <c r="E582" s="308">
        <v>25</v>
      </c>
      <c r="F582" s="431">
        <v>45953</v>
      </c>
      <c r="G582" s="308"/>
      <c r="H582" s="428" t="s">
        <v>1078</v>
      </c>
      <c r="I582" s="308"/>
      <c r="J582" s="308"/>
      <c r="K582" s="308"/>
      <c r="L582" s="308"/>
      <c r="M582" s="308"/>
      <c r="N582" s="308"/>
      <c r="O582" s="308"/>
      <c r="P582" s="308"/>
      <c r="Q582" s="308"/>
      <c r="R582" s="308"/>
      <c r="S582" s="308"/>
      <c r="T582" s="308"/>
      <c r="U582" s="308"/>
      <c r="V582" s="308"/>
      <c r="W582" s="308"/>
      <c r="X582" s="308"/>
      <c r="Y582" s="308"/>
      <c r="Z582" s="308"/>
    </row>
    <row r="583" spans="1:26" ht="14.25" customHeight="1" x14ac:dyDescent="0.3">
      <c r="A583" s="352" t="s">
        <v>2241</v>
      </c>
      <c r="B583" s="433" t="s">
        <v>1142</v>
      </c>
      <c r="C583" s="511" t="s">
        <v>1087</v>
      </c>
      <c r="D583" s="442" t="s">
        <v>1088</v>
      </c>
      <c r="E583" s="427">
        <v>5</v>
      </c>
      <c r="F583" s="440">
        <v>45817</v>
      </c>
      <c r="G583" s="429" t="s">
        <v>451</v>
      </c>
      <c r="H583" s="435" t="s">
        <v>1083</v>
      </c>
      <c r="I583" s="439">
        <v>1</v>
      </c>
      <c r="J583" s="428">
        <v>45824</v>
      </c>
      <c r="K583" s="308"/>
      <c r="L583" s="308"/>
      <c r="M583" s="308"/>
      <c r="N583" s="308"/>
      <c r="O583" s="308"/>
      <c r="P583" s="308"/>
      <c r="Q583" s="308"/>
      <c r="R583" s="308"/>
      <c r="S583" s="308"/>
      <c r="T583" s="308"/>
      <c r="U583" s="308"/>
      <c r="V583" s="308"/>
      <c r="W583" s="308"/>
      <c r="X583" s="308"/>
      <c r="Y583" s="308"/>
      <c r="Z583" s="308"/>
    </row>
    <row r="584" spans="1:26" ht="14.25" customHeight="1" x14ac:dyDescent="0.3">
      <c r="A584" s="502" t="s">
        <v>2295</v>
      </c>
      <c r="B584" s="433" t="s">
        <v>1142</v>
      </c>
      <c r="C584" s="425" t="s">
        <v>1076</v>
      </c>
      <c r="D584" s="546" t="s">
        <v>1080</v>
      </c>
      <c r="E584" s="308">
        <v>25</v>
      </c>
      <c r="F584" s="431">
        <v>45953</v>
      </c>
      <c r="G584" s="308"/>
      <c r="H584" s="308" t="s">
        <v>1083</v>
      </c>
      <c r="I584" s="308">
        <v>5</v>
      </c>
      <c r="J584" s="308"/>
      <c r="K584" s="308"/>
      <c r="L584" s="308"/>
      <c r="M584" s="308"/>
      <c r="N584" s="308"/>
      <c r="O584" s="308"/>
      <c r="P584" s="308"/>
      <c r="Q584" s="308"/>
      <c r="R584" s="308"/>
      <c r="S584" s="308"/>
      <c r="T584" s="308"/>
      <c r="U584" s="308"/>
      <c r="V584" s="308"/>
      <c r="W584" s="308"/>
      <c r="X584" s="308"/>
      <c r="Y584" s="308"/>
      <c r="Z584" s="308"/>
    </row>
    <row r="585" spans="1:26" ht="14.25" customHeight="1" x14ac:dyDescent="0.3">
      <c r="A585" s="421" t="s">
        <v>2236</v>
      </c>
      <c r="B585" s="433" t="s">
        <v>1142</v>
      </c>
      <c r="C585" s="425" t="s">
        <v>1125</v>
      </c>
      <c r="D585" s="544" t="s">
        <v>1082</v>
      </c>
      <c r="E585" s="427">
        <v>17</v>
      </c>
      <c r="F585" s="428">
        <v>45833</v>
      </c>
      <c r="G585" s="428">
        <v>45905</v>
      </c>
      <c r="H585" s="435" t="s">
        <v>1083</v>
      </c>
      <c r="I585" s="427">
        <v>3</v>
      </c>
      <c r="J585" s="428">
        <v>45910</v>
      </c>
      <c r="K585" s="308"/>
      <c r="L585" s="308"/>
      <c r="M585" s="308"/>
      <c r="N585" s="308"/>
      <c r="O585" s="308"/>
      <c r="P585" s="308"/>
      <c r="Q585" s="308"/>
      <c r="R585" s="308"/>
      <c r="S585" s="308"/>
      <c r="T585" s="308"/>
      <c r="U585" s="308"/>
      <c r="V585" s="308"/>
      <c r="W585" s="308"/>
      <c r="X585" s="308"/>
      <c r="Y585" s="308"/>
      <c r="Z585" s="308"/>
    </row>
    <row r="586" spans="1:26" ht="14.25" customHeight="1" x14ac:dyDescent="0.3">
      <c r="A586" s="352" t="s">
        <v>2236</v>
      </c>
      <c r="B586" s="433" t="s">
        <v>1142</v>
      </c>
      <c r="C586" s="425" t="s">
        <v>1089</v>
      </c>
      <c r="D586" s="544" t="s">
        <v>1082</v>
      </c>
      <c r="E586" s="427">
        <v>18</v>
      </c>
      <c r="F586" s="428">
        <v>45835</v>
      </c>
      <c r="G586" s="428">
        <v>45905</v>
      </c>
      <c r="H586" s="435" t="s">
        <v>1083</v>
      </c>
      <c r="I586" s="427">
        <v>3</v>
      </c>
      <c r="J586" s="428">
        <v>45910</v>
      </c>
      <c r="K586" s="308"/>
      <c r="L586" s="308"/>
      <c r="M586" s="308"/>
      <c r="N586" s="308"/>
      <c r="O586" s="308"/>
      <c r="P586" s="308"/>
      <c r="Q586" s="308"/>
      <c r="R586" s="308"/>
      <c r="S586" s="308"/>
      <c r="T586" s="308"/>
      <c r="U586" s="308"/>
      <c r="V586" s="308"/>
      <c r="W586" s="308"/>
      <c r="X586" s="308"/>
      <c r="Y586" s="308"/>
      <c r="Z586" s="308"/>
    </row>
    <row r="587" spans="1:26" ht="14.25" customHeight="1" x14ac:dyDescent="0.3">
      <c r="A587" s="352" t="s">
        <v>1173</v>
      </c>
      <c r="B587" s="424" t="s">
        <v>1122</v>
      </c>
      <c r="C587" s="425" t="s">
        <v>1104</v>
      </c>
      <c r="D587" s="425" t="s">
        <v>1114</v>
      </c>
      <c r="E587" s="427">
        <v>11</v>
      </c>
      <c r="F587" s="428">
        <v>45824</v>
      </c>
      <c r="G587" s="429" t="s">
        <v>451</v>
      </c>
      <c r="H587" s="428" t="s">
        <v>1078</v>
      </c>
      <c r="I587" s="429" t="s">
        <v>451</v>
      </c>
      <c r="J587" s="429" t="s">
        <v>451</v>
      </c>
      <c r="K587" s="308"/>
      <c r="L587" s="308"/>
      <c r="M587" s="308"/>
      <c r="N587" s="308"/>
      <c r="O587" s="308"/>
      <c r="P587" s="308"/>
      <c r="Q587" s="308"/>
      <c r="R587" s="308"/>
      <c r="S587" s="308"/>
      <c r="T587" s="308"/>
      <c r="U587" s="308"/>
      <c r="V587" s="308"/>
      <c r="W587" s="308"/>
      <c r="X587" s="308"/>
      <c r="Y587" s="308"/>
      <c r="Z587" s="308"/>
    </row>
    <row r="588" spans="1:26" ht="14.25" customHeight="1" x14ac:dyDescent="0.3">
      <c r="A588" s="352" t="s">
        <v>1174</v>
      </c>
      <c r="B588" s="433" t="s">
        <v>1142</v>
      </c>
      <c r="C588" s="511" t="s">
        <v>1087</v>
      </c>
      <c r="D588" s="442" t="s">
        <v>1088</v>
      </c>
      <c r="E588" s="427">
        <v>4</v>
      </c>
      <c r="F588" s="440">
        <v>45817</v>
      </c>
      <c r="G588" s="429" t="s">
        <v>451</v>
      </c>
      <c r="H588" s="435" t="s">
        <v>1083</v>
      </c>
      <c r="I588" s="439">
        <v>1</v>
      </c>
      <c r="J588" s="428">
        <v>45824</v>
      </c>
      <c r="K588" s="308"/>
      <c r="L588" s="308"/>
      <c r="M588" s="308"/>
      <c r="N588" s="308"/>
      <c r="O588" s="308"/>
      <c r="P588" s="308"/>
      <c r="Q588" s="308"/>
      <c r="R588" s="308"/>
      <c r="S588" s="308"/>
      <c r="T588" s="308"/>
      <c r="U588" s="308"/>
      <c r="V588" s="308"/>
      <c r="W588" s="308"/>
      <c r="X588" s="308"/>
      <c r="Y588" s="308"/>
      <c r="Z588" s="308"/>
    </row>
    <row r="589" spans="1:26" ht="14.25" customHeight="1" x14ac:dyDescent="0.3">
      <c r="A589" s="352" t="s">
        <v>1175</v>
      </c>
      <c r="B589" s="433" t="s">
        <v>1142</v>
      </c>
      <c r="C589" s="511" t="s">
        <v>1087</v>
      </c>
      <c r="D589" s="442" t="s">
        <v>1088</v>
      </c>
      <c r="E589" s="427">
        <v>4</v>
      </c>
      <c r="F589" s="440">
        <v>45817</v>
      </c>
      <c r="G589" s="423" t="s">
        <v>451</v>
      </c>
      <c r="H589" s="435" t="s">
        <v>1083</v>
      </c>
      <c r="I589" s="439">
        <v>1</v>
      </c>
      <c r="J589" s="428">
        <v>45824</v>
      </c>
      <c r="K589" s="308"/>
      <c r="L589" s="308"/>
      <c r="M589" s="308"/>
      <c r="N589" s="308"/>
      <c r="O589" s="308"/>
      <c r="P589" s="308"/>
      <c r="Q589" s="308"/>
      <c r="R589" s="308"/>
      <c r="S589" s="308"/>
      <c r="T589" s="308"/>
      <c r="U589" s="308"/>
      <c r="V589" s="308"/>
      <c r="W589" s="308"/>
      <c r="X589" s="308"/>
      <c r="Y589" s="308"/>
      <c r="Z589" s="308"/>
    </row>
    <row r="590" spans="1:26" ht="14.25" customHeight="1" x14ac:dyDescent="0.3">
      <c r="A590" s="352" t="s">
        <v>1176</v>
      </c>
      <c r="B590" s="433" t="s">
        <v>1142</v>
      </c>
      <c r="C590" s="511" t="s">
        <v>1087</v>
      </c>
      <c r="D590" s="442" t="s">
        <v>1088</v>
      </c>
      <c r="E590" s="427">
        <v>4</v>
      </c>
      <c r="F590" s="440">
        <v>45817</v>
      </c>
      <c r="G590" s="423" t="s">
        <v>451</v>
      </c>
      <c r="H590" s="435" t="s">
        <v>1083</v>
      </c>
      <c r="I590" s="439">
        <v>1</v>
      </c>
      <c r="J590" s="428">
        <v>45824</v>
      </c>
      <c r="K590" s="308"/>
      <c r="L590" s="308"/>
      <c r="M590" s="308"/>
      <c r="N590" s="308"/>
      <c r="O590" s="308"/>
      <c r="P590" s="308"/>
      <c r="Q590" s="308"/>
      <c r="R590" s="308"/>
      <c r="S590" s="308"/>
      <c r="T590" s="308"/>
      <c r="U590" s="308"/>
      <c r="V590" s="308"/>
      <c r="W590" s="308"/>
      <c r="X590" s="308"/>
      <c r="Y590" s="308"/>
      <c r="Z590" s="308"/>
    </row>
    <row r="591" spans="1:26" ht="14.25" customHeight="1" x14ac:dyDescent="0.3">
      <c r="A591" s="352" t="s">
        <v>2237</v>
      </c>
      <c r="B591" s="433" t="s">
        <v>1142</v>
      </c>
      <c r="C591" s="511" t="s">
        <v>1177</v>
      </c>
      <c r="D591" s="529" t="s">
        <v>1086</v>
      </c>
      <c r="E591" s="525">
        <v>5</v>
      </c>
      <c r="F591" s="538">
        <v>45820</v>
      </c>
      <c r="G591" s="447" t="s">
        <v>451</v>
      </c>
      <c r="H591" s="435" t="s">
        <v>1083</v>
      </c>
      <c r="I591" s="439">
        <v>1</v>
      </c>
      <c r="J591" s="428">
        <v>45824</v>
      </c>
      <c r="K591" s="308"/>
      <c r="L591" s="308"/>
      <c r="M591" s="308"/>
      <c r="N591" s="308"/>
      <c r="O591" s="308"/>
      <c r="P591" s="308"/>
      <c r="Q591" s="308"/>
      <c r="R591" s="308"/>
      <c r="S591" s="308"/>
      <c r="T591" s="308"/>
      <c r="U591" s="308"/>
      <c r="V591" s="308"/>
      <c r="W591" s="308"/>
      <c r="X591" s="308"/>
      <c r="Y591" s="308"/>
      <c r="Z591" s="308"/>
    </row>
    <row r="592" spans="1:26" s="445" customFormat="1" ht="14.25" customHeight="1" x14ac:dyDescent="0.3">
      <c r="A592" s="352" t="s">
        <v>2280</v>
      </c>
      <c r="B592" s="433" t="s">
        <v>1142</v>
      </c>
      <c r="C592" s="352" t="s">
        <v>1089</v>
      </c>
      <c r="D592" s="540" t="s">
        <v>1079</v>
      </c>
      <c r="E592" s="427">
        <v>16</v>
      </c>
      <c r="F592" s="428">
        <v>45833</v>
      </c>
      <c r="G592" s="428">
        <v>45905</v>
      </c>
      <c r="H592" s="435" t="s">
        <v>1083</v>
      </c>
      <c r="I592" s="427">
        <v>2</v>
      </c>
      <c r="J592" s="428">
        <v>45910</v>
      </c>
      <c r="K592" s="308"/>
      <c r="N592" s="267"/>
      <c r="O592" s="267"/>
      <c r="P592" s="267"/>
      <c r="Q592" s="267"/>
      <c r="R592" s="267"/>
      <c r="S592" s="267"/>
      <c r="T592" s="267"/>
      <c r="U592" s="267"/>
      <c r="V592" s="267"/>
      <c r="W592" s="267"/>
      <c r="X592" s="267"/>
      <c r="Y592" s="267"/>
      <c r="Z592" s="267"/>
    </row>
    <row r="593" spans="1:26" ht="14.25" customHeight="1" x14ac:dyDescent="0.3">
      <c r="A593" s="421" t="s">
        <v>2237</v>
      </c>
      <c r="B593" s="433" t="s">
        <v>1142</v>
      </c>
      <c r="C593" s="425" t="s">
        <v>1178</v>
      </c>
      <c r="D593" s="544" t="s">
        <v>1082</v>
      </c>
      <c r="E593" s="468">
        <v>17</v>
      </c>
      <c r="F593" s="428">
        <v>45833</v>
      </c>
      <c r="G593" s="428">
        <v>45905</v>
      </c>
      <c r="H593" s="435" t="s">
        <v>1083</v>
      </c>
      <c r="I593" s="468">
        <v>2</v>
      </c>
      <c r="J593" s="428">
        <v>45910</v>
      </c>
      <c r="K593" s="308"/>
      <c r="N593" s="308"/>
      <c r="O593" s="308"/>
      <c r="P593" s="308"/>
      <c r="Q593" s="308"/>
      <c r="R593" s="308"/>
      <c r="S593" s="308"/>
      <c r="T593" s="308"/>
      <c r="U593" s="308"/>
      <c r="V593" s="308"/>
      <c r="W593" s="308"/>
      <c r="X593" s="308"/>
      <c r="Y593" s="308"/>
      <c r="Z593" s="308"/>
    </row>
    <row r="594" spans="1:26" ht="14.25" customHeight="1" x14ac:dyDescent="0.3">
      <c r="A594" s="352" t="s">
        <v>1179</v>
      </c>
      <c r="B594" s="424" t="s">
        <v>1122</v>
      </c>
      <c r="C594" s="425" t="s">
        <v>1089</v>
      </c>
      <c r="D594" s="463" t="s">
        <v>1132</v>
      </c>
      <c r="E594" s="439">
        <v>20</v>
      </c>
      <c r="F594" s="428">
        <v>45912</v>
      </c>
      <c r="G594" s="429" t="s">
        <v>451</v>
      </c>
      <c r="H594" s="428" t="s">
        <v>1078</v>
      </c>
      <c r="I594" s="429" t="s">
        <v>451</v>
      </c>
      <c r="J594" s="429" t="s">
        <v>451</v>
      </c>
      <c r="K594" s="308"/>
      <c r="N594" s="308"/>
      <c r="O594" s="308"/>
      <c r="P594" s="308"/>
      <c r="Q594" s="308"/>
      <c r="R594" s="308"/>
      <c r="S594" s="308"/>
      <c r="T594" s="308"/>
      <c r="U594" s="308"/>
      <c r="V594" s="308"/>
      <c r="W594" s="308"/>
      <c r="X594" s="308"/>
      <c r="Y594" s="308"/>
      <c r="Z594" s="308"/>
    </row>
    <row r="595" spans="1:26" ht="14.25" customHeight="1" x14ac:dyDescent="0.3">
      <c r="A595" s="415" t="s">
        <v>2201</v>
      </c>
      <c r="B595" s="433" t="s">
        <v>1142</v>
      </c>
      <c r="C595" s="425" t="s">
        <v>1180</v>
      </c>
      <c r="D595" s="544" t="s">
        <v>1082</v>
      </c>
      <c r="E595" s="427">
        <v>18</v>
      </c>
      <c r="F595" s="428">
        <v>45835</v>
      </c>
      <c r="G595" s="428">
        <v>45905</v>
      </c>
      <c r="H595" s="435" t="s">
        <v>1083</v>
      </c>
      <c r="I595" s="427">
        <v>3</v>
      </c>
      <c r="J595" s="428">
        <v>45910</v>
      </c>
      <c r="K595" s="308"/>
      <c r="N595" s="308"/>
      <c r="O595" s="308"/>
      <c r="P595" s="308"/>
      <c r="Q595" s="308"/>
      <c r="R595" s="308"/>
      <c r="S595" s="308"/>
      <c r="T595" s="308"/>
      <c r="U595" s="308"/>
      <c r="V595" s="308"/>
      <c r="W595" s="308"/>
      <c r="X595" s="308"/>
      <c r="Y595" s="308"/>
      <c r="Z595" s="308"/>
    </row>
    <row r="596" spans="1:26" s="445" customFormat="1" ht="14.25" customHeight="1" x14ac:dyDescent="0.3">
      <c r="A596" s="352" t="s">
        <v>1181</v>
      </c>
      <c r="B596" s="433" t="s">
        <v>1142</v>
      </c>
      <c r="C596" s="511" t="s">
        <v>1087</v>
      </c>
      <c r="D596" s="442" t="s">
        <v>1088</v>
      </c>
      <c r="E596" s="427">
        <v>4</v>
      </c>
      <c r="F596" s="440">
        <v>45817</v>
      </c>
      <c r="G596" s="429" t="s">
        <v>451</v>
      </c>
      <c r="H596" s="435" t="s">
        <v>1083</v>
      </c>
      <c r="I596" s="439">
        <v>1</v>
      </c>
      <c r="J596" s="428">
        <v>45824</v>
      </c>
      <c r="K596" s="308"/>
      <c r="N596" s="267"/>
      <c r="O596" s="267"/>
      <c r="P596" s="267"/>
      <c r="Q596" s="267"/>
      <c r="R596" s="267"/>
      <c r="S596" s="267"/>
      <c r="T596" s="267"/>
      <c r="U596" s="267"/>
      <c r="V596" s="267"/>
      <c r="W596" s="267"/>
      <c r="X596" s="267"/>
      <c r="Y596" s="267"/>
      <c r="Z596" s="267"/>
    </row>
    <row r="597" spans="1:26" ht="14.25" customHeight="1" x14ac:dyDescent="0.3">
      <c r="A597" s="352" t="s">
        <v>1182</v>
      </c>
      <c r="B597" s="433" t="s">
        <v>1142</v>
      </c>
      <c r="C597" s="511" t="s">
        <v>1076</v>
      </c>
      <c r="D597" s="529" t="s">
        <v>1086</v>
      </c>
      <c r="E597" s="525">
        <v>5</v>
      </c>
      <c r="F597" s="538">
        <v>45820</v>
      </c>
      <c r="G597" s="539" t="s">
        <v>451</v>
      </c>
      <c r="H597" s="435" t="s">
        <v>1083</v>
      </c>
      <c r="I597" s="439">
        <v>1</v>
      </c>
      <c r="J597" s="428">
        <v>45824</v>
      </c>
      <c r="K597" s="308"/>
      <c r="N597" s="308"/>
      <c r="O597" s="308"/>
      <c r="P597" s="308"/>
      <c r="Q597" s="308"/>
      <c r="R597" s="308"/>
      <c r="S597" s="308"/>
      <c r="T597" s="308"/>
      <c r="U597" s="308"/>
      <c r="V597" s="308"/>
      <c r="W597" s="308"/>
      <c r="X597" s="308"/>
      <c r="Y597" s="308"/>
      <c r="Z597" s="308"/>
    </row>
    <row r="598" spans="1:26" ht="14.25" customHeight="1" x14ac:dyDescent="0.3">
      <c r="A598" s="352" t="s">
        <v>1183</v>
      </c>
      <c r="B598" s="433" t="s">
        <v>1142</v>
      </c>
      <c r="C598" s="425" t="s">
        <v>1076</v>
      </c>
      <c r="D598" s="529" t="s">
        <v>1086</v>
      </c>
      <c r="E598" s="525">
        <v>5</v>
      </c>
      <c r="F598" s="538">
        <v>45820</v>
      </c>
      <c r="G598" s="539" t="s">
        <v>451</v>
      </c>
      <c r="H598" s="435" t="s">
        <v>1083</v>
      </c>
      <c r="I598" s="439">
        <v>1</v>
      </c>
      <c r="J598" s="428">
        <v>45824</v>
      </c>
      <c r="K598" s="308"/>
      <c r="N598" s="308"/>
      <c r="O598" s="308"/>
      <c r="P598" s="308"/>
      <c r="Q598" s="308"/>
      <c r="R598" s="308"/>
      <c r="S598" s="308"/>
      <c r="T598" s="308"/>
      <c r="U598" s="308"/>
      <c r="V598" s="308"/>
      <c r="W598" s="308"/>
      <c r="X598" s="308"/>
      <c r="Y598" s="308"/>
      <c r="Z598" s="308"/>
    </row>
    <row r="599" spans="1:26" ht="14.25" customHeight="1" x14ac:dyDescent="0.3">
      <c r="A599" s="502" t="s">
        <v>2271</v>
      </c>
      <c r="B599" s="433" t="s">
        <v>1142</v>
      </c>
      <c r="C599" s="425" t="s">
        <v>1076</v>
      </c>
      <c r="D599" s="546" t="s">
        <v>1080</v>
      </c>
      <c r="E599" s="308">
        <v>25</v>
      </c>
      <c r="F599" s="431">
        <v>45953</v>
      </c>
      <c r="G599" s="308"/>
      <c r="H599" s="308" t="s">
        <v>1083</v>
      </c>
      <c r="I599" s="308">
        <v>5</v>
      </c>
      <c r="J599" s="308"/>
      <c r="K599" s="308"/>
      <c r="L599" s="447"/>
      <c r="M599" s="447"/>
      <c r="N599" s="308"/>
      <c r="O599" s="308"/>
      <c r="P599" s="308"/>
      <c r="Q599" s="308"/>
      <c r="R599" s="308"/>
      <c r="S599" s="308"/>
      <c r="T599" s="308"/>
      <c r="U599" s="308"/>
      <c r="V599" s="308"/>
      <c r="W599" s="308"/>
      <c r="X599" s="308"/>
      <c r="Y599" s="308"/>
      <c r="Z599" s="308"/>
    </row>
    <row r="600" spans="1:26" ht="14.25" customHeight="1" x14ac:dyDescent="0.3">
      <c r="A600" s="475" t="s">
        <v>2296</v>
      </c>
      <c r="B600" s="430" t="s">
        <v>1122</v>
      </c>
      <c r="C600" s="425" t="s">
        <v>1076</v>
      </c>
      <c r="D600" s="438" t="s">
        <v>1086</v>
      </c>
      <c r="E600" s="423">
        <v>22</v>
      </c>
      <c r="F600" s="428">
        <v>45936</v>
      </c>
      <c r="G600" s="423" t="s">
        <v>451</v>
      </c>
      <c r="H600" s="428" t="s">
        <v>1078</v>
      </c>
      <c r="I600" s="423" t="s">
        <v>451</v>
      </c>
      <c r="J600" s="423" t="s">
        <v>451</v>
      </c>
      <c r="K600" s="308"/>
      <c r="N600" s="308"/>
      <c r="O600" s="308"/>
      <c r="P600" s="308"/>
      <c r="Q600" s="308"/>
      <c r="R600" s="308"/>
      <c r="S600" s="308"/>
      <c r="T600" s="308"/>
      <c r="U600" s="308"/>
      <c r="V600" s="308"/>
      <c r="W600" s="308"/>
      <c r="X600" s="308"/>
      <c r="Y600" s="308"/>
      <c r="Z600" s="308"/>
    </row>
    <row r="601" spans="1:26" ht="14.25" customHeight="1" x14ac:dyDescent="0.3">
      <c r="A601" s="475" t="s">
        <v>2296</v>
      </c>
      <c r="B601" s="430" t="s">
        <v>1122</v>
      </c>
      <c r="C601" s="425" t="s">
        <v>1076</v>
      </c>
      <c r="D601" s="472" t="s">
        <v>1155</v>
      </c>
      <c r="E601" s="423">
        <v>22</v>
      </c>
      <c r="F601" s="428">
        <v>45936</v>
      </c>
      <c r="G601" s="423" t="s">
        <v>451</v>
      </c>
      <c r="H601" s="428" t="s">
        <v>1078</v>
      </c>
      <c r="I601" s="423" t="s">
        <v>451</v>
      </c>
      <c r="J601" s="423" t="s">
        <v>451</v>
      </c>
      <c r="K601" s="308"/>
      <c r="N601" s="308"/>
      <c r="O601" s="308"/>
      <c r="P601" s="308"/>
      <c r="Q601" s="308"/>
      <c r="R601" s="308"/>
      <c r="S601" s="308"/>
      <c r="T601" s="308"/>
      <c r="U601" s="308"/>
      <c r="V601" s="308"/>
      <c r="W601" s="308"/>
      <c r="X601" s="308"/>
      <c r="Y601" s="308"/>
      <c r="Z601" s="308"/>
    </row>
    <row r="602" spans="1:26" ht="14.25" customHeight="1" x14ac:dyDescent="0.3">
      <c r="A602" s="475" t="s">
        <v>2297</v>
      </c>
      <c r="B602" s="430" t="s">
        <v>1122</v>
      </c>
      <c r="C602" s="425" t="s">
        <v>1076</v>
      </c>
      <c r="D602" s="438" t="s">
        <v>1086</v>
      </c>
      <c r="E602" s="423">
        <v>22</v>
      </c>
      <c r="F602" s="428">
        <v>45936</v>
      </c>
      <c r="G602" s="423" t="s">
        <v>451</v>
      </c>
      <c r="H602" s="428" t="s">
        <v>1078</v>
      </c>
      <c r="I602" s="423" t="s">
        <v>451</v>
      </c>
      <c r="J602" s="423" t="s">
        <v>451</v>
      </c>
      <c r="K602" s="308"/>
      <c r="N602" s="308"/>
      <c r="O602" s="308"/>
      <c r="P602" s="308"/>
      <c r="Q602" s="308"/>
      <c r="R602" s="308"/>
      <c r="S602" s="308"/>
      <c r="T602" s="308"/>
      <c r="U602" s="308"/>
      <c r="V602" s="308"/>
      <c r="W602" s="308"/>
      <c r="X602" s="308"/>
      <c r="Y602" s="308"/>
      <c r="Z602" s="308"/>
    </row>
    <row r="603" spans="1:26" ht="14.25" customHeight="1" x14ac:dyDescent="0.3">
      <c r="A603" s="475" t="s">
        <v>2297</v>
      </c>
      <c r="B603" s="430" t="s">
        <v>1122</v>
      </c>
      <c r="C603" s="425" t="s">
        <v>1076</v>
      </c>
      <c r="D603" s="472" t="s">
        <v>1155</v>
      </c>
      <c r="E603" s="423">
        <v>22</v>
      </c>
      <c r="F603" s="428">
        <v>45936</v>
      </c>
      <c r="G603" s="429" t="s">
        <v>451</v>
      </c>
      <c r="H603" s="428" t="s">
        <v>1078</v>
      </c>
      <c r="I603" s="429" t="s">
        <v>451</v>
      </c>
      <c r="J603" s="429" t="s">
        <v>451</v>
      </c>
      <c r="K603" s="308"/>
      <c r="N603" s="308"/>
      <c r="O603" s="308"/>
      <c r="P603" s="308"/>
      <c r="Q603" s="308"/>
      <c r="R603" s="308"/>
      <c r="S603" s="308"/>
      <c r="T603" s="308"/>
      <c r="U603" s="308"/>
      <c r="V603" s="308"/>
      <c r="W603" s="308"/>
      <c r="X603" s="308"/>
      <c r="Y603" s="308"/>
      <c r="Z603" s="308"/>
    </row>
    <row r="604" spans="1:26" ht="14.25" customHeight="1" x14ac:dyDescent="0.3">
      <c r="A604" s="475" t="s">
        <v>2298</v>
      </c>
      <c r="B604" s="430" t="s">
        <v>1122</v>
      </c>
      <c r="C604" s="425" t="s">
        <v>1076</v>
      </c>
      <c r="D604" s="438" t="s">
        <v>1086</v>
      </c>
      <c r="E604" s="423">
        <v>22</v>
      </c>
      <c r="F604" s="428">
        <v>45936</v>
      </c>
      <c r="G604" s="423" t="s">
        <v>451</v>
      </c>
      <c r="H604" s="428" t="s">
        <v>1078</v>
      </c>
      <c r="I604" s="423" t="s">
        <v>451</v>
      </c>
      <c r="J604" s="429" t="s">
        <v>451</v>
      </c>
      <c r="K604" s="308"/>
      <c r="N604" s="308"/>
      <c r="O604" s="308"/>
      <c r="P604" s="308"/>
      <c r="Q604" s="308"/>
      <c r="R604" s="308"/>
      <c r="S604" s="308"/>
      <c r="T604" s="308"/>
      <c r="U604" s="308"/>
      <c r="V604" s="308"/>
      <c r="W604" s="308"/>
      <c r="X604" s="308"/>
      <c r="Y604" s="308"/>
      <c r="Z604" s="308"/>
    </row>
    <row r="605" spans="1:26" ht="14.25" customHeight="1" x14ac:dyDescent="0.3">
      <c r="A605" s="475" t="s">
        <v>2298</v>
      </c>
      <c r="B605" s="430" t="s">
        <v>1122</v>
      </c>
      <c r="C605" s="425" t="s">
        <v>1076</v>
      </c>
      <c r="D605" s="438" t="s">
        <v>1086</v>
      </c>
      <c r="E605" s="423">
        <v>22</v>
      </c>
      <c r="F605" s="428">
        <v>45936</v>
      </c>
      <c r="G605" s="423" t="s">
        <v>451</v>
      </c>
      <c r="H605" s="428" t="s">
        <v>1078</v>
      </c>
      <c r="I605" s="423" t="s">
        <v>451</v>
      </c>
      <c r="J605" s="423" t="s">
        <v>451</v>
      </c>
      <c r="K605" s="308"/>
      <c r="L605" s="447"/>
      <c r="M605" s="447"/>
      <c r="N605" s="308"/>
      <c r="O605" s="308"/>
      <c r="P605" s="308"/>
      <c r="Q605" s="308"/>
      <c r="R605" s="308"/>
      <c r="S605" s="308"/>
      <c r="T605" s="308"/>
      <c r="U605" s="308"/>
      <c r="V605" s="308"/>
      <c r="W605" s="308"/>
      <c r="X605" s="308"/>
      <c r="Y605" s="308"/>
      <c r="Z605" s="308"/>
    </row>
    <row r="606" spans="1:26" ht="14.25" customHeight="1" x14ac:dyDescent="0.3">
      <c r="A606" s="352" t="s">
        <v>2298</v>
      </c>
      <c r="B606" s="433" t="s">
        <v>1142</v>
      </c>
      <c r="C606" s="425" t="s">
        <v>1076</v>
      </c>
      <c r="D606" s="472" t="s">
        <v>1155</v>
      </c>
      <c r="E606" s="423">
        <v>22</v>
      </c>
      <c r="F606" s="428">
        <v>45936</v>
      </c>
      <c r="G606" s="308"/>
      <c r="H606" s="428" t="s">
        <v>1078</v>
      </c>
      <c r="I606" s="308"/>
      <c r="J606" s="308"/>
      <c r="K606" s="308"/>
      <c r="N606" s="308"/>
      <c r="O606" s="308"/>
      <c r="P606" s="308"/>
      <c r="Q606" s="308"/>
      <c r="R606" s="308"/>
      <c r="S606" s="308"/>
      <c r="T606" s="308"/>
      <c r="U606" s="308"/>
      <c r="V606" s="308"/>
      <c r="W606" s="308"/>
      <c r="X606" s="308"/>
      <c r="Y606" s="308"/>
      <c r="Z606" s="308"/>
    </row>
    <row r="607" spans="1:26" ht="14.25" customHeight="1" x14ac:dyDescent="0.3">
      <c r="A607" s="352" t="s">
        <v>2298</v>
      </c>
      <c r="B607" s="433" t="s">
        <v>1142</v>
      </c>
      <c r="C607" s="425" t="s">
        <v>1076</v>
      </c>
      <c r="D607" s="472" t="s">
        <v>1155</v>
      </c>
      <c r="E607" s="308">
        <v>22</v>
      </c>
      <c r="F607" s="431">
        <v>45936</v>
      </c>
      <c r="G607" s="308"/>
      <c r="H607" s="435" t="s">
        <v>1083</v>
      </c>
      <c r="I607" s="308">
        <v>4</v>
      </c>
      <c r="J607" s="431">
        <v>45944</v>
      </c>
      <c r="K607" s="308"/>
      <c r="N607" s="308"/>
      <c r="O607" s="308"/>
      <c r="P607" s="308"/>
      <c r="Q607" s="308"/>
      <c r="R607" s="308"/>
      <c r="S607" s="308"/>
      <c r="T607" s="308"/>
      <c r="U607" s="308"/>
      <c r="V607" s="308"/>
      <c r="W607" s="308"/>
      <c r="X607" s="308"/>
      <c r="Y607" s="308"/>
      <c r="Z607" s="308"/>
    </row>
    <row r="608" spans="1:26" ht="14.25" customHeight="1" x14ac:dyDescent="0.3">
      <c r="A608" s="352" t="s">
        <v>985</v>
      </c>
      <c r="B608" s="424" t="s">
        <v>1122</v>
      </c>
      <c r="C608" s="425" t="s">
        <v>1076</v>
      </c>
      <c r="D608" s="463" t="s">
        <v>1114</v>
      </c>
      <c r="E608" s="427">
        <v>11</v>
      </c>
      <c r="F608" s="428">
        <v>45824</v>
      </c>
      <c r="G608" s="423" t="s">
        <v>451</v>
      </c>
      <c r="H608" s="428" t="s">
        <v>1078</v>
      </c>
      <c r="I608" s="423" t="s">
        <v>451</v>
      </c>
      <c r="J608" s="429" t="s">
        <v>451</v>
      </c>
      <c r="K608" s="308"/>
      <c r="N608" s="308"/>
      <c r="O608" s="308"/>
      <c r="P608" s="308"/>
      <c r="Q608" s="308"/>
      <c r="R608" s="308"/>
      <c r="S608" s="308"/>
      <c r="T608" s="308"/>
      <c r="U608" s="308"/>
      <c r="V608" s="308"/>
      <c r="W608" s="308"/>
      <c r="X608" s="308"/>
      <c r="Y608" s="308"/>
      <c r="Z608" s="308"/>
    </row>
    <row r="609" spans="1:26" ht="14.25" customHeight="1" x14ac:dyDescent="0.3">
      <c r="A609" s="421" t="s">
        <v>985</v>
      </c>
      <c r="B609" s="433" t="s">
        <v>1142</v>
      </c>
      <c r="C609" s="425" t="s">
        <v>1184</v>
      </c>
      <c r="D609" s="544" t="s">
        <v>1082</v>
      </c>
      <c r="E609" s="427">
        <v>17</v>
      </c>
      <c r="F609" s="428">
        <v>45833</v>
      </c>
      <c r="G609" s="428">
        <v>45905</v>
      </c>
      <c r="H609" s="435" t="s">
        <v>1083</v>
      </c>
      <c r="I609" s="427">
        <v>2</v>
      </c>
      <c r="J609" s="428">
        <v>45910</v>
      </c>
      <c r="K609" s="308"/>
      <c r="N609" s="308"/>
      <c r="O609" s="308"/>
      <c r="P609" s="308"/>
      <c r="Q609" s="308"/>
      <c r="R609" s="308"/>
      <c r="S609" s="308"/>
      <c r="T609" s="308"/>
      <c r="U609" s="308"/>
      <c r="V609" s="308"/>
      <c r="W609" s="308"/>
      <c r="X609" s="308"/>
      <c r="Y609" s="308"/>
      <c r="Z609" s="308"/>
    </row>
    <row r="610" spans="1:26" ht="14.25" customHeight="1" x14ac:dyDescent="0.3">
      <c r="A610" s="352" t="s">
        <v>2202</v>
      </c>
      <c r="B610" s="433" t="s">
        <v>1142</v>
      </c>
      <c r="C610" s="511" t="s">
        <v>1076</v>
      </c>
      <c r="D610" s="515" t="s">
        <v>1088</v>
      </c>
      <c r="E610" s="308">
        <v>23</v>
      </c>
      <c r="F610" s="431">
        <v>45938</v>
      </c>
      <c r="G610" s="308"/>
      <c r="H610" s="435" t="s">
        <v>1083</v>
      </c>
      <c r="I610" s="308">
        <v>4</v>
      </c>
      <c r="J610" s="431">
        <v>45944</v>
      </c>
      <c r="K610" s="308"/>
      <c r="N610" s="308"/>
      <c r="O610" s="308"/>
      <c r="P610" s="308"/>
      <c r="Q610" s="308"/>
      <c r="R610" s="308"/>
      <c r="S610" s="308"/>
      <c r="T610" s="308"/>
      <c r="U610" s="308"/>
      <c r="V610" s="308"/>
      <c r="W610" s="308"/>
      <c r="X610" s="308"/>
      <c r="Y610" s="308"/>
      <c r="Z610" s="308"/>
    </row>
    <row r="611" spans="1:26" ht="14.25" customHeight="1" x14ac:dyDescent="0.3">
      <c r="A611" s="352" t="s">
        <v>2203</v>
      </c>
      <c r="B611" s="433" t="s">
        <v>1142</v>
      </c>
      <c r="C611" s="511" t="s">
        <v>1076</v>
      </c>
      <c r="D611" s="518" t="s">
        <v>1088</v>
      </c>
      <c r="E611" s="423">
        <v>23</v>
      </c>
      <c r="F611" s="428">
        <v>45938</v>
      </c>
      <c r="G611" s="308"/>
      <c r="H611" s="428" t="s">
        <v>1078</v>
      </c>
      <c r="I611" s="308"/>
      <c r="J611" s="308"/>
      <c r="K611" s="308"/>
      <c r="N611" s="308"/>
      <c r="O611" s="308"/>
      <c r="P611" s="308"/>
      <c r="Q611" s="308"/>
      <c r="R611" s="308"/>
      <c r="S611" s="308"/>
      <c r="T611" s="308"/>
      <c r="U611" s="308"/>
      <c r="V611" s="308"/>
      <c r="W611" s="308"/>
      <c r="X611" s="308"/>
      <c r="Y611" s="308"/>
      <c r="Z611" s="308"/>
    </row>
    <row r="612" spans="1:26" ht="14.25" customHeight="1" x14ac:dyDescent="0.3">
      <c r="A612" s="475" t="s">
        <v>2299</v>
      </c>
      <c r="B612" s="430" t="s">
        <v>1122</v>
      </c>
      <c r="C612" s="425" t="s">
        <v>1076</v>
      </c>
      <c r="D612" s="438" t="s">
        <v>1086</v>
      </c>
      <c r="E612" s="423">
        <v>22</v>
      </c>
      <c r="F612" s="428">
        <v>45936</v>
      </c>
      <c r="G612" s="423" t="s">
        <v>451</v>
      </c>
      <c r="H612" s="428" t="s">
        <v>1078</v>
      </c>
      <c r="I612" s="423" t="s">
        <v>451</v>
      </c>
      <c r="J612" s="423" t="s">
        <v>451</v>
      </c>
      <c r="K612" s="308"/>
      <c r="N612" s="308"/>
      <c r="O612" s="308"/>
      <c r="P612" s="308"/>
      <c r="Q612" s="308"/>
      <c r="R612" s="308"/>
      <c r="S612" s="308"/>
      <c r="T612" s="308"/>
      <c r="U612" s="308"/>
      <c r="V612" s="308"/>
      <c r="W612" s="308"/>
      <c r="X612" s="308"/>
      <c r="Y612" s="308"/>
      <c r="Z612" s="308"/>
    </row>
    <row r="613" spans="1:26" ht="14.25" customHeight="1" x14ac:dyDescent="0.3">
      <c r="A613" s="352" t="s">
        <v>2299</v>
      </c>
      <c r="B613" s="433" t="s">
        <v>1142</v>
      </c>
      <c r="C613" s="425" t="s">
        <v>1076</v>
      </c>
      <c r="D613" s="472" t="s">
        <v>1155</v>
      </c>
      <c r="E613" s="423">
        <v>22</v>
      </c>
      <c r="F613" s="428">
        <v>45936</v>
      </c>
      <c r="G613" s="429"/>
      <c r="H613" s="428" t="s">
        <v>1078</v>
      </c>
      <c r="I613" s="308"/>
      <c r="J613" s="429"/>
      <c r="K613" s="308"/>
      <c r="N613" s="308"/>
      <c r="O613" s="308"/>
      <c r="P613" s="308"/>
      <c r="Q613" s="308"/>
      <c r="R613" s="308"/>
      <c r="S613" s="308"/>
      <c r="T613" s="308"/>
      <c r="U613" s="308"/>
      <c r="V613" s="308"/>
      <c r="W613" s="308"/>
      <c r="X613" s="308"/>
      <c r="Y613" s="308"/>
      <c r="Z613" s="308"/>
    </row>
    <row r="614" spans="1:26" ht="13.2" customHeight="1" x14ac:dyDescent="0.3">
      <c r="A614" s="475" t="s">
        <v>2300</v>
      </c>
      <c r="B614" s="430" t="s">
        <v>1122</v>
      </c>
      <c r="C614" s="425" t="s">
        <v>1076</v>
      </c>
      <c r="D614" s="438" t="s">
        <v>1086</v>
      </c>
      <c r="E614" s="423">
        <v>22</v>
      </c>
      <c r="F614" s="428">
        <v>45936</v>
      </c>
      <c r="G614" s="429" t="s">
        <v>451</v>
      </c>
      <c r="H614" s="428" t="s">
        <v>1078</v>
      </c>
      <c r="I614" s="429" t="s">
        <v>451</v>
      </c>
      <c r="J614" s="429" t="s">
        <v>451</v>
      </c>
      <c r="K614" s="308"/>
      <c r="N614" s="308"/>
      <c r="O614" s="308"/>
      <c r="P614" s="308"/>
      <c r="Q614" s="308"/>
      <c r="R614" s="308"/>
      <c r="S614" s="308"/>
      <c r="T614" s="308"/>
      <c r="U614" s="308"/>
      <c r="V614" s="308"/>
      <c r="W614" s="308"/>
      <c r="X614" s="308"/>
      <c r="Y614" s="308"/>
      <c r="Z614" s="308"/>
    </row>
    <row r="615" spans="1:26" ht="14.25" customHeight="1" x14ac:dyDescent="0.3">
      <c r="A615" s="352" t="s">
        <v>2300</v>
      </c>
      <c r="B615" s="433" t="s">
        <v>1142</v>
      </c>
      <c r="C615" s="425" t="s">
        <v>1076</v>
      </c>
      <c r="D615" s="472" t="s">
        <v>1155</v>
      </c>
      <c r="E615" s="308">
        <v>22</v>
      </c>
      <c r="F615" s="431">
        <v>45936</v>
      </c>
      <c r="G615" s="308"/>
      <c r="H615" s="435" t="s">
        <v>1083</v>
      </c>
      <c r="I615" s="308">
        <v>4</v>
      </c>
      <c r="J615" s="431">
        <v>45944</v>
      </c>
      <c r="K615" s="308"/>
      <c r="N615" s="308"/>
      <c r="O615" s="308"/>
      <c r="P615" s="308"/>
      <c r="Q615" s="308"/>
      <c r="R615" s="308"/>
      <c r="S615" s="308"/>
      <c r="T615" s="308"/>
      <c r="U615" s="308"/>
      <c r="V615" s="308"/>
      <c r="W615" s="308"/>
      <c r="X615" s="308"/>
      <c r="Y615" s="308"/>
      <c r="Z615" s="308"/>
    </row>
    <row r="616" spans="1:26" ht="14.25" customHeight="1" x14ac:dyDescent="0.3">
      <c r="A616" s="475" t="s">
        <v>987</v>
      </c>
      <c r="B616" s="430" t="s">
        <v>1122</v>
      </c>
      <c r="C616" s="425" t="s">
        <v>1076</v>
      </c>
      <c r="D616" s="438" t="s">
        <v>1086</v>
      </c>
      <c r="E616" s="423">
        <v>22</v>
      </c>
      <c r="F616" s="428">
        <v>45936</v>
      </c>
      <c r="G616" s="423" t="s">
        <v>451</v>
      </c>
      <c r="H616" s="428" t="s">
        <v>1078</v>
      </c>
      <c r="I616" s="423" t="s">
        <v>451</v>
      </c>
      <c r="J616" s="423" t="s">
        <v>451</v>
      </c>
      <c r="K616" s="308"/>
      <c r="L616" s="447"/>
      <c r="M616" s="447"/>
      <c r="N616" s="308"/>
      <c r="O616" s="308"/>
      <c r="P616" s="308"/>
      <c r="Q616" s="308"/>
      <c r="R616" s="308"/>
      <c r="S616" s="308"/>
      <c r="T616" s="308"/>
      <c r="U616" s="308"/>
      <c r="V616" s="308"/>
      <c r="W616" s="308"/>
      <c r="X616" s="308"/>
      <c r="Y616" s="308"/>
      <c r="Z616" s="308"/>
    </row>
    <row r="617" spans="1:26" ht="14.25" customHeight="1" x14ac:dyDescent="0.3">
      <c r="A617" s="475" t="s">
        <v>987</v>
      </c>
      <c r="B617" s="430" t="s">
        <v>1122</v>
      </c>
      <c r="C617" s="425" t="s">
        <v>1076</v>
      </c>
      <c r="D617" s="472" t="s">
        <v>1155</v>
      </c>
      <c r="E617" s="423">
        <v>22</v>
      </c>
      <c r="F617" s="428">
        <v>45936</v>
      </c>
      <c r="G617" s="429" t="s">
        <v>451</v>
      </c>
      <c r="H617" s="428" t="s">
        <v>1078</v>
      </c>
      <c r="I617" s="429" t="s">
        <v>451</v>
      </c>
      <c r="J617" s="429" t="s">
        <v>451</v>
      </c>
      <c r="K617" s="308"/>
      <c r="N617" s="308"/>
      <c r="O617" s="308"/>
      <c r="P617" s="308"/>
      <c r="Q617" s="308"/>
      <c r="R617" s="308"/>
      <c r="S617" s="308"/>
      <c r="T617" s="308"/>
      <c r="U617" s="308"/>
      <c r="V617" s="308"/>
      <c r="W617" s="308"/>
      <c r="X617" s="308"/>
      <c r="Y617" s="308"/>
      <c r="Z617" s="308"/>
    </row>
    <row r="618" spans="1:26" ht="14.25" customHeight="1" x14ac:dyDescent="0.3">
      <c r="A618" s="484" t="s">
        <v>2301</v>
      </c>
      <c r="B618" s="268" t="s">
        <v>1122</v>
      </c>
      <c r="C618" s="447"/>
      <c r="D618" s="447" t="s">
        <v>1272</v>
      </c>
      <c r="E618" s="447">
        <v>35</v>
      </c>
      <c r="F618" s="448">
        <v>45994</v>
      </c>
      <c r="G618" s="447"/>
      <c r="H618" s="447" t="s">
        <v>1208</v>
      </c>
      <c r="I618" s="447"/>
      <c r="J618" s="447"/>
      <c r="K618" s="447" t="s">
        <v>1271</v>
      </c>
      <c r="N618" s="308"/>
      <c r="O618" s="308"/>
      <c r="P618" s="308"/>
      <c r="Q618" s="308"/>
      <c r="R618" s="308"/>
      <c r="S618" s="308"/>
      <c r="T618" s="308"/>
      <c r="U618" s="308"/>
      <c r="V618" s="308"/>
      <c r="W618" s="308"/>
      <c r="X618" s="308"/>
      <c r="Y618" s="308"/>
      <c r="Z618" s="308"/>
    </row>
    <row r="619" spans="1:26" ht="14.25" customHeight="1" x14ac:dyDescent="0.3">
      <c r="A619" s="484" t="s">
        <v>2301</v>
      </c>
      <c r="B619" s="268" t="s">
        <v>1122</v>
      </c>
      <c r="C619" s="447" t="s">
        <v>1144</v>
      </c>
      <c r="D619" s="447" t="s">
        <v>1237</v>
      </c>
      <c r="E619" s="447">
        <v>34</v>
      </c>
      <c r="F619" s="448">
        <v>45992</v>
      </c>
      <c r="G619" s="447"/>
      <c r="H619" s="447" t="s">
        <v>1238</v>
      </c>
      <c r="I619" s="447"/>
      <c r="J619" s="447"/>
      <c r="K619" s="447" t="s">
        <v>1232</v>
      </c>
      <c r="N619" s="308"/>
      <c r="O619" s="308"/>
      <c r="P619" s="308"/>
      <c r="Q619" s="308"/>
      <c r="R619" s="308"/>
      <c r="S619" s="308"/>
      <c r="T619" s="308"/>
      <c r="U619" s="308"/>
      <c r="V619" s="308"/>
      <c r="W619" s="308"/>
      <c r="X619" s="308"/>
      <c r="Y619" s="308"/>
      <c r="Z619" s="308"/>
    </row>
    <row r="620" spans="1:26" ht="14.25" customHeight="1" x14ac:dyDescent="0.3">
      <c r="A620" s="494" t="s">
        <v>2302</v>
      </c>
      <c r="B620" s="418" t="s">
        <v>1122</v>
      </c>
      <c r="C620" s="425" t="s">
        <v>1076</v>
      </c>
      <c r="D620" s="438" t="s">
        <v>1086</v>
      </c>
      <c r="E620" s="447">
        <v>29</v>
      </c>
      <c r="F620" s="448">
        <v>45986</v>
      </c>
      <c r="G620" s="447"/>
      <c r="H620" s="428" t="s">
        <v>1078</v>
      </c>
      <c r="I620" s="447"/>
      <c r="J620" s="447"/>
      <c r="K620" s="447" t="s">
        <v>1291</v>
      </c>
      <c r="N620" s="308"/>
      <c r="O620" s="308"/>
      <c r="P620" s="308"/>
      <c r="Q620" s="308"/>
      <c r="R620" s="308"/>
      <c r="S620" s="308"/>
      <c r="T620" s="308"/>
      <c r="U620" s="308"/>
      <c r="V620" s="308"/>
      <c r="W620" s="308"/>
      <c r="X620" s="308"/>
      <c r="Y620" s="308"/>
      <c r="Z620" s="308"/>
    </row>
    <row r="621" spans="1:26" ht="14.25" customHeight="1" x14ac:dyDescent="0.3">
      <c r="A621" s="484" t="s">
        <v>2302</v>
      </c>
      <c r="B621" s="418" t="s">
        <v>1122</v>
      </c>
      <c r="C621" s="447" t="s">
        <v>1144</v>
      </c>
      <c r="D621" s="447" t="s">
        <v>1132</v>
      </c>
      <c r="E621" s="447">
        <v>33</v>
      </c>
      <c r="F621" s="448">
        <v>45989</v>
      </c>
      <c r="G621" s="447"/>
      <c r="H621" s="308" t="s">
        <v>1208</v>
      </c>
      <c r="I621" s="447"/>
      <c r="J621" s="447"/>
      <c r="K621" s="447"/>
      <c r="N621" s="308"/>
      <c r="O621" s="308"/>
      <c r="P621" s="308"/>
      <c r="Q621" s="308"/>
      <c r="R621" s="308"/>
      <c r="S621" s="308"/>
      <c r="T621" s="308"/>
      <c r="U621" s="308"/>
      <c r="V621" s="308"/>
      <c r="W621" s="308"/>
      <c r="X621" s="308"/>
      <c r="Y621" s="308"/>
      <c r="Z621" s="308"/>
    </row>
    <row r="622" spans="1:26" ht="14.25" customHeight="1" x14ac:dyDescent="0.3">
      <c r="A622" s="494" t="s">
        <v>2301</v>
      </c>
      <c r="B622" s="418" t="s">
        <v>1122</v>
      </c>
      <c r="C622" s="425" t="s">
        <v>1076</v>
      </c>
      <c r="D622" s="447" t="s">
        <v>1082</v>
      </c>
      <c r="E622" s="447">
        <v>31</v>
      </c>
      <c r="F622" s="448">
        <v>45986</v>
      </c>
      <c r="G622" s="447"/>
      <c r="H622" s="428" t="s">
        <v>1078</v>
      </c>
      <c r="I622" s="447"/>
      <c r="J622" s="447"/>
      <c r="K622" s="447" t="s">
        <v>1292</v>
      </c>
      <c r="N622" s="308"/>
      <c r="O622" s="308"/>
      <c r="P622" s="308"/>
      <c r="Q622" s="308"/>
      <c r="R622" s="308"/>
      <c r="S622" s="308"/>
      <c r="T622" s="308"/>
      <c r="U622" s="308"/>
      <c r="V622" s="308"/>
      <c r="W622" s="308"/>
      <c r="X622" s="308"/>
      <c r="Y622" s="308"/>
      <c r="Z622" s="308"/>
    </row>
    <row r="623" spans="1:26" ht="14.25" customHeight="1" x14ac:dyDescent="0.3">
      <c r="A623" s="484" t="s">
        <v>2301</v>
      </c>
      <c r="B623" s="418" t="s">
        <v>1122</v>
      </c>
      <c r="C623" s="447" t="s">
        <v>1144</v>
      </c>
      <c r="D623" s="447" t="s">
        <v>1082</v>
      </c>
      <c r="E623" s="447">
        <v>33</v>
      </c>
      <c r="F623" s="448">
        <v>45989</v>
      </c>
      <c r="G623" s="447"/>
      <c r="H623" s="308" t="s">
        <v>1208</v>
      </c>
      <c r="I623" s="447"/>
      <c r="J623" s="447"/>
      <c r="K623" s="447"/>
      <c r="L623" s="447"/>
      <c r="M623" s="447"/>
      <c r="N623" s="308"/>
      <c r="O623" s="308"/>
      <c r="P623" s="308"/>
      <c r="Q623" s="308"/>
      <c r="R623" s="308"/>
      <c r="S623" s="308"/>
      <c r="T623" s="308"/>
      <c r="U623" s="308"/>
      <c r="V623" s="308"/>
      <c r="W623" s="308"/>
      <c r="X623" s="308"/>
      <c r="Y623" s="308"/>
      <c r="Z623" s="308"/>
    </row>
    <row r="624" spans="1:26" ht="14.25" customHeight="1" x14ac:dyDescent="0.3">
      <c r="A624" s="494" t="s">
        <v>2301</v>
      </c>
      <c r="B624" s="418" t="s">
        <v>1122</v>
      </c>
      <c r="C624" s="425" t="s">
        <v>1076</v>
      </c>
      <c r="D624" s="432" t="s">
        <v>1080</v>
      </c>
      <c r="E624" s="447">
        <v>30</v>
      </c>
      <c r="F624" s="448">
        <v>45986</v>
      </c>
      <c r="G624" s="447"/>
      <c r="H624" s="428" t="s">
        <v>1078</v>
      </c>
      <c r="I624" s="447"/>
      <c r="J624" s="447"/>
      <c r="K624" s="447" t="s">
        <v>1293</v>
      </c>
      <c r="N624" s="308"/>
      <c r="O624" s="308"/>
      <c r="P624" s="308"/>
      <c r="Q624" s="308"/>
      <c r="R624" s="308"/>
      <c r="S624" s="308"/>
      <c r="T624" s="308"/>
      <c r="U624" s="308"/>
      <c r="V624" s="308"/>
      <c r="W624" s="308"/>
      <c r="X624" s="308"/>
      <c r="Y624" s="308"/>
      <c r="Z624" s="308"/>
    </row>
    <row r="625" spans="1:26" ht="14.25" customHeight="1" x14ac:dyDescent="0.3">
      <c r="A625" s="352" t="s">
        <v>987</v>
      </c>
      <c r="B625" s="424" t="s">
        <v>1122</v>
      </c>
      <c r="C625" s="425" t="s">
        <v>1076</v>
      </c>
      <c r="D625" s="463" t="s">
        <v>1114</v>
      </c>
      <c r="E625" s="427">
        <v>11</v>
      </c>
      <c r="F625" s="428">
        <v>45824</v>
      </c>
      <c r="G625" s="429" t="s">
        <v>451</v>
      </c>
      <c r="H625" s="428" t="s">
        <v>1078</v>
      </c>
      <c r="I625" s="429" t="s">
        <v>451</v>
      </c>
      <c r="J625" s="429" t="s">
        <v>451</v>
      </c>
      <c r="K625" s="308"/>
      <c r="N625" s="308"/>
      <c r="O625" s="308"/>
      <c r="P625" s="308"/>
      <c r="Q625" s="308"/>
      <c r="R625" s="308"/>
      <c r="S625" s="308"/>
      <c r="T625" s="308"/>
      <c r="U625" s="308"/>
      <c r="V625" s="308"/>
      <c r="W625" s="308"/>
      <c r="X625" s="308"/>
      <c r="Y625" s="308"/>
      <c r="Z625" s="308"/>
    </row>
    <row r="626" spans="1:26" ht="14.25" customHeight="1" x14ac:dyDescent="0.3">
      <c r="A626" s="352" t="s">
        <v>987</v>
      </c>
      <c r="B626" s="424" t="s">
        <v>1122</v>
      </c>
      <c r="C626" s="425" t="s">
        <v>1076</v>
      </c>
      <c r="D626" s="434" t="s">
        <v>1082</v>
      </c>
      <c r="E626" s="427">
        <v>17</v>
      </c>
      <c r="F626" s="428">
        <v>45833</v>
      </c>
      <c r="G626" s="429" t="s">
        <v>451</v>
      </c>
      <c r="H626" s="428" t="s">
        <v>1078</v>
      </c>
      <c r="I626" s="429" t="s">
        <v>451</v>
      </c>
      <c r="J626" s="429" t="s">
        <v>451</v>
      </c>
      <c r="K626" s="308"/>
      <c r="N626" s="308"/>
      <c r="O626" s="308"/>
      <c r="P626" s="308"/>
      <c r="Q626" s="308"/>
      <c r="R626" s="308"/>
      <c r="S626" s="308"/>
      <c r="T626" s="308"/>
      <c r="U626" s="308"/>
      <c r="V626" s="308"/>
      <c r="W626" s="308"/>
      <c r="X626" s="308"/>
      <c r="Y626" s="308"/>
      <c r="Z626" s="308"/>
    </row>
    <row r="627" spans="1:26" ht="14.25" customHeight="1" x14ac:dyDescent="0.3">
      <c r="A627" s="352" t="s">
        <v>987</v>
      </c>
      <c r="B627" s="424" t="s">
        <v>1122</v>
      </c>
      <c r="C627" s="425" t="s">
        <v>1076</v>
      </c>
      <c r="D627" s="434" t="s">
        <v>1082</v>
      </c>
      <c r="E627" s="427">
        <v>18</v>
      </c>
      <c r="F627" s="428">
        <v>45835</v>
      </c>
      <c r="G627" s="423" t="s">
        <v>451</v>
      </c>
      <c r="H627" s="428" t="s">
        <v>1078</v>
      </c>
      <c r="I627" s="423" t="s">
        <v>451</v>
      </c>
      <c r="J627" s="423" t="s">
        <v>451</v>
      </c>
      <c r="K627" s="308"/>
      <c r="N627" s="308"/>
      <c r="O627" s="308"/>
      <c r="P627" s="308"/>
      <c r="Q627" s="308"/>
      <c r="R627" s="308"/>
      <c r="S627" s="308"/>
      <c r="T627" s="308"/>
      <c r="U627" s="308"/>
      <c r="V627" s="308"/>
      <c r="W627" s="308"/>
      <c r="X627" s="308"/>
      <c r="Y627" s="308"/>
      <c r="Z627" s="308"/>
    </row>
    <row r="628" spans="1:26" ht="14.25" customHeight="1" x14ac:dyDescent="0.3">
      <c r="A628" s="489" t="s">
        <v>989</v>
      </c>
      <c r="B628" s="430" t="s">
        <v>1122</v>
      </c>
      <c r="C628" s="425" t="s">
        <v>1076</v>
      </c>
      <c r="D628" s="438" t="s">
        <v>1086</v>
      </c>
      <c r="E628" s="423">
        <v>22</v>
      </c>
      <c r="F628" s="428">
        <v>45936</v>
      </c>
      <c r="G628" s="423" t="s">
        <v>451</v>
      </c>
      <c r="H628" s="428" t="s">
        <v>1078</v>
      </c>
      <c r="I628" s="423" t="s">
        <v>451</v>
      </c>
      <c r="J628" s="423" t="s">
        <v>451</v>
      </c>
      <c r="K628" s="308"/>
      <c r="N628" s="308"/>
      <c r="O628" s="308"/>
      <c r="P628" s="308"/>
      <c r="Q628" s="308"/>
      <c r="R628" s="308"/>
      <c r="S628" s="308"/>
      <c r="T628" s="308"/>
      <c r="U628" s="308"/>
      <c r="V628" s="308"/>
      <c r="W628" s="308"/>
      <c r="X628" s="308"/>
      <c r="Y628" s="308"/>
      <c r="Z628" s="308"/>
    </row>
    <row r="629" spans="1:26" ht="14.25" customHeight="1" x14ac:dyDescent="0.3">
      <c r="A629" s="475" t="s">
        <v>989</v>
      </c>
      <c r="B629" s="430" t="s">
        <v>1122</v>
      </c>
      <c r="C629" s="425" t="s">
        <v>1076</v>
      </c>
      <c r="D629" s="438" t="s">
        <v>1086</v>
      </c>
      <c r="E629" s="423">
        <v>22</v>
      </c>
      <c r="F629" s="428">
        <v>45936</v>
      </c>
      <c r="G629" s="423" t="s">
        <v>451</v>
      </c>
      <c r="H629" s="428" t="s">
        <v>1078</v>
      </c>
      <c r="I629" s="423" t="s">
        <v>451</v>
      </c>
      <c r="J629" s="429" t="s">
        <v>451</v>
      </c>
      <c r="K629" s="308"/>
      <c r="N629" s="308"/>
      <c r="O629" s="308"/>
      <c r="P629" s="308"/>
      <c r="Q629" s="308"/>
      <c r="R629" s="308"/>
      <c r="S629" s="308"/>
      <c r="T629" s="308"/>
      <c r="U629" s="308"/>
      <c r="V629" s="308"/>
      <c r="W629" s="308"/>
      <c r="X629" s="308"/>
      <c r="Y629" s="308"/>
      <c r="Z629" s="308"/>
    </row>
    <row r="630" spans="1:26" ht="14.25" customHeight="1" x14ac:dyDescent="0.3">
      <c r="A630" s="489" t="s">
        <v>989</v>
      </c>
      <c r="B630" s="430" t="s">
        <v>1122</v>
      </c>
      <c r="C630" s="425" t="s">
        <v>1076</v>
      </c>
      <c r="D630" s="472" t="s">
        <v>1155</v>
      </c>
      <c r="E630" s="423">
        <v>22</v>
      </c>
      <c r="F630" s="428">
        <v>45936</v>
      </c>
      <c r="G630" s="429" t="s">
        <v>451</v>
      </c>
      <c r="H630" s="428" t="s">
        <v>1078</v>
      </c>
      <c r="I630" s="429" t="s">
        <v>451</v>
      </c>
      <c r="J630" s="429" t="s">
        <v>451</v>
      </c>
      <c r="K630" s="308"/>
      <c r="N630" s="308"/>
      <c r="O630" s="308"/>
      <c r="P630" s="308"/>
      <c r="Q630" s="308"/>
      <c r="R630" s="308"/>
      <c r="S630" s="308"/>
      <c r="T630" s="308"/>
      <c r="U630" s="308"/>
      <c r="V630" s="308"/>
      <c r="W630" s="308"/>
      <c r="X630" s="308"/>
      <c r="Y630" s="308"/>
      <c r="Z630" s="308"/>
    </row>
    <row r="631" spans="1:26" ht="14.25" customHeight="1" x14ac:dyDescent="0.3">
      <c r="A631" s="352" t="s">
        <v>989</v>
      </c>
      <c r="B631" s="436" t="s">
        <v>1142</v>
      </c>
      <c r="C631" s="425" t="s">
        <v>1076</v>
      </c>
      <c r="D631" s="472" t="s">
        <v>1155</v>
      </c>
      <c r="E631" s="308">
        <v>22</v>
      </c>
      <c r="F631" s="431">
        <v>45936</v>
      </c>
      <c r="G631" s="308"/>
      <c r="H631" s="435" t="s">
        <v>1083</v>
      </c>
      <c r="I631" s="308">
        <v>4</v>
      </c>
      <c r="J631" s="431">
        <v>45944</v>
      </c>
      <c r="K631" s="308"/>
      <c r="N631" s="308"/>
      <c r="O631" s="308"/>
      <c r="P631" s="308"/>
      <c r="Q631" s="308"/>
      <c r="R631" s="308"/>
      <c r="S631" s="308"/>
      <c r="T631" s="308"/>
      <c r="U631" s="308"/>
      <c r="V631" s="308"/>
      <c r="W631" s="308"/>
      <c r="X631" s="308"/>
      <c r="Y631" s="308"/>
      <c r="Z631" s="308"/>
    </row>
    <row r="632" spans="1:26" ht="14.25" customHeight="1" x14ac:dyDescent="0.3">
      <c r="A632" s="352" t="s">
        <v>990</v>
      </c>
      <c r="B632" s="430" t="s">
        <v>1122</v>
      </c>
      <c r="C632" s="425" t="s">
        <v>1076</v>
      </c>
      <c r="D632" s="438" t="s">
        <v>1086</v>
      </c>
      <c r="E632" s="423">
        <v>22</v>
      </c>
      <c r="F632" s="428">
        <v>45936</v>
      </c>
      <c r="G632" s="423" t="s">
        <v>451</v>
      </c>
      <c r="H632" s="428" t="s">
        <v>1078</v>
      </c>
      <c r="I632" s="423" t="s">
        <v>451</v>
      </c>
      <c r="J632" s="423" t="s">
        <v>451</v>
      </c>
      <c r="K632" s="308"/>
      <c r="L632" s="447"/>
      <c r="M632" s="447"/>
      <c r="N632" s="308"/>
      <c r="O632" s="308"/>
      <c r="P632" s="308"/>
      <c r="Q632" s="308"/>
      <c r="R632" s="308"/>
      <c r="S632" s="308"/>
      <c r="T632" s="308"/>
      <c r="U632" s="308"/>
      <c r="V632" s="308"/>
      <c r="W632" s="308"/>
      <c r="X632" s="308"/>
      <c r="Y632" s="308"/>
      <c r="Z632" s="308"/>
    </row>
    <row r="633" spans="1:26" ht="14.25" customHeight="1" x14ac:dyDescent="0.3">
      <c r="A633" s="475" t="s">
        <v>990</v>
      </c>
      <c r="B633" s="430" t="s">
        <v>1122</v>
      </c>
      <c r="C633" s="425" t="s">
        <v>1076</v>
      </c>
      <c r="D633" s="438" t="s">
        <v>1086</v>
      </c>
      <c r="E633" s="423">
        <v>22</v>
      </c>
      <c r="F633" s="428">
        <v>45936</v>
      </c>
      <c r="G633" s="423" t="s">
        <v>451</v>
      </c>
      <c r="H633" s="428" t="s">
        <v>1078</v>
      </c>
      <c r="I633" s="423" t="s">
        <v>451</v>
      </c>
      <c r="J633" s="423" t="s">
        <v>451</v>
      </c>
      <c r="K633" s="308"/>
      <c r="N633" s="308"/>
      <c r="O633" s="308"/>
      <c r="P633" s="308"/>
      <c r="Q633" s="308"/>
      <c r="R633" s="308"/>
      <c r="S633" s="308"/>
      <c r="T633" s="308"/>
      <c r="U633" s="308"/>
      <c r="V633" s="308"/>
      <c r="W633" s="308"/>
      <c r="X633" s="308"/>
      <c r="Y633" s="308"/>
      <c r="Z633" s="308"/>
    </row>
    <row r="634" spans="1:26" ht="14.25" customHeight="1" x14ac:dyDescent="0.3">
      <c r="A634" s="352" t="s">
        <v>990</v>
      </c>
      <c r="B634" s="430" t="s">
        <v>1122</v>
      </c>
      <c r="C634" s="425" t="s">
        <v>1076</v>
      </c>
      <c r="D634" s="472" t="s">
        <v>1155</v>
      </c>
      <c r="E634" s="423">
        <v>22</v>
      </c>
      <c r="F634" s="428">
        <v>45936</v>
      </c>
      <c r="G634" s="423" t="s">
        <v>451</v>
      </c>
      <c r="H634" s="428" t="s">
        <v>1078</v>
      </c>
      <c r="I634" s="423" t="s">
        <v>451</v>
      </c>
      <c r="J634" s="423" t="s">
        <v>451</v>
      </c>
      <c r="K634" s="308"/>
      <c r="N634" s="308"/>
      <c r="O634" s="308"/>
      <c r="P634" s="308"/>
      <c r="Q634" s="308"/>
      <c r="R634" s="308"/>
      <c r="S634" s="308"/>
      <c r="T634" s="308"/>
      <c r="U634" s="308"/>
      <c r="V634" s="308"/>
      <c r="W634" s="308"/>
      <c r="X634" s="308"/>
      <c r="Y634" s="308"/>
      <c r="Z634" s="308"/>
    </row>
    <row r="635" spans="1:26" ht="14.25" customHeight="1" x14ac:dyDescent="0.3">
      <c r="A635" s="475" t="s">
        <v>990</v>
      </c>
      <c r="B635" s="430" t="s">
        <v>1122</v>
      </c>
      <c r="C635" s="425" t="s">
        <v>1076</v>
      </c>
      <c r="D635" s="472" t="s">
        <v>1155</v>
      </c>
      <c r="E635" s="423">
        <v>22</v>
      </c>
      <c r="F635" s="428">
        <v>45936</v>
      </c>
      <c r="G635" s="423" t="s">
        <v>451</v>
      </c>
      <c r="H635" s="428" t="s">
        <v>1078</v>
      </c>
      <c r="I635" s="423" t="s">
        <v>451</v>
      </c>
      <c r="J635" s="423" t="s">
        <v>451</v>
      </c>
      <c r="K635" s="308"/>
      <c r="N635" s="308"/>
      <c r="O635" s="308"/>
      <c r="P635" s="308"/>
      <c r="Q635" s="308"/>
      <c r="R635" s="308"/>
      <c r="S635" s="308"/>
      <c r="T635" s="308"/>
      <c r="U635" s="308"/>
      <c r="V635" s="308"/>
      <c r="W635" s="308"/>
      <c r="X635" s="308"/>
      <c r="Y635" s="308"/>
      <c r="Z635" s="308"/>
    </row>
    <row r="636" spans="1:26" ht="14.25" customHeight="1" x14ac:dyDescent="0.3">
      <c r="A636" s="352" t="s">
        <v>991</v>
      </c>
      <c r="B636" s="430" t="s">
        <v>1122</v>
      </c>
      <c r="C636" s="425" t="s">
        <v>1076</v>
      </c>
      <c r="D636" s="438" t="s">
        <v>1086</v>
      </c>
      <c r="E636" s="423">
        <v>22</v>
      </c>
      <c r="F636" s="428">
        <v>45936</v>
      </c>
      <c r="G636" s="423" t="s">
        <v>451</v>
      </c>
      <c r="H636" s="428" t="s">
        <v>1078</v>
      </c>
      <c r="I636" s="423" t="s">
        <v>451</v>
      </c>
      <c r="J636" s="423" t="s">
        <v>451</v>
      </c>
      <c r="K636" s="308"/>
      <c r="N636" s="308"/>
      <c r="O636" s="308"/>
      <c r="P636" s="308"/>
      <c r="Q636" s="308"/>
      <c r="R636" s="308"/>
      <c r="S636" s="308"/>
      <c r="T636" s="308"/>
      <c r="U636" s="308"/>
      <c r="V636" s="308"/>
      <c r="W636" s="308"/>
      <c r="X636" s="308"/>
      <c r="Y636" s="308"/>
      <c r="Z636" s="308"/>
    </row>
    <row r="637" spans="1:26" ht="14.25" customHeight="1" x14ac:dyDescent="0.3">
      <c r="A637" s="475" t="s">
        <v>991</v>
      </c>
      <c r="B637" s="430" t="s">
        <v>1122</v>
      </c>
      <c r="C637" s="425" t="s">
        <v>1076</v>
      </c>
      <c r="D637" s="472" t="s">
        <v>1155</v>
      </c>
      <c r="E637" s="423">
        <v>22</v>
      </c>
      <c r="F637" s="428">
        <v>45936</v>
      </c>
      <c r="G637" s="423" t="s">
        <v>451</v>
      </c>
      <c r="H637" s="428" t="s">
        <v>1078</v>
      </c>
      <c r="I637" s="423" t="s">
        <v>451</v>
      </c>
      <c r="J637" s="429" t="s">
        <v>451</v>
      </c>
      <c r="K637" s="308"/>
      <c r="N637" s="308"/>
      <c r="O637" s="308"/>
      <c r="P637" s="308"/>
      <c r="Q637" s="308"/>
      <c r="R637" s="308"/>
      <c r="S637" s="308"/>
      <c r="T637" s="308"/>
      <c r="U637" s="308"/>
      <c r="V637" s="308"/>
      <c r="W637" s="308"/>
      <c r="X637" s="308"/>
      <c r="Y637" s="308"/>
      <c r="Z637" s="308"/>
    </row>
    <row r="638" spans="1:26" ht="14.25" customHeight="1" x14ac:dyDescent="0.3">
      <c r="A638" s="475" t="s">
        <v>994</v>
      </c>
      <c r="B638" s="430" t="s">
        <v>1122</v>
      </c>
      <c r="C638" s="425" t="s">
        <v>1076</v>
      </c>
      <c r="D638" s="438" t="s">
        <v>1086</v>
      </c>
      <c r="E638" s="423">
        <v>22</v>
      </c>
      <c r="F638" s="428">
        <v>45936</v>
      </c>
      <c r="G638" s="423" t="s">
        <v>451</v>
      </c>
      <c r="H638" s="428" t="s">
        <v>1078</v>
      </c>
      <c r="I638" s="423" t="s">
        <v>451</v>
      </c>
      <c r="J638" s="423" t="s">
        <v>451</v>
      </c>
      <c r="K638" s="308"/>
      <c r="N638" s="308"/>
      <c r="O638" s="308"/>
      <c r="P638" s="308"/>
      <c r="Q638" s="308"/>
      <c r="R638" s="308"/>
      <c r="S638" s="308"/>
      <c r="T638" s="308"/>
      <c r="U638" s="308"/>
      <c r="V638" s="308"/>
      <c r="W638" s="308"/>
      <c r="X638" s="308"/>
      <c r="Y638" s="308"/>
      <c r="Z638" s="308"/>
    </row>
    <row r="639" spans="1:26" ht="14.25" customHeight="1" x14ac:dyDescent="0.3">
      <c r="A639" s="352" t="s">
        <v>994</v>
      </c>
      <c r="B639" s="433" t="s">
        <v>1142</v>
      </c>
      <c r="C639" s="425" t="s">
        <v>1076</v>
      </c>
      <c r="D639" s="472" t="s">
        <v>1155</v>
      </c>
      <c r="E639" s="308">
        <v>22</v>
      </c>
      <c r="F639" s="431">
        <v>45936</v>
      </c>
      <c r="G639" s="308"/>
      <c r="H639" s="435" t="s">
        <v>1083</v>
      </c>
      <c r="I639" s="308">
        <v>4</v>
      </c>
      <c r="J639" s="431">
        <v>45944</v>
      </c>
      <c r="K639" s="308"/>
      <c r="N639" s="308"/>
      <c r="O639" s="308"/>
      <c r="P639" s="308"/>
      <c r="Q639" s="308"/>
      <c r="R639" s="308"/>
      <c r="S639" s="308"/>
      <c r="T639" s="308"/>
      <c r="U639" s="308"/>
      <c r="V639" s="308"/>
      <c r="W639" s="308"/>
      <c r="X639" s="308"/>
      <c r="Y639" s="308"/>
      <c r="Z639" s="308"/>
    </row>
    <row r="640" spans="1:26" ht="14.25" customHeight="1" x14ac:dyDescent="0.3">
      <c r="A640" s="352" t="s">
        <v>990</v>
      </c>
      <c r="B640" s="424" t="s">
        <v>1122</v>
      </c>
      <c r="C640" s="425" t="s">
        <v>1076</v>
      </c>
      <c r="D640" s="463" t="s">
        <v>1114</v>
      </c>
      <c r="E640" s="427">
        <v>11</v>
      </c>
      <c r="F640" s="428">
        <v>45824</v>
      </c>
      <c r="G640" s="423" t="s">
        <v>451</v>
      </c>
      <c r="H640" s="428" t="s">
        <v>1078</v>
      </c>
      <c r="I640" s="429" t="s">
        <v>451</v>
      </c>
      <c r="J640" s="429" t="s">
        <v>451</v>
      </c>
      <c r="K640" s="308"/>
      <c r="N640" s="308"/>
      <c r="O640" s="308"/>
      <c r="P640" s="308"/>
      <c r="Q640" s="308"/>
      <c r="R640" s="308"/>
      <c r="S640" s="308"/>
      <c r="T640" s="308"/>
      <c r="U640" s="308"/>
      <c r="V640" s="308"/>
      <c r="W640" s="308"/>
      <c r="X640" s="308"/>
      <c r="Y640" s="308"/>
      <c r="Z640" s="308"/>
    </row>
    <row r="641" spans="1:26" ht="14.25" customHeight="1" x14ac:dyDescent="0.3">
      <c r="A641" s="476" t="s">
        <v>990</v>
      </c>
      <c r="B641" s="430" t="s">
        <v>1122</v>
      </c>
      <c r="C641" s="425" t="s">
        <v>1076</v>
      </c>
      <c r="D641" s="432" t="s">
        <v>1080</v>
      </c>
      <c r="E641" s="308">
        <v>25</v>
      </c>
      <c r="F641" s="431">
        <v>45953</v>
      </c>
      <c r="G641" s="308"/>
      <c r="H641" s="428" t="s">
        <v>1078</v>
      </c>
      <c r="I641" s="308"/>
      <c r="J641" s="308"/>
      <c r="K641" s="308"/>
      <c r="N641" s="308"/>
      <c r="O641" s="308"/>
      <c r="P641" s="308"/>
      <c r="Q641" s="308"/>
      <c r="R641" s="308"/>
      <c r="S641" s="308"/>
      <c r="T641" s="308"/>
      <c r="U641" s="308"/>
      <c r="V641" s="308"/>
      <c r="W641" s="308"/>
      <c r="X641" s="308"/>
      <c r="Y641" s="308"/>
      <c r="Z641" s="308"/>
    </row>
    <row r="642" spans="1:26" ht="14.25" customHeight="1" x14ac:dyDescent="0.3">
      <c r="A642" s="486" t="s">
        <v>1229</v>
      </c>
      <c r="B642" s="411" t="s">
        <v>1122</v>
      </c>
      <c r="C642" s="425" t="s">
        <v>1076</v>
      </c>
      <c r="D642" s="432" t="s">
        <v>1080</v>
      </c>
      <c r="E642" s="308">
        <v>27</v>
      </c>
      <c r="F642" s="431">
        <v>45958</v>
      </c>
      <c r="G642" s="308"/>
      <c r="H642" s="428" t="s">
        <v>1078</v>
      </c>
      <c r="I642" s="308"/>
      <c r="J642" s="308"/>
      <c r="K642" s="308"/>
      <c r="N642" s="308"/>
      <c r="O642" s="308"/>
      <c r="P642" s="308"/>
      <c r="Q642" s="308"/>
      <c r="R642" s="308"/>
      <c r="S642" s="308"/>
      <c r="T642" s="308"/>
      <c r="U642" s="308"/>
      <c r="V642" s="308"/>
      <c r="W642" s="308"/>
      <c r="X642" s="308"/>
      <c r="Y642" s="308"/>
      <c r="Z642" s="308"/>
    </row>
    <row r="643" spans="1:26" ht="14.25" customHeight="1" x14ac:dyDescent="0.3">
      <c r="A643" s="352" t="s">
        <v>990</v>
      </c>
      <c r="B643" s="424" t="s">
        <v>1122</v>
      </c>
      <c r="C643" s="425" t="s">
        <v>1076</v>
      </c>
      <c r="D643" s="434" t="s">
        <v>1082</v>
      </c>
      <c r="E643" s="427">
        <v>18</v>
      </c>
      <c r="F643" s="428">
        <v>45835</v>
      </c>
      <c r="G643" s="423" t="s">
        <v>451</v>
      </c>
      <c r="H643" s="428" t="s">
        <v>1078</v>
      </c>
      <c r="I643" s="423" t="s">
        <v>451</v>
      </c>
      <c r="J643" s="429" t="s">
        <v>451</v>
      </c>
      <c r="K643" s="308"/>
      <c r="L643" s="447"/>
      <c r="M643" s="447"/>
      <c r="N643" s="308"/>
      <c r="O643" s="308"/>
      <c r="P643" s="308"/>
      <c r="Q643" s="308"/>
      <c r="R643" s="308"/>
      <c r="S643" s="308"/>
      <c r="T643" s="308"/>
      <c r="U643" s="308"/>
      <c r="V643" s="308"/>
      <c r="W643" s="308"/>
      <c r="X643" s="308"/>
      <c r="Y643" s="308"/>
      <c r="Z643" s="308"/>
    </row>
    <row r="644" spans="1:26" ht="14.25" customHeight="1" x14ac:dyDescent="0.3">
      <c r="A644" s="352" t="s">
        <v>992</v>
      </c>
      <c r="B644" s="433" t="s">
        <v>1142</v>
      </c>
      <c r="C644" s="425" t="s">
        <v>1076</v>
      </c>
      <c r="D644" s="529" t="s">
        <v>1086</v>
      </c>
      <c r="E644" s="525">
        <v>11</v>
      </c>
      <c r="F644" s="524">
        <v>45824</v>
      </c>
      <c r="G644" s="524">
        <v>45905</v>
      </c>
      <c r="H644" s="435" t="s">
        <v>1083</v>
      </c>
      <c r="I644" s="427">
        <v>2</v>
      </c>
      <c r="J644" s="428">
        <v>45910</v>
      </c>
      <c r="K644" s="308"/>
      <c r="N644" s="308"/>
      <c r="O644" s="308"/>
      <c r="P644" s="308"/>
      <c r="Q644" s="308"/>
      <c r="R644" s="308"/>
      <c r="S644" s="308"/>
      <c r="T644" s="308"/>
      <c r="U644" s="308"/>
      <c r="V644" s="308"/>
      <c r="W644" s="308"/>
      <c r="X644" s="308"/>
      <c r="Y644" s="308"/>
      <c r="Z644" s="308"/>
    </row>
    <row r="645" spans="1:26" ht="14.25" customHeight="1" x14ac:dyDescent="0.3">
      <c r="A645" s="352" t="s">
        <v>2263</v>
      </c>
      <c r="B645" s="433" t="s">
        <v>1142</v>
      </c>
      <c r="C645" s="425" t="s">
        <v>1076</v>
      </c>
      <c r="D645" s="529" t="s">
        <v>1086</v>
      </c>
      <c r="E645" s="525">
        <v>11</v>
      </c>
      <c r="F645" s="524">
        <v>45824</v>
      </c>
      <c r="G645" s="524">
        <v>45905</v>
      </c>
      <c r="H645" s="435" t="s">
        <v>1083</v>
      </c>
      <c r="I645" s="427">
        <v>2</v>
      </c>
      <c r="J645" s="428">
        <v>45910</v>
      </c>
      <c r="K645" s="308"/>
      <c r="N645" s="308"/>
      <c r="O645" s="308"/>
      <c r="P645" s="308"/>
      <c r="Q645" s="308"/>
      <c r="R645" s="308"/>
      <c r="S645" s="308"/>
      <c r="T645" s="308"/>
      <c r="U645" s="308"/>
      <c r="V645" s="308"/>
      <c r="W645" s="308"/>
      <c r="X645" s="308"/>
      <c r="Y645" s="308"/>
      <c r="Z645" s="308"/>
    </row>
    <row r="646" spans="1:26" ht="14.25" customHeight="1" x14ac:dyDescent="0.3">
      <c r="A646" s="352" t="s">
        <v>998</v>
      </c>
      <c r="B646" s="433" t="s">
        <v>1142</v>
      </c>
      <c r="C646" s="425" t="s">
        <v>1076</v>
      </c>
      <c r="D646" s="529" t="s">
        <v>1086</v>
      </c>
      <c r="E646" s="308">
        <v>22</v>
      </c>
      <c r="F646" s="431">
        <v>45936</v>
      </c>
      <c r="G646" s="308"/>
      <c r="H646" s="435" t="s">
        <v>1083</v>
      </c>
      <c r="I646" s="308">
        <v>4</v>
      </c>
      <c r="J646" s="431">
        <v>45944</v>
      </c>
      <c r="K646" s="308"/>
      <c r="N646" s="308"/>
      <c r="O646" s="308"/>
      <c r="P646" s="308"/>
      <c r="Q646" s="308"/>
      <c r="R646" s="308"/>
      <c r="S646" s="308"/>
      <c r="T646" s="308"/>
      <c r="U646" s="308"/>
      <c r="V646" s="308"/>
      <c r="W646" s="308"/>
      <c r="X646" s="308"/>
      <c r="Y646" s="308"/>
      <c r="Z646" s="308"/>
    </row>
    <row r="647" spans="1:26" ht="14.25" customHeight="1" x14ac:dyDescent="0.3">
      <c r="A647" s="494" t="s">
        <v>2303</v>
      </c>
      <c r="B647" s="418" t="s">
        <v>1122</v>
      </c>
      <c r="C647" s="425" t="s">
        <v>1076</v>
      </c>
      <c r="D647" s="438" t="s">
        <v>1086</v>
      </c>
      <c r="E647" s="447">
        <v>29</v>
      </c>
      <c r="F647" s="448">
        <v>45986</v>
      </c>
      <c r="G647" s="447"/>
      <c r="H647" s="428" t="s">
        <v>1078</v>
      </c>
      <c r="I647" s="447"/>
      <c r="J647" s="447"/>
      <c r="K647" s="447" t="s">
        <v>1294</v>
      </c>
      <c r="N647" s="308"/>
      <c r="O647" s="308"/>
      <c r="P647" s="308"/>
      <c r="Q647" s="308"/>
      <c r="R647" s="308"/>
      <c r="S647" s="308"/>
      <c r="T647" s="308"/>
      <c r="U647" s="308"/>
      <c r="V647" s="308"/>
      <c r="W647" s="308"/>
      <c r="X647" s="308"/>
      <c r="Y647" s="308"/>
      <c r="Z647" s="308"/>
    </row>
    <row r="648" spans="1:26" ht="14.25" customHeight="1" x14ac:dyDescent="0.3">
      <c r="A648" s="484" t="s">
        <v>2303</v>
      </c>
      <c r="B648" s="449" t="s">
        <v>1142</v>
      </c>
      <c r="C648" s="425" t="s">
        <v>1076</v>
      </c>
      <c r="D648" s="535" t="s">
        <v>1132</v>
      </c>
      <c r="E648" s="447" t="s">
        <v>1140</v>
      </c>
      <c r="F648" s="448">
        <v>45989</v>
      </c>
      <c r="G648" s="447"/>
      <c r="H648" s="267" t="s">
        <v>1083</v>
      </c>
      <c r="I648" s="445">
        <v>7</v>
      </c>
      <c r="J648" s="445"/>
      <c r="K648" s="445"/>
      <c r="N648" s="308"/>
      <c r="O648" s="308"/>
      <c r="P648" s="308"/>
      <c r="Q648" s="308"/>
      <c r="R648" s="308"/>
      <c r="S648" s="308"/>
      <c r="T648" s="308"/>
      <c r="U648" s="308"/>
      <c r="V648" s="308"/>
      <c r="W648" s="308"/>
      <c r="X648" s="308"/>
      <c r="Y648" s="308"/>
      <c r="Z648" s="308"/>
    </row>
    <row r="649" spans="1:26" ht="14.25" customHeight="1" x14ac:dyDescent="0.3">
      <c r="A649" s="352" t="s">
        <v>998</v>
      </c>
      <c r="B649" s="433" t="s">
        <v>1142</v>
      </c>
      <c r="C649" s="425" t="s">
        <v>1076</v>
      </c>
      <c r="D649" s="472" t="s">
        <v>1155</v>
      </c>
      <c r="E649" s="308">
        <v>22</v>
      </c>
      <c r="F649" s="431">
        <v>45936</v>
      </c>
      <c r="G649" s="308"/>
      <c r="H649" s="435" t="s">
        <v>1083</v>
      </c>
      <c r="I649" s="308">
        <v>4</v>
      </c>
      <c r="J649" s="431">
        <v>45944</v>
      </c>
      <c r="K649" s="308"/>
      <c r="N649" s="308"/>
      <c r="O649" s="308"/>
      <c r="P649" s="308"/>
      <c r="Q649" s="308"/>
      <c r="R649" s="308"/>
      <c r="S649" s="308"/>
      <c r="T649" s="308"/>
      <c r="U649" s="308"/>
      <c r="V649" s="308"/>
      <c r="W649" s="308"/>
      <c r="X649" s="308"/>
      <c r="Y649" s="308"/>
      <c r="Z649" s="308"/>
    </row>
    <row r="650" spans="1:26" ht="14.25" customHeight="1" x14ac:dyDescent="0.3">
      <c r="A650" s="494" t="s">
        <v>998</v>
      </c>
      <c r="B650" s="419" t="s">
        <v>1142</v>
      </c>
      <c r="C650" s="425" t="s">
        <v>1076</v>
      </c>
      <c r="D650" s="473" t="s">
        <v>1082</v>
      </c>
      <c r="E650" s="447">
        <v>31</v>
      </c>
      <c r="F650" s="448">
        <v>45986</v>
      </c>
      <c r="G650" s="447"/>
      <c r="H650" s="428" t="s">
        <v>1078</v>
      </c>
      <c r="I650" s="447">
        <v>6</v>
      </c>
      <c r="J650" s="447"/>
      <c r="K650" s="447" t="s">
        <v>1295</v>
      </c>
      <c r="N650" s="308"/>
      <c r="O650" s="308"/>
      <c r="P650" s="308"/>
      <c r="Q650" s="308"/>
      <c r="R650" s="308"/>
      <c r="S650" s="308"/>
      <c r="T650" s="308"/>
      <c r="U650" s="308"/>
      <c r="V650" s="308"/>
      <c r="W650" s="308"/>
      <c r="X650" s="308"/>
      <c r="Y650" s="308"/>
      <c r="Z650" s="308"/>
    </row>
    <row r="651" spans="1:26" ht="14.25" customHeight="1" x14ac:dyDescent="0.3">
      <c r="A651" s="484" t="s">
        <v>998</v>
      </c>
      <c r="B651" s="449" t="s">
        <v>1142</v>
      </c>
      <c r="C651" s="425" t="s">
        <v>1076</v>
      </c>
      <c r="D651" s="473" t="s">
        <v>1082</v>
      </c>
      <c r="E651" s="445" t="s">
        <v>1140</v>
      </c>
      <c r="F651" s="446">
        <v>45989</v>
      </c>
      <c r="G651" s="445"/>
      <c r="H651" s="267" t="s">
        <v>1083</v>
      </c>
      <c r="I651" s="445">
        <v>7</v>
      </c>
      <c r="J651" s="445"/>
      <c r="K651" s="445"/>
      <c r="L651" s="447"/>
      <c r="M651" s="447"/>
      <c r="N651" s="308"/>
      <c r="O651" s="308"/>
      <c r="P651" s="308"/>
      <c r="Q651" s="308"/>
      <c r="R651" s="308"/>
      <c r="S651" s="308"/>
      <c r="T651" s="308"/>
      <c r="U651" s="308"/>
      <c r="V651" s="308"/>
      <c r="W651" s="308"/>
      <c r="X651" s="308"/>
      <c r="Y651" s="308"/>
      <c r="Z651" s="308"/>
    </row>
    <row r="652" spans="1:26" ht="14.25" customHeight="1" x14ac:dyDescent="0.3">
      <c r="A652" s="494" t="s">
        <v>998</v>
      </c>
      <c r="B652" s="418" t="s">
        <v>1122</v>
      </c>
      <c r="C652" s="425" t="s">
        <v>1076</v>
      </c>
      <c r="D652" s="432" t="s">
        <v>1080</v>
      </c>
      <c r="E652" s="447">
        <v>30</v>
      </c>
      <c r="F652" s="448">
        <v>45986</v>
      </c>
      <c r="G652" s="447"/>
      <c r="H652" s="428" t="s">
        <v>1078</v>
      </c>
      <c r="I652" s="447"/>
      <c r="J652" s="447"/>
      <c r="K652" s="447" t="s">
        <v>1296</v>
      </c>
      <c r="L652" s="447"/>
      <c r="M652" s="447"/>
      <c r="N652" s="308"/>
      <c r="O652" s="308"/>
      <c r="P652" s="308"/>
      <c r="Q652" s="308"/>
      <c r="R652" s="308"/>
      <c r="S652" s="308"/>
      <c r="T652" s="308"/>
      <c r="U652" s="308"/>
      <c r="V652" s="308"/>
      <c r="W652" s="308"/>
      <c r="X652" s="308"/>
      <c r="Y652" s="308"/>
      <c r="Z652" s="308"/>
    </row>
    <row r="653" spans="1:26" ht="14.25" customHeight="1" x14ac:dyDescent="0.3">
      <c r="A653" s="484" t="s">
        <v>999</v>
      </c>
      <c r="B653" s="268" t="s">
        <v>1122</v>
      </c>
      <c r="C653" s="447"/>
      <c r="D653" s="447" t="s">
        <v>1272</v>
      </c>
      <c r="E653" s="447">
        <v>35</v>
      </c>
      <c r="F653" s="448">
        <v>45994</v>
      </c>
      <c r="G653" s="447"/>
      <c r="H653" s="447" t="s">
        <v>1208</v>
      </c>
      <c r="I653" s="447"/>
      <c r="J653" s="447"/>
      <c r="K653" s="447" t="s">
        <v>1271</v>
      </c>
      <c r="N653" s="308"/>
      <c r="O653" s="308"/>
      <c r="P653" s="308"/>
      <c r="Q653" s="308"/>
      <c r="R653" s="308"/>
      <c r="S653" s="308"/>
      <c r="T653" s="308"/>
      <c r="U653" s="308"/>
      <c r="V653" s="308"/>
      <c r="W653" s="308"/>
      <c r="X653" s="308"/>
      <c r="Y653" s="308"/>
      <c r="Z653" s="308"/>
    </row>
    <row r="654" spans="1:26" ht="14.25" customHeight="1" x14ac:dyDescent="0.3">
      <c r="A654" s="352" t="s">
        <v>999</v>
      </c>
      <c r="B654" s="433" t="s">
        <v>1142</v>
      </c>
      <c r="C654" s="425" t="s">
        <v>1076</v>
      </c>
      <c r="D654" s="529" t="s">
        <v>1086</v>
      </c>
      <c r="E654" s="308">
        <v>22</v>
      </c>
      <c r="F654" s="431">
        <v>45936</v>
      </c>
      <c r="G654" s="308"/>
      <c r="H654" s="435" t="s">
        <v>1083</v>
      </c>
      <c r="I654" s="308">
        <v>4</v>
      </c>
      <c r="J654" s="431">
        <v>45944</v>
      </c>
      <c r="K654" s="308"/>
      <c r="L654" s="473"/>
      <c r="M654" s="473"/>
      <c r="N654" s="308"/>
      <c r="O654" s="308"/>
      <c r="P654" s="308"/>
      <c r="Q654" s="308"/>
      <c r="R654" s="308"/>
      <c r="S654" s="308"/>
      <c r="T654" s="308"/>
      <c r="U654" s="308"/>
      <c r="V654" s="308"/>
      <c r="W654" s="308"/>
      <c r="X654" s="308"/>
      <c r="Y654" s="308"/>
      <c r="Z654" s="308"/>
    </row>
    <row r="655" spans="1:26" ht="14.25" customHeight="1" x14ac:dyDescent="0.3">
      <c r="A655" s="493" t="s">
        <v>2304</v>
      </c>
      <c r="B655" s="449" t="s">
        <v>1142</v>
      </c>
      <c r="C655" s="425" t="s">
        <v>1076</v>
      </c>
      <c r="D655" s="529" t="s">
        <v>1086</v>
      </c>
      <c r="E655" s="447">
        <v>29</v>
      </c>
      <c r="F655" s="448">
        <v>45986</v>
      </c>
      <c r="G655" s="447"/>
      <c r="H655" s="267" t="s">
        <v>1083</v>
      </c>
      <c r="I655" s="445">
        <v>7</v>
      </c>
      <c r="J655" s="445"/>
      <c r="K655" s="445" t="s">
        <v>1297</v>
      </c>
      <c r="L655" s="473"/>
      <c r="M655" s="473"/>
      <c r="N655" s="308"/>
      <c r="O655" s="308"/>
      <c r="P655" s="308"/>
      <c r="Q655" s="308"/>
      <c r="R655" s="308"/>
      <c r="S655" s="308"/>
      <c r="T655" s="308"/>
      <c r="U655" s="308"/>
      <c r="V655" s="308"/>
      <c r="W655" s="308"/>
      <c r="X655" s="308"/>
      <c r="Y655" s="308"/>
      <c r="Z655" s="308"/>
    </row>
    <row r="656" spans="1:26" ht="14.25" customHeight="1" x14ac:dyDescent="0.3">
      <c r="A656" s="484" t="s">
        <v>2304</v>
      </c>
      <c r="B656" s="449" t="s">
        <v>1142</v>
      </c>
      <c r="C656" s="425" t="s">
        <v>1076</v>
      </c>
      <c r="D656" s="535" t="s">
        <v>1132</v>
      </c>
      <c r="E656" s="447" t="s">
        <v>1140</v>
      </c>
      <c r="F656" s="448">
        <v>45989</v>
      </c>
      <c r="G656" s="447"/>
      <c r="H656" s="267" t="s">
        <v>1083</v>
      </c>
      <c r="I656" s="445">
        <v>7</v>
      </c>
      <c r="J656" s="445"/>
      <c r="K656" s="445"/>
      <c r="N656" s="308"/>
      <c r="O656" s="308"/>
      <c r="P656" s="308"/>
      <c r="Q656" s="308"/>
      <c r="R656" s="308"/>
      <c r="S656" s="308"/>
      <c r="T656" s="308"/>
      <c r="U656" s="308"/>
      <c r="V656" s="308"/>
      <c r="W656" s="308"/>
      <c r="X656" s="308"/>
      <c r="Y656" s="308"/>
      <c r="Z656" s="308"/>
    </row>
    <row r="657" spans="1:26" ht="14.25" customHeight="1" x14ac:dyDescent="0.3">
      <c r="A657" s="352" t="s">
        <v>999</v>
      </c>
      <c r="B657" s="433" t="s">
        <v>1142</v>
      </c>
      <c r="C657" s="425" t="s">
        <v>1076</v>
      </c>
      <c r="D657" s="472" t="s">
        <v>1155</v>
      </c>
      <c r="E657" s="308">
        <v>22</v>
      </c>
      <c r="F657" s="431">
        <v>45936</v>
      </c>
      <c r="G657" s="308"/>
      <c r="H657" s="435" t="s">
        <v>1083</v>
      </c>
      <c r="I657" s="308">
        <v>4</v>
      </c>
      <c r="J657" s="431">
        <v>45944</v>
      </c>
      <c r="K657" s="308"/>
      <c r="N657" s="308"/>
      <c r="O657" s="308"/>
      <c r="P657" s="308"/>
      <c r="Q657" s="308"/>
      <c r="R657" s="308"/>
      <c r="S657" s="308"/>
      <c r="T657" s="308"/>
      <c r="U657" s="308"/>
      <c r="V657" s="308"/>
      <c r="W657" s="308"/>
      <c r="X657" s="308"/>
      <c r="Y657" s="308"/>
      <c r="Z657" s="308"/>
    </row>
    <row r="658" spans="1:26" ht="14.25" customHeight="1" x14ac:dyDescent="0.3">
      <c r="A658" s="493" t="s">
        <v>999</v>
      </c>
      <c r="B658" s="419" t="s">
        <v>1142</v>
      </c>
      <c r="C658" s="425" t="s">
        <v>1076</v>
      </c>
      <c r="D658" s="473" t="s">
        <v>1082</v>
      </c>
      <c r="E658" s="447">
        <v>31</v>
      </c>
      <c r="F658" s="448">
        <v>45986</v>
      </c>
      <c r="G658" s="447"/>
      <c r="H658" s="428" t="s">
        <v>1078</v>
      </c>
      <c r="I658" s="447">
        <v>6</v>
      </c>
      <c r="J658" s="447"/>
      <c r="K658" s="447" t="s">
        <v>1298</v>
      </c>
      <c r="N658" s="308"/>
      <c r="O658" s="308"/>
      <c r="P658" s="308"/>
      <c r="Q658" s="308"/>
      <c r="R658" s="308"/>
      <c r="S658" s="308"/>
      <c r="T658" s="308"/>
      <c r="U658" s="308"/>
      <c r="V658" s="308"/>
      <c r="W658" s="308"/>
      <c r="X658" s="308"/>
      <c r="Y658" s="308"/>
      <c r="Z658" s="308"/>
    </row>
    <row r="659" spans="1:26" ht="14.25" customHeight="1" x14ac:dyDescent="0.3">
      <c r="A659" s="484" t="s">
        <v>999</v>
      </c>
      <c r="B659" s="418" t="s">
        <v>1122</v>
      </c>
      <c r="C659" s="447" t="s">
        <v>1144</v>
      </c>
      <c r="D659" s="447" t="s">
        <v>1082</v>
      </c>
      <c r="E659" s="447">
        <v>33</v>
      </c>
      <c r="F659" s="448">
        <v>45989</v>
      </c>
      <c r="G659" s="447"/>
      <c r="H659" s="308" t="s">
        <v>1208</v>
      </c>
      <c r="I659" s="447"/>
      <c r="J659" s="447"/>
      <c r="K659" s="447"/>
      <c r="N659" s="308"/>
      <c r="O659" s="308"/>
      <c r="P659" s="308"/>
      <c r="Q659" s="308"/>
      <c r="R659" s="308"/>
      <c r="S659" s="308"/>
      <c r="T659" s="308"/>
      <c r="U659" s="308"/>
      <c r="V659" s="308"/>
      <c r="W659" s="308"/>
      <c r="X659" s="308"/>
      <c r="Y659" s="308"/>
      <c r="Z659" s="308"/>
    </row>
    <row r="660" spans="1:26" ht="14.25" customHeight="1" x14ac:dyDescent="0.3">
      <c r="A660" s="493" t="s">
        <v>999</v>
      </c>
      <c r="B660" s="418" t="s">
        <v>1122</v>
      </c>
      <c r="C660" s="425" t="s">
        <v>1076</v>
      </c>
      <c r="D660" s="432" t="s">
        <v>1080</v>
      </c>
      <c r="E660" s="447">
        <v>30</v>
      </c>
      <c r="F660" s="448">
        <v>45986</v>
      </c>
      <c r="G660" s="447"/>
      <c r="H660" s="428" t="s">
        <v>1078</v>
      </c>
      <c r="I660" s="447"/>
      <c r="J660" s="447"/>
      <c r="K660" s="447" t="s">
        <v>1299</v>
      </c>
      <c r="N660" s="308"/>
      <c r="O660" s="308"/>
      <c r="P660" s="308"/>
      <c r="Q660" s="308"/>
      <c r="R660" s="308"/>
      <c r="S660" s="308"/>
      <c r="T660" s="308"/>
      <c r="U660" s="308"/>
      <c r="V660" s="308"/>
      <c r="W660" s="308"/>
      <c r="X660" s="308"/>
      <c r="Y660" s="308"/>
      <c r="Z660" s="308"/>
    </row>
    <row r="661" spans="1:26" ht="14.25" customHeight="1" x14ac:dyDescent="0.3">
      <c r="A661" s="495" t="s">
        <v>2305</v>
      </c>
      <c r="B661" s="419" t="s">
        <v>1142</v>
      </c>
      <c r="C661" s="425" t="s">
        <v>1076</v>
      </c>
      <c r="D661" s="473" t="s">
        <v>1082</v>
      </c>
      <c r="E661" s="447">
        <v>31</v>
      </c>
      <c r="F661" s="448">
        <v>45986</v>
      </c>
      <c r="G661" s="447"/>
      <c r="H661" s="428" t="s">
        <v>1078</v>
      </c>
      <c r="I661" s="447">
        <v>6</v>
      </c>
      <c r="J661" s="447"/>
      <c r="K661" s="447" t="s">
        <v>1303</v>
      </c>
      <c r="N661" s="308"/>
      <c r="O661" s="308"/>
      <c r="P661" s="308"/>
      <c r="Q661" s="308"/>
      <c r="R661" s="308"/>
      <c r="S661" s="308"/>
      <c r="T661" s="308"/>
      <c r="U661" s="308"/>
      <c r="V661" s="308"/>
      <c r="W661" s="308"/>
      <c r="X661" s="308"/>
      <c r="Y661" s="308"/>
      <c r="Z661" s="308"/>
    </row>
    <row r="662" spans="1:26" ht="14.25" customHeight="1" x14ac:dyDescent="0.3">
      <c r="A662" s="484" t="s">
        <v>2305</v>
      </c>
      <c r="B662" s="268" t="s">
        <v>1122</v>
      </c>
      <c r="C662" s="447" t="s">
        <v>1144</v>
      </c>
      <c r="D662" s="447" t="s">
        <v>1138</v>
      </c>
      <c r="E662" s="447">
        <v>35</v>
      </c>
      <c r="F662" s="448">
        <v>45994</v>
      </c>
      <c r="G662" s="447"/>
      <c r="H662" s="447" t="s">
        <v>1238</v>
      </c>
      <c r="I662" s="447"/>
      <c r="J662" s="447"/>
      <c r="K662" s="447" t="s">
        <v>1300</v>
      </c>
      <c r="N662" s="308"/>
      <c r="O662" s="308"/>
      <c r="P662" s="308"/>
      <c r="Q662" s="308"/>
      <c r="R662" s="308"/>
      <c r="S662" s="308"/>
      <c r="T662" s="308"/>
      <c r="U662" s="308"/>
      <c r="V662" s="308"/>
      <c r="W662" s="308"/>
      <c r="X662" s="308"/>
      <c r="Y662" s="308"/>
      <c r="Z662" s="308"/>
    </row>
    <row r="663" spans="1:26" ht="14.25" customHeight="1" x14ac:dyDescent="0.3">
      <c r="A663" s="495" t="s">
        <v>2306</v>
      </c>
      <c r="B663" s="418" t="s">
        <v>1122</v>
      </c>
      <c r="C663" s="425" t="s">
        <v>1076</v>
      </c>
      <c r="D663" s="438" t="s">
        <v>1086</v>
      </c>
      <c r="E663" s="447">
        <v>29</v>
      </c>
      <c r="F663" s="448">
        <v>45986</v>
      </c>
      <c r="G663" s="447"/>
      <c r="H663" s="428" t="s">
        <v>1078</v>
      </c>
      <c r="I663" s="447"/>
      <c r="J663" s="447"/>
      <c r="K663" s="447" t="s">
        <v>1301</v>
      </c>
      <c r="N663" s="308"/>
      <c r="O663" s="308"/>
      <c r="P663" s="308"/>
      <c r="Q663" s="308"/>
      <c r="R663" s="308"/>
      <c r="S663" s="308"/>
      <c r="T663" s="308"/>
      <c r="U663" s="308"/>
      <c r="V663" s="308"/>
      <c r="W663" s="308"/>
      <c r="X663" s="308"/>
      <c r="Y663" s="308"/>
      <c r="Z663" s="308"/>
    </row>
    <row r="664" spans="1:26" ht="14.25" customHeight="1" x14ac:dyDescent="0.3">
      <c r="A664" s="484" t="s">
        <v>2306</v>
      </c>
      <c r="B664" s="418" t="s">
        <v>1122</v>
      </c>
      <c r="C664" s="447" t="s">
        <v>1144</v>
      </c>
      <c r="D664" s="447" t="s">
        <v>1132</v>
      </c>
      <c r="E664" s="447">
        <v>33</v>
      </c>
      <c r="F664" s="448">
        <v>45989</v>
      </c>
      <c r="G664" s="447"/>
      <c r="H664" s="308" t="s">
        <v>1208</v>
      </c>
      <c r="I664" s="447"/>
      <c r="J664" s="447"/>
      <c r="K664" s="447"/>
      <c r="N664" s="308"/>
      <c r="O664" s="308"/>
      <c r="P664" s="308"/>
      <c r="Q664" s="308"/>
      <c r="R664" s="308"/>
      <c r="S664" s="308"/>
      <c r="T664" s="308"/>
      <c r="U664" s="308"/>
      <c r="V664" s="308"/>
      <c r="W664" s="308"/>
      <c r="X664" s="308"/>
      <c r="Y664" s="308"/>
      <c r="Z664" s="308"/>
    </row>
    <row r="665" spans="1:26" ht="14.25" customHeight="1" x14ac:dyDescent="0.3">
      <c r="A665" s="484" t="s">
        <v>2305</v>
      </c>
      <c r="B665" s="449" t="s">
        <v>1142</v>
      </c>
      <c r="C665" s="425" t="s">
        <v>1076</v>
      </c>
      <c r="D665" s="473" t="s">
        <v>1082</v>
      </c>
      <c r="E665" s="445" t="s">
        <v>1140</v>
      </c>
      <c r="F665" s="446">
        <v>45989</v>
      </c>
      <c r="G665" s="445"/>
      <c r="H665" s="267" t="s">
        <v>1083</v>
      </c>
      <c r="I665" s="445">
        <v>7</v>
      </c>
      <c r="J665" s="445"/>
      <c r="K665" s="445"/>
      <c r="N665" s="308"/>
      <c r="O665" s="308"/>
      <c r="P665" s="308"/>
      <c r="Q665" s="308"/>
      <c r="R665" s="308"/>
      <c r="S665" s="308"/>
      <c r="T665" s="308"/>
      <c r="U665" s="308"/>
      <c r="V665" s="308"/>
      <c r="W665" s="308"/>
      <c r="X665" s="308"/>
      <c r="Y665" s="308"/>
      <c r="Z665" s="308"/>
    </row>
    <row r="666" spans="1:26" ht="14.25" customHeight="1" x14ac:dyDescent="0.3">
      <c r="A666" s="495" t="s">
        <v>2305</v>
      </c>
      <c r="B666" s="418" t="s">
        <v>1122</v>
      </c>
      <c r="C666" s="425" t="s">
        <v>1076</v>
      </c>
      <c r="D666" s="432" t="s">
        <v>1080</v>
      </c>
      <c r="E666" s="447">
        <v>30</v>
      </c>
      <c r="F666" s="448">
        <v>45986</v>
      </c>
      <c r="G666" s="447"/>
      <c r="H666" s="428" t="s">
        <v>1078</v>
      </c>
      <c r="I666" s="447"/>
      <c r="J666" s="447"/>
      <c r="K666" s="447" t="s">
        <v>1304</v>
      </c>
      <c r="N666" s="308"/>
      <c r="O666" s="308"/>
      <c r="P666" s="308"/>
      <c r="Q666" s="308"/>
      <c r="R666" s="308"/>
      <c r="S666" s="308"/>
      <c r="T666" s="308"/>
      <c r="U666" s="308"/>
      <c r="V666" s="308"/>
      <c r="W666" s="308"/>
      <c r="X666" s="308"/>
      <c r="Y666" s="308"/>
      <c r="Z666" s="308"/>
    </row>
    <row r="667" spans="1:26" ht="14.25" customHeight="1" x14ac:dyDescent="0.3">
      <c r="A667" s="484" t="s">
        <v>2307</v>
      </c>
      <c r="B667" s="268" t="s">
        <v>1122</v>
      </c>
      <c r="C667" s="447" t="s">
        <v>1144</v>
      </c>
      <c r="D667" s="447" t="s">
        <v>1138</v>
      </c>
      <c r="E667" s="447">
        <v>35</v>
      </c>
      <c r="F667" s="448">
        <v>45994</v>
      </c>
      <c r="G667" s="447"/>
      <c r="H667" s="447" t="s">
        <v>1238</v>
      </c>
      <c r="I667" s="447"/>
      <c r="J667" s="447"/>
      <c r="K667" s="447" t="s">
        <v>1305</v>
      </c>
      <c r="N667" s="308"/>
      <c r="O667" s="308"/>
      <c r="P667" s="308"/>
      <c r="Q667" s="308"/>
      <c r="R667" s="308"/>
      <c r="S667" s="308"/>
      <c r="T667" s="308"/>
      <c r="U667" s="308"/>
      <c r="V667" s="308"/>
      <c r="W667" s="308"/>
      <c r="X667" s="308"/>
      <c r="Y667" s="308"/>
      <c r="Z667" s="308"/>
    </row>
    <row r="668" spans="1:26" ht="14.25" customHeight="1" x14ac:dyDescent="0.3">
      <c r="A668" s="495" t="s">
        <v>2308</v>
      </c>
      <c r="B668" s="418" t="s">
        <v>1122</v>
      </c>
      <c r="C668" s="425" t="s">
        <v>1076</v>
      </c>
      <c r="D668" s="438" t="s">
        <v>1086</v>
      </c>
      <c r="E668" s="447">
        <v>29</v>
      </c>
      <c r="F668" s="448">
        <v>45986</v>
      </c>
      <c r="G668" s="447"/>
      <c r="H668" s="428" t="s">
        <v>1078</v>
      </c>
      <c r="I668" s="447"/>
      <c r="J668" s="447"/>
      <c r="K668" s="447" t="s">
        <v>1306</v>
      </c>
      <c r="N668" s="308"/>
      <c r="O668" s="308"/>
      <c r="P668" s="308"/>
      <c r="Q668" s="308"/>
      <c r="R668" s="308"/>
      <c r="S668" s="308"/>
      <c r="T668" s="308"/>
      <c r="U668" s="308"/>
      <c r="V668" s="308"/>
      <c r="W668" s="308"/>
      <c r="X668" s="308"/>
      <c r="Y668" s="308"/>
      <c r="Z668" s="308"/>
    </row>
    <row r="669" spans="1:26" ht="14.25" customHeight="1" x14ac:dyDescent="0.3">
      <c r="A669" s="484" t="s">
        <v>2308</v>
      </c>
      <c r="B669" s="418" t="s">
        <v>1122</v>
      </c>
      <c r="C669" s="447" t="s">
        <v>1144</v>
      </c>
      <c r="D669" s="447" t="s">
        <v>1132</v>
      </c>
      <c r="E669" s="447">
        <v>33</v>
      </c>
      <c r="F669" s="448">
        <v>45989</v>
      </c>
      <c r="G669" s="447"/>
      <c r="H669" s="308" t="s">
        <v>1208</v>
      </c>
      <c r="I669" s="447"/>
      <c r="J669" s="447"/>
      <c r="K669" s="447"/>
      <c r="L669" s="447"/>
      <c r="M669" s="447"/>
      <c r="N669" s="308"/>
      <c r="O669" s="308"/>
      <c r="P669" s="308"/>
      <c r="Q669" s="308"/>
      <c r="R669" s="308"/>
      <c r="S669" s="308"/>
      <c r="T669" s="308"/>
      <c r="U669" s="308"/>
      <c r="V669" s="308"/>
      <c r="W669" s="308"/>
      <c r="X669" s="308"/>
      <c r="Y669" s="308"/>
      <c r="Z669" s="308"/>
    </row>
    <row r="670" spans="1:26" ht="14.25" customHeight="1" x14ac:dyDescent="0.3">
      <c r="A670" s="495" t="s">
        <v>2307</v>
      </c>
      <c r="B670" s="418" t="s">
        <v>1122</v>
      </c>
      <c r="C670" s="425" t="s">
        <v>1076</v>
      </c>
      <c r="D670" s="447" t="s">
        <v>1082</v>
      </c>
      <c r="E670" s="447">
        <v>31</v>
      </c>
      <c r="F670" s="448">
        <v>45986</v>
      </c>
      <c r="G670" s="447"/>
      <c r="H670" s="428" t="s">
        <v>1078</v>
      </c>
      <c r="I670" s="447"/>
      <c r="J670" s="447"/>
      <c r="K670" s="447" t="s">
        <v>1307</v>
      </c>
      <c r="N670" s="308"/>
      <c r="O670" s="308"/>
      <c r="P670" s="308"/>
      <c r="Q670" s="308"/>
      <c r="R670" s="308"/>
      <c r="S670" s="308"/>
      <c r="T670" s="308"/>
      <c r="U670" s="308"/>
      <c r="V670" s="308"/>
      <c r="W670" s="308"/>
      <c r="X670" s="308"/>
      <c r="Y670" s="308"/>
      <c r="Z670" s="308"/>
    </row>
    <row r="671" spans="1:26" ht="14.25" customHeight="1" x14ac:dyDescent="0.3">
      <c r="A671" s="484" t="s">
        <v>2307</v>
      </c>
      <c r="B671" s="449" t="s">
        <v>1142</v>
      </c>
      <c r="C671" s="425" t="s">
        <v>1076</v>
      </c>
      <c r="D671" s="473" t="s">
        <v>1082</v>
      </c>
      <c r="E671" s="445" t="s">
        <v>1140</v>
      </c>
      <c r="F671" s="446">
        <v>45989</v>
      </c>
      <c r="G671" s="445"/>
      <c r="H671" s="267" t="s">
        <v>1083</v>
      </c>
      <c r="I671" s="445">
        <v>7</v>
      </c>
      <c r="J671" s="445"/>
      <c r="K671" s="445"/>
      <c r="N671" s="308"/>
      <c r="O671" s="308"/>
      <c r="P671" s="308"/>
      <c r="Q671" s="308"/>
      <c r="R671" s="308"/>
      <c r="S671" s="308"/>
      <c r="T671" s="308"/>
      <c r="U671" s="308"/>
      <c r="V671" s="308"/>
      <c r="W671" s="308"/>
      <c r="X671" s="308"/>
      <c r="Y671" s="308"/>
      <c r="Z671" s="308"/>
    </row>
    <row r="672" spans="1:26" ht="14.25" customHeight="1" x14ac:dyDescent="0.3">
      <c r="A672" s="495" t="s">
        <v>2307</v>
      </c>
      <c r="B672" s="418" t="s">
        <v>1122</v>
      </c>
      <c r="C672" s="425" t="s">
        <v>1076</v>
      </c>
      <c r="D672" s="432" t="s">
        <v>1080</v>
      </c>
      <c r="E672" s="447">
        <v>30</v>
      </c>
      <c r="F672" s="448">
        <v>45986</v>
      </c>
      <c r="G672" s="447"/>
      <c r="H672" s="428" t="s">
        <v>1078</v>
      </c>
      <c r="I672" s="447"/>
      <c r="J672" s="447"/>
      <c r="K672" s="447" t="s">
        <v>1308</v>
      </c>
      <c r="N672" s="308"/>
      <c r="O672" s="308"/>
      <c r="P672" s="308"/>
      <c r="Q672" s="308"/>
      <c r="R672" s="308"/>
      <c r="S672" s="308"/>
      <c r="T672" s="308"/>
      <c r="U672" s="308"/>
      <c r="V672" s="308"/>
      <c r="W672" s="308"/>
      <c r="X672" s="308"/>
      <c r="Y672" s="308"/>
      <c r="Z672" s="308"/>
    </row>
    <row r="673" spans="1:26" ht="14.25" customHeight="1" x14ac:dyDescent="0.3">
      <c r="A673" s="484" t="s">
        <v>2309</v>
      </c>
      <c r="B673" s="268" t="s">
        <v>1122</v>
      </c>
      <c r="C673" s="447"/>
      <c r="D673" s="447" t="s">
        <v>1272</v>
      </c>
      <c r="E673" s="447">
        <v>35</v>
      </c>
      <c r="F673" s="448">
        <v>45994</v>
      </c>
      <c r="G673" s="447"/>
      <c r="H673" s="447" t="s">
        <v>1208</v>
      </c>
      <c r="I673" s="447"/>
      <c r="J673" s="447"/>
      <c r="K673" s="447" t="s">
        <v>1271</v>
      </c>
      <c r="N673" s="308"/>
      <c r="O673" s="308"/>
      <c r="P673" s="308"/>
      <c r="Q673" s="308"/>
      <c r="R673" s="308"/>
      <c r="S673" s="308"/>
      <c r="T673" s="308"/>
      <c r="U673" s="308"/>
      <c r="V673" s="308"/>
      <c r="W673" s="308"/>
      <c r="X673" s="308"/>
      <c r="Y673" s="308"/>
      <c r="Z673" s="308"/>
    </row>
    <row r="674" spans="1:26" ht="14.25" customHeight="1" x14ac:dyDescent="0.3">
      <c r="A674" s="484" t="s">
        <v>2309</v>
      </c>
      <c r="B674" s="449" t="s">
        <v>1142</v>
      </c>
      <c r="C674" s="511" t="s">
        <v>1076</v>
      </c>
      <c r="D674" s="445" t="s">
        <v>1138</v>
      </c>
      <c r="E674" s="512">
        <v>35</v>
      </c>
      <c r="F674" s="513">
        <v>45994</v>
      </c>
      <c r="G674" s="512"/>
      <c r="H674" s="514" t="s">
        <v>1083</v>
      </c>
      <c r="I674" s="512">
        <v>7</v>
      </c>
      <c r="J674" s="512"/>
      <c r="K674" s="512" t="s">
        <v>1309</v>
      </c>
      <c r="N674" s="308"/>
      <c r="O674" s="308"/>
      <c r="P674" s="308"/>
      <c r="Q674" s="308"/>
      <c r="R674" s="308"/>
      <c r="S674" s="308"/>
      <c r="T674" s="308"/>
      <c r="U674" s="308"/>
      <c r="V674" s="308"/>
      <c r="W674" s="308"/>
      <c r="X674" s="308"/>
      <c r="Y674" s="308"/>
      <c r="Z674" s="308"/>
    </row>
    <row r="675" spans="1:26" ht="14.25" customHeight="1" x14ac:dyDescent="0.3">
      <c r="A675" s="494" t="s">
        <v>2310</v>
      </c>
      <c r="B675" s="418" t="s">
        <v>1122</v>
      </c>
      <c r="C675" s="425" t="s">
        <v>1076</v>
      </c>
      <c r="D675" s="438" t="s">
        <v>1086</v>
      </c>
      <c r="E675" s="447">
        <v>29</v>
      </c>
      <c r="F675" s="448">
        <v>45986</v>
      </c>
      <c r="G675" s="447"/>
      <c r="H675" s="428" t="s">
        <v>1078</v>
      </c>
      <c r="I675" s="447"/>
      <c r="J675" s="447"/>
      <c r="K675" s="447" t="s">
        <v>1310</v>
      </c>
      <c r="N675" s="308"/>
      <c r="O675" s="308"/>
      <c r="P675" s="308"/>
      <c r="Q675" s="308"/>
      <c r="R675" s="308"/>
      <c r="S675" s="308"/>
      <c r="T675" s="308"/>
      <c r="U675" s="308"/>
      <c r="V675" s="308"/>
      <c r="W675" s="308"/>
      <c r="X675" s="308"/>
      <c r="Y675" s="308"/>
      <c r="Z675" s="308"/>
    </row>
    <row r="676" spans="1:26" ht="14.25" customHeight="1" x14ac:dyDescent="0.3">
      <c r="A676" s="484" t="s">
        <v>2310</v>
      </c>
      <c r="B676" s="418" t="s">
        <v>1122</v>
      </c>
      <c r="C676" s="447" t="s">
        <v>1144</v>
      </c>
      <c r="D676" s="447" t="s">
        <v>1132</v>
      </c>
      <c r="E676" s="447">
        <v>33</v>
      </c>
      <c r="F676" s="448">
        <v>45989</v>
      </c>
      <c r="G676" s="447"/>
      <c r="H676" s="308" t="s">
        <v>1208</v>
      </c>
      <c r="I676" s="447"/>
      <c r="J676" s="447"/>
      <c r="K676" s="447"/>
      <c r="N676" s="308"/>
      <c r="O676" s="308"/>
      <c r="P676" s="308"/>
      <c r="Q676" s="308"/>
      <c r="R676" s="308"/>
      <c r="S676" s="308"/>
      <c r="T676" s="308"/>
      <c r="U676" s="308"/>
      <c r="V676" s="308"/>
      <c r="W676" s="308"/>
      <c r="X676" s="308"/>
      <c r="Y676" s="308"/>
      <c r="Z676" s="308"/>
    </row>
    <row r="677" spans="1:26" ht="14.25" customHeight="1" x14ac:dyDescent="0.3">
      <c r="A677" s="494" t="s">
        <v>2309</v>
      </c>
      <c r="B677" s="418" t="s">
        <v>1122</v>
      </c>
      <c r="C677" s="425" t="s">
        <v>1076</v>
      </c>
      <c r="D677" s="447" t="s">
        <v>1082</v>
      </c>
      <c r="E677" s="447">
        <v>31</v>
      </c>
      <c r="F677" s="448">
        <v>45986</v>
      </c>
      <c r="G677" s="447"/>
      <c r="H677" s="428" t="s">
        <v>1078</v>
      </c>
      <c r="I677" s="447"/>
      <c r="J677" s="447"/>
      <c r="K677" s="447" t="s">
        <v>1311</v>
      </c>
      <c r="N677" s="308"/>
      <c r="O677" s="308"/>
      <c r="P677" s="308"/>
      <c r="Q677" s="308"/>
      <c r="R677" s="308"/>
      <c r="S677" s="308"/>
      <c r="T677" s="308"/>
      <c r="U677" s="308"/>
      <c r="V677" s="308"/>
      <c r="W677" s="308"/>
      <c r="X677" s="308"/>
      <c r="Y677" s="308"/>
      <c r="Z677" s="308"/>
    </row>
    <row r="678" spans="1:26" ht="14.25" customHeight="1" x14ac:dyDescent="0.3">
      <c r="A678" s="484" t="s">
        <v>2309</v>
      </c>
      <c r="B678" s="418" t="s">
        <v>1122</v>
      </c>
      <c r="C678" s="447" t="s">
        <v>1144</v>
      </c>
      <c r="D678" s="447" t="s">
        <v>1082</v>
      </c>
      <c r="E678" s="447">
        <v>33</v>
      </c>
      <c r="F678" s="448">
        <v>45989</v>
      </c>
      <c r="G678" s="447"/>
      <c r="H678" s="308" t="s">
        <v>1208</v>
      </c>
      <c r="I678" s="447"/>
      <c r="J678" s="447"/>
      <c r="K678" s="447"/>
      <c r="N678" s="308"/>
      <c r="O678" s="308"/>
      <c r="P678" s="308"/>
      <c r="Q678" s="308"/>
      <c r="R678" s="308"/>
      <c r="S678" s="308"/>
      <c r="T678" s="308"/>
      <c r="U678" s="308"/>
      <c r="V678" s="308"/>
      <c r="W678" s="308"/>
      <c r="X678" s="308"/>
      <c r="Y678" s="308"/>
      <c r="Z678" s="308"/>
    </row>
    <row r="679" spans="1:26" ht="14.25" customHeight="1" x14ac:dyDescent="0.3">
      <c r="A679" s="494" t="s">
        <v>2309</v>
      </c>
      <c r="B679" s="418" t="s">
        <v>1122</v>
      </c>
      <c r="C679" s="425" t="s">
        <v>1076</v>
      </c>
      <c r="D679" s="432" t="s">
        <v>1080</v>
      </c>
      <c r="E679" s="447">
        <v>30</v>
      </c>
      <c r="F679" s="448">
        <v>45986</v>
      </c>
      <c r="G679" s="447"/>
      <c r="H679" s="428" t="s">
        <v>1078</v>
      </c>
      <c r="I679" s="447"/>
      <c r="J679" s="447"/>
      <c r="K679" s="447" t="s">
        <v>1312</v>
      </c>
      <c r="N679" s="308"/>
      <c r="O679" s="308"/>
      <c r="P679" s="308"/>
      <c r="Q679" s="308"/>
      <c r="R679" s="308"/>
      <c r="S679" s="308"/>
      <c r="T679" s="308"/>
      <c r="U679" s="308"/>
      <c r="V679" s="308"/>
      <c r="W679" s="308"/>
      <c r="X679" s="308"/>
      <c r="Y679" s="308"/>
      <c r="Z679" s="308"/>
    </row>
    <row r="680" spans="1:26" ht="14.25" customHeight="1" x14ac:dyDescent="0.3">
      <c r="A680" s="491" t="s">
        <v>2311</v>
      </c>
      <c r="B680" s="268" t="s">
        <v>1122</v>
      </c>
      <c r="C680" s="447"/>
      <c r="D680" s="447" t="s">
        <v>1272</v>
      </c>
      <c r="E680" s="447">
        <v>35</v>
      </c>
      <c r="F680" s="448">
        <v>45994</v>
      </c>
      <c r="G680" s="447"/>
      <c r="H680" s="447" t="s">
        <v>1208</v>
      </c>
      <c r="I680" s="447"/>
      <c r="J680" s="447"/>
      <c r="K680" s="447" t="s">
        <v>1271</v>
      </c>
      <c r="N680" s="308"/>
      <c r="O680" s="308"/>
      <c r="P680" s="308"/>
      <c r="Q680" s="308"/>
      <c r="R680" s="308"/>
      <c r="S680" s="308"/>
      <c r="T680" s="308"/>
      <c r="U680" s="308"/>
      <c r="V680" s="308"/>
      <c r="W680" s="308"/>
      <c r="X680" s="308"/>
      <c r="Y680" s="308"/>
      <c r="Z680" s="308"/>
    </row>
    <row r="681" spans="1:26" ht="14.25" customHeight="1" x14ac:dyDescent="0.3">
      <c r="A681" s="492" t="s">
        <v>2311</v>
      </c>
      <c r="B681" s="418" t="s">
        <v>1122</v>
      </c>
      <c r="C681" s="425" t="s">
        <v>1076</v>
      </c>
      <c r="D681" s="447" t="s">
        <v>1082</v>
      </c>
      <c r="E681" s="447">
        <v>31</v>
      </c>
      <c r="F681" s="448">
        <v>45986</v>
      </c>
      <c r="G681" s="447"/>
      <c r="H681" s="428" t="s">
        <v>1078</v>
      </c>
      <c r="I681" s="447"/>
      <c r="J681" s="447"/>
      <c r="K681" s="447" t="s">
        <v>1313</v>
      </c>
      <c r="N681" s="308"/>
      <c r="O681" s="308"/>
      <c r="P681" s="308"/>
      <c r="Q681" s="308"/>
      <c r="R681" s="308"/>
      <c r="S681" s="308"/>
      <c r="T681" s="308"/>
      <c r="U681" s="308"/>
      <c r="V681" s="308"/>
      <c r="W681" s="308"/>
      <c r="X681" s="308"/>
      <c r="Y681" s="308"/>
      <c r="Z681" s="308"/>
    </row>
    <row r="682" spans="1:26" ht="14.25" customHeight="1" x14ac:dyDescent="0.3">
      <c r="A682" s="491" t="s">
        <v>2311</v>
      </c>
      <c r="B682" s="449" t="s">
        <v>1142</v>
      </c>
      <c r="C682" s="511" t="s">
        <v>1076</v>
      </c>
      <c r="D682" s="445" t="s">
        <v>1138</v>
      </c>
      <c r="E682" s="512">
        <v>35</v>
      </c>
      <c r="F682" s="513">
        <v>45994</v>
      </c>
      <c r="G682" s="512"/>
      <c r="H682" s="514" t="s">
        <v>1083</v>
      </c>
      <c r="I682" s="512">
        <v>7</v>
      </c>
      <c r="J682" s="512"/>
      <c r="K682" s="512" t="s">
        <v>1314</v>
      </c>
      <c r="N682" s="308"/>
      <c r="O682" s="308"/>
      <c r="P682" s="308"/>
      <c r="Q682" s="308"/>
      <c r="R682" s="308"/>
      <c r="S682" s="308"/>
      <c r="T682" s="308"/>
      <c r="U682" s="308"/>
      <c r="V682" s="308"/>
      <c r="W682" s="308"/>
      <c r="X682" s="308"/>
      <c r="Y682" s="308"/>
      <c r="Z682" s="308"/>
    </row>
    <row r="683" spans="1:26" ht="14.25" customHeight="1" x14ac:dyDescent="0.3">
      <c r="A683" s="492" t="s">
        <v>2312</v>
      </c>
      <c r="B683" s="418" t="s">
        <v>1122</v>
      </c>
      <c r="C683" s="425" t="s">
        <v>1076</v>
      </c>
      <c r="D683" s="438" t="s">
        <v>1086</v>
      </c>
      <c r="E683" s="447">
        <v>29</v>
      </c>
      <c r="F683" s="448">
        <v>45986</v>
      </c>
      <c r="G683" s="447"/>
      <c r="H683" s="428" t="s">
        <v>1078</v>
      </c>
      <c r="I683" s="447"/>
      <c r="J683" s="447"/>
      <c r="K683" s="447" t="s">
        <v>1315</v>
      </c>
      <c r="N683" s="308"/>
      <c r="O683" s="308"/>
      <c r="P683" s="308"/>
      <c r="Q683" s="308"/>
      <c r="R683" s="308"/>
      <c r="S683" s="308"/>
      <c r="T683" s="308"/>
      <c r="U683" s="308"/>
      <c r="V683" s="308"/>
      <c r="W683" s="308"/>
      <c r="X683" s="308"/>
      <c r="Y683" s="308"/>
      <c r="Z683" s="308"/>
    </row>
    <row r="684" spans="1:26" ht="14.25" customHeight="1" x14ac:dyDescent="0.3">
      <c r="A684" s="491" t="s">
        <v>2312</v>
      </c>
      <c r="B684" s="418" t="s">
        <v>1122</v>
      </c>
      <c r="C684" s="447" t="s">
        <v>1144</v>
      </c>
      <c r="D684" s="447" t="s">
        <v>1132</v>
      </c>
      <c r="E684" s="447">
        <v>33</v>
      </c>
      <c r="F684" s="448">
        <v>45989</v>
      </c>
      <c r="G684" s="447"/>
      <c r="H684" s="308" t="s">
        <v>1208</v>
      </c>
      <c r="I684" s="447"/>
      <c r="J684" s="447"/>
      <c r="K684" s="447"/>
      <c r="N684" s="308"/>
      <c r="O684" s="308"/>
      <c r="P684" s="308"/>
      <c r="Q684" s="308"/>
      <c r="R684" s="308"/>
      <c r="S684" s="308"/>
      <c r="T684" s="308"/>
      <c r="U684" s="308"/>
      <c r="V684" s="308"/>
      <c r="W684" s="308"/>
      <c r="X684" s="308"/>
      <c r="Y684" s="308"/>
      <c r="Z684" s="308"/>
    </row>
    <row r="685" spans="1:26" ht="14.25" customHeight="1" x14ac:dyDescent="0.3">
      <c r="A685" s="491" t="s">
        <v>2311</v>
      </c>
      <c r="B685" s="418" t="s">
        <v>1122</v>
      </c>
      <c r="C685" s="447" t="s">
        <v>1144</v>
      </c>
      <c r="D685" s="447" t="s">
        <v>1082</v>
      </c>
      <c r="E685" s="447">
        <v>33</v>
      </c>
      <c r="F685" s="448">
        <v>45989</v>
      </c>
      <c r="G685" s="447"/>
      <c r="H685" s="308" t="s">
        <v>1208</v>
      </c>
      <c r="I685" s="447"/>
      <c r="J685" s="447"/>
      <c r="K685" s="447"/>
      <c r="N685" s="308"/>
      <c r="O685" s="308"/>
      <c r="P685" s="308"/>
      <c r="Q685" s="308"/>
      <c r="R685" s="308"/>
      <c r="S685" s="308"/>
      <c r="T685" s="308"/>
      <c r="U685" s="308"/>
      <c r="V685" s="308"/>
      <c r="W685" s="308"/>
      <c r="X685" s="308"/>
      <c r="Y685" s="308"/>
      <c r="Z685" s="308"/>
    </row>
    <row r="686" spans="1:26" ht="14.25" customHeight="1" x14ac:dyDescent="0.3">
      <c r="A686" s="492" t="s">
        <v>2311</v>
      </c>
      <c r="B686" s="418" t="s">
        <v>1122</v>
      </c>
      <c r="C686" s="425" t="s">
        <v>1076</v>
      </c>
      <c r="D686" s="432" t="s">
        <v>1080</v>
      </c>
      <c r="E686" s="447">
        <v>30</v>
      </c>
      <c r="F686" s="448">
        <v>45986</v>
      </c>
      <c r="G686" s="447"/>
      <c r="H686" s="428" t="s">
        <v>1078</v>
      </c>
      <c r="I686" s="447"/>
      <c r="J686" s="447"/>
      <c r="K686" s="447" t="s">
        <v>1316</v>
      </c>
      <c r="N686" s="308"/>
      <c r="O686" s="308"/>
      <c r="P686" s="308"/>
      <c r="Q686" s="308"/>
      <c r="R686" s="308"/>
      <c r="S686" s="308"/>
      <c r="T686" s="308"/>
      <c r="U686" s="308"/>
      <c r="V686" s="308"/>
      <c r="W686" s="308"/>
      <c r="X686" s="308"/>
      <c r="Y686" s="308"/>
      <c r="Z686" s="308"/>
    </row>
    <row r="687" spans="1:26" ht="14.25" customHeight="1" x14ac:dyDescent="0.3">
      <c r="A687" s="491" t="s">
        <v>2314</v>
      </c>
      <c r="B687" s="268" t="s">
        <v>1122</v>
      </c>
      <c r="C687" s="447"/>
      <c r="D687" s="447" t="s">
        <v>1272</v>
      </c>
      <c r="E687" s="447">
        <v>35</v>
      </c>
      <c r="F687" s="448">
        <v>45994</v>
      </c>
      <c r="G687" s="447"/>
      <c r="H687" s="447" t="s">
        <v>1208</v>
      </c>
      <c r="I687" s="447"/>
      <c r="J687" s="447"/>
      <c r="K687" s="447" t="s">
        <v>1271</v>
      </c>
      <c r="N687" s="308"/>
      <c r="O687" s="308"/>
      <c r="P687" s="308"/>
      <c r="Q687" s="308"/>
      <c r="R687" s="308"/>
      <c r="S687" s="308"/>
      <c r="T687" s="308"/>
      <c r="U687" s="308"/>
      <c r="V687" s="308"/>
      <c r="W687" s="308"/>
      <c r="X687" s="308"/>
      <c r="Y687" s="308"/>
      <c r="Z687" s="308"/>
    </row>
    <row r="688" spans="1:26" ht="14.25" customHeight="1" x14ac:dyDescent="0.3">
      <c r="A688" s="496" t="s">
        <v>2313</v>
      </c>
      <c r="B688" s="449" t="s">
        <v>1142</v>
      </c>
      <c r="C688" s="425" t="s">
        <v>1076</v>
      </c>
      <c r="D688" s="529" t="s">
        <v>1086</v>
      </c>
      <c r="E688" s="447">
        <v>29</v>
      </c>
      <c r="F688" s="448">
        <v>45986</v>
      </c>
      <c r="G688" s="447"/>
      <c r="H688" s="267" t="s">
        <v>1083</v>
      </c>
      <c r="I688" s="445">
        <v>7</v>
      </c>
      <c r="J688" s="445"/>
      <c r="K688" s="445" t="s">
        <v>1317</v>
      </c>
      <c r="N688" s="308"/>
      <c r="O688" s="308"/>
      <c r="P688" s="308"/>
      <c r="Q688" s="308"/>
      <c r="R688" s="308"/>
      <c r="S688" s="308"/>
      <c r="T688" s="308"/>
      <c r="U688" s="308"/>
      <c r="V688" s="308"/>
      <c r="W688" s="308"/>
      <c r="X688" s="308"/>
      <c r="Y688" s="308"/>
      <c r="Z688" s="308"/>
    </row>
    <row r="689" spans="1:26" ht="14.25" customHeight="1" x14ac:dyDescent="0.3">
      <c r="A689" s="491" t="s">
        <v>2313</v>
      </c>
      <c r="B689" s="449" t="s">
        <v>1142</v>
      </c>
      <c r="C689" s="425" t="s">
        <v>1076</v>
      </c>
      <c r="D689" s="535" t="s">
        <v>1132</v>
      </c>
      <c r="E689" s="447" t="s">
        <v>1140</v>
      </c>
      <c r="F689" s="448">
        <v>45989</v>
      </c>
      <c r="G689" s="447"/>
      <c r="H689" s="267" t="s">
        <v>1083</v>
      </c>
      <c r="I689" s="445">
        <v>7</v>
      </c>
      <c r="J689" s="445"/>
      <c r="K689" s="445"/>
      <c r="N689" s="308"/>
      <c r="O689" s="308"/>
      <c r="P689" s="308"/>
      <c r="Q689" s="308"/>
      <c r="R689" s="308"/>
      <c r="S689" s="308"/>
      <c r="T689" s="308"/>
      <c r="U689" s="308"/>
      <c r="V689" s="308"/>
      <c r="W689" s="308"/>
      <c r="X689" s="308"/>
      <c r="Y689" s="308"/>
      <c r="Z689" s="308"/>
    </row>
    <row r="690" spans="1:26" ht="14.25" customHeight="1" x14ac:dyDescent="0.3">
      <c r="A690" s="496" t="s">
        <v>2314</v>
      </c>
      <c r="B690" s="418" t="s">
        <v>1122</v>
      </c>
      <c r="C690" s="425" t="s">
        <v>1076</v>
      </c>
      <c r="D690" s="447" t="s">
        <v>1082</v>
      </c>
      <c r="E690" s="447">
        <v>31</v>
      </c>
      <c r="F690" s="448">
        <v>45986</v>
      </c>
      <c r="G690" s="447"/>
      <c r="H690" s="428" t="s">
        <v>1078</v>
      </c>
      <c r="I690" s="447"/>
      <c r="J690" s="447"/>
      <c r="K690" s="447" t="s">
        <v>1318</v>
      </c>
      <c r="N690" s="308"/>
      <c r="O690" s="308"/>
      <c r="P690" s="308"/>
      <c r="Q690" s="308"/>
      <c r="R690" s="308"/>
      <c r="S690" s="308"/>
      <c r="T690" s="308"/>
      <c r="U690" s="308"/>
      <c r="V690" s="308"/>
      <c r="W690" s="308"/>
      <c r="X690" s="308"/>
      <c r="Y690" s="308"/>
      <c r="Z690" s="308"/>
    </row>
    <row r="691" spans="1:26" ht="14.25" customHeight="1" x14ac:dyDescent="0.3">
      <c r="A691" s="491" t="s">
        <v>2314</v>
      </c>
      <c r="B691" s="418" t="s">
        <v>1122</v>
      </c>
      <c r="C691" s="447" t="s">
        <v>1144</v>
      </c>
      <c r="D691" s="447" t="s">
        <v>1082</v>
      </c>
      <c r="E691" s="447">
        <v>33</v>
      </c>
      <c r="F691" s="448">
        <v>45989</v>
      </c>
      <c r="G691" s="447"/>
      <c r="H691" s="308" t="s">
        <v>1208</v>
      </c>
      <c r="I691" s="447"/>
      <c r="J691" s="447"/>
      <c r="K691" s="447"/>
      <c r="N691" s="308"/>
      <c r="O691" s="308"/>
      <c r="P691" s="308"/>
      <c r="Q691" s="308"/>
      <c r="R691" s="308"/>
      <c r="S691" s="308"/>
      <c r="T691" s="308"/>
      <c r="U691" s="308"/>
      <c r="V691" s="308"/>
      <c r="W691" s="308"/>
      <c r="X691" s="308"/>
      <c r="Y691" s="308"/>
      <c r="Z691" s="308"/>
    </row>
    <row r="692" spans="1:26" ht="14.25" customHeight="1" x14ac:dyDescent="0.3">
      <c r="A692" s="496" t="s">
        <v>2314</v>
      </c>
      <c r="B692" s="418" t="s">
        <v>1122</v>
      </c>
      <c r="C692" s="425" t="s">
        <v>1076</v>
      </c>
      <c r="D692" s="432" t="s">
        <v>1080</v>
      </c>
      <c r="E692" s="447">
        <v>30</v>
      </c>
      <c r="F692" s="448">
        <v>45986</v>
      </c>
      <c r="G692" s="447"/>
      <c r="H692" s="428" t="s">
        <v>1078</v>
      </c>
      <c r="I692" s="447"/>
      <c r="J692" s="447"/>
      <c r="K692" s="447" t="s">
        <v>1319</v>
      </c>
      <c r="N692" s="308"/>
      <c r="O692" s="308"/>
      <c r="P692" s="308"/>
      <c r="Q692" s="308"/>
      <c r="R692" s="308"/>
      <c r="S692" s="308"/>
      <c r="T692" s="308"/>
      <c r="U692" s="308"/>
      <c r="V692" s="308"/>
      <c r="W692" s="308"/>
      <c r="X692" s="308"/>
      <c r="Y692" s="308"/>
      <c r="Z692" s="308"/>
    </row>
    <row r="693" spans="1:26" ht="14.25" customHeight="1" x14ac:dyDescent="0.3">
      <c r="A693" s="496" t="s">
        <v>2315</v>
      </c>
      <c r="B693" s="418" t="s">
        <v>1122</v>
      </c>
      <c r="C693" s="425" t="s">
        <v>1076</v>
      </c>
      <c r="D693" s="432" t="s">
        <v>1080</v>
      </c>
      <c r="E693" s="447">
        <v>30</v>
      </c>
      <c r="F693" s="448">
        <v>45986</v>
      </c>
      <c r="G693" s="447"/>
      <c r="H693" s="428" t="s">
        <v>1078</v>
      </c>
      <c r="I693" s="447"/>
      <c r="J693" s="447"/>
      <c r="K693" s="447" t="s">
        <v>1321</v>
      </c>
      <c r="N693" s="308"/>
      <c r="O693" s="308"/>
      <c r="P693" s="308"/>
      <c r="Q693" s="308"/>
      <c r="R693" s="308"/>
      <c r="S693" s="308"/>
      <c r="T693" s="308"/>
      <c r="U693" s="308"/>
      <c r="V693" s="308"/>
      <c r="W693" s="308"/>
      <c r="X693" s="308"/>
      <c r="Y693" s="308"/>
      <c r="Z693" s="308"/>
    </row>
    <row r="694" spans="1:26" s="445" customFormat="1" ht="14.25" customHeight="1" x14ac:dyDescent="0.3">
      <c r="A694" s="496" t="s">
        <v>2316</v>
      </c>
      <c r="B694" s="449" t="s">
        <v>1142</v>
      </c>
      <c r="C694" s="425" t="s">
        <v>1076</v>
      </c>
      <c r="D694" s="529" t="s">
        <v>1086</v>
      </c>
      <c r="E694" s="447">
        <v>29</v>
      </c>
      <c r="F694" s="448">
        <v>45986</v>
      </c>
      <c r="G694" s="447"/>
      <c r="H694" s="267" t="s">
        <v>1083</v>
      </c>
      <c r="I694" s="445">
        <v>7</v>
      </c>
      <c r="K694" s="445" t="s">
        <v>1322</v>
      </c>
      <c r="N694" s="267"/>
      <c r="O694" s="267"/>
      <c r="P694" s="267"/>
      <c r="Q694" s="267"/>
      <c r="R694" s="267"/>
      <c r="S694" s="267"/>
      <c r="T694" s="267"/>
      <c r="U694" s="267"/>
      <c r="V694" s="267"/>
      <c r="W694" s="267"/>
      <c r="X694" s="267"/>
      <c r="Y694" s="267"/>
      <c r="Z694" s="267"/>
    </row>
    <row r="695" spans="1:26" ht="14.25" customHeight="1" x14ac:dyDescent="0.3">
      <c r="A695" s="491" t="s">
        <v>2316</v>
      </c>
      <c r="B695" s="449" t="s">
        <v>1142</v>
      </c>
      <c r="C695" s="425" t="s">
        <v>1076</v>
      </c>
      <c r="D695" s="535" t="s">
        <v>1132</v>
      </c>
      <c r="E695" s="447" t="s">
        <v>1140</v>
      </c>
      <c r="F695" s="448">
        <v>45989</v>
      </c>
      <c r="G695" s="447"/>
      <c r="H695" s="267" t="s">
        <v>1083</v>
      </c>
      <c r="I695" s="445">
        <v>7</v>
      </c>
      <c r="J695" s="445"/>
      <c r="K695" s="445"/>
      <c r="N695" s="308"/>
      <c r="O695" s="308"/>
      <c r="P695" s="308"/>
      <c r="Q695" s="308"/>
      <c r="R695" s="308"/>
      <c r="S695" s="308"/>
      <c r="T695" s="308"/>
      <c r="U695" s="308"/>
      <c r="V695" s="308"/>
      <c r="W695" s="308"/>
      <c r="X695" s="308"/>
      <c r="Y695" s="308"/>
      <c r="Z695" s="308"/>
    </row>
    <row r="696" spans="1:26" ht="14.25" customHeight="1" x14ac:dyDescent="0.3">
      <c r="A696" s="496" t="s">
        <v>2315</v>
      </c>
      <c r="B696" s="418" t="s">
        <v>1122</v>
      </c>
      <c r="C696" s="425" t="s">
        <v>1076</v>
      </c>
      <c r="D696" s="447" t="s">
        <v>1082</v>
      </c>
      <c r="E696" s="447">
        <v>31</v>
      </c>
      <c r="F696" s="448">
        <v>45986</v>
      </c>
      <c r="G696" s="447"/>
      <c r="H696" s="428" t="s">
        <v>1078</v>
      </c>
      <c r="I696" s="447"/>
      <c r="J696" s="447"/>
      <c r="K696" s="447" t="s">
        <v>1323</v>
      </c>
      <c r="N696" s="308"/>
      <c r="O696" s="308"/>
      <c r="P696" s="308"/>
      <c r="Q696" s="308"/>
      <c r="R696" s="308"/>
      <c r="S696" s="308"/>
      <c r="T696" s="308"/>
      <c r="U696" s="308"/>
      <c r="V696" s="308"/>
      <c r="W696" s="308"/>
      <c r="X696" s="308"/>
      <c r="Y696" s="308"/>
      <c r="Z696" s="308"/>
    </row>
    <row r="697" spans="1:26" ht="14.25" customHeight="1" x14ac:dyDescent="0.3">
      <c r="A697" s="491" t="s">
        <v>2315</v>
      </c>
      <c r="B697" s="449" t="s">
        <v>1142</v>
      </c>
      <c r="C697" s="425" t="s">
        <v>1076</v>
      </c>
      <c r="D697" s="473" t="s">
        <v>1082</v>
      </c>
      <c r="E697" s="445" t="s">
        <v>1140</v>
      </c>
      <c r="F697" s="446">
        <v>45989</v>
      </c>
      <c r="G697" s="445"/>
      <c r="H697" s="267" t="s">
        <v>1083</v>
      </c>
      <c r="I697" s="445">
        <v>7</v>
      </c>
      <c r="J697" s="445"/>
      <c r="K697" s="445"/>
      <c r="N697" s="308"/>
      <c r="O697" s="308"/>
      <c r="P697" s="308"/>
      <c r="Q697" s="308"/>
      <c r="R697" s="308"/>
      <c r="S697" s="308"/>
      <c r="T697" s="308"/>
      <c r="U697" s="308"/>
      <c r="V697" s="308"/>
      <c r="W697" s="308"/>
      <c r="X697" s="308"/>
      <c r="Y697" s="308"/>
      <c r="Z697" s="308"/>
    </row>
    <row r="698" spans="1:26" ht="14.25" customHeight="1" x14ac:dyDescent="0.3">
      <c r="A698" s="352" t="s">
        <v>1185</v>
      </c>
      <c r="B698" s="424" t="s">
        <v>1122</v>
      </c>
      <c r="C698" s="425" t="s">
        <v>1076</v>
      </c>
      <c r="D698" s="438" t="s">
        <v>1086</v>
      </c>
      <c r="E698" s="439">
        <v>20</v>
      </c>
      <c r="F698" s="428">
        <v>45912</v>
      </c>
      <c r="G698" s="423" t="s">
        <v>451</v>
      </c>
      <c r="H698" s="428" t="s">
        <v>1078</v>
      </c>
      <c r="I698" s="423" t="s">
        <v>451</v>
      </c>
      <c r="J698" s="423" t="s">
        <v>451</v>
      </c>
      <c r="K698" s="308"/>
      <c r="N698" s="308"/>
      <c r="O698" s="308"/>
      <c r="P698" s="308"/>
      <c r="Q698" s="308"/>
      <c r="R698" s="308"/>
      <c r="S698" s="308"/>
      <c r="T698" s="308"/>
      <c r="U698" s="308"/>
      <c r="V698" s="308"/>
      <c r="W698" s="308"/>
      <c r="X698" s="308"/>
      <c r="Y698" s="308"/>
      <c r="Z698" s="308"/>
    </row>
    <row r="699" spans="1:26" ht="14.25" customHeight="1" x14ac:dyDescent="0.3">
      <c r="A699" s="475" t="s">
        <v>2317</v>
      </c>
      <c r="B699" s="430" t="s">
        <v>1122</v>
      </c>
      <c r="C699" s="425" t="s">
        <v>1076</v>
      </c>
      <c r="D699" s="438" t="s">
        <v>1086</v>
      </c>
      <c r="E699" s="423">
        <v>22</v>
      </c>
      <c r="F699" s="428">
        <v>45936</v>
      </c>
      <c r="G699" s="423" t="s">
        <v>451</v>
      </c>
      <c r="H699" s="428" t="s">
        <v>1078</v>
      </c>
      <c r="I699" s="423" t="s">
        <v>451</v>
      </c>
      <c r="J699" s="423" t="s">
        <v>451</v>
      </c>
      <c r="K699" s="308"/>
      <c r="N699" s="308"/>
      <c r="O699" s="308"/>
      <c r="P699" s="308"/>
      <c r="Q699" s="308"/>
      <c r="R699" s="308"/>
      <c r="S699" s="308"/>
      <c r="T699" s="308"/>
      <c r="U699" s="308"/>
      <c r="V699" s="308"/>
      <c r="W699" s="308"/>
      <c r="X699" s="308"/>
      <c r="Y699" s="308"/>
      <c r="Z699" s="308"/>
    </row>
    <row r="700" spans="1:26" ht="14.25" customHeight="1" x14ac:dyDescent="0.3">
      <c r="A700" s="475" t="s">
        <v>2317</v>
      </c>
      <c r="B700" s="430" t="s">
        <v>1122</v>
      </c>
      <c r="C700" s="425" t="s">
        <v>1076</v>
      </c>
      <c r="D700" s="472" t="s">
        <v>1155</v>
      </c>
      <c r="E700" s="423">
        <v>22</v>
      </c>
      <c r="F700" s="428">
        <v>45936</v>
      </c>
      <c r="G700" s="423" t="s">
        <v>451</v>
      </c>
      <c r="H700" s="428" t="s">
        <v>1078</v>
      </c>
      <c r="I700" s="423" t="s">
        <v>451</v>
      </c>
      <c r="J700" s="423" t="s">
        <v>451</v>
      </c>
      <c r="K700" s="308"/>
      <c r="N700" s="308"/>
      <c r="O700" s="308"/>
      <c r="P700" s="308"/>
      <c r="Q700" s="308"/>
      <c r="R700" s="308"/>
      <c r="S700" s="308"/>
      <c r="T700" s="308"/>
      <c r="U700" s="308"/>
      <c r="V700" s="308"/>
      <c r="W700" s="308"/>
      <c r="X700" s="308"/>
      <c r="Y700" s="308"/>
      <c r="Z700" s="308"/>
    </row>
    <row r="701" spans="1:26" ht="14.25" customHeight="1" x14ac:dyDescent="0.3">
      <c r="A701" s="475" t="s">
        <v>1186</v>
      </c>
      <c r="B701" s="430" t="s">
        <v>1122</v>
      </c>
      <c r="C701" s="425" t="s">
        <v>1076</v>
      </c>
      <c r="D701" s="308" t="s">
        <v>1077</v>
      </c>
      <c r="E701" s="308">
        <v>24</v>
      </c>
      <c r="F701" s="431">
        <v>45951</v>
      </c>
      <c r="G701" s="308"/>
      <c r="H701" s="428" t="s">
        <v>1078</v>
      </c>
      <c r="I701" s="308"/>
      <c r="J701" s="308"/>
      <c r="K701" s="308"/>
      <c r="N701" s="308"/>
      <c r="O701" s="308"/>
      <c r="P701" s="308"/>
      <c r="Q701" s="308"/>
      <c r="R701" s="308"/>
      <c r="S701" s="308"/>
      <c r="T701" s="308"/>
      <c r="U701" s="308"/>
      <c r="V701" s="308"/>
      <c r="W701" s="308"/>
      <c r="X701" s="308"/>
      <c r="Y701" s="308"/>
      <c r="Z701" s="308"/>
    </row>
    <row r="702" spans="1:26" ht="14.25" customHeight="1" x14ac:dyDescent="0.3">
      <c r="A702" s="481" t="s">
        <v>1186</v>
      </c>
      <c r="B702" s="424" t="s">
        <v>1122</v>
      </c>
      <c r="C702" s="425" t="s">
        <v>1076</v>
      </c>
      <c r="D702" s="472" t="s">
        <v>1155</v>
      </c>
      <c r="E702" s="423">
        <v>21</v>
      </c>
      <c r="F702" s="428">
        <v>45929</v>
      </c>
      <c r="G702" s="423" t="s">
        <v>451</v>
      </c>
      <c r="H702" s="428" t="s">
        <v>1078</v>
      </c>
      <c r="I702" s="423" t="s">
        <v>451</v>
      </c>
      <c r="J702" s="423" t="s">
        <v>451</v>
      </c>
      <c r="K702" s="308"/>
      <c r="L702" s="447"/>
      <c r="M702" s="447"/>
      <c r="N702" s="308"/>
      <c r="O702" s="308"/>
      <c r="P702" s="308"/>
      <c r="Q702" s="308"/>
      <c r="R702" s="308"/>
      <c r="S702" s="308"/>
      <c r="T702" s="308"/>
      <c r="U702" s="308"/>
      <c r="V702" s="308"/>
      <c r="W702" s="308"/>
      <c r="X702" s="308"/>
      <c r="Y702" s="308"/>
      <c r="Z702" s="308"/>
    </row>
    <row r="703" spans="1:26" ht="14.25" customHeight="1" x14ac:dyDescent="0.3">
      <c r="A703" s="352" t="s">
        <v>2238</v>
      </c>
      <c r="B703" s="433" t="s">
        <v>1142</v>
      </c>
      <c r="C703" s="425" t="s">
        <v>1180</v>
      </c>
      <c r="D703" s="544" t="s">
        <v>1082</v>
      </c>
      <c r="E703" s="427">
        <v>18</v>
      </c>
      <c r="F703" s="428">
        <v>45835</v>
      </c>
      <c r="G703" s="428">
        <v>45905</v>
      </c>
      <c r="H703" s="435" t="s">
        <v>1083</v>
      </c>
      <c r="I703" s="427">
        <v>2</v>
      </c>
      <c r="J703" s="428">
        <v>45910</v>
      </c>
      <c r="K703" s="308"/>
      <c r="N703" s="308"/>
      <c r="O703" s="308"/>
      <c r="P703" s="308"/>
      <c r="Q703" s="308"/>
      <c r="R703" s="308"/>
      <c r="S703" s="308"/>
      <c r="T703" s="308"/>
      <c r="U703" s="308"/>
      <c r="V703" s="308"/>
      <c r="W703" s="308"/>
      <c r="X703" s="308"/>
      <c r="Y703" s="308"/>
      <c r="Z703" s="308"/>
    </row>
    <row r="704" spans="1:26" ht="14.25" customHeight="1" x14ac:dyDescent="0.3">
      <c r="A704" s="352" t="s">
        <v>1187</v>
      </c>
      <c r="B704" s="433" t="s">
        <v>1142</v>
      </c>
      <c r="C704" s="511" t="s">
        <v>1087</v>
      </c>
      <c r="D704" s="442" t="s">
        <v>1088</v>
      </c>
      <c r="E704" s="427">
        <v>4</v>
      </c>
      <c r="F704" s="440">
        <v>45817</v>
      </c>
      <c r="G704" s="423" t="s">
        <v>451</v>
      </c>
      <c r="H704" s="435" t="s">
        <v>1083</v>
      </c>
      <c r="I704" s="439">
        <v>1</v>
      </c>
      <c r="J704" s="428">
        <v>45824</v>
      </c>
      <c r="K704" s="308"/>
      <c r="N704" s="308"/>
      <c r="O704" s="308"/>
      <c r="P704" s="308"/>
      <c r="Q704" s="308"/>
      <c r="R704" s="308"/>
      <c r="S704" s="308"/>
      <c r="T704" s="308"/>
      <c r="U704" s="308"/>
      <c r="V704" s="308"/>
      <c r="W704" s="308"/>
      <c r="X704" s="308"/>
      <c r="Y704" s="308"/>
      <c r="Z704" s="308"/>
    </row>
    <row r="705" spans="1:26" s="445" customFormat="1" ht="14.25" customHeight="1" x14ac:dyDescent="0.3">
      <c r="A705" s="352" t="s">
        <v>1188</v>
      </c>
      <c r="B705" s="433" t="s">
        <v>1142</v>
      </c>
      <c r="C705" s="511" t="s">
        <v>1087</v>
      </c>
      <c r="D705" s="442" t="s">
        <v>1088</v>
      </c>
      <c r="E705" s="427">
        <v>4</v>
      </c>
      <c r="F705" s="440">
        <v>45817</v>
      </c>
      <c r="G705" s="423" t="s">
        <v>451</v>
      </c>
      <c r="H705" s="435" t="s">
        <v>1083</v>
      </c>
      <c r="I705" s="439">
        <v>1</v>
      </c>
      <c r="J705" s="428">
        <v>45824</v>
      </c>
      <c r="K705" s="308"/>
      <c r="N705" s="267"/>
      <c r="O705" s="267"/>
      <c r="P705" s="267"/>
      <c r="Q705" s="267"/>
      <c r="R705" s="267"/>
      <c r="S705" s="267"/>
      <c r="T705" s="267"/>
      <c r="U705" s="267"/>
      <c r="V705" s="267"/>
      <c r="W705" s="267"/>
      <c r="X705" s="267"/>
      <c r="Y705" s="267"/>
      <c r="Z705" s="267"/>
    </row>
    <row r="706" spans="1:26" ht="14.25" customHeight="1" x14ac:dyDescent="0.3">
      <c r="A706" s="415" t="s">
        <v>2242</v>
      </c>
      <c r="B706" s="433" t="s">
        <v>1142</v>
      </c>
      <c r="C706" s="511" t="s">
        <v>1180</v>
      </c>
      <c r="D706" s="517" t="s">
        <v>1088</v>
      </c>
      <c r="E706" s="308"/>
      <c r="F706" s="308"/>
      <c r="G706" s="428">
        <v>45905</v>
      </c>
      <c r="H706" s="428" t="s">
        <v>1078</v>
      </c>
      <c r="I706" s="308"/>
      <c r="J706" s="308"/>
      <c r="K706" s="308"/>
      <c r="N706" s="308"/>
      <c r="O706" s="308"/>
      <c r="P706" s="308"/>
      <c r="Q706" s="308"/>
      <c r="R706" s="308"/>
      <c r="S706" s="308"/>
      <c r="T706" s="308"/>
      <c r="U706" s="308"/>
      <c r="V706" s="308"/>
      <c r="W706" s="308"/>
      <c r="X706" s="308"/>
      <c r="Y706" s="308"/>
      <c r="Z706" s="308"/>
    </row>
    <row r="707" spans="1:26" ht="14.25" customHeight="1" x14ac:dyDescent="0.3">
      <c r="A707" s="352" t="s">
        <v>1189</v>
      </c>
      <c r="B707" s="424" t="s">
        <v>1122</v>
      </c>
      <c r="C707" s="425" t="s">
        <v>1087</v>
      </c>
      <c r="D707" s="441" t="s">
        <v>1088</v>
      </c>
      <c r="E707" s="427">
        <v>4</v>
      </c>
      <c r="F707" s="440">
        <v>45817</v>
      </c>
      <c r="G707" s="423" t="s">
        <v>451</v>
      </c>
      <c r="H707" s="428" t="s">
        <v>1078</v>
      </c>
      <c r="I707" s="423" t="s">
        <v>451</v>
      </c>
      <c r="J707" s="423" t="s">
        <v>451</v>
      </c>
      <c r="K707" s="308"/>
      <c r="N707" s="308"/>
      <c r="O707" s="308"/>
      <c r="P707" s="308"/>
      <c r="Q707" s="308"/>
      <c r="R707" s="308"/>
      <c r="S707" s="308"/>
      <c r="T707" s="308"/>
      <c r="U707" s="308"/>
      <c r="V707" s="308"/>
      <c r="W707" s="308"/>
      <c r="X707" s="308"/>
      <c r="Y707" s="308"/>
      <c r="Z707" s="308"/>
    </row>
    <row r="708" spans="1:26" ht="14.25" customHeight="1" x14ac:dyDescent="0.3">
      <c r="A708" s="421" t="s">
        <v>1189</v>
      </c>
      <c r="B708" s="433" t="s">
        <v>1142</v>
      </c>
      <c r="C708" s="425" t="s">
        <v>1180</v>
      </c>
      <c r="D708" s="544" t="s">
        <v>1082</v>
      </c>
      <c r="E708" s="427">
        <v>18</v>
      </c>
      <c r="F708" s="428">
        <v>45835</v>
      </c>
      <c r="G708" s="428">
        <v>45905</v>
      </c>
      <c r="H708" s="435" t="s">
        <v>1083</v>
      </c>
      <c r="I708" s="427">
        <v>3</v>
      </c>
      <c r="J708" s="428">
        <v>45910</v>
      </c>
      <c r="K708" s="308"/>
      <c r="N708" s="308"/>
      <c r="O708" s="308"/>
      <c r="P708" s="308"/>
      <c r="Q708" s="308"/>
      <c r="R708" s="308"/>
      <c r="S708" s="308"/>
      <c r="T708" s="308"/>
      <c r="U708" s="308"/>
      <c r="V708" s="308"/>
      <c r="W708" s="308"/>
      <c r="X708" s="308"/>
      <c r="Y708" s="308"/>
      <c r="Z708" s="308"/>
    </row>
    <row r="709" spans="1:26" ht="14.25" customHeight="1" x14ac:dyDescent="0.3">
      <c r="A709" s="352" t="s">
        <v>1190</v>
      </c>
      <c r="B709" s="433" t="s">
        <v>1142</v>
      </c>
      <c r="C709" s="511" t="s">
        <v>1087</v>
      </c>
      <c r="D709" s="442" t="s">
        <v>1088</v>
      </c>
      <c r="E709" s="427">
        <v>4</v>
      </c>
      <c r="F709" s="440">
        <v>45817</v>
      </c>
      <c r="G709" s="423" t="s">
        <v>451</v>
      </c>
      <c r="H709" s="435" t="s">
        <v>1083</v>
      </c>
      <c r="I709" s="439">
        <v>1</v>
      </c>
      <c r="J709" s="428">
        <v>45824</v>
      </c>
      <c r="K709" s="308"/>
      <c r="N709" s="308"/>
      <c r="O709" s="308"/>
      <c r="P709" s="308"/>
      <c r="Q709" s="308"/>
      <c r="R709" s="308"/>
      <c r="S709" s="308"/>
      <c r="T709" s="308"/>
      <c r="U709" s="308"/>
      <c r="V709" s="308"/>
      <c r="W709" s="308"/>
      <c r="X709" s="308"/>
      <c r="Y709" s="308"/>
      <c r="Z709" s="308"/>
    </row>
    <row r="710" spans="1:26" s="445" customFormat="1" ht="14.25" customHeight="1" x14ac:dyDescent="0.3">
      <c r="A710" s="352" t="s">
        <v>1191</v>
      </c>
      <c r="B710" s="433" t="s">
        <v>1142</v>
      </c>
      <c r="C710" s="511" t="s">
        <v>1087</v>
      </c>
      <c r="D710" s="442" t="s">
        <v>1088</v>
      </c>
      <c r="E710" s="427">
        <v>4</v>
      </c>
      <c r="F710" s="440">
        <v>45817</v>
      </c>
      <c r="G710" s="423" t="s">
        <v>451</v>
      </c>
      <c r="H710" s="435" t="s">
        <v>1083</v>
      </c>
      <c r="I710" s="439">
        <v>1</v>
      </c>
      <c r="J710" s="428">
        <v>45824</v>
      </c>
      <c r="K710" s="308"/>
      <c r="N710" s="267"/>
      <c r="O710" s="267"/>
      <c r="P710" s="267"/>
      <c r="Q710" s="267"/>
      <c r="R710" s="267"/>
      <c r="S710" s="267"/>
      <c r="T710" s="267"/>
      <c r="U710" s="267"/>
      <c r="V710" s="267"/>
      <c r="W710" s="267"/>
      <c r="X710" s="267"/>
      <c r="Y710" s="267"/>
      <c r="Z710" s="267"/>
    </row>
    <row r="711" spans="1:26" s="445" customFormat="1" ht="14.25" customHeight="1" x14ac:dyDescent="0.3">
      <c r="A711" s="352" t="s">
        <v>1192</v>
      </c>
      <c r="B711" s="433" t="s">
        <v>1142</v>
      </c>
      <c r="C711" s="511" t="s">
        <v>1087</v>
      </c>
      <c r="D711" s="442" t="s">
        <v>1088</v>
      </c>
      <c r="E711" s="427">
        <v>4</v>
      </c>
      <c r="F711" s="440">
        <v>45817</v>
      </c>
      <c r="G711" s="423" t="s">
        <v>451</v>
      </c>
      <c r="H711" s="435" t="s">
        <v>1083</v>
      </c>
      <c r="I711" s="439">
        <v>1</v>
      </c>
      <c r="J711" s="428">
        <v>45824</v>
      </c>
      <c r="K711" s="308"/>
      <c r="N711" s="267"/>
      <c r="O711" s="267"/>
      <c r="P711" s="267"/>
      <c r="Q711" s="267"/>
      <c r="R711" s="267"/>
      <c r="S711" s="267"/>
      <c r="T711" s="267"/>
      <c r="U711" s="267"/>
      <c r="V711" s="267"/>
      <c r="W711" s="267"/>
      <c r="X711" s="267"/>
      <c r="Y711" s="267"/>
      <c r="Z711" s="267"/>
    </row>
    <row r="712" spans="1:26" s="445" customFormat="1" ht="14.25" customHeight="1" x14ac:dyDescent="0.3">
      <c r="A712" s="352" t="s">
        <v>1193</v>
      </c>
      <c r="B712" s="433" t="s">
        <v>1142</v>
      </c>
      <c r="C712" s="511" t="s">
        <v>1087</v>
      </c>
      <c r="D712" s="442" t="s">
        <v>1088</v>
      </c>
      <c r="E712" s="427">
        <v>4</v>
      </c>
      <c r="F712" s="440">
        <v>45817</v>
      </c>
      <c r="G712" s="423" t="s">
        <v>451</v>
      </c>
      <c r="H712" s="435" t="s">
        <v>1083</v>
      </c>
      <c r="I712" s="439">
        <v>1</v>
      </c>
      <c r="J712" s="428">
        <v>45824</v>
      </c>
      <c r="K712" s="308"/>
      <c r="N712" s="267"/>
      <c r="O712" s="267"/>
      <c r="P712" s="267"/>
      <c r="Q712" s="267"/>
      <c r="R712" s="267"/>
      <c r="S712" s="267"/>
      <c r="T712" s="267"/>
      <c r="U712" s="267"/>
      <c r="V712" s="267"/>
      <c r="W712" s="267"/>
      <c r="X712" s="267"/>
      <c r="Y712" s="267"/>
      <c r="Z712" s="267"/>
    </row>
    <row r="713" spans="1:26" s="445" customFormat="1" ht="14.25" customHeight="1" x14ac:dyDescent="0.3">
      <c r="A713" s="352" t="s">
        <v>1194</v>
      </c>
      <c r="B713" s="433" t="s">
        <v>1142</v>
      </c>
      <c r="C713" s="511" t="s">
        <v>1087</v>
      </c>
      <c r="D713" s="442" t="s">
        <v>1088</v>
      </c>
      <c r="E713" s="427">
        <v>4</v>
      </c>
      <c r="F713" s="440">
        <v>45817</v>
      </c>
      <c r="G713" s="423" t="s">
        <v>451</v>
      </c>
      <c r="H713" s="435" t="s">
        <v>1083</v>
      </c>
      <c r="I713" s="439">
        <v>1</v>
      </c>
      <c r="J713" s="428">
        <v>45824</v>
      </c>
      <c r="K713" s="308"/>
      <c r="N713" s="267"/>
      <c r="O713" s="267"/>
      <c r="P713" s="267"/>
      <c r="Q713" s="267"/>
      <c r="R713" s="267"/>
      <c r="S713" s="267"/>
      <c r="T713" s="267"/>
      <c r="U713" s="267"/>
      <c r="V713" s="267"/>
      <c r="W713" s="267"/>
      <c r="X713" s="267"/>
      <c r="Y713" s="267"/>
      <c r="Z713" s="267"/>
    </row>
    <row r="714" spans="1:26" s="445" customFormat="1" ht="14.25" customHeight="1" x14ac:dyDescent="0.3">
      <c r="A714" s="352" t="s">
        <v>1195</v>
      </c>
      <c r="B714" s="433" t="s">
        <v>1142</v>
      </c>
      <c r="C714" s="511" t="s">
        <v>1087</v>
      </c>
      <c r="D714" s="442" t="s">
        <v>1088</v>
      </c>
      <c r="E714" s="427">
        <v>4</v>
      </c>
      <c r="F714" s="440">
        <v>45817</v>
      </c>
      <c r="G714" s="423" t="s">
        <v>451</v>
      </c>
      <c r="H714" s="435" t="s">
        <v>1083</v>
      </c>
      <c r="I714" s="439">
        <v>1</v>
      </c>
      <c r="J714" s="428">
        <v>45824</v>
      </c>
      <c r="K714" s="308"/>
      <c r="N714" s="267"/>
      <c r="O714" s="267"/>
      <c r="P714" s="267"/>
      <c r="Q714" s="267"/>
      <c r="R714" s="267"/>
      <c r="S714" s="267"/>
      <c r="T714" s="267"/>
      <c r="U714" s="267"/>
      <c r="V714" s="267"/>
      <c r="W714" s="267"/>
      <c r="X714" s="267"/>
      <c r="Y714" s="267"/>
      <c r="Z714" s="267"/>
    </row>
    <row r="715" spans="1:26" ht="14.25" customHeight="1" x14ac:dyDescent="0.3">
      <c r="A715" s="352" t="s">
        <v>1196</v>
      </c>
      <c r="B715" s="424" t="s">
        <v>1122</v>
      </c>
      <c r="C715" s="425" t="s">
        <v>1087</v>
      </c>
      <c r="D715" s="441" t="s">
        <v>1088</v>
      </c>
      <c r="E715" s="427">
        <v>4</v>
      </c>
      <c r="F715" s="440">
        <v>45817</v>
      </c>
      <c r="G715" s="423" t="s">
        <v>451</v>
      </c>
      <c r="H715" s="428" t="s">
        <v>1078</v>
      </c>
      <c r="I715" s="423" t="s">
        <v>451</v>
      </c>
      <c r="J715" s="423" t="s">
        <v>451</v>
      </c>
      <c r="K715" s="308"/>
      <c r="L715" s="447"/>
      <c r="M715" s="447"/>
      <c r="N715" s="308"/>
      <c r="O715" s="308"/>
      <c r="P715" s="308"/>
      <c r="Q715" s="308"/>
      <c r="R715" s="308"/>
      <c r="S715" s="308"/>
      <c r="T715" s="308"/>
      <c r="U715" s="308"/>
      <c r="V715" s="308"/>
      <c r="W715" s="308"/>
      <c r="X715" s="308"/>
      <c r="Y715" s="308"/>
      <c r="Z715" s="308"/>
    </row>
    <row r="716" spans="1:26" s="445" customFormat="1" ht="14.25" customHeight="1" x14ac:dyDescent="0.3">
      <c r="A716" s="352" t="s">
        <v>1196</v>
      </c>
      <c r="B716" s="433" t="s">
        <v>1142</v>
      </c>
      <c r="C716" s="511" t="s">
        <v>1180</v>
      </c>
      <c r="D716" s="442" t="s">
        <v>1088</v>
      </c>
      <c r="E716" s="427">
        <v>18</v>
      </c>
      <c r="F716" s="428">
        <v>45835</v>
      </c>
      <c r="G716" s="428">
        <v>45905</v>
      </c>
      <c r="H716" s="435" t="s">
        <v>1083</v>
      </c>
      <c r="I716" s="427">
        <v>3</v>
      </c>
      <c r="J716" s="428">
        <v>45910</v>
      </c>
      <c r="K716" s="308"/>
      <c r="N716" s="267"/>
      <c r="O716" s="267"/>
      <c r="P716" s="267"/>
      <c r="Q716" s="267"/>
      <c r="R716" s="267"/>
      <c r="S716" s="267"/>
      <c r="T716" s="267"/>
      <c r="U716" s="267"/>
      <c r="V716" s="267"/>
      <c r="W716" s="267"/>
      <c r="X716" s="267"/>
      <c r="Y716" s="267"/>
      <c r="Z716" s="267"/>
    </row>
    <row r="717" spans="1:26" ht="14.25" customHeight="1" x14ac:dyDescent="0.3">
      <c r="A717" s="481" t="s">
        <v>2355</v>
      </c>
      <c r="B717" s="433" t="s">
        <v>1142</v>
      </c>
      <c r="C717" s="425" t="s">
        <v>1076</v>
      </c>
      <c r="D717" s="437" t="s">
        <v>1077</v>
      </c>
      <c r="E717" s="308">
        <v>24</v>
      </c>
      <c r="F717" s="431">
        <v>45951</v>
      </c>
      <c r="G717" s="308"/>
      <c r="H717" s="308" t="s">
        <v>1083</v>
      </c>
      <c r="I717" s="308">
        <v>5</v>
      </c>
      <c r="J717" s="308"/>
      <c r="K717" s="308"/>
      <c r="L717" s="447"/>
      <c r="M717" s="447"/>
      <c r="N717" s="308"/>
      <c r="O717" s="308"/>
      <c r="P717" s="308"/>
      <c r="Q717" s="308"/>
      <c r="R717" s="308"/>
      <c r="S717" s="308"/>
      <c r="T717" s="308"/>
      <c r="U717" s="308"/>
      <c r="V717" s="308"/>
      <c r="W717" s="308"/>
      <c r="X717" s="308"/>
      <c r="Y717" s="308"/>
      <c r="Z717" s="308"/>
    </row>
    <row r="718" spans="1:26" ht="14.25" customHeight="1" x14ac:dyDescent="0.3">
      <c r="A718" s="352" t="s">
        <v>2318</v>
      </c>
      <c r="B718" s="433" t="s">
        <v>1142</v>
      </c>
      <c r="C718" s="425" t="s">
        <v>1076</v>
      </c>
      <c r="D718" s="529" t="s">
        <v>1086</v>
      </c>
      <c r="E718" s="308">
        <v>22</v>
      </c>
      <c r="F718" s="431">
        <v>45936</v>
      </c>
      <c r="G718" s="308"/>
      <c r="H718" s="435" t="s">
        <v>1083</v>
      </c>
      <c r="I718" s="308">
        <v>4</v>
      </c>
      <c r="J718" s="431">
        <v>45944</v>
      </c>
      <c r="K718" s="308"/>
      <c r="L718" s="447"/>
      <c r="M718" s="447"/>
      <c r="N718" s="308"/>
      <c r="O718" s="308"/>
      <c r="P718" s="308"/>
      <c r="Q718" s="308"/>
      <c r="R718" s="308"/>
      <c r="S718" s="308"/>
      <c r="T718" s="308"/>
      <c r="U718" s="308"/>
      <c r="V718" s="308"/>
      <c r="W718" s="308"/>
      <c r="X718" s="308"/>
      <c r="Y718" s="308"/>
      <c r="Z718" s="308"/>
    </row>
    <row r="719" spans="1:26" ht="14.25" customHeight="1" x14ac:dyDescent="0.3">
      <c r="A719" s="352" t="s">
        <v>2318</v>
      </c>
      <c r="B719" s="433" t="s">
        <v>1142</v>
      </c>
      <c r="C719" s="425" t="s">
        <v>1076</v>
      </c>
      <c r="D719" s="472" t="s">
        <v>1155</v>
      </c>
      <c r="E719" s="308">
        <v>22</v>
      </c>
      <c r="F719" s="431">
        <v>45936</v>
      </c>
      <c r="G719" s="308"/>
      <c r="H719" s="435" t="s">
        <v>1083</v>
      </c>
      <c r="I719" s="308">
        <v>4</v>
      </c>
      <c r="J719" s="431">
        <v>45944</v>
      </c>
      <c r="K719" s="308"/>
      <c r="L719" s="447"/>
      <c r="M719" s="447"/>
      <c r="N719" s="308"/>
      <c r="O719" s="308"/>
      <c r="P719" s="308"/>
      <c r="Q719" s="308"/>
      <c r="R719" s="308"/>
      <c r="S719" s="308"/>
      <c r="T719" s="308"/>
      <c r="U719" s="308"/>
      <c r="V719" s="308"/>
      <c r="W719" s="308"/>
      <c r="X719" s="308"/>
      <c r="Y719" s="308"/>
      <c r="Z719" s="308"/>
    </row>
    <row r="720" spans="1:26" ht="14.25" customHeight="1" x14ac:dyDescent="0.3">
      <c r="A720" s="352" t="s">
        <v>1029</v>
      </c>
      <c r="B720" s="433" t="s">
        <v>1142</v>
      </c>
      <c r="C720" s="425" t="s">
        <v>1076</v>
      </c>
      <c r="D720" s="529" t="s">
        <v>1086</v>
      </c>
      <c r="E720" s="447">
        <v>22</v>
      </c>
      <c r="F720" s="524">
        <v>45936</v>
      </c>
      <c r="G720" s="308"/>
      <c r="H720" s="428" t="s">
        <v>1078</v>
      </c>
      <c r="I720" s="439"/>
      <c r="J720" s="308"/>
      <c r="K720" s="308"/>
      <c r="L720" s="447"/>
      <c r="M720" s="447"/>
      <c r="N720" s="308"/>
      <c r="O720" s="308"/>
      <c r="P720" s="308"/>
      <c r="Q720" s="308"/>
      <c r="R720" s="308"/>
      <c r="S720" s="308"/>
      <c r="T720" s="308"/>
      <c r="U720" s="308"/>
      <c r="V720" s="308"/>
      <c r="W720" s="308"/>
      <c r="X720" s="308"/>
      <c r="Y720" s="308"/>
      <c r="Z720" s="308"/>
    </row>
    <row r="721" spans="1:26" ht="14.25" customHeight="1" x14ac:dyDescent="0.3">
      <c r="A721" s="481" t="s">
        <v>1029</v>
      </c>
      <c r="B721" s="433" t="s">
        <v>1142</v>
      </c>
      <c r="C721" s="425" t="s">
        <v>1076</v>
      </c>
      <c r="D721" s="472" t="s">
        <v>1155</v>
      </c>
      <c r="E721" s="423">
        <v>22</v>
      </c>
      <c r="F721" s="428">
        <v>45936</v>
      </c>
      <c r="G721" s="308"/>
      <c r="H721" s="428" t="s">
        <v>1078</v>
      </c>
      <c r="I721" s="439"/>
      <c r="J721" s="308"/>
      <c r="K721" s="308"/>
      <c r="L721" s="447"/>
      <c r="M721" s="447"/>
      <c r="N721" s="308"/>
      <c r="O721" s="308"/>
      <c r="P721" s="308"/>
      <c r="Q721" s="308"/>
      <c r="R721" s="308"/>
      <c r="S721" s="308"/>
      <c r="T721" s="308"/>
      <c r="U721" s="308"/>
      <c r="V721" s="308"/>
      <c r="W721" s="308"/>
      <c r="X721" s="308"/>
      <c r="Y721" s="308"/>
      <c r="Z721" s="308"/>
    </row>
    <row r="722" spans="1:26" ht="14.25" customHeight="1" x14ac:dyDescent="0.3">
      <c r="A722" s="352" t="s">
        <v>1197</v>
      </c>
      <c r="B722" s="424" t="s">
        <v>1122</v>
      </c>
      <c r="C722" s="425" t="s">
        <v>1076</v>
      </c>
      <c r="D722" s="463" t="s">
        <v>1114</v>
      </c>
      <c r="E722" s="427">
        <v>11</v>
      </c>
      <c r="F722" s="428">
        <v>45824</v>
      </c>
      <c r="G722" s="423" t="s">
        <v>451</v>
      </c>
      <c r="H722" s="428" t="s">
        <v>1078</v>
      </c>
      <c r="I722" s="423" t="s">
        <v>451</v>
      </c>
      <c r="J722" s="423" t="s">
        <v>451</v>
      </c>
      <c r="K722" s="308"/>
      <c r="L722" s="447"/>
      <c r="M722" s="447"/>
      <c r="N722" s="308"/>
      <c r="O722" s="308"/>
      <c r="P722" s="308"/>
      <c r="Q722" s="308"/>
      <c r="R722" s="308"/>
      <c r="S722" s="308"/>
      <c r="T722" s="308"/>
      <c r="U722" s="308"/>
      <c r="V722" s="308"/>
      <c r="W722" s="308"/>
      <c r="X722" s="308"/>
      <c r="Y722" s="308"/>
      <c r="Z722" s="308"/>
    </row>
    <row r="723" spans="1:26" ht="14.25" customHeight="1" x14ac:dyDescent="0.3">
      <c r="A723" s="352" t="s">
        <v>1197</v>
      </c>
      <c r="B723" s="424" t="s">
        <v>1122</v>
      </c>
      <c r="C723" s="425" t="s">
        <v>1076</v>
      </c>
      <c r="D723" s="426" t="s">
        <v>1079</v>
      </c>
      <c r="E723" s="427">
        <v>16</v>
      </c>
      <c r="F723" s="428">
        <v>45833</v>
      </c>
      <c r="G723" s="423" t="s">
        <v>451</v>
      </c>
      <c r="H723" s="428" t="s">
        <v>1078</v>
      </c>
      <c r="I723" s="423" t="s">
        <v>451</v>
      </c>
      <c r="J723" s="423" t="s">
        <v>451</v>
      </c>
      <c r="K723" s="308"/>
      <c r="L723" s="447"/>
      <c r="M723" s="447"/>
      <c r="N723" s="308"/>
      <c r="O723" s="308"/>
      <c r="P723" s="308"/>
      <c r="Q723" s="308"/>
      <c r="R723" s="308"/>
      <c r="S723" s="308"/>
      <c r="T723" s="308"/>
      <c r="U723" s="308"/>
      <c r="V723" s="308"/>
      <c r="W723" s="308"/>
      <c r="X723" s="308"/>
      <c r="Y723" s="308"/>
      <c r="Z723" s="308"/>
    </row>
    <row r="724" spans="1:26" ht="14.25" customHeight="1" x14ac:dyDescent="0.3">
      <c r="A724" s="352" t="s">
        <v>1197</v>
      </c>
      <c r="B724" s="433" t="s">
        <v>1142</v>
      </c>
      <c r="C724" s="425" t="s">
        <v>1076</v>
      </c>
      <c r="D724" s="544" t="s">
        <v>1082</v>
      </c>
      <c r="E724" s="427">
        <v>17</v>
      </c>
      <c r="F724" s="428">
        <v>45833</v>
      </c>
      <c r="G724" s="428">
        <v>45905</v>
      </c>
      <c r="H724" s="435" t="s">
        <v>1083</v>
      </c>
      <c r="I724" s="427">
        <v>2</v>
      </c>
      <c r="J724" s="428">
        <v>45910</v>
      </c>
      <c r="K724" s="308"/>
      <c r="L724" s="447"/>
      <c r="M724" s="447"/>
      <c r="N724" s="308"/>
      <c r="O724" s="308"/>
      <c r="P724" s="308"/>
      <c r="Q724" s="308"/>
      <c r="R724" s="308"/>
      <c r="S724" s="308"/>
      <c r="T724" s="308"/>
      <c r="U724" s="308"/>
      <c r="V724" s="308"/>
      <c r="W724" s="308"/>
      <c r="X724" s="308"/>
      <c r="Y724" s="308"/>
      <c r="Z724" s="308"/>
    </row>
    <row r="725" spans="1:26" ht="14.25" customHeight="1" x14ac:dyDescent="0.3">
      <c r="A725" s="352" t="s">
        <v>1197</v>
      </c>
      <c r="B725" s="424" t="s">
        <v>1122</v>
      </c>
      <c r="C725" s="425" t="s">
        <v>1076</v>
      </c>
      <c r="D725" s="434" t="s">
        <v>1082</v>
      </c>
      <c r="E725" s="427">
        <v>17</v>
      </c>
      <c r="F725" s="428">
        <v>45833</v>
      </c>
      <c r="G725" s="423" t="s">
        <v>451</v>
      </c>
      <c r="H725" s="428" t="s">
        <v>1078</v>
      </c>
      <c r="I725" s="423" t="s">
        <v>451</v>
      </c>
      <c r="J725" s="423" t="s">
        <v>451</v>
      </c>
      <c r="K725" s="308"/>
      <c r="L725" s="447"/>
      <c r="M725" s="447"/>
      <c r="N725" s="308"/>
      <c r="O725" s="308"/>
      <c r="P725" s="308"/>
      <c r="Q725" s="308"/>
      <c r="R725" s="308"/>
      <c r="S725" s="308"/>
      <c r="T725" s="308"/>
      <c r="U725" s="308"/>
      <c r="V725" s="308"/>
      <c r="W725" s="308"/>
      <c r="X725" s="308"/>
      <c r="Y725" s="308"/>
      <c r="Z725" s="308"/>
    </row>
    <row r="726" spans="1:26" ht="14.25" customHeight="1" x14ac:dyDescent="0.3">
      <c r="A726" s="481" t="s">
        <v>1197</v>
      </c>
      <c r="B726" s="433" t="s">
        <v>1142</v>
      </c>
      <c r="C726" s="425" t="s">
        <v>1076</v>
      </c>
      <c r="D726" s="437" t="s">
        <v>1077</v>
      </c>
      <c r="E726" s="308">
        <v>24</v>
      </c>
      <c r="F726" s="431">
        <v>45951</v>
      </c>
      <c r="G726" s="308"/>
      <c r="H726" s="308" t="s">
        <v>1083</v>
      </c>
      <c r="I726" s="308">
        <v>5</v>
      </c>
      <c r="J726" s="308"/>
      <c r="K726" s="308"/>
      <c r="L726" s="447"/>
      <c r="M726" s="447"/>
      <c r="N726" s="308"/>
      <c r="O726" s="308"/>
      <c r="P726" s="308"/>
      <c r="Q726" s="308"/>
      <c r="R726" s="308"/>
      <c r="S726" s="308"/>
      <c r="T726" s="308"/>
      <c r="U726" s="308"/>
      <c r="V726" s="308"/>
      <c r="W726" s="308"/>
      <c r="X726" s="308"/>
      <c r="Y726" s="308"/>
      <c r="Z726" s="308"/>
    </row>
    <row r="727" spans="1:26" ht="14.25" customHeight="1" x14ac:dyDescent="0.3">
      <c r="A727" s="352" t="s">
        <v>2239</v>
      </c>
      <c r="B727" s="433" t="s">
        <v>1142</v>
      </c>
      <c r="C727" s="425" t="s">
        <v>1076</v>
      </c>
      <c r="D727" s="544" t="s">
        <v>1082</v>
      </c>
      <c r="E727" s="427">
        <v>18</v>
      </c>
      <c r="F727" s="428">
        <v>45835</v>
      </c>
      <c r="G727" s="428">
        <v>45905</v>
      </c>
      <c r="H727" s="435" t="s">
        <v>1083</v>
      </c>
      <c r="I727" s="423">
        <v>2</v>
      </c>
      <c r="J727" s="428">
        <v>45910</v>
      </c>
      <c r="K727" s="308"/>
      <c r="L727" s="447"/>
      <c r="M727" s="447"/>
      <c r="N727" s="308"/>
      <c r="O727" s="308"/>
      <c r="P727" s="308"/>
      <c r="Q727" s="308"/>
      <c r="R727" s="308"/>
      <c r="S727" s="308"/>
      <c r="T727" s="308"/>
      <c r="U727" s="308"/>
      <c r="V727" s="308"/>
      <c r="W727" s="308"/>
      <c r="X727" s="308"/>
      <c r="Y727" s="308"/>
      <c r="Z727" s="308"/>
    </row>
    <row r="728" spans="1:26" ht="14.25" customHeight="1" x14ac:dyDescent="0.3">
      <c r="A728" s="481" t="s">
        <v>1201</v>
      </c>
      <c r="B728" s="433" t="s">
        <v>1142</v>
      </c>
      <c r="C728" s="425" t="s">
        <v>1076</v>
      </c>
      <c r="D728" s="545" t="s">
        <v>1080</v>
      </c>
      <c r="E728" s="308">
        <v>27</v>
      </c>
      <c r="F728" s="431">
        <v>45958</v>
      </c>
      <c r="G728" s="308"/>
      <c r="H728" s="428" t="s">
        <v>1078</v>
      </c>
      <c r="I728" s="308"/>
      <c r="J728" s="308"/>
      <c r="K728" s="308"/>
      <c r="L728" s="447"/>
      <c r="M728" s="447"/>
      <c r="N728" s="308"/>
      <c r="O728" s="308"/>
      <c r="P728" s="308"/>
      <c r="Q728" s="308"/>
      <c r="R728" s="308"/>
      <c r="S728" s="308"/>
      <c r="T728" s="308"/>
      <c r="U728" s="308"/>
      <c r="V728" s="308"/>
      <c r="W728" s="308"/>
      <c r="X728" s="308"/>
      <c r="Y728" s="308"/>
      <c r="Z728" s="308"/>
    </row>
    <row r="729" spans="1:26" ht="14.25" customHeight="1" x14ac:dyDescent="0.3">
      <c r="A729" s="352" t="s">
        <v>1198</v>
      </c>
      <c r="B729" s="424" t="s">
        <v>1122</v>
      </c>
      <c r="C729" s="425" t="s">
        <v>1076</v>
      </c>
      <c r="D729" s="441" t="s">
        <v>1086</v>
      </c>
      <c r="E729" s="427">
        <v>5</v>
      </c>
      <c r="F729" s="440">
        <v>45820</v>
      </c>
      <c r="G729" s="423" t="s">
        <v>451</v>
      </c>
      <c r="H729" s="428" t="s">
        <v>1078</v>
      </c>
      <c r="I729" s="423" t="s">
        <v>451</v>
      </c>
      <c r="J729" s="423" t="s">
        <v>451</v>
      </c>
      <c r="K729" s="308"/>
      <c r="L729" s="447"/>
      <c r="M729" s="447"/>
      <c r="N729" s="308"/>
      <c r="O729" s="308"/>
      <c r="P729" s="308"/>
      <c r="Q729" s="308"/>
      <c r="R729" s="308"/>
      <c r="S729" s="308"/>
      <c r="T729" s="308"/>
      <c r="U729" s="308"/>
      <c r="V729" s="308"/>
      <c r="W729" s="308"/>
      <c r="X729" s="308"/>
      <c r="Y729" s="308"/>
      <c r="Z729" s="308"/>
    </row>
    <row r="730" spans="1:26" ht="14.25" customHeight="1" x14ac:dyDescent="0.3">
      <c r="A730" s="352" t="s">
        <v>1199</v>
      </c>
      <c r="B730" s="424" t="s">
        <v>1122</v>
      </c>
      <c r="C730" s="425" t="s">
        <v>1076</v>
      </c>
      <c r="D730" s="441" t="s">
        <v>1086</v>
      </c>
      <c r="E730" s="427">
        <v>5</v>
      </c>
      <c r="F730" s="440">
        <v>45820</v>
      </c>
      <c r="G730" s="423" t="s">
        <v>451</v>
      </c>
      <c r="H730" s="428" t="s">
        <v>1078</v>
      </c>
      <c r="I730" s="423" t="s">
        <v>451</v>
      </c>
      <c r="J730" s="423" t="s">
        <v>451</v>
      </c>
      <c r="K730" s="308"/>
      <c r="L730" s="447"/>
      <c r="M730" s="447"/>
      <c r="N730" s="308"/>
      <c r="O730" s="308"/>
      <c r="P730" s="308"/>
      <c r="Q730" s="308"/>
      <c r="R730" s="308"/>
      <c r="S730" s="308"/>
      <c r="T730" s="308"/>
      <c r="U730" s="308"/>
      <c r="V730" s="308"/>
      <c r="W730" s="308"/>
      <c r="X730" s="308"/>
      <c r="Y730" s="308"/>
      <c r="Z730" s="308"/>
    </row>
    <row r="731" spans="1:26" s="445" customFormat="1" ht="14.25" customHeight="1" x14ac:dyDescent="0.3">
      <c r="A731" s="475" t="s">
        <v>1201</v>
      </c>
      <c r="B731" s="430" t="s">
        <v>1122</v>
      </c>
      <c r="C731" s="425" t="s">
        <v>1076</v>
      </c>
      <c r="D731" s="432" t="s">
        <v>1080</v>
      </c>
      <c r="E731" s="308">
        <v>25</v>
      </c>
      <c r="F731" s="431">
        <v>45953</v>
      </c>
      <c r="G731" s="308"/>
      <c r="H731" s="428" t="s">
        <v>1078</v>
      </c>
      <c r="I731" s="308"/>
      <c r="J731" s="308"/>
      <c r="K731" s="308"/>
      <c r="N731" s="267"/>
      <c r="O731" s="267"/>
      <c r="P731" s="267"/>
      <c r="Q731" s="267"/>
      <c r="R731" s="267"/>
      <c r="S731" s="267"/>
      <c r="T731" s="267"/>
      <c r="U731" s="267"/>
      <c r="V731" s="267"/>
      <c r="W731" s="267"/>
      <c r="X731" s="267"/>
      <c r="Y731" s="267"/>
      <c r="Z731" s="267"/>
    </row>
    <row r="732" spans="1:26" ht="14.25" customHeight="1" x14ac:dyDescent="0.3">
      <c r="A732" s="481" t="s">
        <v>1201</v>
      </c>
      <c r="B732" s="433" t="s">
        <v>1142</v>
      </c>
      <c r="C732" s="425" t="s">
        <v>1076</v>
      </c>
      <c r="D732" s="437" t="s">
        <v>1077</v>
      </c>
      <c r="E732" s="308">
        <v>24</v>
      </c>
      <c r="F732" s="431">
        <v>45951</v>
      </c>
      <c r="G732" s="308"/>
      <c r="H732" s="308" t="s">
        <v>1083</v>
      </c>
      <c r="I732" s="308">
        <v>5</v>
      </c>
      <c r="J732" s="308"/>
      <c r="K732" s="308"/>
      <c r="L732" s="447"/>
      <c r="M732" s="447"/>
      <c r="N732" s="308"/>
      <c r="O732" s="308"/>
      <c r="P732" s="308"/>
      <c r="Q732" s="308"/>
      <c r="R732" s="308"/>
      <c r="S732" s="308"/>
      <c r="T732" s="308"/>
      <c r="U732" s="308"/>
      <c r="V732" s="308"/>
      <c r="W732" s="308"/>
      <c r="X732" s="308"/>
      <c r="Y732" s="308"/>
      <c r="Z732" s="308"/>
    </row>
    <row r="733" spans="1:26" ht="14.25" customHeight="1" x14ac:dyDescent="0.3">
      <c r="A733" s="352" t="s">
        <v>2319</v>
      </c>
      <c r="B733" s="433" t="s">
        <v>1142</v>
      </c>
      <c r="C733" s="425" t="s">
        <v>1076</v>
      </c>
      <c r="D733" s="472" t="s">
        <v>1155</v>
      </c>
      <c r="E733" s="453">
        <v>20</v>
      </c>
      <c r="F733" s="431">
        <v>45929</v>
      </c>
      <c r="G733" s="308"/>
      <c r="H733" s="435" t="s">
        <v>1083</v>
      </c>
      <c r="I733" s="308">
        <v>4</v>
      </c>
      <c r="J733" s="431">
        <v>45944</v>
      </c>
      <c r="K733" s="308"/>
      <c r="L733" s="447"/>
      <c r="M733" s="447"/>
      <c r="N733" s="308"/>
      <c r="O733" s="308"/>
      <c r="P733" s="308"/>
      <c r="Q733" s="308"/>
      <c r="R733" s="308"/>
      <c r="S733" s="308"/>
      <c r="T733" s="308"/>
      <c r="U733" s="308"/>
      <c r="V733" s="308"/>
      <c r="W733" s="308"/>
      <c r="X733" s="308"/>
      <c r="Y733" s="308"/>
      <c r="Z733" s="308"/>
    </row>
    <row r="734" spans="1:26" s="445" customFormat="1" ht="14.25" customHeight="1" x14ac:dyDescent="0.3">
      <c r="A734" s="497" t="s">
        <v>2319</v>
      </c>
      <c r="B734" s="430" t="s">
        <v>1122</v>
      </c>
      <c r="C734" s="425" t="s">
        <v>1076</v>
      </c>
      <c r="D734" s="432" t="s">
        <v>1080</v>
      </c>
      <c r="E734" s="308">
        <v>25</v>
      </c>
      <c r="F734" s="431">
        <v>45953</v>
      </c>
      <c r="G734" s="308"/>
      <c r="H734" s="428" t="s">
        <v>1078</v>
      </c>
      <c r="I734" s="308"/>
      <c r="J734" s="308"/>
      <c r="K734" s="308"/>
      <c r="N734" s="267"/>
      <c r="O734" s="267"/>
      <c r="P734" s="267"/>
      <c r="Q734" s="267"/>
      <c r="R734" s="267"/>
      <c r="S734" s="267"/>
      <c r="T734" s="267"/>
      <c r="U734" s="267"/>
      <c r="V734" s="267"/>
      <c r="W734" s="267"/>
      <c r="X734" s="267"/>
      <c r="Y734" s="267"/>
      <c r="Z734" s="267"/>
    </row>
    <row r="735" spans="1:26" ht="14.25" customHeight="1" x14ac:dyDescent="0.3">
      <c r="A735" s="502" t="s">
        <v>2320</v>
      </c>
      <c r="B735" s="433" t="s">
        <v>1142</v>
      </c>
      <c r="C735" s="425" t="s">
        <v>1076</v>
      </c>
      <c r="D735" s="545" t="s">
        <v>1080</v>
      </c>
      <c r="E735" s="308">
        <v>27</v>
      </c>
      <c r="F735" s="431">
        <v>45958</v>
      </c>
      <c r="G735" s="308"/>
      <c r="H735" s="308" t="s">
        <v>1083</v>
      </c>
      <c r="I735" s="308">
        <v>5</v>
      </c>
      <c r="J735" s="308"/>
      <c r="K735" s="308"/>
      <c r="L735" s="447"/>
      <c r="M735" s="447"/>
      <c r="N735" s="308"/>
      <c r="O735" s="308"/>
      <c r="P735" s="308"/>
      <c r="Q735" s="308"/>
      <c r="R735" s="308"/>
      <c r="S735" s="308"/>
      <c r="T735" s="308"/>
      <c r="U735" s="308"/>
      <c r="V735" s="308"/>
      <c r="W735" s="308"/>
      <c r="X735" s="308"/>
      <c r="Y735" s="308"/>
      <c r="Z735" s="308"/>
    </row>
    <row r="736" spans="1:26" ht="14.25" customHeight="1" x14ac:dyDescent="0.3">
      <c r="A736" s="352" t="s">
        <v>2321</v>
      </c>
      <c r="B736" s="433" t="s">
        <v>1142</v>
      </c>
      <c r="C736" s="425" t="s">
        <v>1076</v>
      </c>
      <c r="D736" s="472" t="s">
        <v>1155</v>
      </c>
      <c r="E736" s="453">
        <v>20</v>
      </c>
      <c r="F736" s="431">
        <v>45929</v>
      </c>
      <c r="G736" s="308"/>
      <c r="H736" s="435" t="s">
        <v>1083</v>
      </c>
      <c r="I736" s="308">
        <v>4</v>
      </c>
      <c r="J736" s="431">
        <v>45944</v>
      </c>
      <c r="K736" s="308"/>
      <c r="L736" s="447"/>
      <c r="M736" s="447"/>
      <c r="N736" s="308"/>
      <c r="O736" s="308"/>
      <c r="P736" s="308"/>
      <c r="Q736" s="308"/>
      <c r="R736" s="308"/>
      <c r="S736" s="308"/>
      <c r="T736" s="308"/>
      <c r="U736" s="308"/>
      <c r="V736" s="308"/>
      <c r="W736" s="308"/>
      <c r="X736" s="308"/>
      <c r="Y736" s="308"/>
      <c r="Z736" s="308"/>
    </row>
    <row r="737" spans="1:26" ht="14.25" customHeight="1" x14ac:dyDescent="0.3">
      <c r="A737" s="486" t="s">
        <v>2321</v>
      </c>
      <c r="B737" s="430" t="s">
        <v>1122</v>
      </c>
      <c r="C737" s="425" t="s">
        <v>1076</v>
      </c>
      <c r="D737" s="432" t="s">
        <v>1080</v>
      </c>
      <c r="E737" s="308">
        <v>25</v>
      </c>
      <c r="F737" s="431">
        <v>45953</v>
      </c>
      <c r="G737" s="308"/>
      <c r="H737" s="428" t="s">
        <v>1078</v>
      </c>
      <c r="I737" s="308"/>
      <c r="J737" s="308"/>
      <c r="K737" s="308"/>
      <c r="L737" s="447"/>
      <c r="M737" s="447"/>
      <c r="N737" s="308"/>
      <c r="O737" s="308"/>
      <c r="P737" s="308"/>
      <c r="Q737" s="308"/>
      <c r="R737" s="308"/>
      <c r="S737" s="308"/>
      <c r="T737" s="308"/>
      <c r="U737" s="308"/>
      <c r="V737" s="308"/>
      <c r="W737" s="308"/>
      <c r="X737" s="308"/>
      <c r="Y737" s="308"/>
      <c r="Z737" s="308"/>
    </row>
    <row r="738" spans="1:26" ht="14.25" customHeight="1" x14ac:dyDescent="0.3">
      <c r="A738" s="489" t="s">
        <v>2322</v>
      </c>
      <c r="B738" s="424" t="s">
        <v>1122</v>
      </c>
      <c r="C738" s="425" t="s">
        <v>1089</v>
      </c>
      <c r="D738" s="423" t="s">
        <v>1155</v>
      </c>
      <c r="E738" s="423">
        <v>21</v>
      </c>
      <c r="F738" s="428">
        <v>45929</v>
      </c>
      <c r="G738" s="423" t="s">
        <v>451</v>
      </c>
      <c r="H738" s="428" t="s">
        <v>1078</v>
      </c>
      <c r="I738" s="423" t="s">
        <v>451</v>
      </c>
      <c r="J738" s="423" t="s">
        <v>451</v>
      </c>
      <c r="K738" s="308"/>
      <c r="L738" s="447"/>
      <c r="M738" s="447"/>
      <c r="N738" s="308"/>
      <c r="O738" s="308"/>
      <c r="P738" s="308"/>
      <c r="Q738" s="308"/>
      <c r="R738" s="308"/>
      <c r="S738" s="308"/>
      <c r="T738" s="308"/>
      <c r="U738" s="308"/>
      <c r="V738" s="308"/>
      <c r="W738" s="308"/>
      <c r="X738" s="308"/>
      <c r="Y738" s="308"/>
      <c r="Z738" s="308"/>
    </row>
    <row r="739" spans="1:26" ht="14.25" customHeight="1" x14ac:dyDescent="0.3">
      <c r="A739" s="352" t="s">
        <v>2323</v>
      </c>
      <c r="B739" s="424" t="s">
        <v>1122</v>
      </c>
      <c r="C739" s="425" t="s">
        <v>1089</v>
      </c>
      <c r="D739" s="423" t="s">
        <v>1155</v>
      </c>
      <c r="E739" s="423">
        <v>21</v>
      </c>
      <c r="F739" s="428">
        <v>45929</v>
      </c>
      <c r="G739" s="423" t="s">
        <v>451</v>
      </c>
      <c r="H739" s="428" t="s">
        <v>1078</v>
      </c>
      <c r="I739" s="423" t="s">
        <v>451</v>
      </c>
      <c r="J739" s="423" t="s">
        <v>451</v>
      </c>
      <c r="K739" s="308"/>
      <c r="L739" s="447"/>
      <c r="M739" s="447"/>
      <c r="N739" s="308"/>
      <c r="O739" s="308"/>
      <c r="P739" s="308"/>
      <c r="Q739" s="308"/>
      <c r="R739" s="308"/>
      <c r="S739" s="308"/>
      <c r="T739" s="308"/>
      <c r="U739" s="308"/>
      <c r="V739" s="308"/>
      <c r="W739" s="308"/>
      <c r="X739" s="308"/>
      <c r="Y739" s="308"/>
      <c r="Z739" s="308"/>
    </row>
    <row r="740" spans="1:26" ht="14.25" customHeight="1" x14ac:dyDescent="0.3">
      <c r="A740" s="475" t="s">
        <v>2323</v>
      </c>
      <c r="B740" s="430" t="s">
        <v>1122</v>
      </c>
      <c r="C740" s="425" t="s">
        <v>1076</v>
      </c>
      <c r="D740" s="308" t="s">
        <v>1077</v>
      </c>
      <c r="E740" s="308">
        <v>24</v>
      </c>
      <c r="F740" s="431">
        <v>45951</v>
      </c>
      <c r="G740" s="308"/>
      <c r="H740" s="428" t="s">
        <v>1078</v>
      </c>
      <c r="I740" s="308"/>
      <c r="J740" s="308"/>
      <c r="K740" s="308"/>
      <c r="L740" s="447"/>
      <c r="M740" s="447"/>
      <c r="N740" s="308"/>
      <c r="O740" s="308"/>
      <c r="P740" s="308"/>
      <c r="Q740" s="308"/>
      <c r="R740" s="308"/>
      <c r="S740" s="308"/>
      <c r="T740" s="308"/>
      <c r="U740" s="308"/>
      <c r="V740" s="308"/>
      <c r="W740" s="308"/>
      <c r="X740" s="308"/>
      <c r="Y740" s="308"/>
      <c r="Z740" s="308"/>
    </row>
    <row r="741" spans="1:26" ht="14.25" customHeight="1" x14ac:dyDescent="0.3">
      <c r="A741" s="475" t="s">
        <v>2323</v>
      </c>
      <c r="B741" s="430" t="s">
        <v>1122</v>
      </c>
      <c r="C741" s="425" t="s">
        <v>1076</v>
      </c>
      <c r="D741" s="308" t="s">
        <v>1077</v>
      </c>
      <c r="E741" s="308">
        <v>24</v>
      </c>
      <c r="F741" s="431">
        <v>45951</v>
      </c>
      <c r="G741" s="308"/>
      <c r="H741" s="428" t="s">
        <v>1078</v>
      </c>
      <c r="I741" s="308"/>
      <c r="J741" s="308"/>
      <c r="K741" s="308"/>
      <c r="L741" s="447"/>
      <c r="M741" s="447"/>
      <c r="N741" s="308"/>
      <c r="O741" s="308"/>
      <c r="P741" s="308"/>
      <c r="Q741" s="308"/>
      <c r="R741" s="308"/>
      <c r="S741" s="308"/>
      <c r="T741" s="308"/>
      <c r="U741" s="308"/>
      <c r="V741" s="308"/>
      <c r="W741" s="308"/>
      <c r="X741" s="308"/>
      <c r="Y741" s="308"/>
      <c r="Z741" s="308"/>
    </row>
    <row r="742" spans="1:26" ht="14.25" customHeight="1" x14ac:dyDescent="0.3">
      <c r="A742" s="485" t="s">
        <v>2323</v>
      </c>
      <c r="B742" s="430" t="s">
        <v>1122</v>
      </c>
      <c r="C742" s="425" t="s">
        <v>1076</v>
      </c>
      <c r="D742" s="432" t="s">
        <v>1080</v>
      </c>
      <c r="E742" s="308">
        <v>25</v>
      </c>
      <c r="F742" s="431">
        <v>45953</v>
      </c>
      <c r="G742" s="308"/>
      <c r="H742" s="428" t="s">
        <v>1078</v>
      </c>
      <c r="I742" s="308"/>
      <c r="J742" s="308"/>
      <c r="K742" s="308"/>
      <c r="L742" s="447"/>
      <c r="M742" s="447"/>
      <c r="N742" s="308"/>
      <c r="O742" s="308"/>
      <c r="P742" s="308"/>
      <c r="Q742" s="308"/>
      <c r="R742" s="308"/>
      <c r="S742" s="308"/>
      <c r="T742" s="308"/>
      <c r="U742" s="308"/>
      <c r="V742" s="308"/>
      <c r="W742" s="308"/>
      <c r="X742" s="308"/>
      <c r="Y742" s="308"/>
      <c r="Z742" s="308"/>
    </row>
    <row r="743" spans="1:26" ht="14.25" customHeight="1" x14ac:dyDescent="0.3">
      <c r="A743" s="486" t="s">
        <v>2323</v>
      </c>
      <c r="B743" s="411" t="s">
        <v>1122</v>
      </c>
      <c r="C743" s="425" t="s">
        <v>1076</v>
      </c>
      <c r="D743" s="432" t="s">
        <v>1080</v>
      </c>
      <c r="E743" s="308">
        <v>27</v>
      </c>
      <c r="F743" s="431">
        <v>45958</v>
      </c>
      <c r="G743" s="308"/>
      <c r="H743" s="428" t="s">
        <v>1078</v>
      </c>
      <c r="I743" s="308"/>
      <c r="J743" s="308"/>
      <c r="K743" s="308"/>
      <c r="L743" s="447"/>
      <c r="M743" s="447"/>
      <c r="N743" s="308"/>
      <c r="O743" s="308"/>
      <c r="P743" s="308"/>
      <c r="Q743" s="308"/>
      <c r="R743" s="308"/>
      <c r="S743" s="308"/>
      <c r="T743" s="308"/>
      <c r="U743" s="308"/>
      <c r="V743" s="308"/>
      <c r="W743" s="308"/>
      <c r="X743" s="308"/>
      <c r="Y743" s="308"/>
      <c r="Z743" s="308"/>
    </row>
    <row r="744" spans="1:26" ht="14.25" customHeight="1" x14ac:dyDescent="0.3">
      <c r="A744" s="475" t="s">
        <v>2324</v>
      </c>
      <c r="B744" s="424" t="s">
        <v>1122</v>
      </c>
      <c r="C744" s="425" t="s">
        <v>1089</v>
      </c>
      <c r="D744" s="423" t="s">
        <v>1155</v>
      </c>
      <c r="E744" s="423">
        <v>21</v>
      </c>
      <c r="F744" s="428">
        <v>45929</v>
      </c>
      <c r="G744" s="423" t="s">
        <v>451</v>
      </c>
      <c r="H744" s="428" t="s">
        <v>1078</v>
      </c>
      <c r="I744" s="423" t="s">
        <v>451</v>
      </c>
      <c r="J744" s="423" t="s">
        <v>451</v>
      </c>
      <c r="K744" s="308"/>
      <c r="L744" s="447"/>
      <c r="M744" s="447"/>
      <c r="N744" s="308"/>
      <c r="O744" s="308"/>
      <c r="P744" s="308"/>
      <c r="Q744" s="308"/>
      <c r="R744" s="308"/>
      <c r="S744" s="308"/>
      <c r="T744" s="308"/>
      <c r="U744" s="308"/>
      <c r="V744" s="308"/>
      <c r="W744" s="308"/>
      <c r="X744" s="308"/>
      <c r="Y744" s="308"/>
      <c r="Z744" s="308"/>
    </row>
    <row r="745" spans="1:26" ht="14.25" customHeight="1" x14ac:dyDescent="0.3">
      <c r="A745" s="475" t="s">
        <v>2324</v>
      </c>
      <c r="B745" s="430" t="s">
        <v>1122</v>
      </c>
      <c r="C745" s="425" t="s">
        <v>1076</v>
      </c>
      <c r="D745" s="308" t="s">
        <v>1077</v>
      </c>
      <c r="E745" s="308">
        <v>24</v>
      </c>
      <c r="F745" s="431">
        <v>45951</v>
      </c>
      <c r="G745" s="308"/>
      <c r="H745" s="428" t="s">
        <v>1078</v>
      </c>
      <c r="I745" s="308"/>
      <c r="J745" s="308"/>
      <c r="K745" s="308"/>
      <c r="L745" s="447"/>
      <c r="M745" s="447"/>
      <c r="N745" s="308"/>
      <c r="O745" s="308"/>
      <c r="P745" s="308"/>
      <c r="Q745" s="308"/>
      <c r="R745" s="308"/>
      <c r="S745" s="308"/>
      <c r="T745" s="308"/>
      <c r="U745" s="308"/>
      <c r="V745" s="308"/>
      <c r="W745" s="308"/>
      <c r="X745" s="308"/>
      <c r="Y745" s="308"/>
      <c r="Z745" s="308"/>
    </row>
    <row r="746" spans="1:26" ht="14.25" customHeight="1" x14ac:dyDescent="0.3">
      <c r="A746" s="485" t="s">
        <v>2325</v>
      </c>
      <c r="B746" s="430" t="s">
        <v>1122</v>
      </c>
      <c r="C746" s="425" t="s">
        <v>1076</v>
      </c>
      <c r="D746" s="432" t="s">
        <v>1080</v>
      </c>
      <c r="E746" s="308">
        <v>25</v>
      </c>
      <c r="F746" s="431">
        <v>45953</v>
      </c>
      <c r="G746" s="308"/>
      <c r="H746" s="428" t="s">
        <v>1078</v>
      </c>
      <c r="I746" s="308"/>
      <c r="J746" s="308"/>
      <c r="K746" s="308"/>
      <c r="L746" s="447"/>
      <c r="M746" s="447"/>
      <c r="N746" s="308"/>
      <c r="O746" s="308"/>
      <c r="P746" s="308"/>
      <c r="Q746" s="308"/>
      <c r="R746" s="308"/>
      <c r="S746" s="308"/>
      <c r="T746" s="308"/>
      <c r="U746" s="308"/>
      <c r="V746" s="308"/>
      <c r="W746" s="308"/>
      <c r="X746" s="308"/>
      <c r="Y746" s="308"/>
      <c r="Z746" s="308"/>
    </row>
    <row r="747" spans="1:26" ht="14.25" customHeight="1" x14ac:dyDescent="0.3">
      <c r="A747" s="475" t="s">
        <v>2326</v>
      </c>
      <c r="B747" s="424" t="s">
        <v>1122</v>
      </c>
      <c r="C747" s="425" t="s">
        <v>1089</v>
      </c>
      <c r="D747" s="423" t="s">
        <v>1155</v>
      </c>
      <c r="E747" s="423">
        <v>21</v>
      </c>
      <c r="F747" s="428">
        <v>45929</v>
      </c>
      <c r="G747" s="423" t="s">
        <v>451</v>
      </c>
      <c r="H747" s="428" t="s">
        <v>1078</v>
      </c>
      <c r="I747" s="423" t="s">
        <v>451</v>
      </c>
      <c r="J747" s="423" t="s">
        <v>451</v>
      </c>
      <c r="K747" s="308"/>
      <c r="L747" s="447"/>
      <c r="M747" s="447"/>
      <c r="N747" s="308"/>
      <c r="O747" s="308"/>
      <c r="P747" s="308"/>
      <c r="Q747" s="308"/>
      <c r="R747" s="308"/>
      <c r="S747" s="308"/>
      <c r="T747" s="308"/>
      <c r="U747" s="308"/>
      <c r="V747" s="308"/>
      <c r="W747" s="308"/>
      <c r="X747" s="308"/>
      <c r="Y747" s="308"/>
      <c r="Z747" s="308"/>
    </row>
    <row r="748" spans="1:26" ht="14.25" customHeight="1" x14ac:dyDescent="0.3">
      <c r="A748" s="352" t="s">
        <v>2327</v>
      </c>
      <c r="B748" s="433" t="s">
        <v>1142</v>
      </c>
      <c r="C748" s="425" t="s">
        <v>1076</v>
      </c>
      <c r="D748" s="472" t="s">
        <v>1155</v>
      </c>
      <c r="E748" s="453">
        <v>20</v>
      </c>
      <c r="F748" s="431">
        <v>45929</v>
      </c>
      <c r="G748" s="308"/>
      <c r="H748" s="435" t="s">
        <v>1083</v>
      </c>
      <c r="I748" s="308">
        <v>4</v>
      </c>
      <c r="J748" s="431">
        <v>45944</v>
      </c>
      <c r="K748" s="308"/>
      <c r="L748" s="447"/>
      <c r="M748" s="447"/>
      <c r="N748" s="308"/>
      <c r="O748" s="308"/>
      <c r="P748" s="308"/>
      <c r="Q748" s="308"/>
      <c r="R748" s="308"/>
      <c r="S748" s="308"/>
      <c r="T748" s="308"/>
      <c r="U748" s="308"/>
      <c r="V748" s="308"/>
      <c r="W748" s="308"/>
      <c r="X748" s="308"/>
      <c r="Y748" s="308"/>
      <c r="Z748" s="308"/>
    </row>
    <row r="749" spans="1:26" ht="14.25" customHeight="1" x14ac:dyDescent="0.3">
      <c r="A749" s="507" t="s">
        <v>2327</v>
      </c>
      <c r="B749" s="433" t="s">
        <v>1142</v>
      </c>
      <c r="C749" s="425" t="s">
        <v>1076</v>
      </c>
      <c r="D749" s="545" t="s">
        <v>1080</v>
      </c>
      <c r="E749" s="308">
        <v>25</v>
      </c>
      <c r="F749" s="431">
        <v>45953</v>
      </c>
      <c r="G749" s="308"/>
      <c r="H749" s="308" t="s">
        <v>1083</v>
      </c>
      <c r="I749" s="308">
        <v>5</v>
      </c>
      <c r="J749" s="308"/>
      <c r="K749" s="308"/>
      <c r="L749" s="447"/>
      <c r="M749" s="447"/>
      <c r="N749" s="308"/>
      <c r="O749" s="308"/>
      <c r="P749" s="308"/>
      <c r="Q749" s="308"/>
      <c r="R749" s="308"/>
      <c r="S749" s="308"/>
      <c r="T749" s="308"/>
      <c r="U749" s="308"/>
      <c r="V749" s="308"/>
      <c r="W749" s="308"/>
      <c r="X749" s="308"/>
      <c r="Y749" s="308"/>
      <c r="Z749" s="308"/>
    </row>
    <row r="750" spans="1:26" ht="14.25" customHeight="1" x14ac:dyDescent="0.3">
      <c r="A750" s="506" t="s">
        <v>2327</v>
      </c>
      <c r="B750" s="433" t="s">
        <v>1142</v>
      </c>
      <c r="C750" s="425" t="s">
        <v>1076</v>
      </c>
      <c r="D750" s="545" t="s">
        <v>1080</v>
      </c>
      <c r="E750" s="308">
        <v>27</v>
      </c>
      <c r="F750" s="431">
        <v>45958</v>
      </c>
      <c r="G750" s="308"/>
      <c r="H750" s="428" t="s">
        <v>1078</v>
      </c>
      <c r="I750" s="308"/>
      <c r="J750" s="308"/>
      <c r="K750" s="308"/>
      <c r="L750" s="447"/>
      <c r="M750" s="447"/>
      <c r="N750" s="308"/>
      <c r="O750" s="308"/>
      <c r="P750" s="308"/>
      <c r="Q750" s="308"/>
      <c r="R750" s="308"/>
      <c r="S750" s="308"/>
      <c r="T750" s="308"/>
      <c r="U750" s="308"/>
      <c r="V750" s="308"/>
      <c r="W750" s="308"/>
      <c r="X750" s="308"/>
      <c r="Y750" s="308"/>
      <c r="Z750" s="308"/>
    </row>
    <row r="751" spans="1:26" ht="14.25" customHeight="1" x14ac:dyDescent="0.3">
      <c r="A751" s="352" t="s">
        <v>2328</v>
      </c>
      <c r="B751" s="433" t="s">
        <v>1142</v>
      </c>
      <c r="C751" s="425" t="s">
        <v>1076</v>
      </c>
      <c r="D751" s="472" t="s">
        <v>1155</v>
      </c>
      <c r="E751" s="453">
        <v>20</v>
      </c>
      <c r="F751" s="431">
        <v>45929</v>
      </c>
      <c r="G751" s="308"/>
      <c r="H751" s="428" t="s">
        <v>1078</v>
      </c>
      <c r="I751" s="308"/>
      <c r="J751" s="308"/>
      <c r="K751" s="308"/>
      <c r="L751" s="447"/>
      <c r="M751" s="447"/>
      <c r="N751" s="308"/>
      <c r="O751" s="308"/>
      <c r="P751" s="308"/>
      <c r="Q751" s="308"/>
      <c r="R751" s="308"/>
      <c r="S751" s="308"/>
      <c r="T751" s="308"/>
      <c r="U751" s="308"/>
      <c r="V751" s="308"/>
      <c r="W751" s="308"/>
      <c r="X751" s="308"/>
      <c r="Y751" s="308"/>
      <c r="Z751" s="308"/>
    </row>
    <row r="752" spans="1:26" s="445" customFormat="1" ht="14.25" customHeight="1" x14ac:dyDescent="0.3">
      <c r="A752" s="352" t="s">
        <v>2329</v>
      </c>
      <c r="B752" s="433" t="s">
        <v>1142</v>
      </c>
      <c r="C752" s="425" t="s">
        <v>1076</v>
      </c>
      <c r="D752" s="472" t="s">
        <v>1155</v>
      </c>
      <c r="E752" s="423">
        <v>21</v>
      </c>
      <c r="F752" s="428">
        <v>45929</v>
      </c>
      <c r="G752" s="423"/>
      <c r="H752" s="428" t="s">
        <v>1078</v>
      </c>
      <c r="I752" s="308"/>
      <c r="J752" s="423"/>
      <c r="K752" s="308"/>
      <c r="N752" s="267"/>
      <c r="O752" s="267"/>
      <c r="P752" s="267"/>
      <c r="Q752" s="267"/>
      <c r="R752" s="267"/>
      <c r="S752" s="267"/>
      <c r="T752" s="267"/>
      <c r="U752" s="267"/>
      <c r="V752" s="267"/>
      <c r="W752" s="267"/>
      <c r="X752" s="267"/>
      <c r="Y752" s="267"/>
      <c r="Z752" s="267"/>
    </row>
    <row r="753" spans="1:26" ht="14.25" customHeight="1" x14ac:dyDescent="0.3">
      <c r="A753" s="352" t="s">
        <v>2330</v>
      </c>
      <c r="B753" s="433" t="s">
        <v>1142</v>
      </c>
      <c r="C753" s="425" t="s">
        <v>1076</v>
      </c>
      <c r="D753" s="472" t="s">
        <v>1155</v>
      </c>
      <c r="E753" s="453">
        <v>20</v>
      </c>
      <c r="F753" s="431">
        <v>45929</v>
      </c>
      <c r="G753" s="308"/>
      <c r="H753" s="435" t="s">
        <v>1083</v>
      </c>
      <c r="I753" s="308">
        <v>4</v>
      </c>
      <c r="J753" s="431">
        <v>45944</v>
      </c>
      <c r="K753" s="308"/>
      <c r="L753" s="447"/>
      <c r="M753" s="447"/>
      <c r="N753" s="308"/>
      <c r="O753" s="308"/>
      <c r="P753" s="308"/>
      <c r="Q753" s="308"/>
      <c r="R753" s="308"/>
      <c r="S753" s="308"/>
      <c r="T753" s="308"/>
      <c r="U753" s="308"/>
      <c r="V753" s="308"/>
      <c r="W753" s="308"/>
      <c r="X753" s="308"/>
      <c r="Y753" s="308"/>
      <c r="Z753" s="308"/>
    </row>
    <row r="754" spans="1:26" ht="14.25" customHeight="1" x14ac:dyDescent="0.3">
      <c r="A754" s="486" t="s">
        <v>2330</v>
      </c>
      <c r="B754" s="411" t="s">
        <v>1122</v>
      </c>
      <c r="C754" s="425" t="s">
        <v>1076</v>
      </c>
      <c r="D754" s="432" t="s">
        <v>1080</v>
      </c>
      <c r="E754" s="308">
        <v>27</v>
      </c>
      <c r="F754" s="431">
        <v>45958</v>
      </c>
      <c r="G754" s="308"/>
      <c r="H754" s="428" t="s">
        <v>1078</v>
      </c>
      <c r="I754" s="308"/>
      <c r="J754" s="308"/>
      <c r="K754" s="308"/>
      <c r="L754" s="447"/>
      <c r="M754" s="447"/>
      <c r="N754" s="308"/>
      <c r="O754" s="308"/>
      <c r="P754" s="308"/>
      <c r="Q754" s="308"/>
      <c r="R754" s="308"/>
      <c r="S754" s="308"/>
      <c r="T754" s="308"/>
      <c r="U754" s="308"/>
      <c r="V754" s="308"/>
      <c r="W754" s="308"/>
      <c r="X754" s="308"/>
      <c r="Y754" s="308"/>
      <c r="Z754" s="308"/>
    </row>
    <row r="755" spans="1:26" ht="14.25" customHeight="1" x14ac:dyDescent="0.3">
      <c r="A755" s="507" t="s">
        <v>2330</v>
      </c>
      <c r="B755" s="433" t="s">
        <v>1142</v>
      </c>
      <c r="C755" s="425" t="s">
        <v>1076</v>
      </c>
      <c r="D755" s="545" t="s">
        <v>1080</v>
      </c>
      <c r="E755" s="308">
        <v>25</v>
      </c>
      <c r="F755" s="431">
        <v>45953</v>
      </c>
      <c r="G755" s="308"/>
      <c r="H755" s="308" t="s">
        <v>1083</v>
      </c>
      <c r="I755" s="308">
        <v>5</v>
      </c>
      <c r="J755" s="308"/>
      <c r="K755" s="308"/>
      <c r="L755" s="447"/>
      <c r="M755" s="447"/>
      <c r="N755" s="308"/>
      <c r="O755" s="308"/>
      <c r="P755" s="308"/>
      <c r="Q755" s="308"/>
      <c r="R755" s="308"/>
      <c r="S755" s="308"/>
      <c r="T755" s="308"/>
      <c r="U755" s="308"/>
      <c r="V755" s="308"/>
      <c r="W755" s="308"/>
      <c r="X755" s="308"/>
      <c r="Y755" s="308"/>
      <c r="Z755" s="308"/>
    </row>
    <row r="756" spans="1:26" ht="14.25" customHeight="1" x14ac:dyDescent="0.3">
      <c r="A756" s="352" t="s">
        <v>2331</v>
      </c>
      <c r="B756" s="433" t="s">
        <v>1142</v>
      </c>
      <c r="C756" s="425" t="s">
        <v>1076</v>
      </c>
      <c r="D756" s="472" t="s">
        <v>1155</v>
      </c>
      <c r="E756" s="423">
        <v>21</v>
      </c>
      <c r="F756" s="428">
        <v>45929</v>
      </c>
      <c r="H756" s="428" t="s">
        <v>1078</v>
      </c>
      <c r="I756" s="308"/>
      <c r="K756" s="308"/>
      <c r="L756" s="447"/>
      <c r="M756" s="447"/>
      <c r="N756" s="308"/>
      <c r="O756" s="308"/>
      <c r="P756" s="308"/>
      <c r="Q756" s="308"/>
      <c r="R756" s="308"/>
      <c r="S756" s="308"/>
      <c r="T756" s="308"/>
      <c r="U756" s="308"/>
      <c r="V756" s="308"/>
      <c r="W756" s="308"/>
      <c r="X756" s="308"/>
      <c r="Y756" s="308"/>
      <c r="Z756" s="308"/>
    </row>
    <row r="757" spans="1:26" ht="14.25" customHeight="1" x14ac:dyDescent="0.3">
      <c r="A757" s="352" t="s">
        <v>2332</v>
      </c>
      <c r="B757" s="433" t="s">
        <v>1142</v>
      </c>
      <c r="C757" s="425" t="s">
        <v>1076</v>
      </c>
      <c r="D757" s="472" t="s">
        <v>1155</v>
      </c>
      <c r="E757" s="423">
        <v>21</v>
      </c>
      <c r="F757" s="428">
        <v>45929</v>
      </c>
      <c r="H757" s="428" t="s">
        <v>1078</v>
      </c>
      <c r="I757" s="308"/>
      <c r="K757" s="308"/>
      <c r="L757" s="447"/>
      <c r="M757" s="447"/>
      <c r="N757" s="308"/>
      <c r="O757" s="308"/>
      <c r="P757" s="308"/>
      <c r="Q757" s="308"/>
      <c r="R757" s="308"/>
      <c r="S757" s="308"/>
      <c r="T757" s="308"/>
      <c r="U757" s="308"/>
      <c r="V757" s="308"/>
      <c r="W757" s="308"/>
      <c r="X757" s="308"/>
      <c r="Y757" s="308"/>
      <c r="Z757" s="308"/>
    </row>
    <row r="758" spans="1:26" s="445" customFormat="1" ht="14.25" customHeight="1" x14ac:dyDescent="0.3">
      <c r="A758" s="475" t="s">
        <v>2333</v>
      </c>
      <c r="B758" s="424" t="s">
        <v>1122</v>
      </c>
      <c r="C758" s="425" t="s">
        <v>1076</v>
      </c>
      <c r="D758" s="472" t="s">
        <v>1155</v>
      </c>
      <c r="E758" s="423">
        <v>21</v>
      </c>
      <c r="F758" s="428">
        <v>45929</v>
      </c>
      <c r="G758" s="423" t="s">
        <v>451</v>
      </c>
      <c r="H758" s="428" t="s">
        <v>1078</v>
      </c>
      <c r="I758" s="423" t="s">
        <v>451</v>
      </c>
      <c r="J758" s="423" t="s">
        <v>451</v>
      </c>
      <c r="K758" s="308"/>
      <c r="N758" s="267"/>
      <c r="O758" s="267"/>
      <c r="P758" s="267"/>
      <c r="Q758" s="267"/>
      <c r="R758" s="267"/>
      <c r="S758" s="267"/>
      <c r="T758" s="267"/>
      <c r="U758" s="267"/>
      <c r="V758" s="267"/>
      <c r="W758" s="267"/>
      <c r="X758" s="267"/>
      <c r="Y758" s="267"/>
      <c r="Z758" s="267"/>
    </row>
    <row r="759" spans="1:26" ht="14.25" customHeight="1" x14ac:dyDescent="0.3">
      <c r="A759" s="475" t="s">
        <v>2333</v>
      </c>
      <c r="B759" s="430" t="s">
        <v>1122</v>
      </c>
      <c r="C759" s="425" t="s">
        <v>1076</v>
      </c>
      <c r="D759" s="308" t="s">
        <v>1077</v>
      </c>
      <c r="E759" s="308">
        <v>24</v>
      </c>
      <c r="F759" s="431">
        <v>45951</v>
      </c>
      <c r="G759" s="308"/>
      <c r="H759" s="428" t="s">
        <v>1078</v>
      </c>
      <c r="I759" s="308"/>
      <c r="J759" s="308"/>
      <c r="K759" s="308"/>
      <c r="L759" s="447"/>
      <c r="M759" s="447"/>
      <c r="N759" s="308"/>
      <c r="O759" s="308"/>
      <c r="P759" s="308"/>
      <c r="Q759" s="308"/>
      <c r="R759" s="308"/>
      <c r="S759" s="308"/>
      <c r="T759" s="308"/>
      <c r="U759" s="308"/>
      <c r="V759" s="308"/>
      <c r="W759" s="308"/>
      <c r="X759" s="308"/>
      <c r="Y759" s="308"/>
      <c r="Z759" s="308"/>
    </row>
    <row r="760" spans="1:26" ht="14.25" customHeight="1" x14ac:dyDescent="0.3">
      <c r="A760" s="475" t="s">
        <v>2333</v>
      </c>
      <c r="B760" s="430" t="s">
        <v>1122</v>
      </c>
      <c r="C760" s="425" t="s">
        <v>1076</v>
      </c>
      <c r="D760" s="308" t="s">
        <v>1077</v>
      </c>
      <c r="E760" s="308">
        <v>24</v>
      </c>
      <c r="F760" s="431">
        <v>45951</v>
      </c>
      <c r="G760" s="308"/>
      <c r="H760" s="428" t="s">
        <v>1078</v>
      </c>
      <c r="I760" s="308"/>
      <c r="J760" s="308"/>
      <c r="K760" s="308"/>
      <c r="L760" s="447"/>
      <c r="M760" s="447"/>
      <c r="N760" s="308"/>
      <c r="O760" s="308"/>
      <c r="P760" s="308"/>
      <c r="Q760" s="308"/>
      <c r="R760" s="308"/>
      <c r="S760" s="308"/>
      <c r="T760" s="308"/>
      <c r="U760" s="308"/>
      <c r="V760" s="308"/>
      <c r="W760" s="308"/>
      <c r="X760" s="308"/>
      <c r="Y760" s="308"/>
      <c r="Z760" s="308"/>
    </row>
    <row r="761" spans="1:26" ht="14.25" customHeight="1" x14ac:dyDescent="0.3">
      <c r="A761" s="485" t="s">
        <v>2333</v>
      </c>
      <c r="B761" s="430" t="s">
        <v>1122</v>
      </c>
      <c r="C761" s="425" t="s">
        <v>1076</v>
      </c>
      <c r="D761" s="432" t="s">
        <v>1080</v>
      </c>
      <c r="E761" s="308">
        <v>25</v>
      </c>
      <c r="F761" s="431">
        <v>45953</v>
      </c>
      <c r="G761" s="308"/>
      <c r="H761" s="428" t="s">
        <v>1078</v>
      </c>
      <c r="I761" s="308"/>
      <c r="J761" s="308"/>
      <c r="K761" s="308"/>
      <c r="L761" s="447"/>
      <c r="M761" s="447"/>
      <c r="N761" s="308"/>
      <c r="O761" s="308"/>
      <c r="P761" s="308"/>
      <c r="Q761" s="308"/>
      <c r="R761" s="308"/>
      <c r="S761" s="308"/>
      <c r="T761" s="308"/>
      <c r="U761" s="308"/>
      <c r="V761" s="308"/>
      <c r="W761" s="308"/>
      <c r="X761" s="308"/>
      <c r="Y761" s="308"/>
      <c r="Z761" s="308"/>
    </row>
    <row r="762" spans="1:26" ht="14.25" customHeight="1" x14ac:dyDescent="0.3">
      <c r="A762" s="486" t="s">
        <v>2333</v>
      </c>
      <c r="B762" s="411" t="s">
        <v>1122</v>
      </c>
      <c r="C762" s="425" t="s">
        <v>1076</v>
      </c>
      <c r="D762" s="432" t="s">
        <v>1080</v>
      </c>
      <c r="E762" s="308">
        <v>27</v>
      </c>
      <c r="F762" s="431">
        <v>45958</v>
      </c>
      <c r="G762" s="308"/>
      <c r="H762" s="428" t="s">
        <v>1078</v>
      </c>
      <c r="I762" s="308"/>
      <c r="J762" s="308"/>
      <c r="K762" s="308"/>
      <c r="L762" s="447"/>
      <c r="M762" s="447"/>
      <c r="N762" s="308"/>
      <c r="O762" s="308"/>
      <c r="P762" s="308"/>
      <c r="Q762" s="308"/>
      <c r="R762" s="308"/>
      <c r="S762" s="308"/>
      <c r="T762" s="308"/>
      <c r="U762" s="308"/>
      <c r="V762" s="308"/>
      <c r="W762" s="308"/>
      <c r="X762" s="308"/>
      <c r="Y762" s="308"/>
      <c r="Z762" s="308"/>
    </row>
    <row r="763" spans="1:26" ht="14.25" customHeight="1" x14ac:dyDescent="0.3">
      <c r="A763" s="475" t="s">
        <v>2334</v>
      </c>
      <c r="B763" s="424" t="s">
        <v>1122</v>
      </c>
      <c r="C763" s="425" t="s">
        <v>1076</v>
      </c>
      <c r="D763" s="472" t="s">
        <v>1155</v>
      </c>
      <c r="E763" s="423">
        <v>21</v>
      </c>
      <c r="F763" s="428">
        <v>45929</v>
      </c>
      <c r="G763" s="423" t="s">
        <v>451</v>
      </c>
      <c r="H763" s="428" t="s">
        <v>1078</v>
      </c>
      <c r="I763" s="423" t="s">
        <v>451</v>
      </c>
      <c r="J763" s="423" t="s">
        <v>451</v>
      </c>
      <c r="K763" s="308"/>
      <c r="L763" s="447"/>
      <c r="M763" s="447"/>
      <c r="N763" s="308"/>
      <c r="O763" s="308"/>
      <c r="P763" s="308"/>
      <c r="Q763" s="308"/>
      <c r="R763" s="308"/>
      <c r="S763" s="308"/>
      <c r="T763" s="308"/>
      <c r="U763" s="308"/>
      <c r="V763" s="308"/>
      <c r="W763" s="308"/>
      <c r="X763" s="308"/>
      <c r="Y763" s="308"/>
      <c r="Z763" s="308"/>
    </row>
    <row r="764" spans="1:26" s="445" customFormat="1" ht="14.25" customHeight="1" x14ac:dyDescent="0.3">
      <c r="A764" s="485" t="s">
        <v>2335</v>
      </c>
      <c r="B764" s="430" t="s">
        <v>1122</v>
      </c>
      <c r="C764" s="425" t="s">
        <v>1076</v>
      </c>
      <c r="D764" s="432" t="s">
        <v>1080</v>
      </c>
      <c r="E764" s="308">
        <v>25</v>
      </c>
      <c r="F764" s="431">
        <v>45953</v>
      </c>
      <c r="G764" s="308"/>
      <c r="H764" s="428" t="s">
        <v>1078</v>
      </c>
      <c r="I764" s="308"/>
      <c r="J764" s="308"/>
      <c r="K764" s="308"/>
      <c r="N764" s="267"/>
      <c r="O764" s="267"/>
      <c r="P764" s="267"/>
      <c r="Q764" s="267"/>
      <c r="R764" s="267"/>
      <c r="S764" s="267"/>
      <c r="T764" s="267"/>
      <c r="U764" s="267"/>
      <c r="V764" s="267"/>
      <c r="W764" s="267"/>
      <c r="X764" s="267"/>
      <c r="Y764" s="267"/>
      <c r="Z764" s="267"/>
    </row>
    <row r="765" spans="1:26" ht="14.25" customHeight="1" x14ac:dyDescent="0.3">
      <c r="A765" s="352" t="s">
        <v>2336</v>
      </c>
      <c r="B765" s="433" t="s">
        <v>1142</v>
      </c>
      <c r="C765" s="425" t="s">
        <v>1076</v>
      </c>
      <c r="D765" s="472" t="s">
        <v>1155</v>
      </c>
      <c r="E765" s="308">
        <v>21</v>
      </c>
      <c r="F765" s="431">
        <v>45929</v>
      </c>
      <c r="G765" s="308"/>
      <c r="H765" s="435" t="s">
        <v>1083</v>
      </c>
      <c r="I765" s="308">
        <v>4</v>
      </c>
      <c r="J765" s="431">
        <v>45944</v>
      </c>
      <c r="K765" s="308"/>
      <c r="L765" s="447"/>
      <c r="M765" s="447"/>
      <c r="N765" s="308"/>
      <c r="O765" s="308"/>
      <c r="P765" s="308"/>
      <c r="Q765" s="308"/>
      <c r="R765" s="308"/>
      <c r="S765" s="308"/>
      <c r="T765" s="308"/>
      <c r="U765" s="308"/>
      <c r="V765" s="308"/>
      <c r="W765" s="308"/>
      <c r="X765" s="308"/>
      <c r="Y765" s="308"/>
      <c r="Z765" s="308"/>
    </row>
    <row r="766" spans="1:26" s="445" customFormat="1" ht="14.25" customHeight="1" x14ac:dyDescent="0.3">
      <c r="A766" s="498" t="s">
        <v>2336</v>
      </c>
      <c r="B766" s="430" t="s">
        <v>1122</v>
      </c>
      <c r="C766" s="425" t="s">
        <v>1076</v>
      </c>
      <c r="D766" s="432" t="s">
        <v>1080</v>
      </c>
      <c r="E766" s="308">
        <v>25</v>
      </c>
      <c r="F766" s="431">
        <v>45953</v>
      </c>
      <c r="G766" s="308"/>
      <c r="H766" s="428" t="s">
        <v>1078</v>
      </c>
      <c r="I766" s="308"/>
      <c r="J766" s="308"/>
      <c r="K766" s="308"/>
      <c r="N766" s="267"/>
      <c r="O766" s="267"/>
      <c r="P766" s="267"/>
      <c r="Q766" s="267"/>
      <c r="R766" s="267"/>
      <c r="S766" s="267"/>
      <c r="T766" s="267"/>
      <c r="U766" s="267"/>
      <c r="V766" s="267"/>
      <c r="W766" s="267"/>
      <c r="X766" s="267"/>
      <c r="Y766" s="267"/>
      <c r="Z766" s="267"/>
    </row>
    <row r="767" spans="1:26" ht="14.25" customHeight="1" x14ac:dyDescent="0.3">
      <c r="A767" s="502" t="s">
        <v>2336</v>
      </c>
      <c r="B767" s="433" t="s">
        <v>1142</v>
      </c>
      <c r="C767" s="425" t="s">
        <v>1076</v>
      </c>
      <c r="D767" s="545" t="s">
        <v>1080</v>
      </c>
      <c r="E767" s="308">
        <v>27</v>
      </c>
      <c r="F767" s="431">
        <v>45958</v>
      </c>
      <c r="G767" s="308"/>
      <c r="H767" s="308" t="s">
        <v>1083</v>
      </c>
      <c r="I767" s="308">
        <v>5</v>
      </c>
      <c r="J767" s="308"/>
      <c r="K767" s="308"/>
      <c r="L767" s="447"/>
      <c r="M767" s="447"/>
      <c r="N767" s="308"/>
      <c r="O767" s="308"/>
      <c r="P767" s="308"/>
      <c r="Q767" s="308"/>
      <c r="R767" s="308"/>
      <c r="S767" s="308"/>
      <c r="T767" s="308"/>
      <c r="U767" s="308"/>
      <c r="V767" s="308"/>
      <c r="W767" s="308"/>
      <c r="X767" s="308"/>
      <c r="Y767" s="308"/>
      <c r="Z767" s="308"/>
    </row>
    <row r="768" spans="1:26" ht="14.25" customHeight="1" x14ac:dyDescent="0.3">
      <c r="A768" s="481" t="s">
        <v>2336</v>
      </c>
      <c r="B768" s="433" t="s">
        <v>1142</v>
      </c>
      <c r="C768" s="425" t="s">
        <v>1076</v>
      </c>
      <c r="D768" s="548" t="s">
        <v>1077</v>
      </c>
      <c r="E768" s="308">
        <v>24</v>
      </c>
      <c r="F768" s="431">
        <v>45951</v>
      </c>
      <c r="G768" s="308"/>
      <c r="H768" s="308" t="s">
        <v>1083</v>
      </c>
      <c r="I768" s="308">
        <v>5</v>
      </c>
      <c r="J768" s="308"/>
      <c r="K768" s="308"/>
      <c r="L768" s="447"/>
      <c r="M768" s="447"/>
      <c r="N768" s="308"/>
      <c r="O768" s="308"/>
      <c r="P768" s="308"/>
      <c r="Q768" s="308"/>
      <c r="R768" s="308"/>
      <c r="S768" s="308"/>
      <c r="T768" s="308"/>
      <c r="U768" s="308"/>
      <c r="V768" s="308"/>
      <c r="W768" s="308"/>
      <c r="X768" s="308"/>
      <c r="Y768" s="308"/>
      <c r="Z768" s="308"/>
    </row>
    <row r="769" spans="1:26" ht="14.25" customHeight="1" x14ac:dyDescent="0.3">
      <c r="A769" s="352" t="s">
        <v>2337</v>
      </c>
      <c r="B769" s="433" t="s">
        <v>1142</v>
      </c>
      <c r="C769" s="425" t="s">
        <v>1076</v>
      </c>
      <c r="D769" s="472" t="s">
        <v>1155</v>
      </c>
      <c r="E769" s="423">
        <v>21</v>
      </c>
      <c r="F769" s="428">
        <v>45929</v>
      </c>
      <c r="H769" s="428" t="s">
        <v>1078</v>
      </c>
      <c r="I769" s="308"/>
      <c r="K769" s="308"/>
      <c r="L769" s="447"/>
      <c r="M769" s="447"/>
      <c r="N769" s="308"/>
      <c r="O769" s="308"/>
      <c r="P769" s="308"/>
      <c r="Q769" s="308"/>
      <c r="R769" s="308"/>
      <c r="S769" s="308"/>
      <c r="T769" s="308"/>
      <c r="U769" s="308"/>
      <c r="V769" s="308"/>
      <c r="W769" s="308"/>
      <c r="X769" s="308"/>
      <c r="Y769" s="308"/>
      <c r="Z769" s="308"/>
    </row>
    <row r="770" spans="1:26" ht="14.25" customHeight="1" x14ac:dyDescent="0.3">
      <c r="A770" s="352" t="s">
        <v>2337</v>
      </c>
      <c r="B770" s="433" t="s">
        <v>1142</v>
      </c>
      <c r="C770" s="425" t="s">
        <v>1076</v>
      </c>
      <c r="D770" s="472" t="s">
        <v>1155</v>
      </c>
      <c r="E770" s="308">
        <v>21</v>
      </c>
      <c r="F770" s="431">
        <v>45929</v>
      </c>
      <c r="G770" s="308"/>
      <c r="H770" s="435" t="s">
        <v>1083</v>
      </c>
      <c r="I770" s="308">
        <v>4</v>
      </c>
      <c r="J770" s="431">
        <v>45944</v>
      </c>
      <c r="K770" s="308"/>
      <c r="L770" s="447"/>
      <c r="M770" s="447"/>
      <c r="N770" s="308"/>
      <c r="O770" s="308"/>
      <c r="P770" s="308"/>
      <c r="Q770" s="308"/>
      <c r="R770" s="308"/>
      <c r="S770" s="308"/>
      <c r="T770" s="308"/>
      <c r="U770" s="308"/>
      <c r="V770" s="308"/>
      <c r="W770" s="308"/>
      <c r="X770" s="308"/>
      <c r="Y770" s="308"/>
      <c r="Z770" s="308"/>
    </row>
    <row r="771" spans="1:26" s="445" customFormat="1" ht="14.25" customHeight="1" x14ac:dyDescent="0.3">
      <c r="A771" s="498" t="s">
        <v>2337</v>
      </c>
      <c r="B771" s="430" t="s">
        <v>1122</v>
      </c>
      <c r="C771" s="425" t="s">
        <v>1076</v>
      </c>
      <c r="D771" s="432" t="s">
        <v>1080</v>
      </c>
      <c r="E771" s="308">
        <v>25</v>
      </c>
      <c r="F771" s="431">
        <v>45953</v>
      </c>
      <c r="G771" s="308"/>
      <c r="H771" s="428" t="s">
        <v>1078</v>
      </c>
      <c r="I771" s="308"/>
      <c r="J771" s="308"/>
      <c r="K771" s="308"/>
      <c r="N771" s="267"/>
      <c r="O771" s="267"/>
      <c r="P771" s="267"/>
      <c r="Q771" s="267"/>
      <c r="R771" s="267"/>
      <c r="S771" s="267"/>
      <c r="T771" s="267"/>
      <c r="U771" s="267"/>
      <c r="V771" s="267"/>
      <c r="W771" s="267"/>
      <c r="X771" s="267"/>
      <c r="Y771" s="267"/>
      <c r="Z771" s="267"/>
    </row>
    <row r="772" spans="1:26" s="445" customFormat="1" ht="14.25" customHeight="1" x14ac:dyDescent="0.3">
      <c r="A772" s="502" t="s">
        <v>2337</v>
      </c>
      <c r="B772" s="433" t="s">
        <v>1142</v>
      </c>
      <c r="C772" s="425" t="s">
        <v>1076</v>
      </c>
      <c r="D772" s="545" t="s">
        <v>1080</v>
      </c>
      <c r="E772" s="308">
        <v>27</v>
      </c>
      <c r="F772" s="431">
        <v>45958</v>
      </c>
      <c r="G772" s="308"/>
      <c r="H772" s="308" t="s">
        <v>1083</v>
      </c>
      <c r="I772" s="308">
        <v>5</v>
      </c>
      <c r="J772" s="308"/>
      <c r="K772" s="308"/>
      <c r="N772" s="267"/>
      <c r="O772" s="267"/>
      <c r="P772" s="267"/>
      <c r="Q772" s="267"/>
      <c r="R772" s="267"/>
      <c r="S772" s="267"/>
      <c r="T772" s="267"/>
      <c r="U772" s="267"/>
      <c r="V772" s="267"/>
      <c r="W772" s="267"/>
      <c r="X772" s="267"/>
      <c r="Y772" s="267"/>
      <c r="Z772" s="267"/>
    </row>
    <row r="773" spans="1:26" ht="14.25" customHeight="1" x14ac:dyDescent="0.3">
      <c r="A773" s="498" t="s">
        <v>1218</v>
      </c>
      <c r="B773" s="430" t="s">
        <v>1122</v>
      </c>
      <c r="C773" s="425" t="s">
        <v>1076</v>
      </c>
      <c r="D773" s="432" t="s">
        <v>1080</v>
      </c>
      <c r="E773" s="308">
        <v>25</v>
      </c>
      <c r="F773" s="431">
        <v>45953</v>
      </c>
      <c r="G773" s="308"/>
      <c r="H773" s="428" t="s">
        <v>1078</v>
      </c>
      <c r="I773" s="308"/>
      <c r="J773" s="308"/>
      <c r="K773" s="308"/>
      <c r="L773" s="447"/>
      <c r="M773" s="447"/>
      <c r="N773" s="308"/>
      <c r="O773" s="308"/>
      <c r="P773" s="308"/>
      <c r="Q773" s="308"/>
      <c r="R773" s="308"/>
      <c r="S773" s="308"/>
      <c r="T773" s="308"/>
      <c r="U773" s="308"/>
      <c r="V773" s="308"/>
      <c r="W773" s="308"/>
      <c r="X773" s="308"/>
      <c r="Y773" s="308"/>
      <c r="Z773" s="308"/>
    </row>
    <row r="774" spans="1:26" ht="14.25" customHeight="1" x14ac:dyDescent="0.3">
      <c r="A774" s="498" t="s">
        <v>1219</v>
      </c>
      <c r="B774" s="430" t="s">
        <v>1122</v>
      </c>
      <c r="C774" s="425" t="s">
        <v>1076</v>
      </c>
      <c r="D774" s="432" t="s">
        <v>1080</v>
      </c>
      <c r="E774" s="308">
        <v>25</v>
      </c>
      <c r="F774" s="431">
        <v>45953</v>
      </c>
      <c r="G774" s="308"/>
      <c r="H774" s="428" t="s">
        <v>1078</v>
      </c>
      <c r="I774" s="308"/>
      <c r="J774" s="308"/>
      <c r="K774" s="308"/>
      <c r="L774" s="447"/>
      <c r="M774" s="447"/>
      <c r="N774" s="308"/>
      <c r="O774" s="308"/>
      <c r="P774" s="308"/>
      <c r="Q774" s="308"/>
      <c r="R774" s="308"/>
      <c r="S774" s="308"/>
      <c r="T774" s="308"/>
      <c r="U774" s="308"/>
      <c r="V774" s="308"/>
      <c r="W774" s="308"/>
      <c r="X774" s="308"/>
      <c r="Y774" s="308"/>
      <c r="Z774" s="308"/>
    </row>
    <row r="775" spans="1:26" ht="14.25" customHeight="1" x14ac:dyDescent="0.3">
      <c r="A775" s="507" t="s">
        <v>1219</v>
      </c>
      <c r="B775" s="433" t="s">
        <v>1142</v>
      </c>
      <c r="C775" s="425" t="s">
        <v>1076</v>
      </c>
      <c r="D775" s="545" t="s">
        <v>1080</v>
      </c>
      <c r="E775" s="308">
        <v>27</v>
      </c>
      <c r="F775" s="431">
        <v>45958</v>
      </c>
      <c r="G775" s="308"/>
      <c r="H775" s="428" t="s">
        <v>1078</v>
      </c>
      <c r="I775" s="308"/>
      <c r="J775" s="308"/>
      <c r="K775" s="308"/>
      <c r="L775" s="447"/>
      <c r="M775" s="447"/>
      <c r="N775" s="308"/>
      <c r="O775" s="308"/>
      <c r="P775" s="308"/>
      <c r="Q775" s="308"/>
      <c r="R775" s="308"/>
      <c r="S775" s="308"/>
      <c r="T775" s="308"/>
      <c r="U775" s="308"/>
      <c r="V775" s="308"/>
      <c r="W775" s="308"/>
      <c r="X775" s="308"/>
      <c r="Y775" s="308"/>
      <c r="Z775" s="308"/>
    </row>
    <row r="776" spans="1:26" ht="14.25" customHeight="1" x14ac:dyDescent="0.3">
      <c r="A776" s="475" t="s">
        <v>2338</v>
      </c>
      <c r="B776" s="430" t="s">
        <v>1122</v>
      </c>
      <c r="C776" s="425" t="s">
        <v>1076</v>
      </c>
      <c r="D776" s="308" t="s">
        <v>1077</v>
      </c>
      <c r="E776" s="308">
        <v>24</v>
      </c>
      <c r="F776" s="431">
        <v>45951</v>
      </c>
      <c r="G776" s="308"/>
      <c r="H776" s="428" t="s">
        <v>1078</v>
      </c>
      <c r="I776" s="308"/>
      <c r="J776" s="308"/>
      <c r="K776" s="308"/>
      <c r="L776" s="447"/>
      <c r="M776" s="447"/>
      <c r="N776" s="308"/>
      <c r="O776" s="308"/>
      <c r="P776" s="308"/>
      <c r="Q776" s="308"/>
      <c r="R776" s="308"/>
      <c r="S776" s="308"/>
      <c r="T776" s="308"/>
      <c r="U776" s="308"/>
      <c r="V776" s="308"/>
      <c r="W776" s="308"/>
      <c r="X776" s="308"/>
      <c r="Y776" s="308"/>
      <c r="Z776" s="308"/>
    </row>
    <row r="777" spans="1:26" ht="14.25" customHeight="1" x14ac:dyDescent="0.3">
      <c r="A777" s="485" t="s">
        <v>2338</v>
      </c>
      <c r="B777" s="430" t="s">
        <v>1122</v>
      </c>
      <c r="C777" s="425" t="s">
        <v>1076</v>
      </c>
      <c r="D777" s="432" t="s">
        <v>1080</v>
      </c>
      <c r="E777" s="308">
        <v>25</v>
      </c>
      <c r="F777" s="431">
        <v>45953</v>
      </c>
      <c r="G777" s="308"/>
      <c r="H777" s="428" t="s">
        <v>1078</v>
      </c>
      <c r="I777" s="308"/>
      <c r="J777" s="308"/>
      <c r="K777" s="308"/>
      <c r="L777" s="447"/>
      <c r="M777" s="447"/>
      <c r="N777" s="308"/>
      <c r="O777" s="308"/>
      <c r="P777" s="308"/>
      <c r="Q777" s="308"/>
      <c r="R777" s="308"/>
      <c r="S777" s="308"/>
      <c r="T777" s="308"/>
      <c r="U777" s="308"/>
      <c r="V777" s="308"/>
      <c r="W777" s="308"/>
      <c r="X777" s="308"/>
      <c r="Y777" s="308"/>
      <c r="Z777" s="308"/>
    </row>
    <row r="778" spans="1:26" ht="14.25" customHeight="1" x14ac:dyDescent="0.3">
      <c r="A778" s="476" t="s">
        <v>2338</v>
      </c>
      <c r="B778" s="411" t="s">
        <v>1122</v>
      </c>
      <c r="C778" s="425" t="s">
        <v>1076</v>
      </c>
      <c r="D778" s="438" t="s">
        <v>1086</v>
      </c>
      <c r="E778" s="308">
        <v>26</v>
      </c>
      <c r="F778" s="431">
        <v>45958</v>
      </c>
      <c r="G778" s="308"/>
      <c r="H778" s="428" t="s">
        <v>1078</v>
      </c>
      <c r="I778" s="308"/>
      <c r="J778" s="308"/>
      <c r="K778" s="308"/>
      <c r="L778" s="447"/>
      <c r="M778" s="447"/>
      <c r="N778" s="308"/>
      <c r="O778" s="308"/>
      <c r="P778" s="308"/>
      <c r="Q778" s="308"/>
      <c r="R778" s="308"/>
      <c r="S778" s="308"/>
      <c r="T778" s="308"/>
      <c r="U778" s="308"/>
      <c r="V778" s="308"/>
      <c r="W778" s="308"/>
      <c r="X778" s="308"/>
      <c r="Y778" s="308"/>
      <c r="Z778" s="308"/>
    </row>
    <row r="779" spans="1:26" ht="14.25" customHeight="1" x14ac:dyDescent="0.3">
      <c r="A779" s="485" t="s">
        <v>2338</v>
      </c>
      <c r="B779" s="411" t="s">
        <v>1122</v>
      </c>
      <c r="C779" s="425" t="s">
        <v>1076</v>
      </c>
      <c r="D779" s="432" t="s">
        <v>1080</v>
      </c>
      <c r="E779" s="308">
        <v>27</v>
      </c>
      <c r="F779" s="431">
        <v>45958</v>
      </c>
      <c r="G779" s="308"/>
      <c r="H779" s="428" t="s">
        <v>1078</v>
      </c>
      <c r="I779" s="308"/>
      <c r="J779" s="308"/>
      <c r="K779" s="308"/>
      <c r="L779" s="447"/>
      <c r="M779" s="447"/>
      <c r="N779" s="308"/>
      <c r="O779" s="308"/>
      <c r="P779" s="308"/>
      <c r="Q779" s="308"/>
      <c r="R779" s="308"/>
      <c r="S779" s="308"/>
      <c r="T779" s="308"/>
      <c r="U779" s="308"/>
      <c r="V779" s="308"/>
      <c r="W779" s="308"/>
      <c r="X779" s="308"/>
      <c r="Y779" s="308"/>
      <c r="Z779" s="308"/>
    </row>
    <row r="780" spans="1:26" ht="14.25" customHeight="1" x14ac:dyDescent="0.3">
      <c r="A780" s="497" t="s">
        <v>2339</v>
      </c>
      <c r="B780" s="430" t="s">
        <v>1122</v>
      </c>
      <c r="C780" s="425" t="s">
        <v>1076</v>
      </c>
      <c r="D780" s="432" t="s">
        <v>1080</v>
      </c>
      <c r="E780" s="308">
        <v>25</v>
      </c>
      <c r="F780" s="431">
        <v>45953</v>
      </c>
      <c r="G780" s="308"/>
      <c r="H780" s="428" t="s">
        <v>1078</v>
      </c>
      <c r="I780" s="308"/>
      <c r="J780" s="308"/>
      <c r="K780" s="308"/>
      <c r="L780" s="447"/>
      <c r="M780" s="447"/>
      <c r="N780" s="308"/>
      <c r="O780" s="308"/>
      <c r="P780" s="308"/>
      <c r="Q780" s="308"/>
      <c r="R780" s="308"/>
      <c r="S780" s="308"/>
      <c r="T780" s="308"/>
      <c r="U780" s="308"/>
      <c r="V780" s="308"/>
      <c r="W780" s="308"/>
      <c r="X780" s="308"/>
      <c r="Y780" s="308"/>
      <c r="Z780" s="308"/>
    </row>
    <row r="781" spans="1:26" ht="14.25" customHeight="1" x14ac:dyDescent="0.3">
      <c r="A781" s="502" t="s">
        <v>2339</v>
      </c>
      <c r="B781" s="433" t="s">
        <v>1142</v>
      </c>
      <c r="C781" s="425" t="s">
        <v>1076</v>
      </c>
      <c r="D781" s="529" t="s">
        <v>1086</v>
      </c>
      <c r="E781" s="308">
        <v>26</v>
      </c>
      <c r="F781" s="431">
        <v>45958</v>
      </c>
      <c r="G781" s="308"/>
      <c r="H781" s="308" t="s">
        <v>1083</v>
      </c>
      <c r="I781" s="308">
        <v>5</v>
      </c>
      <c r="J781" s="308"/>
      <c r="K781" s="308"/>
      <c r="L781" s="447"/>
      <c r="M781" s="447"/>
      <c r="N781" s="308"/>
      <c r="O781" s="308"/>
      <c r="P781" s="308"/>
      <c r="Q781" s="308"/>
      <c r="R781" s="308"/>
      <c r="S781" s="308"/>
      <c r="T781" s="308"/>
      <c r="U781" s="308"/>
      <c r="V781" s="308"/>
      <c r="W781" s="308"/>
      <c r="X781" s="308"/>
      <c r="Y781" s="308"/>
      <c r="Z781" s="308"/>
    </row>
    <row r="782" spans="1:26" ht="14.25" customHeight="1" x14ac:dyDescent="0.3">
      <c r="A782" s="507" t="s">
        <v>2339</v>
      </c>
      <c r="B782" s="433" t="s">
        <v>1142</v>
      </c>
      <c r="C782" s="425" t="s">
        <v>1076</v>
      </c>
      <c r="D782" s="545" t="s">
        <v>1080</v>
      </c>
      <c r="E782" s="308">
        <v>27</v>
      </c>
      <c r="F782" s="431">
        <v>45958</v>
      </c>
      <c r="G782" s="308"/>
      <c r="H782" s="308" t="s">
        <v>1083</v>
      </c>
      <c r="I782" s="308">
        <v>5</v>
      </c>
      <c r="J782" s="308"/>
      <c r="K782" s="308"/>
      <c r="L782" s="447"/>
      <c r="M782" s="447"/>
      <c r="N782" s="308"/>
      <c r="O782" s="308"/>
      <c r="P782" s="308"/>
      <c r="Q782" s="308"/>
      <c r="R782" s="308"/>
      <c r="S782" s="308"/>
      <c r="T782" s="308"/>
      <c r="U782" s="308"/>
      <c r="V782" s="308"/>
      <c r="W782" s="308"/>
      <c r="X782" s="308"/>
      <c r="Y782" s="308"/>
      <c r="Z782" s="308"/>
    </row>
    <row r="783" spans="1:26" ht="14.25" customHeight="1" x14ac:dyDescent="0.3">
      <c r="A783" s="481" t="s">
        <v>2339</v>
      </c>
      <c r="B783" s="433" t="s">
        <v>1142</v>
      </c>
      <c r="C783" s="425" t="s">
        <v>1076</v>
      </c>
      <c r="D783" s="548" t="s">
        <v>1077</v>
      </c>
      <c r="E783" s="308">
        <v>24</v>
      </c>
      <c r="F783" s="431">
        <v>45951</v>
      </c>
      <c r="G783" s="308"/>
      <c r="H783" s="308" t="s">
        <v>1083</v>
      </c>
      <c r="I783" s="308">
        <v>5</v>
      </c>
      <c r="J783" s="308"/>
      <c r="K783" s="308"/>
      <c r="L783" s="447"/>
      <c r="M783" s="447"/>
      <c r="N783" s="308"/>
      <c r="O783" s="308"/>
      <c r="P783" s="308"/>
      <c r="Q783" s="308"/>
      <c r="R783" s="308"/>
      <c r="S783" s="308"/>
      <c r="T783" s="308"/>
      <c r="U783" s="308"/>
      <c r="V783" s="308"/>
      <c r="W783" s="308"/>
      <c r="X783" s="308"/>
      <c r="Y783" s="308"/>
      <c r="Z783" s="308"/>
    </row>
    <row r="784" spans="1:26" s="445" customFormat="1" ht="14.25" customHeight="1" x14ac:dyDescent="0.3">
      <c r="A784" s="497" t="s">
        <v>2340</v>
      </c>
      <c r="B784" s="430" t="s">
        <v>1122</v>
      </c>
      <c r="C784" s="425" t="s">
        <v>1076</v>
      </c>
      <c r="D784" s="432" t="s">
        <v>1080</v>
      </c>
      <c r="E784" s="308">
        <v>25</v>
      </c>
      <c r="F784" s="431">
        <v>45953</v>
      </c>
      <c r="G784" s="308"/>
      <c r="H784" s="428" t="s">
        <v>1078</v>
      </c>
      <c r="I784" s="308"/>
      <c r="J784" s="308"/>
      <c r="K784" s="308"/>
      <c r="N784" s="267"/>
      <c r="O784" s="267"/>
      <c r="P784" s="267"/>
      <c r="Q784" s="267"/>
      <c r="R784" s="267"/>
      <c r="S784" s="267"/>
      <c r="T784" s="267"/>
      <c r="U784" s="267"/>
      <c r="V784" s="267"/>
      <c r="W784" s="267"/>
      <c r="X784" s="267"/>
      <c r="Y784" s="267"/>
      <c r="Z784" s="267"/>
    </row>
    <row r="785" spans="1:26" ht="14.25" customHeight="1" x14ac:dyDescent="0.3">
      <c r="A785" s="476" t="s">
        <v>2340</v>
      </c>
      <c r="B785" s="411" t="s">
        <v>1122</v>
      </c>
      <c r="C785" s="425" t="s">
        <v>1076</v>
      </c>
      <c r="D785" s="438" t="s">
        <v>1086</v>
      </c>
      <c r="E785" s="308">
        <v>26</v>
      </c>
      <c r="F785" s="431">
        <v>45958</v>
      </c>
      <c r="G785" s="308"/>
      <c r="H785" s="428" t="s">
        <v>1078</v>
      </c>
      <c r="I785" s="308"/>
      <c r="J785" s="308"/>
      <c r="K785" s="308"/>
      <c r="L785" s="447"/>
      <c r="M785" s="447"/>
      <c r="N785" s="308"/>
      <c r="O785" s="308"/>
      <c r="P785" s="308"/>
      <c r="Q785" s="308"/>
      <c r="R785" s="308"/>
      <c r="S785" s="308"/>
      <c r="T785" s="308"/>
      <c r="U785" s="308"/>
      <c r="V785" s="308"/>
      <c r="W785" s="308"/>
      <c r="X785" s="308"/>
      <c r="Y785" s="308"/>
      <c r="Z785" s="308"/>
    </row>
    <row r="786" spans="1:26" s="445" customFormat="1" ht="14.25" customHeight="1" x14ac:dyDescent="0.3">
      <c r="A786" s="507" t="s">
        <v>2340</v>
      </c>
      <c r="B786" s="433" t="s">
        <v>1142</v>
      </c>
      <c r="C786" s="425" t="s">
        <v>1076</v>
      </c>
      <c r="D786" s="545" t="s">
        <v>1080</v>
      </c>
      <c r="E786" s="308">
        <v>27</v>
      </c>
      <c r="F786" s="431">
        <v>45958</v>
      </c>
      <c r="G786" s="308"/>
      <c r="H786" s="308" t="s">
        <v>1083</v>
      </c>
      <c r="I786" s="308">
        <v>5</v>
      </c>
      <c r="J786" s="308"/>
      <c r="K786" s="308"/>
      <c r="N786" s="267"/>
      <c r="O786" s="267"/>
      <c r="P786" s="267"/>
      <c r="Q786" s="267"/>
      <c r="R786" s="267"/>
      <c r="S786" s="267"/>
      <c r="T786" s="267"/>
      <c r="U786" s="267"/>
      <c r="V786" s="267"/>
      <c r="W786" s="267"/>
      <c r="X786" s="267"/>
      <c r="Y786" s="267"/>
      <c r="Z786" s="267"/>
    </row>
    <row r="787" spans="1:26" ht="14.25" customHeight="1" x14ac:dyDescent="0.3">
      <c r="A787" s="481" t="s">
        <v>2340</v>
      </c>
      <c r="B787" s="433" t="s">
        <v>1142</v>
      </c>
      <c r="C787" s="425" t="s">
        <v>1076</v>
      </c>
      <c r="D787" s="548" t="s">
        <v>1077</v>
      </c>
      <c r="E787" s="308">
        <v>24</v>
      </c>
      <c r="F787" s="431">
        <v>45951</v>
      </c>
      <c r="G787" s="308"/>
      <c r="H787" s="308" t="s">
        <v>1083</v>
      </c>
      <c r="I787" s="308">
        <v>5</v>
      </c>
      <c r="J787" s="308"/>
      <c r="K787" s="308"/>
      <c r="L787" s="447"/>
      <c r="M787" s="447"/>
      <c r="N787" s="308"/>
      <c r="O787" s="308"/>
      <c r="P787" s="308"/>
      <c r="Q787" s="308"/>
      <c r="R787" s="308"/>
      <c r="S787" s="308"/>
      <c r="T787" s="308"/>
      <c r="U787" s="308"/>
      <c r="V787" s="308"/>
      <c r="W787" s="308"/>
      <c r="X787" s="308"/>
      <c r="Y787" s="308"/>
      <c r="Z787" s="308"/>
    </row>
    <row r="788" spans="1:26" ht="14.25" customHeight="1" x14ac:dyDescent="0.3">
      <c r="A788" s="476" t="s">
        <v>2341</v>
      </c>
      <c r="B788" s="411" t="s">
        <v>1122</v>
      </c>
      <c r="C788" s="425" t="s">
        <v>1076</v>
      </c>
      <c r="D788" s="438" t="s">
        <v>1086</v>
      </c>
      <c r="E788" s="308">
        <v>26</v>
      </c>
      <c r="F788" s="431">
        <v>45958</v>
      </c>
      <c r="G788" s="308"/>
      <c r="H788" s="428" t="s">
        <v>1078</v>
      </c>
      <c r="I788" s="308"/>
      <c r="J788" s="308"/>
      <c r="K788" s="308"/>
      <c r="L788" s="447"/>
      <c r="M788" s="447"/>
      <c r="N788" s="308"/>
      <c r="O788" s="308"/>
      <c r="P788" s="308"/>
      <c r="Q788" s="308"/>
      <c r="R788" s="308"/>
      <c r="S788" s="308"/>
      <c r="T788" s="308"/>
      <c r="U788" s="308"/>
      <c r="V788" s="308"/>
      <c r="W788" s="308"/>
      <c r="X788" s="308"/>
      <c r="Y788" s="308"/>
      <c r="Z788" s="308"/>
    </row>
    <row r="789" spans="1:26" s="445" customFormat="1" ht="14.25" customHeight="1" x14ac:dyDescent="0.3">
      <c r="A789" s="502" t="s">
        <v>2341</v>
      </c>
      <c r="B789" s="433" t="s">
        <v>1142</v>
      </c>
      <c r="C789" s="425" t="s">
        <v>1076</v>
      </c>
      <c r="D789" s="545" t="s">
        <v>1080</v>
      </c>
      <c r="E789" s="308">
        <v>25</v>
      </c>
      <c r="F789" s="431">
        <v>45953</v>
      </c>
      <c r="G789" s="308"/>
      <c r="H789" s="308" t="s">
        <v>1083</v>
      </c>
      <c r="I789" s="308">
        <v>5</v>
      </c>
      <c r="J789" s="308"/>
      <c r="K789" s="308"/>
      <c r="N789" s="267"/>
      <c r="O789" s="267"/>
      <c r="P789" s="267"/>
      <c r="Q789" s="267"/>
      <c r="R789" s="267"/>
      <c r="S789" s="267"/>
      <c r="T789" s="267"/>
      <c r="U789" s="267"/>
      <c r="V789" s="267"/>
      <c r="W789" s="267"/>
      <c r="X789" s="267"/>
      <c r="Y789" s="267"/>
      <c r="Z789" s="267"/>
    </row>
    <row r="790" spans="1:26" s="445" customFormat="1" ht="14.25" customHeight="1" x14ac:dyDescent="0.3">
      <c r="A790" s="481" t="s">
        <v>2341</v>
      </c>
      <c r="B790" s="433" t="s">
        <v>1142</v>
      </c>
      <c r="C790" s="425" t="s">
        <v>1076</v>
      </c>
      <c r="D790" s="548" t="s">
        <v>1077</v>
      </c>
      <c r="E790" s="308">
        <v>24</v>
      </c>
      <c r="F790" s="431">
        <v>45951</v>
      </c>
      <c r="G790" s="308"/>
      <c r="H790" s="308" t="s">
        <v>1083</v>
      </c>
      <c r="I790" s="308">
        <v>5</v>
      </c>
      <c r="J790" s="308"/>
      <c r="K790" s="308"/>
      <c r="L790" s="447"/>
      <c r="N790" s="267"/>
      <c r="O790" s="267"/>
      <c r="P790" s="267"/>
      <c r="Q790" s="267"/>
      <c r="R790" s="267"/>
      <c r="S790" s="267"/>
      <c r="T790" s="267"/>
      <c r="U790" s="267"/>
      <c r="V790" s="267"/>
      <c r="W790" s="267"/>
      <c r="X790" s="267"/>
      <c r="Y790" s="267"/>
      <c r="Z790" s="267"/>
    </row>
    <row r="791" spans="1:26" ht="14.25" customHeight="1" x14ac:dyDescent="0.3">
      <c r="A791" s="485" t="s">
        <v>2342</v>
      </c>
      <c r="B791" s="411" t="s">
        <v>1122</v>
      </c>
      <c r="C791" s="425" t="s">
        <v>1076</v>
      </c>
      <c r="D791" s="432" t="s">
        <v>1080</v>
      </c>
      <c r="E791" s="308">
        <v>27</v>
      </c>
      <c r="F791" s="431">
        <v>45958</v>
      </c>
      <c r="G791" s="308"/>
      <c r="H791" s="428" t="s">
        <v>1078</v>
      </c>
      <c r="I791" s="308"/>
      <c r="J791" s="308"/>
      <c r="K791" s="308"/>
      <c r="L791" s="447"/>
      <c r="M791" s="447"/>
      <c r="N791" s="308"/>
      <c r="O791" s="308"/>
      <c r="P791" s="308"/>
      <c r="Q791" s="308"/>
      <c r="R791" s="308"/>
      <c r="S791" s="308"/>
      <c r="T791" s="308"/>
      <c r="U791" s="308"/>
      <c r="V791" s="308"/>
      <c r="W791" s="308"/>
      <c r="X791" s="308"/>
      <c r="Y791" s="308"/>
      <c r="Z791" s="308"/>
    </row>
    <row r="792" spans="1:26" ht="14.25" customHeight="1" x14ac:dyDescent="0.3">
      <c r="A792" s="507" t="s">
        <v>2343</v>
      </c>
      <c r="B792" s="433" t="s">
        <v>1142</v>
      </c>
      <c r="C792" s="425" t="s">
        <v>1076</v>
      </c>
      <c r="D792" s="545" t="s">
        <v>1080</v>
      </c>
      <c r="E792" s="308">
        <v>27</v>
      </c>
      <c r="F792" s="431">
        <v>45958</v>
      </c>
      <c r="G792" s="308"/>
      <c r="H792" s="428" t="s">
        <v>1078</v>
      </c>
      <c r="I792" s="308"/>
      <c r="J792" s="308"/>
      <c r="K792" s="308"/>
      <c r="L792" s="447"/>
      <c r="M792" s="447"/>
      <c r="N792" s="308"/>
      <c r="O792" s="308"/>
      <c r="P792" s="308"/>
      <c r="Q792" s="308"/>
      <c r="R792" s="308"/>
      <c r="S792" s="308"/>
      <c r="T792" s="308"/>
      <c r="U792" s="308"/>
      <c r="V792" s="308"/>
      <c r="W792" s="308"/>
      <c r="X792" s="308"/>
      <c r="Y792" s="308"/>
      <c r="Z792" s="308"/>
    </row>
    <row r="793" spans="1:26" ht="14.25" customHeight="1" x14ac:dyDescent="0.3">
      <c r="A793" s="502" t="s">
        <v>2343</v>
      </c>
      <c r="B793" s="433" t="s">
        <v>1142</v>
      </c>
      <c r="C793" s="425" t="s">
        <v>1076</v>
      </c>
      <c r="D793" s="529" t="s">
        <v>1086</v>
      </c>
      <c r="E793" s="308">
        <v>26</v>
      </c>
      <c r="F793" s="431">
        <v>45958</v>
      </c>
      <c r="G793" s="308"/>
      <c r="H793" s="308" t="s">
        <v>1083</v>
      </c>
      <c r="I793" s="308">
        <v>5</v>
      </c>
      <c r="J793" s="308"/>
      <c r="K793" s="308"/>
      <c r="L793" s="447"/>
      <c r="M793" s="447"/>
      <c r="N793" s="308"/>
      <c r="O793" s="308"/>
      <c r="P793" s="308"/>
      <c r="Q793" s="308"/>
      <c r="R793" s="308"/>
      <c r="S793" s="308"/>
      <c r="T793" s="308"/>
      <c r="U793" s="308"/>
      <c r="V793" s="308"/>
      <c r="W793" s="308"/>
      <c r="X793" s="308"/>
      <c r="Y793" s="308"/>
      <c r="Z793" s="308"/>
    </row>
    <row r="794" spans="1:26" ht="14.25" customHeight="1" x14ac:dyDescent="0.3">
      <c r="A794" s="507" t="s">
        <v>2343</v>
      </c>
      <c r="B794" s="433" t="s">
        <v>1142</v>
      </c>
      <c r="C794" s="425" t="s">
        <v>1076</v>
      </c>
      <c r="D794" s="545" t="s">
        <v>1080</v>
      </c>
      <c r="E794" s="308">
        <v>25</v>
      </c>
      <c r="F794" s="431">
        <v>45953</v>
      </c>
      <c r="G794" s="308"/>
      <c r="H794" s="308" t="s">
        <v>1083</v>
      </c>
      <c r="I794" s="308">
        <v>5</v>
      </c>
      <c r="J794" s="308"/>
      <c r="K794" s="308"/>
      <c r="L794" s="447"/>
      <c r="M794" s="447"/>
      <c r="N794" s="308"/>
      <c r="O794" s="308"/>
      <c r="P794" s="308"/>
      <c r="Q794" s="308"/>
      <c r="R794" s="308"/>
      <c r="S794" s="308"/>
      <c r="T794" s="308"/>
      <c r="U794" s="308"/>
      <c r="V794" s="308"/>
      <c r="W794" s="308"/>
      <c r="X794" s="308"/>
      <c r="Y794" s="308"/>
      <c r="Z794" s="308"/>
    </row>
    <row r="795" spans="1:26" ht="14.25" customHeight="1" x14ac:dyDescent="0.3">
      <c r="A795" s="481" t="s">
        <v>2343</v>
      </c>
      <c r="B795" s="433" t="s">
        <v>1142</v>
      </c>
      <c r="C795" s="425" t="s">
        <v>1076</v>
      </c>
      <c r="D795" s="548" t="s">
        <v>1077</v>
      </c>
      <c r="E795" s="308">
        <v>24</v>
      </c>
      <c r="F795" s="431">
        <v>45951</v>
      </c>
      <c r="G795" s="308"/>
      <c r="H795" s="308" t="s">
        <v>1083</v>
      </c>
      <c r="I795" s="308">
        <v>5</v>
      </c>
      <c r="J795" s="308"/>
      <c r="K795" s="308"/>
      <c r="L795" s="447"/>
      <c r="M795" s="447"/>
      <c r="N795" s="308"/>
      <c r="O795" s="308"/>
      <c r="P795" s="308"/>
      <c r="Q795" s="308"/>
      <c r="R795" s="308"/>
      <c r="S795" s="308"/>
      <c r="T795" s="308"/>
      <c r="U795" s="308"/>
      <c r="V795" s="308"/>
      <c r="W795" s="308"/>
      <c r="X795" s="308"/>
      <c r="Y795" s="308"/>
      <c r="Z795" s="308"/>
    </row>
    <row r="796" spans="1:26" ht="14.25" customHeight="1" x14ac:dyDescent="0.3">
      <c r="A796" s="475" t="s">
        <v>2344</v>
      </c>
      <c r="B796" s="430" t="s">
        <v>1122</v>
      </c>
      <c r="C796" s="425" t="s">
        <v>1076</v>
      </c>
      <c r="D796" s="308" t="s">
        <v>1077</v>
      </c>
      <c r="E796" s="308">
        <v>24</v>
      </c>
      <c r="F796" s="431">
        <v>45951</v>
      </c>
      <c r="G796" s="308"/>
      <c r="H796" s="428" t="s">
        <v>1078</v>
      </c>
      <c r="I796" s="308"/>
      <c r="J796" s="308"/>
      <c r="K796" s="308"/>
      <c r="L796" s="447"/>
      <c r="M796" s="447"/>
      <c r="N796" s="308"/>
      <c r="O796" s="308"/>
      <c r="P796" s="308"/>
      <c r="Q796" s="308"/>
      <c r="R796" s="308"/>
      <c r="S796" s="308"/>
      <c r="T796" s="308"/>
      <c r="U796" s="308"/>
      <c r="V796" s="308"/>
      <c r="W796" s="308"/>
      <c r="X796" s="308"/>
      <c r="Y796" s="308"/>
      <c r="Z796" s="308"/>
    </row>
    <row r="797" spans="1:26" ht="14.25" customHeight="1" x14ac:dyDescent="0.3">
      <c r="A797" s="499" t="s">
        <v>2344</v>
      </c>
      <c r="B797" s="430" t="s">
        <v>1122</v>
      </c>
      <c r="C797" s="425" t="s">
        <v>1076</v>
      </c>
      <c r="D797" s="432" t="s">
        <v>1080</v>
      </c>
      <c r="E797" s="308">
        <v>25</v>
      </c>
      <c r="F797" s="431">
        <v>45953</v>
      </c>
      <c r="G797" s="308"/>
      <c r="H797" s="428" t="s">
        <v>1078</v>
      </c>
      <c r="I797" s="308"/>
      <c r="J797" s="308"/>
      <c r="K797" s="308"/>
      <c r="L797" s="447"/>
      <c r="M797" s="447"/>
      <c r="N797" s="308"/>
      <c r="O797" s="308"/>
      <c r="P797" s="308"/>
      <c r="Q797" s="308"/>
      <c r="R797" s="308"/>
      <c r="S797" s="308"/>
      <c r="T797" s="308"/>
      <c r="U797" s="308"/>
      <c r="V797" s="308"/>
      <c r="W797" s="308"/>
      <c r="X797" s="308"/>
      <c r="Y797" s="308"/>
      <c r="Z797" s="308"/>
    </row>
    <row r="798" spans="1:26" s="445" customFormat="1" ht="14.25" customHeight="1" x14ac:dyDescent="0.3">
      <c r="A798" s="486" t="s">
        <v>2344</v>
      </c>
      <c r="B798" s="411" t="s">
        <v>1122</v>
      </c>
      <c r="C798" s="425" t="s">
        <v>1076</v>
      </c>
      <c r="D798" s="438" t="s">
        <v>1086</v>
      </c>
      <c r="E798" s="308">
        <v>26</v>
      </c>
      <c r="F798" s="431">
        <v>45958</v>
      </c>
      <c r="G798" s="308"/>
      <c r="H798" s="428" t="s">
        <v>1078</v>
      </c>
      <c r="I798" s="308"/>
      <c r="J798" s="308"/>
      <c r="K798" s="308"/>
      <c r="N798" s="267"/>
      <c r="O798" s="267"/>
      <c r="P798" s="267"/>
      <c r="Q798" s="267"/>
      <c r="R798" s="267"/>
      <c r="S798" s="267"/>
      <c r="T798" s="267"/>
      <c r="U798" s="267"/>
      <c r="V798" s="267"/>
      <c r="W798" s="267"/>
      <c r="X798" s="267"/>
      <c r="Y798" s="267"/>
      <c r="Z798" s="267"/>
    </row>
    <row r="799" spans="1:26" ht="14.25" customHeight="1" x14ac:dyDescent="0.3">
      <c r="A799" s="507" t="s">
        <v>2344</v>
      </c>
      <c r="B799" s="433" t="s">
        <v>1142</v>
      </c>
      <c r="C799" s="425" t="s">
        <v>1076</v>
      </c>
      <c r="D799" s="545" t="s">
        <v>1080</v>
      </c>
      <c r="E799" s="308">
        <v>27</v>
      </c>
      <c r="F799" s="431">
        <v>45958</v>
      </c>
      <c r="G799" s="308"/>
      <c r="H799" s="308" t="s">
        <v>1083</v>
      </c>
      <c r="I799" s="308">
        <v>5</v>
      </c>
      <c r="J799" s="308"/>
      <c r="K799" s="308"/>
      <c r="L799" s="447"/>
      <c r="M799" s="447"/>
      <c r="N799" s="308"/>
      <c r="O799" s="308"/>
      <c r="P799" s="308"/>
      <c r="Q799" s="308"/>
      <c r="R799" s="308"/>
      <c r="S799" s="308"/>
      <c r="T799" s="308"/>
      <c r="U799" s="308"/>
      <c r="V799" s="308"/>
      <c r="W799" s="308"/>
      <c r="X799" s="308"/>
      <c r="Y799" s="308"/>
      <c r="Z799" s="308"/>
    </row>
    <row r="800" spans="1:26" ht="14.25" customHeight="1" x14ac:dyDescent="0.3">
      <c r="A800" s="485" t="s">
        <v>2345</v>
      </c>
      <c r="B800" s="411" t="s">
        <v>1122</v>
      </c>
      <c r="C800" s="425" t="s">
        <v>1076</v>
      </c>
      <c r="D800" s="432" t="s">
        <v>1080</v>
      </c>
      <c r="E800" s="308">
        <v>27</v>
      </c>
      <c r="F800" s="431">
        <v>45958</v>
      </c>
      <c r="G800" s="308"/>
      <c r="H800" s="428" t="s">
        <v>1078</v>
      </c>
      <c r="I800" s="308"/>
      <c r="J800" s="308"/>
      <c r="K800" s="308"/>
      <c r="L800" s="447"/>
      <c r="M800" s="447"/>
      <c r="N800" s="308"/>
      <c r="O800" s="308"/>
      <c r="P800" s="308"/>
      <c r="Q800" s="308"/>
      <c r="R800" s="308"/>
      <c r="S800" s="308"/>
      <c r="T800" s="308"/>
      <c r="U800" s="308"/>
      <c r="V800" s="308"/>
      <c r="W800" s="308"/>
      <c r="X800" s="308"/>
      <c r="Y800" s="308"/>
      <c r="Z800" s="308"/>
    </row>
    <row r="801" spans="1:26" ht="14.25" customHeight="1" x14ac:dyDescent="0.3">
      <c r="A801" s="507" t="s">
        <v>2345</v>
      </c>
      <c r="B801" s="433" t="s">
        <v>1142</v>
      </c>
      <c r="C801" s="425" t="s">
        <v>1076</v>
      </c>
      <c r="D801" s="529" t="s">
        <v>1086</v>
      </c>
      <c r="E801" s="308">
        <v>26</v>
      </c>
      <c r="F801" s="431">
        <v>45958</v>
      </c>
      <c r="G801" s="308"/>
      <c r="H801" s="308" t="s">
        <v>1083</v>
      </c>
      <c r="I801" s="308">
        <v>5</v>
      </c>
      <c r="J801" s="308"/>
      <c r="K801" s="308"/>
      <c r="L801" s="447"/>
      <c r="M801" s="447"/>
      <c r="N801" s="308"/>
      <c r="O801" s="308"/>
      <c r="P801" s="308"/>
      <c r="Q801" s="308"/>
      <c r="R801" s="308"/>
      <c r="S801" s="308"/>
      <c r="T801" s="308"/>
      <c r="U801" s="308"/>
      <c r="V801" s="308"/>
      <c r="W801" s="308"/>
      <c r="X801" s="308"/>
      <c r="Y801" s="308"/>
      <c r="Z801" s="308"/>
    </row>
    <row r="802" spans="1:26" ht="14.25" customHeight="1" x14ac:dyDescent="0.3">
      <c r="A802" s="506" t="s">
        <v>2345</v>
      </c>
      <c r="B802" s="433" t="s">
        <v>1142</v>
      </c>
      <c r="C802" s="425" t="s">
        <v>1076</v>
      </c>
      <c r="D802" s="545" t="s">
        <v>1080</v>
      </c>
      <c r="E802" s="308">
        <v>25</v>
      </c>
      <c r="F802" s="431">
        <v>45953</v>
      </c>
      <c r="G802" s="308"/>
      <c r="H802" s="308" t="s">
        <v>1083</v>
      </c>
      <c r="I802" s="308">
        <v>5</v>
      </c>
      <c r="J802" s="308"/>
      <c r="K802" s="308"/>
      <c r="L802" s="447"/>
      <c r="M802" s="447"/>
      <c r="N802" s="308"/>
      <c r="O802" s="308"/>
      <c r="P802" s="308"/>
      <c r="Q802" s="308"/>
      <c r="R802" s="308"/>
      <c r="S802" s="308"/>
      <c r="T802" s="308"/>
      <c r="U802" s="308"/>
      <c r="V802" s="308"/>
      <c r="W802" s="308"/>
      <c r="X802" s="308"/>
      <c r="Y802" s="308"/>
      <c r="Z802" s="308"/>
    </row>
    <row r="803" spans="1:26" ht="14.25" customHeight="1" x14ac:dyDescent="0.3">
      <c r="A803" s="481" t="s">
        <v>2345</v>
      </c>
      <c r="B803" s="433" t="s">
        <v>1142</v>
      </c>
      <c r="C803" s="425" t="s">
        <v>1076</v>
      </c>
      <c r="D803" s="548" t="s">
        <v>1077</v>
      </c>
      <c r="E803" s="308">
        <v>24</v>
      </c>
      <c r="F803" s="431">
        <v>45951</v>
      </c>
      <c r="G803" s="308"/>
      <c r="H803" s="308" t="s">
        <v>1083</v>
      </c>
      <c r="I803" s="308">
        <v>5</v>
      </c>
      <c r="J803" s="308"/>
      <c r="K803" s="308"/>
      <c r="L803" s="447"/>
      <c r="M803" s="447"/>
      <c r="N803" s="308"/>
      <c r="O803" s="308"/>
      <c r="P803" s="308"/>
      <c r="Q803" s="308"/>
      <c r="R803" s="308"/>
      <c r="S803" s="308"/>
      <c r="T803" s="308"/>
      <c r="U803" s="308"/>
      <c r="V803" s="308"/>
      <c r="W803" s="308"/>
      <c r="X803" s="308"/>
      <c r="Y803" s="308"/>
      <c r="Z803" s="308"/>
    </row>
    <row r="804" spans="1:26" s="445" customFormat="1" ht="14.25" customHeight="1" x14ac:dyDescent="0.3">
      <c r="A804" s="486" t="s">
        <v>2346</v>
      </c>
      <c r="B804" s="430" t="s">
        <v>1122</v>
      </c>
      <c r="C804" s="425" t="s">
        <v>1076</v>
      </c>
      <c r="D804" s="432" t="s">
        <v>1080</v>
      </c>
      <c r="E804" s="308">
        <v>25</v>
      </c>
      <c r="F804" s="431">
        <v>45953</v>
      </c>
      <c r="G804" s="308"/>
      <c r="H804" s="428" t="s">
        <v>1078</v>
      </c>
      <c r="I804" s="308"/>
      <c r="J804" s="308"/>
      <c r="K804" s="308"/>
      <c r="N804" s="267"/>
      <c r="O804" s="267"/>
      <c r="P804" s="267"/>
      <c r="Q804" s="267"/>
      <c r="R804" s="267"/>
      <c r="S804" s="267"/>
      <c r="T804" s="267"/>
      <c r="U804" s="267"/>
      <c r="V804" s="267"/>
      <c r="W804" s="267"/>
      <c r="X804" s="267"/>
      <c r="Y804" s="267"/>
      <c r="Z804" s="267"/>
    </row>
    <row r="805" spans="1:26" ht="14.25" customHeight="1" x14ac:dyDescent="0.3">
      <c r="A805" s="475" t="s">
        <v>2346</v>
      </c>
      <c r="B805" s="430" t="s">
        <v>1122</v>
      </c>
      <c r="C805" s="425" t="s">
        <v>1076</v>
      </c>
      <c r="D805" s="308" t="s">
        <v>1077</v>
      </c>
      <c r="E805" s="308">
        <v>24</v>
      </c>
      <c r="F805" s="431">
        <v>45951</v>
      </c>
      <c r="G805" s="308"/>
      <c r="H805" s="428" t="s">
        <v>1078</v>
      </c>
      <c r="I805" s="308"/>
      <c r="J805" s="308"/>
      <c r="K805" s="308"/>
      <c r="L805" s="447"/>
      <c r="M805" s="447"/>
      <c r="N805" s="308"/>
      <c r="O805" s="308"/>
      <c r="P805" s="308"/>
      <c r="Q805" s="308"/>
      <c r="R805" s="308"/>
      <c r="S805" s="308"/>
      <c r="T805" s="308"/>
      <c r="U805" s="308"/>
      <c r="V805" s="308"/>
      <c r="W805" s="308"/>
      <c r="X805" s="308"/>
      <c r="Y805" s="308"/>
      <c r="Z805" s="308"/>
    </row>
    <row r="806" spans="1:26" ht="14.25" customHeight="1" x14ac:dyDescent="0.3">
      <c r="A806" s="485" t="s">
        <v>2346</v>
      </c>
      <c r="B806" s="411" t="s">
        <v>1122</v>
      </c>
      <c r="C806" s="425" t="s">
        <v>1076</v>
      </c>
      <c r="D806" s="438" t="s">
        <v>1086</v>
      </c>
      <c r="E806" s="308">
        <v>26</v>
      </c>
      <c r="F806" s="431">
        <v>45958</v>
      </c>
      <c r="G806" s="308"/>
      <c r="H806" s="428" t="s">
        <v>1078</v>
      </c>
      <c r="I806" s="308"/>
      <c r="J806" s="308"/>
      <c r="K806" s="308"/>
      <c r="L806" s="447"/>
      <c r="M806" s="447"/>
      <c r="N806" s="308"/>
      <c r="O806" s="308"/>
      <c r="P806" s="308"/>
      <c r="Q806" s="308"/>
      <c r="R806" s="308"/>
      <c r="S806" s="308"/>
      <c r="T806" s="308"/>
      <c r="U806" s="308"/>
      <c r="V806" s="308"/>
      <c r="W806" s="308"/>
      <c r="X806" s="308"/>
      <c r="Y806" s="308"/>
      <c r="Z806" s="308"/>
    </row>
    <row r="807" spans="1:26" s="445" customFormat="1" ht="14.25" customHeight="1" x14ac:dyDescent="0.3">
      <c r="A807" s="485" t="s">
        <v>2346</v>
      </c>
      <c r="B807" s="411" t="s">
        <v>1122</v>
      </c>
      <c r="C807" s="425" t="s">
        <v>1076</v>
      </c>
      <c r="D807" s="432" t="s">
        <v>1080</v>
      </c>
      <c r="E807" s="308">
        <v>27</v>
      </c>
      <c r="F807" s="431">
        <v>45958</v>
      </c>
      <c r="G807" s="308"/>
      <c r="H807" s="428" t="s">
        <v>1078</v>
      </c>
      <c r="I807" s="308"/>
      <c r="J807" s="308"/>
      <c r="K807" s="308"/>
      <c r="N807" s="267"/>
      <c r="O807" s="267"/>
      <c r="P807" s="267"/>
      <c r="Q807" s="267"/>
      <c r="R807" s="267"/>
      <c r="S807" s="267"/>
      <c r="T807" s="267"/>
      <c r="U807" s="267"/>
      <c r="V807" s="267"/>
      <c r="W807" s="267"/>
      <c r="X807" s="267"/>
      <c r="Y807" s="267"/>
      <c r="Z807" s="267"/>
    </row>
    <row r="808" spans="1:26" ht="14.25" customHeight="1" x14ac:dyDescent="0.3">
      <c r="A808" s="485" t="s">
        <v>2347</v>
      </c>
      <c r="B808" s="411" t="s">
        <v>1122</v>
      </c>
      <c r="C808" s="425" t="s">
        <v>1076</v>
      </c>
      <c r="D808" s="432" t="s">
        <v>1080</v>
      </c>
      <c r="E808" s="308">
        <v>27</v>
      </c>
      <c r="F808" s="431">
        <v>45958</v>
      </c>
      <c r="G808" s="308"/>
      <c r="H808" s="428" t="s">
        <v>1078</v>
      </c>
      <c r="I808" s="308"/>
      <c r="J808" s="308"/>
      <c r="K808" s="308"/>
      <c r="L808" s="447"/>
      <c r="M808" s="447"/>
      <c r="N808" s="308"/>
      <c r="O808" s="308"/>
      <c r="P808" s="308"/>
      <c r="Q808" s="308"/>
      <c r="R808" s="308"/>
      <c r="S808" s="308"/>
      <c r="T808" s="308"/>
      <c r="U808" s="308"/>
      <c r="V808" s="308"/>
      <c r="W808" s="308"/>
      <c r="X808" s="308"/>
      <c r="Y808" s="308"/>
      <c r="Z808" s="308"/>
    </row>
    <row r="809" spans="1:26" ht="14.25" customHeight="1" x14ac:dyDescent="0.3">
      <c r="A809" s="507" t="s">
        <v>2347</v>
      </c>
      <c r="B809" s="433" t="s">
        <v>1142</v>
      </c>
      <c r="C809" s="425" t="s">
        <v>1076</v>
      </c>
      <c r="D809" s="529" t="s">
        <v>1086</v>
      </c>
      <c r="E809" s="308">
        <v>26</v>
      </c>
      <c r="F809" s="431">
        <v>45958</v>
      </c>
      <c r="G809" s="308"/>
      <c r="H809" s="308" t="s">
        <v>1083</v>
      </c>
      <c r="I809" s="308">
        <v>5</v>
      </c>
      <c r="J809" s="308"/>
      <c r="K809" s="308"/>
      <c r="L809" s="447"/>
      <c r="M809" s="447"/>
      <c r="N809" s="308"/>
      <c r="O809" s="308"/>
      <c r="P809" s="308"/>
      <c r="Q809" s="308"/>
      <c r="R809" s="308"/>
      <c r="S809" s="308"/>
      <c r="T809" s="308"/>
      <c r="U809" s="308"/>
      <c r="V809" s="308"/>
      <c r="W809" s="308"/>
      <c r="X809" s="308"/>
      <c r="Y809" s="308"/>
      <c r="Z809" s="308"/>
    </row>
    <row r="810" spans="1:26" ht="14.25" customHeight="1" x14ac:dyDescent="0.3">
      <c r="A810" s="506" t="s">
        <v>2347</v>
      </c>
      <c r="B810" s="433" t="s">
        <v>1142</v>
      </c>
      <c r="C810" s="425" t="s">
        <v>1076</v>
      </c>
      <c r="D810" s="545" t="s">
        <v>1080</v>
      </c>
      <c r="E810" s="308">
        <v>25</v>
      </c>
      <c r="F810" s="431">
        <v>45953</v>
      </c>
      <c r="G810" s="308"/>
      <c r="H810" s="308" t="s">
        <v>1083</v>
      </c>
      <c r="I810" s="308">
        <v>5</v>
      </c>
      <c r="J810" s="308"/>
      <c r="K810" s="308"/>
      <c r="L810" s="447"/>
      <c r="M810" s="447"/>
      <c r="N810" s="308"/>
      <c r="O810" s="308"/>
      <c r="P810" s="308"/>
      <c r="Q810" s="308"/>
      <c r="R810" s="308"/>
      <c r="S810" s="308"/>
      <c r="T810" s="308"/>
      <c r="U810" s="308"/>
      <c r="V810" s="308"/>
      <c r="W810" s="308"/>
      <c r="X810" s="308"/>
      <c r="Y810" s="308"/>
      <c r="Z810" s="308"/>
    </row>
    <row r="811" spans="1:26" ht="14.25" customHeight="1" x14ac:dyDescent="0.3">
      <c r="A811" s="481" t="s">
        <v>2347</v>
      </c>
      <c r="B811" s="433" t="s">
        <v>1142</v>
      </c>
      <c r="C811" s="425" t="s">
        <v>1076</v>
      </c>
      <c r="D811" s="548" t="s">
        <v>1077</v>
      </c>
      <c r="E811" s="308">
        <v>24</v>
      </c>
      <c r="F811" s="431">
        <v>45951</v>
      </c>
      <c r="G811" s="308"/>
      <c r="H811" s="308" t="s">
        <v>1083</v>
      </c>
      <c r="I811" s="308">
        <v>5</v>
      </c>
      <c r="J811" s="308"/>
      <c r="K811" s="308"/>
      <c r="L811" s="447"/>
      <c r="M811" s="447"/>
      <c r="N811" s="308"/>
      <c r="O811" s="308"/>
      <c r="P811" s="308"/>
      <c r="Q811" s="308"/>
      <c r="R811" s="308"/>
      <c r="S811" s="308"/>
      <c r="T811" s="308"/>
      <c r="U811" s="308"/>
      <c r="V811" s="308"/>
      <c r="W811" s="308"/>
      <c r="X811" s="308"/>
      <c r="Y811" s="308"/>
      <c r="Z811" s="308"/>
    </row>
    <row r="812" spans="1:26" ht="14.25" customHeight="1" x14ac:dyDescent="0.3">
      <c r="A812" s="475" t="s">
        <v>2348</v>
      </c>
      <c r="B812" s="430" t="s">
        <v>1122</v>
      </c>
      <c r="C812" s="425" t="s">
        <v>1076</v>
      </c>
      <c r="D812" s="308" t="s">
        <v>1077</v>
      </c>
      <c r="E812" s="308">
        <v>24</v>
      </c>
      <c r="F812" s="431">
        <v>45951</v>
      </c>
      <c r="G812" s="308"/>
      <c r="H812" s="428" t="s">
        <v>1078</v>
      </c>
      <c r="I812" s="308"/>
      <c r="J812" s="308"/>
      <c r="K812" s="308"/>
      <c r="L812" s="447"/>
      <c r="M812" s="447"/>
      <c r="N812" s="308"/>
      <c r="O812" s="308"/>
      <c r="P812" s="308"/>
      <c r="Q812" s="308"/>
      <c r="R812" s="308"/>
      <c r="S812" s="308"/>
      <c r="T812" s="308"/>
      <c r="U812" s="308"/>
      <c r="V812" s="308"/>
      <c r="W812" s="308"/>
      <c r="X812" s="308"/>
      <c r="Y812" s="308"/>
      <c r="Z812" s="308"/>
    </row>
    <row r="813" spans="1:26" ht="14.25" customHeight="1" x14ac:dyDescent="0.3">
      <c r="A813" s="506" t="s">
        <v>2348</v>
      </c>
      <c r="B813" s="433" t="s">
        <v>1142</v>
      </c>
      <c r="C813" s="425" t="s">
        <v>1076</v>
      </c>
      <c r="D813" s="545" t="s">
        <v>1080</v>
      </c>
      <c r="E813" s="308">
        <v>27</v>
      </c>
      <c r="F813" s="431">
        <v>45958</v>
      </c>
      <c r="G813" s="308"/>
      <c r="H813" s="428" t="s">
        <v>1078</v>
      </c>
      <c r="I813" s="308"/>
      <c r="J813" s="308"/>
      <c r="K813" s="308"/>
      <c r="L813" s="447"/>
      <c r="M813" s="447"/>
      <c r="N813" s="308"/>
      <c r="O813" s="308"/>
      <c r="P813" s="308"/>
      <c r="Q813" s="308"/>
      <c r="R813" s="308"/>
      <c r="S813" s="308"/>
      <c r="T813" s="308"/>
      <c r="U813" s="308"/>
      <c r="V813" s="308"/>
      <c r="W813" s="308"/>
      <c r="X813" s="308"/>
      <c r="Y813" s="308"/>
      <c r="Z813" s="308"/>
    </row>
    <row r="814" spans="1:26" ht="14.25" customHeight="1" x14ac:dyDescent="0.3">
      <c r="A814" s="507" t="s">
        <v>2348</v>
      </c>
      <c r="B814" s="433" t="s">
        <v>1142</v>
      </c>
      <c r="C814" s="425" t="s">
        <v>1076</v>
      </c>
      <c r="D814" s="529" t="s">
        <v>1086</v>
      </c>
      <c r="E814" s="308">
        <v>26</v>
      </c>
      <c r="F814" s="431">
        <v>45958</v>
      </c>
      <c r="G814" s="308"/>
      <c r="H814" s="308" t="s">
        <v>1083</v>
      </c>
      <c r="I814" s="308">
        <v>5</v>
      </c>
      <c r="J814" s="308"/>
      <c r="K814" s="308"/>
      <c r="L814" s="447"/>
      <c r="M814" s="447"/>
      <c r="N814" s="308"/>
      <c r="O814" s="308"/>
      <c r="P814" s="308"/>
      <c r="Q814" s="308"/>
      <c r="R814" s="308"/>
      <c r="S814" s="308"/>
      <c r="T814" s="308"/>
      <c r="U814" s="308"/>
      <c r="V814" s="308"/>
      <c r="W814" s="308"/>
      <c r="X814" s="308"/>
      <c r="Y814" s="308"/>
      <c r="Z814" s="308"/>
    </row>
    <row r="815" spans="1:26" s="445" customFormat="1" ht="14.25" customHeight="1" x14ac:dyDescent="0.3">
      <c r="A815" s="506" t="s">
        <v>2348</v>
      </c>
      <c r="B815" s="433" t="s">
        <v>1142</v>
      </c>
      <c r="C815" s="425" t="s">
        <v>1076</v>
      </c>
      <c r="D815" s="545" t="s">
        <v>1080</v>
      </c>
      <c r="E815" s="308">
        <v>25</v>
      </c>
      <c r="F815" s="431">
        <v>45953</v>
      </c>
      <c r="G815" s="308"/>
      <c r="H815" s="308" t="s">
        <v>1083</v>
      </c>
      <c r="I815" s="308">
        <v>5</v>
      </c>
      <c r="J815" s="308"/>
      <c r="K815" s="308"/>
      <c r="N815" s="267"/>
      <c r="O815" s="267"/>
      <c r="P815" s="267"/>
      <c r="Q815" s="267"/>
      <c r="R815" s="267"/>
      <c r="S815" s="267"/>
      <c r="T815" s="267"/>
      <c r="U815" s="267"/>
      <c r="V815" s="267"/>
      <c r="W815" s="267"/>
      <c r="X815" s="267"/>
      <c r="Y815" s="267"/>
      <c r="Z815" s="267"/>
    </row>
    <row r="816" spans="1:26" ht="14.25" customHeight="1" x14ac:dyDescent="0.3">
      <c r="A816" s="481" t="s">
        <v>1218</v>
      </c>
      <c r="B816" s="433" t="s">
        <v>1142</v>
      </c>
      <c r="C816" s="425" t="s">
        <v>1076</v>
      </c>
      <c r="D816" s="529" t="s">
        <v>1086</v>
      </c>
      <c r="E816" s="308">
        <v>26</v>
      </c>
      <c r="F816" s="431">
        <v>45958</v>
      </c>
      <c r="G816" s="308"/>
      <c r="H816" s="428" t="s">
        <v>1078</v>
      </c>
      <c r="I816" s="308"/>
      <c r="J816" s="308"/>
      <c r="K816" s="308"/>
      <c r="L816" s="447"/>
      <c r="M816" s="447"/>
      <c r="N816" s="308"/>
      <c r="O816" s="308"/>
      <c r="P816" s="308"/>
      <c r="Q816" s="308"/>
      <c r="R816" s="308"/>
      <c r="S816" s="308"/>
      <c r="T816" s="308"/>
      <c r="U816" s="308"/>
      <c r="V816" s="308"/>
      <c r="W816" s="308"/>
      <c r="X816" s="308"/>
      <c r="Y816" s="308"/>
      <c r="Z816" s="308"/>
    </row>
    <row r="817" spans="1:26" ht="14.25" customHeight="1" x14ac:dyDescent="0.3">
      <c r="A817" s="507" t="s">
        <v>1218</v>
      </c>
      <c r="B817" s="433" t="s">
        <v>1142</v>
      </c>
      <c r="C817" s="425" t="s">
        <v>1076</v>
      </c>
      <c r="D817" s="545" t="s">
        <v>1080</v>
      </c>
      <c r="E817" s="308">
        <v>27</v>
      </c>
      <c r="F817" s="431">
        <v>45958</v>
      </c>
      <c r="G817" s="308"/>
      <c r="H817" s="308" t="s">
        <v>1083</v>
      </c>
      <c r="I817" s="308">
        <v>5</v>
      </c>
      <c r="J817" s="308"/>
      <c r="K817" s="308"/>
      <c r="L817" s="447"/>
      <c r="M817" s="447"/>
      <c r="N817" s="308"/>
      <c r="O817" s="308"/>
      <c r="P817" s="308"/>
      <c r="Q817" s="308"/>
      <c r="R817" s="308"/>
      <c r="S817" s="308"/>
      <c r="T817" s="308"/>
      <c r="U817" s="308"/>
      <c r="V817" s="308"/>
      <c r="W817" s="308"/>
      <c r="X817" s="308"/>
      <c r="Y817" s="308"/>
      <c r="Z817" s="308"/>
    </row>
    <row r="818" spans="1:26" ht="14.25" customHeight="1" x14ac:dyDescent="0.3">
      <c r="A818" s="476" t="s">
        <v>1219</v>
      </c>
      <c r="B818" s="411" t="s">
        <v>1122</v>
      </c>
      <c r="C818" s="425" t="s">
        <v>1076</v>
      </c>
      <c r="D818" s="438" t="s">
        <v>1086</v>
      </c>
      <c r="E818" s="308">
        <v>26</v>
      </c>
      <c r="F818" s="431">
        <v>45958</v>
      </c>
      <c r="G818" s="308"/>
      <c r="H818" s="428" t="s">
        <v>1078</v>
      </c>
      <c r="I818" s="308"/>
      <c r="J818" s="308"/>
      <c r="K818" s="308"/>
      <c r="L818" s="447"/>
      <c r="M818" s="447"/>
      <c r="N818" s="308"/>
      <c r="O818" s="308"/>
      <c r="P818" s="308"/>
      <c r="Q818" s="308"/>
      <c r="R818" s="308"/>
      <c r="S818" s="308"/>
      <c r="T818" s="308"/>
      <c r="U818" s="308"/>
      <c r="V818" s="308"/>
      <c r="W818" s="308"/>
      <c r="X818" s="308"/>
      <c r="Y818" s="308"/>
      <c r="Z818" s="308"/>
    </row>
    <row r="819" spans="1:26" ht="14.25" customHeight="1" x14ac:dyDescent="0.3">
      <c r="A819" s="416" t="s">
        <v>2281</v>
      </c>
      <c r="B819" s="433" t="s">
        <v>1142</v>
      </c>
      <c r="C819" s="425" t="s">
        <v>1076</v>
      </c>
      <c r="D819" s="540" t="s">
        <v>1079</v>
      </c>
      <c r="E819" s="427">
        <v>16</v>
      </c>
      <c r="F819" s="428">
        <v>45833</v>
      </c>
      <c r="G819" s="428">
        <v>45905</v>
      </c>
      <c r="H819" s="435" t="s">
        <v>1083</v>
      </c>
      <c r="I819" s="427">
        <v>2</v>
      </c>
      <c r="J819" s="428">
        <v>45910</v>
      </c>
      <c r="K819" s="308"/>
      <c r="L819" s="447"/>
      <c r="M819" s="447"/>
      <c r="N819" s="308"/>
      <c r="O819" s="308"/>
      <c r="P819" s="308"/>
      <c r="Q819" s="308"/>
      <c r="R819" s="308"/>
      <c r="S819" s="308"/>
      <c r="T819" s="308"/>
      <c r="U819" s="308"/>
      <c r="V819" s="308"/>
      <c r="W819" s="308"/>
      <c r="X819" s="308"/>
      <c r="Y819" s="308"/>
      <c r="Z819" s="308"/>
    </row>
    <row r="820" spans="1:26" ht="14.25" customHeight="1" x14ac:dyDescent="0.3">
      <c r="A820" s="352" t="s">
        <v>1202</v>
      </c>
      <c r="B820" s="433" t="s">
        <v>1142</v>
      </c>
      <c r="C820" s="425" t="s">
        <v>1076</v>
      </c>
      <c r="D820" s="529" t="s">
        <v>1086</v>
      </c>
      <c r="E820" s="525">
        <v>5</v>
      </c>
      <c r="F820" s="538">
        <v>45820</v>
      </c>
      <c r="G820" s="447" t="s">
        <v>451</v>
      </c>
      <c r="H820" s="435" t="s">
        <v>1083</v>
      </c>
      <c r="I820" s="439">
        <v>1</v>
      </c>
      <c r="J820" s="428">
        <v>45824</v>
      </c>
      <c r="K820" s="308"/>
      <c r="L820" s="447"/>
      <c r="M820" s="447"/>
      <c r="N820" s="308"/>
      <c r="O820" s="308"/>
      <c r="P820" s="308"/>
      <c r="Q820" s="308"/>
      <c r="R820" s="308"/>
      <c r="S820" s="308"/>
      <c r="T820" s="308"/>
      <c r="U820" s="308"/>
      <c r="V820" s="308"/>
      <c r="W820" s="308"/>
      <c r="X820" s="308"/>
      <c r="Y820" s="308"/>
      <c r="Z820" s="308"/>
    </row>
    <row r="821" spans="1:26" s="445" customFormat="1" ht="14.25" customHeight="1" x14ac:dyDescent="0.3">
      <c r="A821" s="352" t="s">
        <v>2282</v>
      </c>
      <c r="B821" s="433" t="s">
        <v>1142</v>
      </c>
      <c r="C821" s="425" t="s">
        <v>1076</v>
      </c>
      <c r="D821" s="540" t="s">
        <v>1079</v>
      </c>
      <c r="E821" s="427">
        <v>16</v>
      </c>
      <c r="F821" s="428">
        <v>45833</v>
      </c>
      <c r="G821" s="428">
        <v>45905</v>
      </c>
      <c r="H821" s="435" t="s">
        <v>1083</v>
      </c>
      <c r="I821" s="427">
        <v>2</v>
      </c>
      <c r="J821" s="428">
        <v>45910</v>
      </c>
      <c r="K821" s="308"/>
      <c r="N821" s="267"/>
      <c r="O821" s="267"/>
      <c r="P821" s="267"/>
      <c r="Q821" s="267"/>
      <c r="R821" s="267"/>
      <c r="S821" s="267"/>
      <c r="T821" s="267"/>
      <c r="U821" s="267"/>
      <c r="V821" s="267"/>
      <c r="W821" s="267"/>
      <c r="X821" s="267"/>
      <c r="Y821" s="267"/>
      <c r="Z821" s="267"/>
    </row>
    <row r="822" spans="1:26" s="445" customFormat="1" ht="14.25" customHeight="1" x14ac:dyDescent="0.3">
      <c r="A822" s="352" t="s">
        <v>1202</v>
      </c>
      <c r="B822" s="433" t="s">
        <v>1142</v>
      </c>
      <c r="C822" s="425" t="s">
        <v>1076</v>
      </c>
      <c r="D822" s="544" t="s">
        <v>1082</v>
      </c>
      <c r="E822" s="427">
        <v>17</v>
      </c>
      <c r="F822" s="428">
        <v>45833</v>
      </c>
      <c r="G822" s="428">
        <v>45905</v>
      </c>
      <c r="H822" s="435" t="s">
        <v>1083</v>
      </c>
      <c r="I822" s="427">
        <v>2</v>
      </c>
      <c r="J822" s="428">
        <v>45910</v>
      </c>
      <c r="K822" s="308"/>
      <c r="N822" s="267"/>
      <c r="O822" s="267"/>
      <c r="P822" s="267"/>
      <c r="Q822" s="267"/>
      <c r="R822" s="267"/>
      <c r="S822" s="267"/>
      <c r="T822" s="267"/>
      <c r="U822" s="267"/>
      <c r="V822" s="267"/>
      <c r="W822" s="267"/>
      <c r="X822" s="267"/>
      <c r="Y822" s="267"/>
      <c r="Z822" s="267"/>
    </row>
    <row r="823" spans="1:26" ht="14.25" customHeight="1" x14ac:dyDescent="0.3">
      <c r="A823" s="352" t="s">
        <v>1203</v>
      </c>
      <c r="B823" s="433" t="s">
        <v>1142</v>
      </c>
      <c r="C823" s="511" t="s">
        <v>1087</v>
      </c>
      <c r="D823" s="442" t="s">
        <v>1088</v>
      </c>
      <c r="E823" s="427">
        <v>4</v>
      </c>
      <c r="F823" s="440">
        <v>45817</v>
      </c>
      <c r="G823" s="423" t="s">
        <v>451</v>
      </c>
      <c r="H823" s="435" t="s">
        <v>1083</v>
      </c>
      <c r="I823" s="439">
        <v>1</v>
      </c>
      <c r="J823" s="428">
        <v>45824</v>
      </c>
      <c r="K823" s="308"/>
      <c r="L823" s="447"/>
      <c r="M823" s="447"/>
      <c r="N823" s="308"/>
      <c r="O823" s="308"/>
      <c r="P823" s="308"/>
      <c r="Q823" s="308"/>
      <c r="R823" s="308"/>
      <c r="S823" s="308"/>
      <c r="T823" s="308"/>
      <c r="U823" s="308"/>
      <c r="V823" s="308"/>
      <c r="W823" s="308"/>
      <c r="X823" s="308"/>
      <c r="Y823" s="308"/>
      <c r="Z823" s="308"/>
    </row>
    <row r="824" spans="1:26" ht="14.25" customHeight="1" x14ac:dyDescent="0.3">
      <c r="A824" s="352" t="s">
        <v>1204</v>
      </c>
      <c r="B824" s="433" t="s">
        <v>1142</v>
      </c>
      <c r="C824" s="511" t="s">
        <v>1087</v>
      </c>
      <c r="D824" s="442" t="s">
        <v>1088</v>
      </c>
      <c r="E824" s="427">
        <v>4</v>
      </c>
      <c r="F824" s="440">
        <v>45817</v>
      </c>
      <c r="G824" s="423" t="s">
        <v>451</v>
      </c>
      <c r="H824" s="435" t="s">
        <v>1083</v>
      </c>
      <c r="I824" s="439">
        <v>1</v>
      </c>
      <c r="J824" s="428">
        <v>45824</v>
      </c>
      <c r="K824" s="308"/>
      <c r="L824" s="447"/>
      <c r="M824" s="447"/>
      <c r="N824" s="308"/>
      <c r="O824" s="308"/>
      <c r="P824" s="308"/>
      <c r="Q824" s="308"/>
      <c r="R824" s="308"/>
      <c r="S824" s="308"/>
      <c r="T824" s="308"/>
      <c r="U824" s="308"/>
      <c r="V824" s="308"/>
      <c r="W824" s="308"/>
      <c r="X824" s="308"/>
      <c r="Y824" s="308"/>
      <c r="Z824" s="308"/>
    </row>
    <row r="825" spans="1:26" ht="14.25" customHeight="1" x14ac:dyDescent="0.3">
      <c r="A825" s="491" t="s">
        <v>2349</v>
      </c>
      <c r="B825" s="268" t="s">
        <v>1122</v>
      </c>
      <c r="C825" s="447" t="s">
        <v>1144</v>
      </c>
      <c r="D825" s="447" t="s">
        <v>1138</v>
      </c>
      <c r="E825" s="447">
        <v>35</v>
      </c>
      <c r="F825" s="448">
        <v>45994</v>
      </c>
      <c r="G825" s="447"/>
      <c r="H825" s="447" t="s">
        <v>1238</v>
      </c>
      <c r="I825" s="447"/>
      <c r="J825" s="447"/>
      <c r="K825" s="447" t="s">
        <v>1324</v>
      </c>
      <c r="L825" s="447"/>
      <c r="M825" s="447"/>
      <c r="N825" s="308"/>
      <c r="O825" s="308"/>
      <c r="P825" s="308"/>
      <c r="Q825" s="308"/>
      <c r="R825" s="308"/>
      <c r="S825" s="308"/>
      <c r="T825" s="308"/>
      <c r="U825" s="308"/>
      <c r="V825" s="308"/>
      <c r="W825" s="308"/>
      <c r="X825" s="308"/>
      <c r="Y825" s="308"/>
      <c r="Z825" s="308"/>
    </row>
    <row r="826" spans="1:26" ht="14.25" customHeight="1" x14ac:dyDescent="0.3">
      <c r="A826" s="500" t="s">
        <v>2350</v>
      </c>
      <c r="B826" s="418" t="s">
        <v>1122</v>
      </c>
      <c r="C826" s="425" t="s">
        <v>1076</v>
      </c>
      <c r="D826" s="438" t="s">
        <v>1086</v>
      </c>
      <c r="E826" s="447">
        <v>29</v>
      </c>
      <c r="F826" s="448">
        <v>45986</v>
      </c>
      <c r="G826" s="447"/>
      <c r="H826" s="428" t="s">
        <v>1078</v>
      </c>
      <c r="I826" s="447"/>
      <c r="J826" s="447"/>
      <c r="K826" s="447" t="s">
        <v>1325</v>
      </c>
      <c r="L826" s="447"/>
      <c r="M826" s="447"/>
      <c r="N826" s="308"/>
      <c r="O826" s="308"/>
      <c r="P826" s="308"/>
      <c r="Q826" s="308"/>
      <c r="R826" s="308"/>
      <c r="S826" s="308"/>
      <c r="T826" s="308"/>
      <c r="U826" s="308"/>
      <c r="V826" s="308"/>
      <c r="W826" s="308"/>
      <c r="X826" s="308"/>
      <c r="Y826" s="308"/>
      <c r="Z826" s="308"/>
    </row>
    <row r="827" spans="1:26" s="445" customFormat="1" ht="14.25" customHeight="1" x14ac:dyDescent="0.3">
      <c r="A827" s="491" t="s">
        <v>2350</v>
      </c>
      <c r="B827" s="418" t="s">
        <v>1122</v>
      </c>
      <c r="C827" s="447" t="s">
        <v>1144</v>
      </c>
      <c r="D827" s="447" t="s">
        <v>1132</v>
      </c>
      <c r="E827" s="447">
        <v>33</v>
      </c>
      <c r="F827" s="448">
        <v>45989</v>
      </c>
      <c r="G827" s="447"/>
      <c r="H827" s="308" t="s">
        <v>1208</v>
      </c>
      <c r="I827" s="447"/>
      <c r="J827" s="447"/>
      <c r="K827" s="447"/>
      <c r="N827" s="267"/>
      <c r="O827" s="267"/>
      <c r="P827" s="267"/>
      <c r="Q827" s="267"/>
      <c r="R827" s="267"/>
      <c r="S827" s="267"/>
      <c r="T827" s="267"/>
      <c r="U827" s="267"/>
      <c r="V827" s="267"/>
      <c r="W827" s="267"/>
      <c r="X827" s="267"/>
      <c r="Y827" s="267"/>
      <c r="Z827" s="267"/>
    </row>
    <row r="828" spans="1:26" s="445" customFormat="1" ht="14.25" customHeight="1" x14ac:dyDescent="0.3">
      <c r="A828" s="500" t="s">
        <v>2349</v>
      </c>
      <c r="B828" s="418" t="s">
        <v>1122</v>
      </c>
      <c r="C828" s="425" t="s">
        <v>1076</v>
      </c>
      <c r="D828" s="447" t="s">
        <v>1082</v>
      </c>
      <c r="E828" s="447">
        <v>31</v>
      </c>
      <c r="F828" s="448">
        <v>45986</v>
      </c>
      <c r="G828" s="447"/>
      <c r="H828" s="428" t="s">
        <v>1078</v>
      </c>
      <c r="I828" s="447"/>
      <c r="J828" s="447"/>
      <c r="K828" s="447" t="s">
        <v>1326</v>
      </c>
      <c r="N828" s="267"/>
      <c r="O828" s="267"/>
      <c r="P828" s="267"/>
      <c r="Q828" s="267"/>
      <c r="R828" s="267"/>
      <c r="S828" s="267"/>
      <c r="T828" s="267"/>
      <c r="U828" s="267"/>
      <c r="V828" s="267"/>
      <c r="W828" s="267"/>
      <c r="X828" s="267"/>
      <c r="Y828" s="267"/>
      <c r="Z828" s="267"/>
    </row>
    <row r="829" spans="1:26" ht="14.25" customHeight="1" x14ac:dyDescent="0.3">
      <c r="A829" s="491" t="s">
        <v>2349</v>
      </c>
      <c r="B829" s="418" t="s">
        <v>1122</v>
      </c>
      <c r="C829" s="447" t="s">
        <v>1144</v>
      </c>
      <c r="D829" s="447" t="s">
        <v>1082</v>
      </c>
      <c r="E829" s="447">
        <v>33</v>
      </c>
      <c r="F829" s="448">
        <v>45989</v>
      </c>
      <c r="G829" s="447"/>
      <c r="H829" s="308" t="s">
        <v>1208</v>
      </c>
      <c r="I829" s="447"/>
      <c r="J829" s="447"/>
      <c r="K829" s="447"/>
      <c r="L829" s="447"/>
      <c r="M829" s="447"/>
      <c r="N829" s="308"/>
      <c r="O829" s="308"/>
      <c r="P829" s="308"/>
      <c r="Q829" s="308"/>
      <c r="R829" s="308"/>
      <c r="S829" s="308"/>
      <c r="T829" s="308"/>
      <c r="U829" s="308"/>
      <c r="V829" s="308"/>
      <c r="W829" s="308"/>
      <c r="X829" s="308"/>
      <c r="Y829" s="308"/>
      <c r="Z829" s="308"/>
    </row>
    <row r="830" spans="1:26" s="445" customFormat="1" ht="14.25" customHeight="1" x14ac:dyDescent="0.3">
      <c r="A830" s="500" t="s">
        <v>2349</v>
      </c>
      <c r="B830" s="418" t="s">
        <v>1122</v>
      </c>
      <c r="C830" s="425" t="s">
        <v>1076</v>
      </c>
      <c r="D830" s="432" t="s">
        <v>1080</v>
      </c>
      <c r="E830" s="447">
        <v>30</v>
      </c>
      <c r="F830" s="448">
        <v>45986</v>
      </c>
      <c r="G830" s="447"/>
      <c r="H830" s="428" t="s">
        <v>1078</v>
      </c>
      <c r="I830" s="447"/>
      <c r="J830" s="447"/>
      <c r="K830" s="447" t="s">
        <v>1327</v>
      </c>
      <c r="N830" s="267"/>
      <c r="O830" s="267"/>
      <c r="P830" s="267"/>
      <c r="Q830" s="267"/>
      <c r="R830" s="267"/>
      <c r="S830" s="267"/>
      <c r="T830" s="267"/>
      <c r="U830" s="267"/>
      <c r="V830" s="267"/>
      <c r="W830" s="267"/>
      <c r="X830" s="267"/>
      <c r="Y830" s="267"/>
      <c r="Z830" s="267"/>
    </row>
    <row r="831" spans="1:26" ht="14.25" customHeight="1" x14ac:dyDescent="0.3">
      <c r="A831" s="491" t="s">
        <v>2349</v>
      </c>
      <c r="B831" s="268" t="s">
        <v>1122</v>
      </c>
      <c r="C831" s="447"/>
      <c r="D831" s="447" t="s">
        <v>1254</v>
      </c>
      <c r="E831" s="447">
        <v>35</v>
      </c>
      <c r="F831" s="448">
        <v>45994</v>
      </c>
      <c r="G831" s="447"/>
      <c r="H831" s="447" t="s">
        <v>1208</v>
      </c>
      <c r="I831" s="447"/>
      <c r="J831" s="447"/>
      <c r="K831" s="447" t="s">
        <v>1271</v>
      </c>
      <c r="L831" s="447"/>
      <c r="M831" s="447"/>
      <c r="N831" s="308"/>
      <c r="O831" s="308"/>
      <c r="P831" s="308"/>
      <c r="Q831" s="308"/>
      <c r="R831" s="308"/>
      <c r="S831" s="308"/>
      <c r="T831" s="308"/>
      <c r="U831" s="308"/>
      <c r="V831" s="308"/>
      <c r="W831" s="308"/>
      <c r="X831" s="308"/>
      <c r="Y831" s="308"/>
      <c r="Z831" s="308"/>
    </row>
    <row r="832" spans="1:26" ht="14.25" customHeight="1" x14ac:dyDescent="0.3">
      <c r="A832" s="475" t="s">
        <v>2351</v>
      </c>
      <c r="B832" s="430" t="s">
        <v>1122</v>
      </c>
      <c r="C832" s="425" t="s">
        <v>1076</v>
      </c>
      <c r="D832" s="308" t="s">
        <v>1077</v>
      </c>
      <c r="E832" s="308">
        <v>24</v>
      </c>
      <c r="F832" s="431">
        <v>45951</v>
      </c>
      <c r="G832" s="308"/>
      <c r="H832" s="428" t="s">
        <v>1078</v>
      </c>
      <c r="I832" s="308"/>
      <c r="J832" s="308"/>
      <c r="K832" s="308"/>
      <c r="L832" s="447"/>
      <c r="M832" s="447"/>
      <c r="N832" s="308"/>
      <c r="O832" s="308"/>
      <c r="P832" s="308"/>
      <c r="Q832" s="308"/>
      <c r="R832" s="308"/>
      <c r="S832" s="308"/>
      <c r="T832" s="308"/>
      <c r="U832" s="308"/>
      <c r="V832" s="308"/>
      <c r="W832" s="308"/>
      <c r="X832" s="308"/>
      <c r="Y832" s="308"/>
      <c r="Z832" s="308"/>
    </row>
    <row r="833" spans="1:26" ht="14.25" customHeight="1" x14ac:dyDescent="0.3">
      <c r="A833" s="475" t="s">
        <v>2352</v>
      </c>
      <c r="B833" s="430" t="s">
        <v>1122</v>
      </c>
      <c r="C833" s="425" t="s">
        <v>1076</v>
      </c>
      <c r="D833" s="308" t="s">
        <v>1077</v>
      </c>
      <c r="E833" s="308">
        <v>24</v>
      </c>
      <c r="F833" s="431">
        <v>45951</v>
      </c>
      <c r="G833" s="308"/>
      <c r="H833" s="428" t="s">
        <v>1078</v>
      </c>
      <c r="I833" s="308"/>
      <c r="J833" s="308"/>
      <c r="K833" s="308"/>
      <c r="L833" s="447"/>
      <c r="M833" s="447"/>
      <c r="N833" s="308"/>
      <c r="O833" s="308"/>
      <c r="P833" s="308"/>
      <c r="Q833" s="308"/>
      <c r="R833" s="308"/>
      <c r="S833" s="308"/>
      <c r="T833" s="308"/>
      <c r="U833" s="308"/>
      <c r="V833" s="308"/>
      <c r="W833" s="308"/>
      <c r="X833" s="308"/>
      <c r="Y833" s="308"/>
      <c r="Z833" s="308"/>
    </row>
    <row r="834" spans="1:26" ht="14.25" customHeight="1" x14ac:dyDescent="0.3">
      <c r="A834" s="490" t="s">
        <v>2353</v>
      </c>
      <c r="B834" s="418" t="s">
        <v>1122</v>
      </c>
      <c r="C834" s="425" t="s">
        <v>1076</v>
      </c>
      <c r="D834" s="447" t="s">
        <v>1082</v>
      </c>
      <c r="E834" s="447">
        <v>31</v>
      </c>
      <c r="F834" s="448">
        <v>45986</v>
      </c>
      <c r="G834" s="447"/>
      <c r="H834" s="428" t="s">
        <v>1078</v>
      </c>
      <c r="I834" s="447"/>
      <c r="J834" s="447"/>
      <c r="K834" s="447" t="s">
        <v>1328</v>
      </c>
      <c r="L834" s="447"/>
      <c r="M834" s="447"/>
      <c r="N834" s="308"/>
      <c r="O834" s="308"/>
      <c r="P834" s="308"/>
      <c r="Q834" s="308"/>
      <c r="R834" s="308"/>
      <c r="S834" s="308"/>
      <c r="T834" s="308"/>
      <c r="U834" s="308"/>
      <c r="V834" s="308"/>
      <c r="W834" s="308"/>
      <c r="X834" s="308"/>
      <c r="Y834" s="308"/>
      <c r="Z834" s="308"/>
    </row>
    <row r="835" spans="1:26" ht="14.25" customHeight="1" x14ac:dyDescent="0.3">
      <c r="A835" s="454" t="s">
        <v>2353</v>
      </c>
      <c r="B835" s="449" t="s">
        <v>1142</v>
      </c>
      <c r="C835" s="511" t="s">
        <v>1076</v>
      </c>
      <c r="D835" s="445" t="s">
        <v>1138</v>
      </c>
      <c r="E835" s="512">
        <v>35</v>
      </c>
      <c r="F835" s="513">
        <v>45994</v>
      </c>
      <c r="G835" s="512"/>
      <c r="H835" s="514" t="s">
        <v>1083</v>
      </c>
      <c r="I835" s="512">
        <v>7</v>
      </c>
      <c r="J835" s="512"/>
      <c r="K835" s="512" t="s">
        <v>1329</v>
      </c>
      <c r="L835" s="447"/>
      <c r="M835" s="447"/>
      <c r="N835" s="308"/>
      <c r="O835" s="308"/>
      <c r="P835" s="308"/>
      <c r="Q835" s="308"/>
      <c r="R835" s="308"/>
      <c r="S835" s="308"/>
      <c r="T835" s="308"/>
      <c r="U835" s="308"/>
      <c r="V835" s="308"/>
      <c r="W835" s="308"/>
      <c r="X835" s="308"/>
      <c r="Y835" s="308"/>
      <c r="Z835" s="308"/>
    </row>
    <row r="836" spans="1:26" ht="14.25" customHeight="1" x14ac:dyDescent="0.3">
      <c r="A836" s="490" t="s">
        <v>2354</v>
      </c>
      <c r="B836" s="418" t="s">
        <v>1122</v>
      </c>
      <c r="C836" s="425" t="s">
        <v>1076</v>
      </c>
      <c r="D836" s="438" t="s">
        <v>1086</v>
      </c>
      <c r="E836" s="447">
        <v>29</v>
      </c>
      <c r="F836" s="448">
        <v>45986</v>
      </c>
      <c r="G836" s="447"/>
      <c r="H836" s="428" t="s">
        <v>1078</v>
      </c>
      <c r="I836" s="447"/>
      <c r="J836" s="447"/>
      <c r="K836" s="447" t="s">
        <v>1330</v>
      </c>
      <c r="L836" s="447"/>
      <c r="M836" s="447"/>
      <c r="N836" s="308"/>
      <c r="O836" s="308"/>
      <c r="P836" s="308"/>
      <c r="Q836" s="308"/>
      <c r="R836" s="308"/>
      <c r="S836" s="308"/>
      <c r="T836" s="308"/>
      <c r="U836" s="308"/>
      <c r="V836" s="308"/>
      <c r="W836" s="308"/>
      <c r="X836" s="308"/>
      <c r="Y836" s="308"/>
      <c r="Z836" s="308"/>
    </row>
    <row r="837" spans="1:26" ht="14.25" customHeight="1" x14ac:dyDescent="0.3">
      <c r="A837" s="454" t="s">
        <v>2354</v>
      </c>
      <c r="B837" s="449" t="s">
        <v>1142</v>
      </c>
      <c r="C837" s="425" t="s">
        <v>1076</v>
      </c>
      <c r="D837" s="535" t="s">
        <v>1132</v>
      </c>
      <c r="E837" s="447" t="s">
        <v>1140</v>
      </c>
      <c r="F837" s="448">
        <v>45989</v>
      </c>
      <c r="G837" s="447"/>
      <c r="H837" s="267" t="s">
        <v>1083</v>
      </c>
      <c r="I837" s="445">
        <v>7</v>
      </c>
      <c r="J837" s="445"/>
      <c r="K837" s="445"/>
      <c r="L837" s="447"/>
      <c r="M837" s="447"/>
      <c r="N837" s="308"/>
      <c r="O837" s="308"/>
      <c r="P837" s="308"/>
      <c r="Q837" s="308"/>
      <c r="R837" s="308"/>
      <c r="S837" s="308"/>
      <c r="T837" s="308"/>
      <c r="U837" s="308"/>
      <c r="V837" s="308"/>
      <c r="W837" s="308"/>
      <c r="X837" s="308"/>
      <c r="Y837" s="308"/>
      <c r="Z837" s="308"/>
    </row>
    <row r="838" spans="1:26" ht="14.25" customHeight="1" x14ac:dyDescent="0.3">
      <c r="A838" s="454" t="s">
        <v>2353</v>
      </c>
      <c r="B838" s="418" t="s">
        <v>1122</v>
      </c>
      <c r="C838" s="447" t="s">
        <v>1144</v>
      </c>
      <c r="D838" s="447" t="s">
        <v>1082</v>
      </c>
      <c r="E838" s="447">
        <v>33</v>
      </c>
      <c r="F838" s="448">
        <v>45989</v>
      </c>
      <c r="G838" s="447"/>
      <c r="H838" s="308" t="s">
        <v>1090</v>
      </c>
      <c r="I838" s="447"/>
      <c r="J838" s="447"/>
      <c r="K838" s="447"/>
      <c r="L838" s="447"/>
      <c r="M838" s="447"/>
      <c r="N838" s="308"/>
      <c r="O838" s="308"/>
      <c r="P838" s="308"/>
      <c r="Q838" s="308"/>
      <c r="R838" s="308"/>
      <c r="S838" s="308"/>
      <c r="T838" s="308"/>
      <c r="U838" s="308"/>
      <c r="V838" s="308"/>
      <c r="W838" s="308"/>
      <c r="X838" s="308"/>
      <c r="Y838" s="308"/>
      <c r="Z838" s="308"/>
    </row>
    <row r="839" spans="1:26" s="445" customFormat="1" ht="14.25" customHeight="1" x14ac:dyDescent="0.3">
      <c r="A839" s="490" t="s">
        <v>2353</v>
      </c>
      <c r="B839" s="418" t="s">
        <v>1122</v>
      </c>
      <c r="C839" s="425" t="s">
        <v>1076</v>
      </c>
      <c r="D839" s="432" t="s">
        <v>1080</v>
      </c>
      <c r="E839" s="447">
        <v>30</v>
      </c>
      <c r="F839" s="448">
        <v>45986</v>
      </c>
      <c r="G839" s="447"/>
      <c r="H839" s="428" t="s">
        <v>1078</v>
      </c>
      <c r="I839" s="447"/>
      <c r="J839" s="447"/>
      <c r="K839" s="447" t="s">
        <v>1331</v>
      </c>
      <c r="N839" s="267"/>
      <c r="O839" s="267"/>
      <c r="P839" s="267"/>
      <c r="Q839" s="267"/>
      <c r="R839" s="267"/>
      <c r="S839" s="267"/>
      <c r="T839" s="267"/>
      <c r="U839" s="267"/>
      <c r="V839" s="267"/>
      <c r="W839" s="267"/>
      <c r="X839" s="267"/>
      <c r="Y839" s="267"/>
      <c r="Z839" s="267"/>
    </row>
    <row r="840" spans="1:26" ht="14.25" customHeight="1" x14ac:dyDescent="0.3">
      <c r="A840" s="454" t="s">
        <v>2353</v>
      </c>
      <c r="B840" s="460" t="s">
        <v>1142</v>
      </c>
      <c r="C840" s="425" t="s">
        <v>1076</v>
      </c>
      <c r="D840" s="547" t="s">
        <v>1254</v>
      </c>
      <c r="E840" s="447">
        <v>35</v>
      </c>
      <c r="F840" s="448">
        <v>45994</v>
      </c>
      <c r="G840" s="447"/>
      <c r="H840" s="308" t="s">
        <v>1083</v>
      </c>
      <c r="I840" s="447">
        <v>7</v>
      </c>
      <c r="J840" s="447"/>
      <c r="K840" s="447" t="s">
        <v>1333</v>
      </c>
      <c r="L840" s="447"/>
      <c r="M840" s="447"/>
      <c r="N840" s="308"/>
      <c r="O840" s="308"/>
      <c r="P840" s="308"/>
      <c r="Q840" s="308"/>
      <c r="R840" s="308"/>
      <c r="S840" s="308"/>
      <c r="T840" s="308"/>
      <c r="U840" s="308"/>
      <c r="V840" s="308"/>
      <c r="W840" s="308"/>
      <c r="X840" s="308"/>
      <c r="Y840" s="308"/>
      <c r="Z840" s="308"/>
    </row>
    <row r="841" spans="1:26" s="445" customFormat="1" ht="14.25" customHeight="1" x14ac:dyDescent="0.3">
      <c r="A841" s="475" t="s">
        <v>1205</v>
      </c>
      <c r="B841" s="424" t="s">
        <v>1122</v>
      </c>
      <c r="C841" s="425" t="s">
        <v>1076</v>
      </c>
      <c r="D841" s="472" t="s">
        <v>1155</v>
      </c>
      <c r="E841" s="423">
        <v>21</v>
      </c>
      <c r="F841" s="428">
        <v>45929</v>
      </c>
      <c r="G841" s="423" t="s">
        <v>451</v>
      </c>
      <c r="H841" s="428" t="s">
        <v>1078</v>
      </c>
      <c r="I841" s="423" t="s">
        <v>451</v>
      </c>
      <c r="J841" s="423" t="s">
        <v>451</v>
      </c>
      <c r="K841" s="308"/>
      <c r="N841" s="267"/>
      <c r="O841" s="267"/>
      <c r="P841" s="267"/>
      <c r="Q841" s="267"/>
      <c r="R841" s="267"/>
      <c r="S841" s="267"/>
      <c r="T841" s="267"/>
      <c r="U841" s="267"/>
      <c r="V841" s="267"/>
      <c r="W841" s="267"/>
      <c r="X841" s="267"/>
      <c r="Y841" s="267"/>
      <c r="Z841" s="267"/>
    </row>
    <row r="842" spans="1:26" ht="14.25" customHeight="1" x14ac:dyDescent="0.3">
      <c r="A842" s="352" t="s">
        <v>1206</v>
      </c>
      <c r="B842" s="424" t="s">
        <v>1122</v>
      </c>
      <c r="C842" s="425" t="s">
        <v>1076</v>
      </c>
      <c r="D842" s="438" t="s">
        <v>1086</v>
      </c>
      <c r="E842" s="439">
        <v>20</v>
      </c>
      <c r="F842" s="428">
        <v>45912</v>
      </c>
      <c r="G842" s="423" t="s">
        <v>451</v>
      </c>
      <c r="H842" s="428" t="s">
        <v>1078</v>
      </c>
      <c r="I842" s="423" t="s">
        <v>451</v>
      </c>
      <c r="J842" s="423" t="s">
        <v>451</v>
      </c>
      <c r="K842" s="308"/>
      <c r="L842" s="447"/>
      <c r="M842" s="447"/>
      <c r="N842" s="308"/>
      <c r="O842" s="308"/>
      <c r="P842" s="308"/>
      <c r="Q842" s="308"/>
      <c r="R842" s="308"/>
      <c r="S842" s="308"/>
      <c r="T842" s="308"/>
      <c r="U842" s="308"/>
      <c r="V842" s="308"/>
      <c r="W842" s="308"/>
      <c r="X842" s="308"/>
      <c r="Y842" s="308"/>
      <c r="Z842" s="308"/>
    </row>
    <row r="843" spans="1:26" ht="14.25" customHeight="1" x14ac:dyDescent="0.3">
      <c r="A843" s="475" t="s">
        <v>1207</v>
      </c>
      <c r="B843" s="430" t="s">
        <v>1122</v>
      </c>
      <c r="C843" s="308" t="s">
        <v>1089</v>
      </c>
      <c r="D843" s="308" t="s">
        <v>1080</v>
      </c>
      <c r="E843" s="308">
        <v>25</v>
      </c>
      <c r="F843" s="431">
        <v>45953</v>
      </c>
      <c r="G843" s="308"/>
      <c r="H843" s="308" t="s">
        <v>1208</v>
      </c>
      <c r="I843" s="308"/>
      <c r="J843" s="308"/>
      <c r="K843" s="308"/>
      <c r="L843" s="447"/>
      <c r="M843" s="447"/>
      <c r="N843" s="308"/>
      <c r="O843" s="308"/>
      <c r="P843" s="308"/>
      <c r="Q843" s="308"/>
      <c r="R843" s="308"/>
      <c r="S843" s="308"/>
      <c r="T843" s="308"/>
      <c r="U843" s="308"/>
      <c r="V843" s="308"/>
      <c r="W843" s="308"/>
      <c r="X843" s="308"/>
      <c r="Y843" s="308"/>
      <c r="Z843" s="308"/>
    </row>
    <row r="844" spans="1:26" s="445" customFormat="1" ht="14.25" customHeight="1" x14ac:dyDescent="0.3">
      <c r="A844" s="475" t="s">
        <v>1045</v>
      </c>
      <c r="B844" s="424" t="s">
        <v>1122</v>
      </c>
      <c r="C844" s="425" t="s">
        <v>1089</v>
      </c>
      <c r="D844" s="463" t="s">
        <v>1132</v>
      </c>
      <c r="E844" s="439">
        <v>20</v>
      </c>
      <c r="F844" s="428">
        <v>45912</v>
      </c>
      <c r="G844" s="423" t="s">
        <v>451</v>
      </c>
      <c r="H844" s="428" t="s">
        <v>1078</v>
      </c>
      <c r="I844" s="423" t="s">
        <v>451</v>
      </c>
      <c r="J844" s="423" t="s">
        <v>451</v>
      </c>
      <c r="K844" s="308"/>
      <c r="N844" s="267"/>
      <c r="O844" s="267"/>
      <c r="P844" s="267"/>
      <c r="Q844" s="267"/>
      <c r="R844" s="267"/>
      <c r="S844" s="267"/>
      <c r="T844" s="267"/>
      <c r="U844" s="267"/>
      <c r="V844" s="267"/>
      <c r="W844" s="267"/>
      <c r="X844" s="267"/>
      <c r="Y844" s="267"/>
      <c r="Z844" s="267"/>
    </row>
    <row r="845" spans="1:26" ht="14.25" customHeight="1" x14ac:dyDescent="0.3">
      <c r="A845" s="475" t="s">
        <v>1045</v>
      </c>
      <c r="B845" s="424" t="s">
        <v>1122</v>
      </c>
      <c r="C845" s="425" t="s">
        <v>1144</v>
      </c>
      <c r="D845" s="423" t="s">
        <v>1155</v>
      </c>
      <c r="E845" s="423">
        <v>21</v>
      </c>
      <c r="F845" s="428">
        <v>45929</v>
      </c>
      <c r="G845" s="423" t="s">
        <v>451</v>
      </c>
      <c r="H845" s="428" t="s">
        <v>1078</v>
      </c>
      <c r="I845" s="423" t="s">
        <v>451</v>
      </c>
      <c r="J845" s="423" t="s">
        <v>451</v>
      </c>
      <c r="K845" s="308"/>
      <c r="L845" s="308"/>
      <c r="M845" s="308"/>
      <c r="N845" s="308"/>
      <c r="O845" s="308"/>
      <c r="P845" s="308"/>
      <c r="Q845" s="308"/>
      <c r="R845" s="308"/>
      <c r="S845" s="308"/>
      <c r="T845" s="308"/>
      <c r="U845" s="308"/>
      <c r="V845" s="308"/>
      <c r="W845" s="308"/>
      <c r="X845" s="308"/>
      <c r="Y845" s="308"/>
      <c r="Z845" s="308"/>
    </row>
    <row r="846" spans="1:26" ht="14.25" customHeight="1" x14ac:dyDescent="0.3">
      <c r="A846" s="485" t="s">
        <v>1221</v>
      </c>
      <c r="B846" s="411" t="s">
        <v>1122</v>
      </c>
      <c r="C846" s="308" t="s">
        <v>1144</v>
      </c>
      <c r="D846" s="308" t="s">
        <v>1086</v>
      </c>
      <c r="E846" s="308">
        <v>26</v>
      </c>
      <c r="F846" s="431">
        <v>45958</v>
      </c>
      <c r="G846" s="308"/>
      <c r="H846" s="308" t="s">
        <v>1208</v>
      </c>
      <c r="I846" s="308"/>
      <c r="J846" s="308"/>
      <c r="K846" s="308"/>
      <c r="L846" s="308"/>
      <c r="M846" s="308"/>
      <c r="N846" s="308"/>
      <c r="O846" s="308"/>
      <c r="P846" s="308"/>
      <c r="Q846" s="308"/>
      <c r="R846" s="308"/>
      <c r="S846" s="308"/>
      <c r="T846" s="308"/>
      <c r="U846" s="308"/>
      <c r="V846" s="308"/>
      <c r="W846" s="308"/>
      <c r="X846" s="308"/>
      <c r="Y846" s="308"/>
      <c r="Z846" s="308"/>
    </row>
    <row r="847" spans="1:26" ht="14.25" customHeight="1" x14ac:dyDescent="0.3">
      <c r="A847" s="420"/>
      <c r="B847" s="308"/>
      <c r="C847" s="308"/>
      <c r="D847" s="308"/>
      <c r="E847" s="308"/>
      <c r="F847" s="308"/>
      <c r="G847" s="308"/>
      <c r="H847" s="308"/>
      <c r="I847" s="308"/>
      <c r="J847" s="308"/>
      <c r="K847" s="308"/>
      <c r="L847" s="308"/>
      <c r="M847" s="308"/>
      <c r="N847" s="308"/>
      <c r="O847" s="308"/>
      <c r="P847" s="308"/>
      <c r="Q847" s="308"/>
      <c r="R847" s="308"/>
      <c r="S847" s="308"/>
      <c r="T847" s="308"/>
      <c r="U847" s="308"/>
      <c r="V847" s="308"/>
      <c r="W847" s="308"/>
      <c r="X847" s="308"/>
      <c r="Y847" s="308"/>
      <c r="Z847" s="308"/>
    </row>
    <row r="848" spans="1:26" ht="14.25" customHeight="1" x14ac:dyDescent="0.3">
      <c r="A848" s="420"/>
      <c r="B848" s="308"/>
      <c r="C848" s="308"/>
      <c r="D848" s="308"/>
      <c r="E848" s="308"/>
      <c r="F848" s="308"/>
      <c r="G848" s="308"/>
      <c r="H848" s="308"/>
      <c r="I848" s="308"/>
      <c r="J848" s="308"/>
      <c r="K848" s="308"/>
      <c r="L848" s="308"/>
      <c r="M848" s="308"/>
      <c r="N848" s="308"/>
      <c r="O848" s="308"/>
      <c r="P848" s="308"/>
      <c r="Q848" s="308"/>
      <c r="R848" s="308"/>
      <c r="S848" s="308"/>
      <c r="T848" s="308"/>
      <c r="U848" s="308"/>
      <c r="V848" s="308"/>
      <c r="W848" s="308"/>
      <c r="X848" s="308"/>
      <c r="Y848" s="308"/>
      <c r="Z848" s="308"/>
    </row>
    <row r="849" spans="1:26" ht="14.25" customHeight="1" x14ac:dyDescent="0.3">
      <c r="A849" s="420"/>
      <c r="B849" s="308"/>
      <c r="C849" s="308"/>
      <c r="D849" s="308"/>
      <c r="E849" s="308"/>
      <c r="F849" s="308"/>
      <c r="G849" s="308"/>
      <c r="H849" s="308"/>
      <c r="I849" s="308"/>
      <c r="J849" s="308"/>
      <c r="K849" s="308"/>
      <c r="L849" s="308"/>
      <c r="M849" s="308"/>
      <c r="N849" s="308"/>
      <c r="O849" s="308"/>
      <c r="P849" s="308"/>
      <c r="Q849" s="308"/>
      <c r="R849" s="308"/>
      <c r="S849" s="308"/>
      <c r="T849" s="308"/>
      <c r="U849" s="308"/>
      <c r="V849" s="308"/>
      <c r="W849" s="308"/>
      <c r="X849" s="308"/>
      <c r="Y849" s="308"/>
      <c r="Z849" s="308"/>
    </row>
    <row r="850" spans="1:26" ht="14.25" customHeight="1" x14ac:dyDescent="0.3">
      <c r="A850" s="420"/>
      <c r="B850" s="308"/>
      <c r="C850" s="308"/>
      <c r="D850" s="308"/>
      <c r="E850" s="308"/>
      <c r="F850" s="308"/>
      <c r="G850" s="308"/>
      <c r="H850" s="308"/>
      <c r="I850" s="308"/>
      <c r="J850" s="308"/>
      <c r="K850" s="308"/>
      <c r="L850" s="308"/>
      <c r="M850" s="308"/>
      <c r="N850" s="308"/>
      <c r="O850" s="308"/>
      <c r="P850" s="308"/>
      <c r="Q850" s="308"/>
      <c r="R850" s="308"/>
      <c r="S850" s="308"/>
      <c r="T850" s="308"/>
      <c r="U850" s="308"/>
      <c r="V850" s="308"/>
      <c r="W850" s="308"/>
      <c r="X850" s="308"/>
      <c r="Y850" s="308"/>
      <c r="Z850" s="308"/>
    </row>
    <row r="851" spans="1:26" ht="14.25" customHeight="1" x14ac:dyDescent="0.3">
      <c r="A851" s="420"/>
      <c r="B851" s="308"/>
      <c r="C851" s="308"/>
      <c r="D851" s="308"/>
      <c r="E851" s="308"/>
      <c r="F851" s="308"/>
      <c r="G851" s="308"/>
      <c r="H851" s="308"/>
      <c r="I851" s="308"/>
      <c r="J851" s="308"/>
      <c r="K851" s="308"/>
      <c r="L851" s="308"/>
      <c r="M851" s="308"/>
      <c r="N851" s="308"/>
      <c r="O851" s="308"/>
      <c r="P851" s="308"/>
      <c r="Q851" s="308"/>
      <c r="R851" s="308"/>
      <c r="S851" s="308"/>
      <c r="T851" s="308"/>
      <c r="U851" s="308"/>
      <c r="V851" s="308"/>
      <c r="W851" s="308"/>
      <c r="X851" s="308"/>
      <c r="Y851" s="308"/>
      <c r="Z851" s="308"/>
    </row>
    <row r="852" spans="1:26" ht="14.25" customHeight="1" x14ac:dyDescent="0.3">
      <c r="A852" s="420"/>
      <c r="B852" s="308"/>
      <c r="C852" s="308"/>
      <c r="D852" s="308"/>
      <c r="E852" s="308"/>
      <c r="F852" s="308"/>
      <c r="G852" s="308"/>
      <c r="H852" s="308"/>
      <c r="I852" s="308"/>
      <c r="J852" s="308"/>
      <c r="K852" s="308"/>
      <c r="L852" s="308"/>
      <c r="M852" s="308"/>
      <c r="N852" s="308"/>
      <c r="O852" s="308"/>
      <c r="P852" s="308"/>
      <c r="Q852" s="308"/>
      <c r="R852" s="308"/>
      <c r="S852" s="308"/>
      <c r="T852" s="308"/>
      <c r="U852" s="308"/>
      <c r="V852" s="308"/>
      <c r="W852" s="308"/>
      <c r="X852" s="308"/>
      <c r="Y852" s="308"/>
      <c r="Z852" s="308"/>
    </row>
    <row r="853" spans="1:26" ht="14.25" customHeight="1" x14ac:dyDescent="0.3">
      <c r="A853" s="420"/>
      <c r="B853" s="308"/>
      <c r="C853" s="308"/>
      <c r="D853" s="308"/>
      <c r="E853" s="308"/>
      <c r="F853" s="308"/>
      <c r="G853" s="308"/>
      <c r="H853" s="308"/>
      <c r="I853" s="308"/>
      <c r="J853" s="308"/>
      <c r="K853" s="308"/>
      <c r="L853" s="308"/>
      <c r="M853" s="308"/>
      <c r="N853" s="308"/>
      <c r="O853" s="308"/>
      <c r="P853" s="308"/>
      <c r="Q853" s="308"/>
      <c r="R853" s="308"/>
      <c r="S853" s="308"/>
      <c r="T853" s="308"/>
      <c r="U853" s="308"/>
      <c r="V853" s="308"/>
      <c r="W853" s="308"/>
      <c r="X853" s="308"/>
      <c r="Y853" s="308"/>
      <c r="Z853" s="308"/>
    </row>
    <row r="854" spans="1:26" ht="14.25" customHeight="1" x14ac:dyDescent="0.3">
      <c r="A854" s="420"/>
      <c r="B854" s="308"/>
      <c r="C854" s="308"/>
      <c r="D854" s="308"/>
      <c r="E854" s="308"/>
      <c r="F854" s="308"/>
      <c r="G854" s="308"/>
      <c r="H854" s="308"/>
      <c r="I854" s="308"/>
      <c r="J854" s="308"/>
      <c r="K854" s="308"/>
      <c r="L854" s="308"/>
      <c r="M854" s="308"/>
      <c r="N854" s="308"/>
      <c r="O854" s="308"/>
      <c r="P854" s="308"/>
      <c r="Q854" s="308"/>
      <c r="R854" s="308"/>
      <c r="S854" s="308"/>
      <c r="T854" s="308"/>
      <c r="U854" s="308"/>
      <c r="V854" s="308"/>
      <c r="W854" s="308"/>
      <c r="X854" s="308"/>
      <c r="Y854" s="308"/>
      <c r="Z854" s="308"/>
    </row>
    <row r="855" spans="1:26" ht="14.25" customHeight="1" x14ac:dyDescent="0.3">
      <c r="A855" s="420"/>
      <c r="B855" s="308"/>
      <c r="C855" s="308"/>
      <c r="D855" s="308"/>
      <c r="E855" s="308"/>
      <c r="F855" s="308"/>
      <c r="G855" s="308"/>
      <c r="H855" s="308"/>
      <c r="I855" s="308"/>
      <c r="J855" s="308"/>
      <c r="K855" s="308"/>
      <c r="L855" s="308"/>
      <c r="M855" s="308"/>
      <c r="N855" s="308"/>
      <c r="O855" s="308"/>
      <c r="P855" s="308"/>
      <c r="Q855" s="308"/>
      <c r="R855" s="308"/>
      <c r="S855" s="308"/>
      <c r="T855" s="308"/>
      <c r="U855" s="308"/>
      <c r="V855" s="308"/>
      <c r="W855" s="308"/>
      <c r="X855" s="308"/>
      <c r="Y855" s="308"/>
      <c r="Z855" s="308"/>
    </row>
    <row r="856" spans="1:26" ht="14.25" customHeight="1" x14ac:dyDescent="0.3">
      <c r="A856" s="420"/>
      <c r="B856" s="308"/>
      <c r="C856" s="308"/>
      <c r="D856" s="308"/>
      <c r="E856" s="308"/>
      <c r="F856" s="308"/>
      <c r="G856" s="308"/>
      <c r="H856" s="308"/>
      <c r="I856" s="308"/>
      <c r="J856" s="308"/>
      <c r="K856" s="308"/>
      <c r="L856" s="308"/>
      <c r="M856" s="308"/>
      <c r="N856" s="308"/>
      <c r="O856" s="308"/>
      <c r="P856" s="308"/>
      <c r="Q856" s="308"/>
      <c r="R856" s="308"/>
      <c r="S856" s="308"/>
      <c r="T856" s="308"/>
      <c r="U856" s="308"/>
      <c r="V856" s="308"/>
      <c r="W856" s="308"/>
      <c r="X856" s="308"/>
      <c r="Y856" s="308"/>
      <c r="Z856" s="308"/>
    </row>
    <row r="857" spans="1:26" ht="14.25" customHeight="1" x14ac:dyDescent="0.3">
      <c r="A857" s="420"/>
      <c r="B857" s="308"/>
      <c r="C857" s="308"/>
      <c r="D857" s="308"/>
      <c r="E857" s="308"/>
      <c r="F857" s="308"/>
      <c r="G857" s="308"/>
      <c r="H857" s="308"/>
      <c r="I857" s="308"/>
      <c r="J857" s="308"/>
      <c r="K857" s="308"/>
      <c r="L857" s="308"/>
      <c r="M857" s="308"/>
      <c r="N857" s="308"/>
      <c r="O857" s="308"/>
      <c r="P857" s="308"/>
      <c r="Q857" s="308"/>
      <c r="R857" s="308"/>
      <c r="S857" s="308"/>
      <c r="T857" s="308"/>
      <c r="U857" s="308"/>
      <c r="V857" s="308"/>
      <c r="W857" s="308"/>
      <c r="X857" s="308"/>
      <c r="Y857" s="308"/>
      <c r="Z857" s="308"/>
    </row>
    <row r="858" spans="1:26" ht="14.25" customHeight="1" x14ac:dyDescent="0.3">
      <c r="A858" s="420"/>
      <c r="B858" s="308"/>
      <c r="C858" s="308"/>
      <c r="D858" s="308"/>
      <c r="E858" s="308"/>
      <c r="F858" s="308"/>
      <c r="G858" s="308"/>
      <c r="H858" s="308"/>
      <c r="I858" s="308"/>
      <c r="J858" s="308"/>
      <c r="K858" s="308"/>
      <c r="L858" s="308"/>
      <c r="M858" s="308"/>
      <c r="N858" s="308"/>
      <c r="O858" s="308"/>
      <c r="P858" s="308"/>
      <c r="Q858" s="308"/>
      <c r="R858" s="308"/>
      <c r="S858" s="308"/>
      <c r="T858" s="308"/>
      <c r="U858" s="308"/>
      <c r="V858" s="308"/>
      <c r="W858" s="308"/>
      <c r="X858" s="308"/>
      <c r="Y858" s="308"/>
      <c r="Z858" s="308"/>
    </row>
    <row r="859" spans="1:26" ht="14.25" customHeight="1" x14ac:dyDescent="0.3">
      <c r="A859" s="420"/>
      <c r="B859" s="308"/>
      <c r="C859" s="308"/>
      <c r="D859" s="308"/>
      <c r="E859" s="308"/>
      <c r="F859" s="308"/>
      <c r="G859" s="308"/>
      <c r="H859" s="308"/>
      <c r="I859" s="308"/>
      <c r="J859" s="308"/>
      <c r="K859" s="308"/>
      <c r="L859" s="308"/>
      <c r="M859" s="308"/>
      <c r="N859" s="308"/>
      <c r="O859" s="308"/>
      <c r="P859" s="308"/>
      <c r="Q859" s="308"/>
      <c r="R859" s="308"/>
      <c r="S859" s="308"/>
      <c r="T859" s="308"/>
      <c r="U859" s="308"/>
      <c r="V859" s="308"/>
      <c r="W859" s="308"/>
      <c r="X859" s="308"/>
      <c r="Y859" s="308"/>
      <c r="Z859" s="308"/>
    </row>
    <row r="860" spans="1:26" ht="14.25" customHeight="1" x14ac:dyDescent="0.3">
      <c r="A860" s="420"/>
      <c r="B860" s="308"/>
      <c r="C860" s="308"/>
      <c r="D860" s="308"/>
      <c r="E860" s="308"/>
      <c r="F860" s="308"/>
      <c r="G860" s="308"/>
      <c r="H860" s="308"/>
      <c r="I860" s="308"/>
      <c r="J860" s="308"/>
      <c r="K860" s="308"/>
      <c r="L860" s="308"/>
      <c r="M860" s="308"/>
      <c r="N860" s="308"/>
      <c r="O860" s="308"/>
      <c r="P860" s="308"/>
      <c r="Q860" s="308"/>
      <c r="R860" s="308"/>
      <c r="S860" s="308"/>
      <c r="T860" s="308"/>
      <c r="U860" s="308"/>
      <c r="V860" s="308"/>
      <c r="W860" s="308"/>
      <c r="X860" s="308"/>
      <c r="Y860" s="308"/>
      <c r="Z860" s="308"/>
    </row>
    <row r="861" spans="1:26" ht="14.25" customHeight="1" x14ac:dyDescent="0.3">
      <c r="A861" s="420"/>
      <c r="B861" s="308"/>
      <c r="C861" s="308"/>
      <c r="D861" s="308"/>
      <c r="E861" s="308"/>
      <c r="F861" s="308"/>
      <c r="G861" s="308"/>
      <c r="H861" s="308"/>
      <c r="I861" s="308"/>
      <c r="J861" s="308"/>
      <c r="K861" s="308"/>
      <c r="L861" s="308"/>
      <c r="M861" s="308"/>
      <c r="N861" s="308"/>
      <c r="O861" s="308"/>
      <c r="P861" s="308"/>
      <c r="Q861" s="308"/>
      <c r="R861" s="308"/>
      <c r="S861" s="308"/>
      <c r="T861" s="308"/>
      <c r="U861" s="308"/>
      <c r="V861" s="308"/>
      <c r="W861" s="308"/>
      <c r="X861" s="308"/>
      <c r="Y861" s="308"/>
      <c r="Z861" s="308"/>
    </row>
    <row r="862" spans="1:26" ht="14.25" customHeight="1" x14ac:dyDescent="0.3">
      <c r="A862" s="420"/>
      <c r="B862" s="308"/>
      <c r="C862" s="308"/>
      <c r="D862" s="308"/>
      <c r="E862" s="308"/>
      <c r="F862" s="308"/>
      <c r="G862" s="308"/>
      <c r="H862" s="308"/>
      <c r="I862" s="308"/>
      <c r="J862" s="308"/>
      <c r="K862" s="308"/>
      <c r="L862" s="308"/>
      <c r="M862" s="308"/>
      <c r="N862" s="308"/>
      <c r="O862" s="308"/>
      <c r="P862" s="308"/>
      <c r="Q862" s="308"/>
      <c r="R862" s="308"/>
      <c r="S862" s="308"/>
      <c r="T862" s="308"/>
      <c r="U862" s="308"/>
      <c r="V862" s="308"/>
      <c r="W862" s="308"/>
      <c r="X862" s="308"/>
      <c r="Y862" s="308"/>
      <c r="Z862" s="308"/>
    </row>
    <row r="863" spans="1:26" ht="14.25" customHeight="1" x14ac:dyDescent="0.3">
      <c r="A863" s="420"/>
      <c r="B863" s="308"/>
      <c r="C863" s="308"/>
      <c r="D863" s="308"/>
      <c r="E863" s="308"/>
      <c r="F863" s="308"/>
      <c r="G863" s="308"/>
      <c r="H863" s="308"/>
      <c r="I863" s="308"/>
      <c r="J863" s="308"/>
      <c r="K863" s="308"/>
      <c r="L863" s="308"/>
      <c r="M863" s="308"/>
      <c r="N863" s="308"/>
      <c r="O863" s="308"/>
      <c r="P863" s="308"/>
      <c r="Q863" s="308"/>
      <c r="R863" s="308"/>
      <c r="S863" s="308"/>
      <c r="T863" s="308"/>
      <c r="U863" s="308"/>
      <c r="V863" s="308"/>
      <c r="W863" s="308"/>
      <c r="X863" s="308"/>
      <c r="Y863" s="308"/>
      <c r="Z863" s="308"/>
    </row>
    <row r="864" spans="1:26" ht="14.25" customHeight="1" x14ac:dyDescent="0.3">
      <c r="A864" s="420"/>
      <c r="B864" s="308"/>
      <c r="C864" s="308"/>
      <c r="D864" s="308"/>
      <c r="E864" s="308"/>
      <c r="F864" s="308"/>
      <c r="G864" s="308"/>
      <c r="H864" s="308"/>
      <c r="I864" s="308"/>
      <c r="J864" s="308"/>
      <c r="K864" s="308"/>
      <c r="L864" s="308"/>
      <c r="M864" s="308"/>
      <c r="N864" s="308"/>
      <c r="O864" s="308"/>
      <c r="P864" s="308"/>
      <c r="Q864" s="308"/>
      <c r="R864" s="308"/>
      <c r="S864" s="308"/>
      <c r="T864" s="308"/>
      <c r="U864" s="308"/>
      <c r="V864" s="308"/>
      <c r="W864" s="308"/>
      <c r="X864" s="308"/>
      <c r="Y864" s="308"/>
      <c r="Z864" s="308"/>
    </row>
    <row r="865" spans="1:26" ht="14.25" customHeight="1" x14ac:dyDescent="0.3">
      <c r="A865" s="420"/>
      <c r="B865" s="308"/>
      <c r="C865" s="308"/>
      <c r="D865" s="308"/>
      <c r="E865" s="308"/>
      <c r="F865" s="308"/>
      <c r="G865" s="308"/>
      <c r="H865" s="308"/>
      <c r="I865" s="308"/>
      <c r="J865" s="308"/>
      <c r="K865" s="308"/>
      <c r="L865" s="308"/>
      <c r="M865" s="308"/>
      <c r="N865" s="308"/>
      <c r="O865" s="308"/>
      <c r="P865" s="308"/>
      <c r="Q865" s="308"/>
      <c r="R865" s="308"/>
      <c r="S865" s="308"/>
      <c r="T865" s="308"/>
      <c r="U865" s="308"/>
      <c r="V865" s="308"/>
      <c r="W865" s="308"/>
      <c r="X865" s="308"/>
      <c r="Y865" s="308"/>
      <c r="Z865" s="308"/>
    </row>
    <row r="866" spans="1:26" ht="14.25" customHeight="1" x14ac:dyDescent="0.3">
      <c r="A866" s="420"/>
      <c r="B866" s="308"/>
      <c r="C866" s="308"/>
      <c r="D866" s="308"/>
      <c r="E866" s="308"/>
      <c r="F866" s="308"/>
      <c r="G866" s="308"/>
      <c r="H866" s="308"/>
      <c r="I866" s="308"/>
      <c r="J866" s="308"/>
      <c r="K866" s="308"/>
      <c r="L866" s="308"/>
      <c r="M866" s="308"/>
      <c r="N866" s="308"/>
      <c r="O866" s="308"/>
      <c r="P866" s="308"/>
      <c r="Q866" s="308"/>
      <c r="R866" s="308"/>
      <c r="S866" s="308"/>
      <c r="T866" s="308"/>
      <c r="U866" s="308"/>
      <c r="V866" s="308"/>
      <c r="W866" s="308"/>
      <c r="X866" s="308"/>
      <c r="Y866" s="308"/>
      <c r="Z866" s="308"/>
    </row>
    <row r="867" spans="1:26" ht="14.25" customHeight="1" x14ac:dyDescent="0.3">
      <c r="A867" s="420"/>
      <c r="B867" s="308"/>
      <c r="C867" s="308"/>
      <c r="D867" s="308"/>
      <c r="E867" s="308"/>
      <c r="F867" s="308"/>
      <c r="G867" s="308"/>
      <c r="H867" s="308"/>
      <c r="I867" s="308"/>
      <c r="J867" s="308"/>
      <c r="K867" s="308"/>
      <c r="L867" s="308"/>
      <c r="M867" s="308"/>
      <c r="N867" s="308"/>
      <c r="O867" s="308"/>
      <c r="P867" s="308"/>
      <c r="Q867" s="308"/>
      <c r="R867" s="308"/>
      <c r="S867" s="308"/>
      <c r="T867" s="308"/>
      <c r="U867" s="308"/>
      <c r="V867" s="308"/>
      <c r="W867" s="308"/>
      <c r="X867" s="308"/>
      <c r="Y867" s="308"/>
      <c r="Z867" s="308"/>
    </row>
    <row r="868" spans="1:26" ht="14.25" customHeight="1" x14ac:dyDescent="0.3">
      <c r="A868" s="420"/>
      <c r="B868" s="308"/>
      <c r="C868" s="308"/>
      <c r="D868" s="308"/>
      <c r="E868" s="308"/>
      <c r="F868" s="308"/>
      <c r="G868" s="308"/>
      <c r="H868" s="308"/>
      <c r="I868" s="308"/>
      <c r="J868" s="308"/>
      <c r="K868" s="308"/>
      <c r="L868" s="308"/>
      <c r="M868" s="308"/>
      <c r="N868" s="308"/>
      <c r="O868" s="308"/>
      <c r="P868" s="308"/>
      <c r="Q868" s="308"/>
      <c r="R868" s="308"/>
      <c r="S868" s="308"/>
      <c r="T868" s="308"/>
      <c r="U868" s="308"/>
      <c r="V868" s="308"/>
      <c r="W868" s="308"/>
      <c r="X868" s="308"/>
      <c r="Y868" s="308"/>
      <c r="Z868" s="308"/>
    </row>
    <row r="869" spans="1:26" ht="14.25" customHeight="1" x14ac:dyDescent="0.3">
      <c r="A869" s="420"/>
      <c r="B869" s="308"/>
      <c r="C869" s="308"/>
      <c r="D869" s="308"/>
      <c r="E869" s="308"/>
      <c r="F869" s="308"/>
      <c r="G869" s="308"/>
      <c r="H869" s="308"/>
      <c r="I869" s="308"/>
      <c r="J869" s="308"/>
      <c r="K869" s="308"/>
      <c r="L869" s="308"/>
      <c r="M869" s="308"/>
      <c r="N869" s="308"/>
      <c r="O869" s="308"/>
      <c r="P869" s="308"/>
      <c r="Q869" s="308"/>
      <c r="R869" s="308"/>
      <c r="S869" s="308"/>
      <c r="T869" s="308"/>
      <c r="U869" s="308"/>
      <c r="V869" s="308"/>
      <c r="W869" s="308"/>
      <c r="X869" s="308"/>
      <c r="Y869" s="308"/>
      <c r="Z869" s="308"/>
    </row>
    <row r="870" spans="1:26" ht="14.25" customHeight="1" x14ac:dyDescent="0.3">
      <c r="A870" s="420"/>
      <c r="B870" s="308"/>
      <c r="C870" s="308"/>
      <c r="D870" s="308"/>
      <c r="E870" s="308"/>
      <c r="F870" s="308"/>
      <c r="G870" s="308"/>
      <c r="H870" s="308"/>
      <c r="I870" s="308"/>
      <c r="J870" s="308"/>
      <c r="K870" s="308"/>
      <c r="L870" s="308"/>
      <c r="M870" s="308"/>
      <c r="N870" s="308"/>
      <c r="O870" s="308"/>
      <c r="P870" s="308"/>
      <c r="Q870" s="308"/>
      <c r="R870" s="308"/>
      <c r="S870" s="308"/>
      <c r="T870" s="308"/>
      <c r="U870" s="308"/>
      <c r="V870" s="308"/>
      <c r="W870" s="308"/>
      <c r="X870" s="308"/>
      <c r="Y870" s="308"/>
      <c r="Z870" s="308"/>
    </row>
    <row r="871" spans="1:26" ht="14.25" customHeight="1" x14ac:dyDescent="0.3">
      <c r="A871" s="420"/>
      <c r="B871" s="308"/>
      <c r="C871" s="308"/>
      <c r="D871" s="308"/>
      <c r="E871" s="308"/>
      <c r="F871" s="308"/>
      <c r="G871" s="308"/>
      <c r="H871" s="308"/>
      <c r="I871" s="308"/>
      <c r="J871" s="308"/>
      <c r="K871" s="308"/>
      <c r="L871" s="308"/>
      <c r="M871" s="308"/>
      <c r="N871" s="308"/>
      <c r="O871" s="308"/>
      <c r="P871" s="308"/>
      <c r="Q871" s="308"/>
      <c r="R871" s="308"/>
      <c r="S871" s="308"/>
      <c r="T871" s="308"/>
      <c r="U871" s="308"/>
      <c r="V871" s="308"/>
      <c r="W871" s="308"/>
      <c r="X871" s="308"/>
      <c r="Y871" s="308"/>
      <c r="Z871" s="308"/>
    </row>
    <row r="872" spans="1:26" ht="14.25" customHeight="1" x14ac:dyDescent="0.3">
      <c r="A872" s="420"/>
      <c r="B872" s="308"/>
      <c r="C872" s="308"/>
      <c r="D872" s="308"/>
      <c r="E872" s="308"/>
      <c r="F872" s="308"/>
      <c r="G872" s="308"/>
      <c r="H872" s="308"/>
      <c r="I872" s="308"/>
      <c r="J872" s="308"/>
      <c r="K872" s="308"/>
      <c r="L872" s="308"/>
      <c r="M872" s="308"/>
      <c r="N872" s="308"/>
      <c r="O872" s="308"/>
      <c r="P872" s="308"/>
      <c r="Q872" s="308"/>
      <c r="R872" s="308"/>
      <c r="S872" s="308"/>
      <c r="T872" s="308"/>
      <c r="U872" s="308"/>
      <c r="V872" s="308"/>
      <c r="W872" s="308"/>
      <c r="X872" s="308"/>
      <c r="Y872" s="308"/>
      <c r="Z872" s="308"/>
    </row>
    <row r="873" spans="1:26" ht="14.25" customHeight="1" x14ac:dyDescent="0.3">
      <c r="A873" s="420"/>
      <c r="B873" s="308"/>
      <c r="C873" s="308"/>
      <c r="D873" s="308"/>
      <c r="E873" s="308"/>
      <c r="F873" s="308"/>
      <c r="G873" s="308"/>
      <c r="H873" s="308"/>
      <c r="I873" s="308"/>
      <c r="J873" s="308"/>
      <c r="K873" s="308"/>
      <c r="L873" s="308"/>
      <c r="M873" s="308"/>
      <c r="N873" s="308"/>
      <c r="O873" s="308"/>
      <c r="P873" s="308"/>
      <c r="Q873" s="308"/>
      <c r="R873" s="308"/>
      <c r="S873" s="308"/>
      <c r="T873" s="308"/>
      <c r="U873" s="308"/>
      <c r="V873" s="308"/>
      <c r="W873" s="308"/>
      <c r="X873" s="308"/>
      <c r="Y873" s="308"/>
      <c r="Z873" s="308"/>
    </row>
    <row r="874" spans="1:26" ht="14.25" customHeight="1" x14ac:dyDescent="0.3">
      <c r="A874" s="420"/>
      <c r="B874" s="308"/>
      <c r="C874" s="308"/>
      <c r="D874" s="308"/>
      <c r="E874" s="308"/>
      <c r="F874" s="308"/>
      <c r="G874" s="308"/>
      <c r="H874" s="308"/>
      <c r="I874" s="308"/>
      <c r="J874" s="308"/>
      <c r="K874" s="308"/>
      <c r="L874" s="308"/>
      <c r="M874" s="308"/>
      <c r="N874" s="308"/>
      <c r="O874" s="308"/>
      <c r="P874" s="308"/>
      <c r="Q874" s="308"/>
      <c r="R874" s="308"/>
      <c r="S874" s="308"/>
      <c r="T874" s="308"/>
      <c r="U874" s="308"/>
      <c r="V874" s="308"/>
      <c r="W874" s="308"/>
      <c r="X874" s="308"/>
      <c r="Y874" s="308"/>
      <c r="Z874" s="308"/>
    </row>
    <row r="875" spans="1:26" ht="14.25" customHeight="1" x14ac:dyDescent="0.3">
      <c r="A875" s="420"/>
      <c r="B875" s="308"/>
      <c r="C875" s="308"/>
      <c r="D875" s="308"/>
      <c r="E875" s="308"/>
      <c r="F875" s="308"/>
      <c r="G875" s="308"/>
      <c r="H875" s="308"/>
      <c r="I875" s="308"/>
      <c r="J875" s="308"/>
      <c r="K875" s="308"/>
      <c r="L875" s="308"/>
      <c r="M875" s="308"/>
      <c r="N875" s="308"/>
      <c r="O875" s="308"/>
      <c r="P875" s="308"/>
      <c r="Q875" s="308"/>
      <c r="R875" s="308"/>
      <c r="S875" s="308"/>
      <c r="T875" s="308"/>
      <c r="U875" s="308"/>
      <c r="V875" s="308"/>
      <c r="W875" s="308"/>
      <c r="X875" s="308"/>
      <c r="Y875" s="308"/>
      <c r="Z875" s="308"/>
    </row>
    <row r="876" spans="1:26" ht="14.25" customHeight="1" x14ac:dyDescent="0.3">
      <c r="A876" s="420"/>
      <c r="B876" s="308"/>
      <c r="C876" s="308"/>
      <c r="D876" s="308"/>
      <c r="E876" s="308"/>
      <c r="F876" s="308"/>
      <c r="G876" s="308"/>
      <c r="H876" s="308"/>
      <c r="I876" s="308"/>
      <c r="J876" s="308"/>
      <c r="K876" s="308"/>
      <c r="L876" s="308"/>
      <c r="M876" s="308"/>
      <c r="N876" s="308"/>
      <c r="O876" s="308"/>
      <c r="P876" s="308"/>
      <c r="Q876" s="308"/>
      <c r="R876" s="308"/>
      <c r="S876" s="308"/>
      <c r="T876" s="308"/>
      <c r="U876" s="308"/>
      <c r="V876" s="308"/>
      <c r="W876" s="308"/>
      <c r="X876" s="308"/>
      <c r="Y876" s="308"/>
      <c r="Z876" s="308"/>
    </row>
    <row r="877" spans="1:26" ht="14.25" customHeight="1" x14ac:dyDescent="0.3">
      <c r="A877" s="420"/>
      <c r="B877" s="308"/>
      <c r="C877" s="308"/>
      <c r="D877" s="308"/>
      <c r="E877" s="308"/>
      <c r="F877" s="308"/>
      <c r="G877" s="308"/>
      <c r="H877" s="308"/>
      <c r="I877" s="308"/>
      <c r="J877" s="308"/>
      <c r="K877" s="308"/>
      <c r="L877" s="308"/>
      <c r="M877" s="308"/>
      <c r="N877" s="308"/>
      <c r="O877" s="308"/>
      <c r="P877" s="308"/>
      <c r="Q877" s="308"/>
      <c r="R877" s="308"/>
      <c r="S877" s="308"/>
      <c r="T877" s="308"/>
      <c r="U877" s="308"/>
      <c r="V877" s="308"/>
      <c r="W877" s="308"/>
      <c r="X877" s="308"/>
      <c r="Y877" s="308"/>
      <c r="Z877" s="308"/>
    </row>
    <row r="878" spans="1:26" ht="14.25" customHeight="1" x14ac:dyDescent="0.3">
      <c r="A878" s="420"/>
      <c r="B878" s="308"/>
      <c r="C878" s="308"/>
      <c r="D878" s="308"/>
      <c r="E878" s="308"/>
      <c r="F878" s="308"/>
      <c r="G878" s="308"/>
      <c r="H878" s="308"/>
      <c r="I878" s="308"/>
      <c r="J878" s="308"/>
      <c r="K878" s="308"/>
      <c r="L878" s="308"/>
      <c r="M878" s="308"/>
      <c r="N878" s="308"/>
      <c r="O878" s="308"/>
      <c r="P878" s="308"/>
      <c r="Q878" s="308"/>
      <c r="R878" s="308"/>
      <c r="S878" s="308"/>
      <c r="T878" s="308"/>
      <c r="U878" s="308"/>
      <c r="V878" s="308"/>
      <c r="W878" s="308"/>
      <c r="X878" s="308"/>
      <c r="Y878" s="308"/>
      <c r="Z878" s="308"/>
    </row>
    <row r="879" spans="1:26" ht="14.25" customHeight="1" x14ac:dyDescent="0.3">
      <c r="A879" s="420"/>
      <c r="B879" s="308"/>
      <c r="C879" s="308"/>
      <c r="D879" s="308"/>
      <c r="E879" s="308"/>
      <c r="F879" s="308"/>
      <c r="G879" s="308"/>
      <c r="H879" s="308"/>
      <c r="I879" s="308"/>
      <c r="J879" s="308"/>
      <c r="K879" s="308"/>
      <c r="L879" s="308"/>
      <c r="M879" s="308"/>
      <c r="N879" s="308"/>
      <c r="O879" s="308"/>
      <c r="P879" s="308"/>
      <c r="Q879" s="308"/>
      <c r="R879" s="308"/>
      <c r="S879" s="308"/>
      <c r="T879" s="308"/>
      <c r="U879" s="308"/>
      <c r="V879" s="308"/>
      <c r="W879" s="308"/>
      <c r="X879" s="308"/>
      <c r="Y879" s="308"/>
      <c r="Z879" s="308"/>
    </row>
    <row r="880" spans="1:26" ht="14.25" customHeight="1" x14ac:dyDescent="0.3">
      <c r="A880" s="420"/>
      <c r="B880" s="308"/>
      <c r="C880" s="308"/>
      <c r="D880" s="308"/>
      <c r="E880" s="308"/>
      <c r="F880" s="308"/>
      <c r="G880" s="308"/>
      <c r="H880" s="308"/>
      <c r="I880" s="308"/>
      <c r="J880" s="308"/>
      <c r="K880" s="308"/>
      <c r="L880" s="308"/>
      <c r="M880" s="308"/>
      <c r="N880" s="308"/>
      <c r="O880" s="308"/>
      <c r="P880" s="308"/>
      <c r="Q880" s="308"/>
      <c r="R880" s="308"/>
      <c r="S880" s="308"/>
      <c r="T880" s="308"/>
      <c r="U880" s="308"/>
      <c r="V880" s="308"/>
      <c r="W880" s="308"/>
      <c r="X880" s="308"/>
      <c r="Y880" s="308"/>
      <c r="Z880" s="308"/>
    </row>
    <row r="881" spans="1:26" ht="14.25" customHeight="1" x14ac:dyDescent="0.3">
      <c r="A881" s="420"/>
      <c r="B881" s="308"/>
      <c r="C881" s="308"/>
      <c r="D881" s="308"/>
      <c r="E881" s="308"/>
      <c r="F881" s="308"/>
      <c r="G881" s="308"/>
      <c r="H881" s="308"/>
      <c r="I881" s="308"/>
      <c r="J881" s="308"/>
      <c r="K881" s="308"/>
      <c r="L881" s="308"/>
      <c r="M881" s="308"/>
      <c r="N881" s="308"/>
      <c r="O881" s="308"/>
      <c r="P881" s="308"/>
      <c r="Q881" s="308"/>
      <c r="R881" s="308"/>
      <c r="S881" s="308"/>
      <c r="T881" s="308"/>
      <c r="U881" s="308"/>
      <c r="V881" s="308"/>
      <c r="W881" s="308"/>
      <c r="X881" s="308"/>
      <c r="Y881" s="308"/>
      <c r="Z881" s="308"/>
    </row>
    <row r="882" spans="1:26" ht="14.25" customHeight="1" x14ac:dyDescent="0.3">
      <c r="A882" s="420"/>
      <c r="B882" s="308"/>
      <c r="C882" s="308"/>
      <c r="D882" s="308"/>
      <c r="E882" s="308"/>
      <c r="F882" s="308"/>
      <c r="G882" s="308"/>
      <c r="H882" s="308"/>
      <c r="I882" s="308"/>
      <c r="J882" s="308"/>
      <c r="K882" s="308"/>
      <c r="L882" s="308"/>
      <c r="M882" s="308"/>
      <c r="N882" s="308"/>
      <c r="O882" s="308"/>
      <c r="P882" s="308"/>
      <c r="Q882" s="308"/>
      <c r="R882" s="308"/>
      <c r="S882" s="308"/>
      <c r="T882" s="308"/>
      <c r="U882" s="308"/>
      <c r="V882" s="308"/>
      <c r="W882" s="308"/>
      <c r="X882" s="308"/>
      <c r="Y882" s="308"/>
      <c r="Z882" s="308"/>
    </row>
    <row r="883" spans="1:26" ht="14.25" customHeight="1" x14ac:dyDescent="0.3">
      <c r="A883" s="420"/>
      <c r="B883" s="308"/>
      <c r="C883" s="308"/>
      <c r="D883" s="308"/>
      <c r="E883" s="308"/>
      <c r="F883" s="308"/>
      <c r="G883" s="308"/>
      <c r="H883" s="308"/>
      <c r="I883" s="308"/>
      <c r="J883" s="308"/>
      <c r="K883" s="308"/>
      <c r="L883" s="308"/>
      <c r="M883" s="308"/>
      <c r="N883" s="308"/>
      <c r="O883" s="308"/>
      <c r="P883" s="308"/>
      <c r="Q883" s="308"/>
      <c r="R883" s="308"/>
      <c r="S883" s="308"/>
      <c r="T883" s="308"/>
      <c r="U883" s="308"/>
      <c r="V883" s="308"/>
      <c r="W883" s="308"/>
      <c r="X883" s="308"/>
      <c r="Y883" s="308"/>
      <c r="Z883" s="308"/>
    </row>
    <row r="884" spans="1:26" ht="14.25" customHeight="1" x14ac:dyDescent="0.3">
      <c r="A884" s="420"/>
      <c r="B884" s="308"/>
      <c r="C884" s="308"/>
      <c r="D884" s="308"/>
      <c r="E884" s="308"/>
      <c r="F884" s="308"/>
      <c r="G884" s="308"/>
      <c r="H884" s="308"/>
      <c r="I884" s="308"/>
      <c r="J884" s="308"/>
      <c r="K884" s="308"/>
      <c r="L884" s="308"/>
      <c r="M884" s="308"/>
      <c r="N884" s="308"/>
      <c r="O884" s="308"/>
      <c r="P884" s="308"/>
      <c r="Q884" s="308"/>
      <c r="R884" s="308"/>
      <c r="S884" s="308"/>
      <c r="T884" s="308"/>
      <c r="U884" s="308"/>
      <c r="V884" s="308"/>
      <c r="W884" s="308"/>
      <c r="X884" s="308"/>
      <c r="Y884" s="308"/>
      <c r="Z884" s="308"/>
    </row>
    <row r="885" spans="1:26" ht="14.25" customHeight="1" x14ac:dyDescent="0.3">
      <c r="A885" s="420"/>
      <c r="B885" s="308"/>
      <c r="C885" s="308"/>
      <c r="D885" s="308"/>
      <c r="E885" s="308"/>
      <c r="F885" s="308"/>
      <c r="G885" s="308"/>
      <c r="H885" s="308"/>
      <c r="I885" s="308"/>
      <c r="J885" s="308"/>
      <c r="K885" s="308"/>
      <c r="L885" s="308"/>
      <c r="M885" s="308"/>
      <c r="N885" s="308"/>
      <c r="O885" s="308"/>
      <c r="P885" s="308"/>
      <c r="Q885" s="308"/>
      <c r="R885" s="308"/>
      <c r="S885" s="308"/>
      <c r="T885" s="308"/>
      <c r="U885" s="308"/>
      <c r="V885" s="308"/>
      <c r="W885" s="308"/>
      <c r="X885" s="308"/>
      <c r="Y885" s="308"/>
      <c r="Z885" s="308"/>
    </row>
    <row r="886" spans="1:26" ht="14.25" customHeight="1" x14ac:dyDescent="0.3">
      <c r="A886" s="420"/>
      <c r="B886" s="308"/>
      <c r="C886" s="308"/>
      <c r="D886" s="308"/>
      <c r="E886" s="308"/>
      <c r="F886" s="308"/>
      <c r="G886" s="308"/>
      <c r="H886" s="308"/>
      <c r="I886" s="308"/>
      <c r="J886" s="308"/>
      <c r="K886" s="308"/>
      <c r="L886" s="308"/>
      <c r="M886" s="308"/>
      <c r="N886" s="308"/>
      <c r="O886" s="308"/>
      <c r="P886" s="308"/>
      <c r="Q886" s="308"/>
      <c r="R886" s="308"/>
      <c r="S886" s="308"/>
      <c r="T886" s="308"/>
      <c r="U886" s="308"/>
      <c r="V886" s="308"/>
      <c r="W886" s="308"/>
      <c r="X886" s="308"/>
      <c r="Y886" s="308"/>
      <c r="Z886" s="308"/>
    </row>
    <row r="887" spans="1:26" ht="14.25" customHeight="1" x14ac:dyDescent="0.3">
      <c r="A887" s="420"/>
      <c r="B887" s="308"/>
      <c r="C887" s="308"/>
      <c r="D887" s="308"/>
      <c r="E887" s="308"/>
      <c r="F887" s="308"/>
      <c r="G887" s="308"/>
      <c r="H887" s="308"/>
      <c r="I887" s="308"/>
      <c r="J887" s="308"/>
      <c r="K887" s="308"/>
      <c r="L887" s="308"/>
      <c r="M887" s="308"/>
      <c r="N887" s="308"/>
      <c r="O887" s="308"/>
      <c r="P887" s="308"/>
      <c r="Q887" s="308"/>
      <c r="R887" s="308"/>
      <c r="S887" s="308"/>
      <c r="T887" s="308"/>
      <c r="U887" s="308"/>
      <c r="V887" s="308"/>
      <c r="W887" s="308"/>
      <c r="X887" s="308"/>
      <c r="Y887" s="308"/>
      <c r="Z887" s="308"/>
    </row>
    <row r="888" spans="1:26" ht="14.25" customHeight="1" x14ac:dyDescent="0.3">
      <c r="A888" s="420"/>
      <c r="B888" s="308"/>
      <c r="C888" s="308"/>
      <c r="D888" s="308"/>
      <c r="E888" s="308"/>
      <c r="F888" s="308"/>
      <c r="G888" s="308"/>
      <c r="H888" s="308"/>
      <c r="I888" s="308"/>
      <c r="J888" s="308"/>
      <c r="K888" s="308"/>
      <c r="L888" s="308"/>
      <c r="M888" s="308"/>
      <c r="N888" s="308"/>
      <c r="O888" s="308"/>
      <c r="P888" s="308"/>
      <c r="Q888" s="308"/>
      <c r="R888" s="308"/>
      <c r="S888" s="308"/>
      <c r="T888" s="308"/>
      <c r="U888" s="308"/>
      <c r="V888" s="308"/>
      <c r="W888" s="308"/>
      <c r="X888" s="308"/>
      <c r="Y888" s="308"/>
      <c r="Z888" s="308"/>
    </row>
    <row r="889" spans="1:26" ht="14.25" customHeight="1" x14ac:dyDescent="0.3">
      <c r="A889" s="420"/>
      <c r="B889" s="308"/>
      <c r="C889" s="308"/>
      <c r="D889" s="308"/>
      <c r="E889" s="308"/>
      <c r="F889" s="308"/>
      <c r="G889" s="308"/>
      <c r="H889" s="308"/>
      <c r="I889" s="308"/>
      <c r="J889" s="308"/>
      <c r="K889" s="308"/>
      <c r="L889" s="308"/>
      <c r="M889" s="308"/>
      <c r="N889" s="308"/>
      <c r="O889" s="308"/>
      <c r="P889" s="308"/>
      <c r="Q889" s="308"/>
      <c r="R889" s="308"/>
      <c r="S889" s="308"/>
      <c r="T889" s="308"/>
      <c r="U889" s="308"/>
      <c r="V889" s="308"/>
      <c r="W889" s="308"/>
      <c r="X889" s="308"/>
      <c r="Y889" s="308"/>
      <c r="Z889" s="308"/>
    </row>
    <row r="890" spans="1:26" ht="14.25" customHeight="1" x14ac:dyDescent="0.3">
      <c r="A890" s="420"/>
      <c r="B890" s="308"/>
      <c r="C890" s="308"/>
      <c r="D890" s="308"/>
      <c r="E890" s="308"/>
      <c r="F890" s="308"/>
      <c r="G890" s="308"/>
      <c r="H890" s="308"/>
      <c r="I890" s="308"/>
      <c r="J890" s="308"/>
      <c r="K890" s="308"/>
      <c r="L890" s="308"/>
      <c r="M890" s="308"/>
      <c r="N890" s="308"/>
      <c r="O890" s="308"/>
      <c r="P890" s="308"/>
      <c r="Q890" s="308"/>
      <c r="R890" s="308"/>
      <c r="S890" s="308"/>
      <c r="T890" s="308"/>
      <c r="U890" s="308"/>
      <c r="V890" s="308"/>
      <c r="W890" s="308"/>
      <c r="X890" s="308"/>
      <c r="Y890" s="308"/>
      <c r="Z890" s="308"/>
    </row>
    <row r="891" spans="1:26" ht="14.25" customHeight="1" x14ac:dyDescent="0.3">
      <c r="A891" s="420"/>
      <c r="B891" s="308"/>
      <c r="C891" s="308"/>
      <c r="D891" s="308"/>
      <c r="E891" s="308"/>
      <c r="F891" s="308"/>
      <c r="G891" s="308"/>
      <c r="H891" s="308"/>
      <c r="I891" s="308"/>
      <c r="J891" s="308"/>
      <c r="K891" s="308"/>
      <c r="L891" s="308"/>
      <c r="M891" s="308"/>
      <c r="N891" s="308"/>
      <c r="O891" s="308"/>
      <c r="P891" s="308"/>
      <c r="Q891" s="308"/>
      <c r="R891" s="308"/>
      <c r="S891" s="308"/>
      <c r="T891" s="308"/>
      <c r="U891" s="308"/>
      <c r="V891" s="308"/>
      <c r="W891" s="308"/>
      <c r="X891" s="308"/>
      <c r="Y891" s="308"/>
      <c r="Z891" s="308"/>
    </row>
    <row r="892" spans="1:26" ht="14.25" customHeight="1" x14ac:dyDescent="0.3">
      <c r="A892" s="420"/>
      <c r="B892" s="308"/>
      <c r="C892" s="308"/>
      <c r="D892" s="308"/>
      <c r="E892" s="308"/>
      <c r="F892" s="308"/>
      <c r="G892" s="308"/>
      <c r="H892" s="308"/>
      <c r="I892" s="308"/>
      <c r="J892" s="308"/>
      <c r="K892" s="308"/>
      <c r="L892" s="308"/>
      <c r="M892" s="308"/>
      <c r="N892" s="308"/>
      <c r="O892" s="308"/>
      <c r="P892" s="308"/>
      <c r="Q892" s="308"/>
      <c r="R892" s="308"/>
      <c r="S892" s="308"/>
      <c r="T892" s="308"/>
      <c r="U892" s="308"/>
      <c r="V892" s="308"/>
      <c r="W892" s="308"/>
      <c r="X892" s="308"/>
      <c r="Y892" s="308"/>
      <c r="Z892" s="308"/>
    </row>
    <row r="893" spans="1:26" ht="14.25" customHeight="1" x14ac:dyDescent="0.3">
      <c r="A893" s="420"/>
      <c r="B893" s="308"/>
      <c r="C893" s="308"/>
      <c r="D893" s="308"/>
      <c r="E893" s="308"/>
      <c r="F893" s="308"/>
      <c r="G893" s="308"/>
      <c r="H893" s="308"/>
      <c r="I893" s="308"/>
      <c r="J893" s="308"/>
      <c r="K893" s="308"/>
      <c r="L893" s="308"/>
      <c r="M893" s="308"/>
      <c r="N893" s="308"/>
      <c r="O893" s="308"/>
      <c r="P893" s="308"/>
      <c r="Q893" s="308"/>
      <c r="R893" s="308"/>
      <c r="S893" s="308"/>
      <c r="T893" s="308"/>
      <c r="U893" s="308"/>
      <c r="V893" s="308"/>
      <c r="W893" s="308"/>
      <c r="X893" s="308"/>
      <c r="Y893" s="308"/>
      <c r="Z893" s="308"/>
    </row>
    <row r="894" spans="1:26" ht="14.25" customHeight="1" x14ac:dyDescent="0.3">
      <c r="A894" s="420"/>
      <c r="B894" s="308"/>
      <c r="C894" s="308"/>
      <c r="D894" s="308"/>
      <c r="E894" s="308"/>
      <c r="F894" s="308"/>
      <c r="G894" s="308"/>
      <c r="H894" s="308"/>
      <c r="I894" s="308"/>
      <c r="J894" s="308"/>
      <c r="K894" s="308"/>
      <c r="L894" s="308"/>
      <c r="M894" s="308"/>
      <c r="N894" s="308"/>
      <c r="O894" s="308"/>
      <c r="P894" s="308"/>
      <c r="Q894" s="308"/>
      <c r="R894" s="308"/>
      <c r="S894" s="308"/>
      <c r="T894" s="308"/>
      <c r="U894" s="308"/>
      <c r="V894" s="308"/>
      <c r="W894" s="308"/>
      <c r="X894" s="308"/>
      <c r="Y894" s="308"/>
      <c r="Z894" s="308"/>
    </row>
    <row r="895" spans="1:26" ht="14.25" customHeight="1" x14ac:dyDescent="0.3">
      <c r="A895" s="420"/>
      <c r="B895" s="308"/>
      <c r="C895" s="308"/>
      <c r="D895" s="308"/>
      <c r="E895" s="308"/>
      <c r="F895" s="308"/>
      <c r="G895" s="308"/>
      <c r="H895" s="308"/>
      <c r="I895" s="308"/>
      <c r="J895" s="308"/>
      <c r="K895" s="308"/>
      <c r="L895" s="308"/>
      <c r="M895" s="308"/>
      <c r="N895" s="308"/>
      <c r="O895" s="308"/>
      <c r="P895" s="308"/>
      <c r="Q895" s="308"/>
      <c r="R895" s="308"/>
      <c r="S895" s="308"/>
      <c r="T895" s="308"/>
      <c r="U895" s="308"/>
      <c r="V895" s="308"/>
      <c r="W895" s="308"/>
      <c r="X895" s="308"/>
      <c r="Y895" s="308"/>
      <c r="Z895" s="308"/>
    </row>
    <row r="896" spans="1:26" ht="14.25" customHeight="1" x14ac:dyDescent="0.3">
      <c r="A896" s="420"/>
      <c r="B896" s="308"/>
      <c r="C896" s="308"/>
      <c r="D896" s="308"/>
      <c r="E896" s="308"/>
      <c r="F896" s="308"/>
      <c r="G896" s="308"/>
      <c r="H896" s="308"/>
      <c r="I896" s="308"/>
      <c r="J896" s="308"/>
      <c r="K896" s="308"/>
      <c r="L896" s="308"/>
      <c r="M896" s="308"/>
      <c r="N896" s="308"/>
      <c r="O896" s="308"/>
      <c r="P896" s="308"/>
      <c r="Q896" s="308"/>
      <c r="R896" s="308"/>
      <c r="S896" s="308"/>
      <c r="T896" s="308"/>
      <c r="U896" s="308"/>
      <c r="V896" s="308"/>
      <c r="W896" s="308"/>
      <c r="X896" s="308"/>
      <c r="Y896" s="308"/>
      <c r="Z896" s="308"/>
    </row>
    <row r="897" spans="1:26" ht="14.25" customHeight="1" x14ac:dyDescent="0.3">
      <c r="A897" s="420"/>
      <c r="B897" s="308"/>
      <c r="C897" s="308"/>
      <c r="D897" s="308"/>
      <c r="E897" s="308"/>
      <c r="F897" s="308"/>
      <c r="G897" s="308"/>
      <c r="H897" s="308"/>
      <c r="I897" s="308"/>
      <c r="J897" s="308"/>
      <c r="K897" s="308"/>
      <c r="L897" s="308"/>
      <c r="M897" s="308"/>
      <c r="N897" s="308"/>
      <c r="O897" s="308"/>
      <c r="P897" s="308"/>
      <c r="Q897" s="308"/>
      <c r="R897" s="308"/>
      <c r="S897" s="308"/>
      <c r="T897" s="308"/>
      <c r="U897" s="308"/>
      <c r="V897" s="308"/>
      <c r="W897" s="308"/>
      <c r="X897" s="308"/>
      <c r="Y897" s="308"/>
      <c r="Z897" s="308"/>
    </row>
    <row r="898" spans="1:26" ht="14.25" customHeight="1" x14ac:dyDescent="0.3">
      <c r="A898" s="420"/>
      <c r="B898" s="308"/>
      <c r="C898" s="308"/>
      <c r="D898" s="308"/>
      <c r="E898" s="308"/>
      <c r="F898" s="308"/>
      <c r="G898" s="308"/>
      <c r="H898" s="308"/>
      <c r="I898" s="308"/>
      <c r="J898" s="308"/>
      <c r="K898" s="308"/>
      <c r="L898" s="308"/>
      <c r="M898" s="308"/>
      <c r="N898" s="308"/>
      <c r="O898" s="308"/>
      <c r="P898" s="308"/>
      <c r="Q898" s="308"/>
      <c r="R898" s="308"/>
      <c r="S898" s="308"/>
      <c r="T898" s="308"/>
      <c r="U898" s="308"/>
      <c r="V898" s="308"/>
      <c r="W898" s="308"/>
      <c r="X898" s="308"/>
      <c r="Y898" s="308"/>
      <c r="Z898" s="308"/>
    </row>
    <row r="899" spans="1:26" ht="14.25" customHeight="1" x14ac:dyDescent="0.3">
      <c r="A899" s="420"/>
      <c r="B899" s="308"/>
      <c r="C899" s="308"/>
      <c r="D899" s="308"/>
      <c r="E899" s="308"/>
      <c r="F899" s="308"/>
      <c r="G899" s="308"/>
      <c r="H899" s="308"/>
      <c r="I899" s="308"/>
      <c r="J899" s="308"/>
      <c r="K899" s="308"/>
      <c r="L899" s="308"/>
      <c r="M899" s="308"/>
      <c r="N899" s="308"/>
      <c r="O899" s="308"/>
      <c r="P899" s="308"/>
      <c r="Q899" s="308"/>
      <c r="R899" s="308"/>
      <c r="S899" s="308"/>
      <c r="T899" s="308"/>
      <c r="U899" s="308"/>
      <c r="V899" s="308"/>
      <c r="W899" s="308"/>
      <c r="X899" s="308"/>
      <c r="Y899" s="308"/>
      <c r="Z899" s="308"/>
    </row>
    <row r="900" spans="1:26" ht="14.25" customHeight="1" x14ac:dyDescent="0.3">
      <c r="A900" s="420"/>
      <c r="B900" s="308"/>
      <c r="C900" s="308"/>
      <c r="D900" s="308"/>
      <c r="E900" s="308"/>
      <c r="F900" s="308"/>
      <c r="G900" s="308"/>
      <c r="H900" s="308"/>
      <c r="I900" s="308"/>
      <c r="J900" s="308"/>
      <c r="K900" s="308"/>
      <c r="L900" s="308"/>
      <c r="M900" s="308"/>
      <c r="N900" s="308"/>
      <c r="O900" s="308"/>
      <c r="P900" s="308"/>
      <c r="Q900" s="308"/>
      <c r="R900" s="308"/>
      <c r="S900" s="308"/>
      <c r="T900" s="308"/>
      <c r="U900" s="308"/>
      <c r="V900" s="308"/>
      <c r="W900" s="308"/>
      <c r="X900" s="308"/>
      <c r="Y900" s="308"/>
      <c r="Z900" s="308"/>
    </row>
    <row r="901" spans="1:26" ht="14.25" customHeight="1" x14ac:dyDescent="0.3">
      <c r="A901" s="420"/>
      <c r="B901" s="308"/>
      <c r="C901" s="308"/>
      <c r="D901" s="308"/>
      <c r="E901" s="308"/>
      <c r="F901" s="308"/>
      <c r="G901" s="308"/>
      <c r="H901" s="308"/>
      <c r="I901" s="308"/>
      <c r="J901" s="308"/>
      <c r="K901" s="308"/>
      <c r="L901" s="308"/>
      <c r="M901" s="308"/>
      <c r="N901" s="308"/>
      <c r="O901" s="308"/>
      <c r="P901" s="308"/>
      <c r="Q901" s="308"/>
      <c r="R901" s="308"/>
      <c r="S901" s="308"/>
      <c r="T901" s="308"/>
      <c r="U901" s="308"/>
      <c r="V901" s="308"/>
      <c r="W901" s="308"/>
      <c r="X901" s="308"/>
      <c r="Y901" s="308"/>
      <c r="Z901" s="308"/>
    </row>
    <row r="902" spans="1:26" ht="14.25" customHeight="1" x14ac:dyDescent="0.3">
      <c r="A902" s="420"/>
      <c r="B902" s="308"/>
      <c r="C902" s="308"/>
      <c r="D902" s="308"/>
      <c r="E902" s="308"/>
      <c r="F902" s="308"/>
      <c r="G902" s="308"/>
      <c r="H902" s="308"/>
      <c r="I902" s="308"/>
      <c r="J902" s="308"/>
      <c r="K902" s="308"/>
      <c r="L902" s="308"/>
      <c r="M902" s="308"/>
      <c r="N902" s="308"/>
      <c r="O902" s="308"/>
      <c r="P902" s="308"/>
      <c r="Q902" s="308"/>
      <c r="R902" s="308"/>
      <c r="S902" s="308"/>
      <c r="T902" s="308"/>
      <c r="U902" s="308"/>
      <c r="V902" s="308"/>
      <c r="W902" s="308"/>
      <c r="X902" s="308"/>
      <c r="Y902" s="308"/>
      <c r="Z902" s="308"/>
    </row>
    <row r="903" spans="1:26" ht="14.25" customHeight="1" x14ac:dyDescent="0.3">
      <c r="A903" s="420"/>
      <c r="B903" s="308"/>
      <c r="C903" s="308"/>
      <c r="D903" s="308"/>
      <c r="E903" s="308"/>
      <c r="F903" s="308"/>
      <c r="G903" s="308"/>
      <c r="H903" s="308"/>
      <c r="I903" s="308"/>
      <c r="J903" s="308"/>
      <c r="K903" s="308"/>
      <c r="L903" s="308"/>
      <c r="M903" s="308"/>
      <c r="N903" s="308"/>
      <c r="O903" s="308"/>
      <c r="P903" s="308"/>
      <c r="Q903" s="308"/>
      <c r="R903" s="308"/>
      <c r="S903" s="308"/>
      <c r="T903" s="308"/>
      <c r="U903" s="308"/>
      <c r="V903" s="308"/>
      <c r="W903" s="308"/>
      <c r="X903" s="308"/>
      <c r="Y903" s="308"/>
      <c r="Z903" s="308"/>
    </row>
    <row r="904" spans="1:26" ht="14.25" customHeight="1" x14ac:dyDescent="0.3">
      <c r="A904" s="420"/>
      <c r="B904" s="308"/>
      <c r="C904" s="308"/>
      <c r="D904" s="308"/>
      <c r="E904" s="308"/>
      <c r="F904" s="308"/>
      <c r="G904" s="308"/>
      <c r="H904" s="308"/>
      <c r="I904" s="308"/>
      <c r="J904" s="308"/>
      <c r="K904" s="308"/>
      <c r="L904" s="308"/>
      <c r="M904" s="308"/>
      <c r="N904" s="308"/>
      <c r="O904" s="308"/>
      <c r="P904" s="308"/>
      <c r="Q904" s="308"/>
      <c r="R904" s="308"/>
      <c r="S904" s="308"/>
      <c r="T904" s="308"/>
      <c r="U904" s="308"/>
      <c r="V904" s="308"/>
      <c r="W904" s="308"/>
      <c r="X904" s="308"/>
      <c r="Y904" s="308"/>
      <c r="Z904" s="308"/>
    </row>
    <row r="905" spans="1:26" ht="14.25" customHeight="1" x14ac:dyDescent="0.3">
      <c r="A905" s="420"/>
      <c r="B905" s="308"/>
      <c r="C905" s="308"/>
      <c r="D905" s="308"/>
      <c r="E905" s="308"/>
      <c r="F905" s="308"/>
      <c r="G905" s="308"/>
      <c r="H905" s="308"/>
      <c r="I905" s="308"/>
      <c r="J905" s="308"/>
      <c r="K905" s="308"/>
      <c r="L905" s="308"/>
      <c r="M905" s="308"/>
      <c r="N905" s="308"/>
      <c r="O905" s="308"/>
      <c r="P905" s="308"/>
      <c r="Q905" s="308"/>
      <c r="R905" s="308"/>
      <c r="S905" s="308"/>
      <c r="T905" s="308"/>
      <c r="U905" s="308"/>
      <c r="V905" s="308"/>
      <c r="W905" s="308"/>
      <c r="X905" s="308"/>
      <c r="Y905" s="308"/>
      <c r="Z905" s="308"/>
    </row>
    <row r="906" spans="1:26" ht="14.25" customHeight="1" x14ac:dyDescent="0.3">
      <c r="A906" s="420"/>
      <c r="B906" s="308"/>
      <c r="C906" s="308"/>
      <c r="D906" s="308"/>
      <c r="E906" s="308"/>
      <c r="F906" s="308"/>
      <c r="G906" s="308"/>
      <c r="H906" s="308"/>
      <c r="I906" s="308"/>
      <c r="J906" s="308"/>
      <c r="K906" s="308"/>
      <c r="L906" s="308"/>
      <c r="M906" s="308"/>
      <c r="N906" s="308"/>
      <c r="O906" s="308"/>
      <c r="P906" s="308"/>
      <c r="Q906" s="308"/>
      <c r="R906" s="308"/>
      <c r="S906" s="308"/>
      <c r="T906" s="308"/>
      <c r="U906" s="308"/>
      <c r="V906" s="308"/>
      <c r="W906" s="308"/>
      <c r="X906" s="308"/>
      <c r="Y906" s="308"/>
      <c r="Z906" s="308"/>
    </row>
    <row r="907" spans="1:26" ht="14.25" customHeight="1" x14ac:dyDescent="0.3">
      <c r="A907" s="420"/>
      <c r="B907" s="308"/>
      <c r="C907" s="308"/>
      <c r="D907" s="308"/>
      <c r="E907" s="308"/>
      <c r="F907" s="308"/>
      <c r="G907" s="308"/>
      <c r="H907" s="308"/>
      <c r="I907" s="308"/>
      <c r="J907" s="308"/>
      <c r="K907" s="308"/>
      <c r="L907" s="308"/>
      <c r="M907" s="308"/>
      <c r="N907" s="308"/>
      <c r="O907" s="308"/>
      <c r="P907" s="308"/>
      <c r="Q907" s="308"/>
      <c r="R907" s="308"/>
      <c r="S907" s="308"/>
      <c r="T907" s="308"/>
      <c r="U907" s="308"/>
      <c r="V907" s="308"/>
      <c r="W907" s="308"/>
      <c r="X907" s="308"/>
      <c r="Y907" s="308"/>
      <c r="Z907" s="308"/>
    </row>
    <row r="908" spans="1:26" ht="14.25" customHeight="1" x14ac:dyDescent="0.3">
      <c r="A908" s="420"/>
      <c r="B908" s="308"/>
      <c r="C908" s="308"/>
      <c r="D908" s="308"/>
      <c r="E908" s="308"/>
      <c r="F908" s="308"/>
      <c r="G908" s="308"/>
      <c r="H908" s="308"/>
      <c r="I908" s="308"/>
      <c r="J908" s="308"/>
      <c r="K908" s="308"/>
      <c r="L908" s="308"/>
      <c r="M908" s="308"/>
      <c r="N908" s="308"/>
      <c r="O908" s="308"/>
      <c r="P908" s="308"/>
      <c r="Q908" s="308"/>
      <c r="R908" s="308"/>
      <c r="S908" s="308"/>
      <c r="T908" s="308"/>
      <c r="U908" s="308"/>
      <c r="V908" s="308"/>
      <c r="W908" s="308"/>
      <c r="X908" s="308"/>
      <c r="Y908" s="308"/>
      <c r="Z908" s="308"/>
    </row>
    <row r="909" spans="1:26" ht="14.25" customHeight="1" x14ac:dyDescent="0.3">
      <c r="A909" s="420"/>
      <c r="B909" s="308"/>
      <c r="C909" s="308"/>
      <c r="D909" s="308"/>
      <c r="E909" s="308"/>
      <c r="F909" s="308"/>
      <c r="G909" s="308"/>
      <c r="H909" s="308"/>
      <c r="I909" s="308"/>
      <c r="J909" s="308"/>
      <c r="K909" s="308"/>
      <c r="L909" s="308"/>
      <c r="M909" s="308"/>
      <c r="N909" s="308"/>
      <c r="O909" s="308"/>
      <c r="P909" s="308"/>
      <c r="Q909" s="308"/>
      <c r="R909" s="308"/>
      <c r="S909" s="308"/>
      <c r="T909" s="308"/>
      <c r="U909" s="308"/>
      <c r="V909" s="308"/>
      <c r="W909" s="308"/>
      <c r="X909" s="308"/>
      <c r="Y909" s="308"/>
      <c r="Z909" s="308"/>
    </row>
    <row r="910" spans="1:26" ht="14.25" customHeight="1" x14ac:dyDescent="0.3">
      <c r="A910" s="420"/>
      <c r="B910" s="308"/>
      <c r="C910" s="308"/>
      <c r="D910" s="308"/>
      <c r="E910" s="308"/>
      <c r="F910" s="308"/>
      <c r="G910" s="308"/>
      <c r="H910" s="308"/>
      <c r="I910" s="308"/>
      <c r="J910" s="308"/>
      <c r="K910" s="308"/>
      <c r="L910" s="308"/>
      <c r="M910" s="308"/>
      <c r="N910" s="308"/>
      <c r="O910" s="308"/>
      <c r="P910" s="308"/>
      <c r="Q910" s="308"/>
      <c r="R910" s="308"/>
      <c r="S910" s="308"/>
      <c r="T910" s="308"/>
      <c r="U910" s="308"/>
      <c r="V910" s="308"/>
      <c r="W910" s="308"/>
      <c r="X910" s="308"/>
      <c r="Y910" s="308"/>
      <c r="Z910" s="308"/>
    </row>
    <row r="911" spans="1:26" ht="14.25" customHeight="1" x14ac:dyDescent="0.3">
      <c r="A911" s="420"/>
      <c r="B911" s="308"/>
      <c r="C911" s="308"/>
      <c r="D911" s="308"/>
      <c r="E911" s="308"/>
      <c r="F911" s="308"/>
      <c r="G911" s="308"/>
      <c r="H911" s="308"/>
      <c r="I911" s="308"/>
      <c r="J911" s="308"/>
      <c r="K911" s="308"/>
      <c r="L911" s="308"/>
      <c r="M911" s="308"/>
      <c r="N911" s="308"/>
      <c r="O911" s="308"/>
      <c r="P911" s="308"/>
      <c r="Q911" s="308"/>
      <c r="R911" s="308"/>
      <c r="S911" s="308"/>
      <c r="T911" s="308"/>
      <c r="U911" s="308"/>
      <c r="V911" s="308"/>
      <c r="W911" s="308"/>
      <c r="X911" s="308"/>
      <c r="Y911" s="308"/>
      <c r="Z911" s="308"/>
    </row>
    <row r="912" spans="1:26" ht="14.25" customHeight="1" x14ac:dyDescent="0.3">
      <c r="A912" s="420"/>
      <c r="B912" s="308"/>
      <c r="C912" s="308"/>
      <c r="D912" s="308"/>
      <c r="E912" s="308"/>
      <c r="F912" s="308"/>
      <c r="G912" s="308"/>
      <c r="H912" s="308"/>
      <c r="I912" s="308"/>
      <c r="J912" s="308"/>
      <c r="K912" s="308"/>
      <c r="L912" s="308"/>
      <c r="M912" s="308"/>
      <c r="N912" s="308"/>
      <c r="O912" s="308"/>
      <c r="P912" s="308"/>
      <c r="Q912" s="308"/>
      <c r="R912" s="308"/>
      <c r="S912" s="308"/>
      <c r="T912" s="308"/>
      <c r="U912" s="308"/>
      <c r="V912" s="308"/>
      <c r="W912" s="308"/>
      <c r="X912" s="308"/>
      <c r="Y912" s="308"/>
      <c r="Z912" s="308"/>
    </row>
    <row r="913" spans="1:26" ht="14.25" customHeight="1" x14ac:dyDescent="0.3">
      <c r="A913" s="420"/>
      <c r="B913" s="308"/>
      <c r="C913" s="308"/>
      <c r="D913" s="308"/>
      <c r="E913" s="308"/>
      <c r="F913" s="308"/>
      <c r="G913" s="308"/>
      <c r="H913" s="308"/>
      <c r="I913" s="308"/>
      <c r="J913" s="308"/>
      <c r="K913" s="308"/>
      <c r="L913" s="308"/>
      <c r="M913" s="308"/>
      <c r="N913" s="308"/>
      <c r="O913" s="308"/>
      <c r="P913" s="308"/>
      <c r="Q913" s="308"/>
      <c r="R913" s="308"/>
      <c r="S913" s="308"/>
      <c r="T913" s="308"/>
      <c r="U913" s="308"/>
      <c r="V913" s="308"/>
      <c r="W913" s="308"/>
      <c r="X913" s="308"/>
      <c r="Y913" s="308"/>
      <c r="Z913" s="308"/>
    </row>
    <row r="914" spans="1:26" ht="14.25" customHeight="1" x14ac:dyDescent="0.3">
      <c r="A914" s="420"/>
      <c r="B914" s="308"/>
      <c r="C914" s="308"/>
      <c r="D914" s="308"/>
      <c r="E914" s="308"/>
      <c r="F914" s="308"/>
      <c r="G914" s="308"/>
      <c r="H914" s="308"/>
      <c r="I914" s="308"/>
      <c r="J914" s="308"/>
      <c r="K914" s="308"/>
      <c r="L914" s="308"/>
      <c r="M914" s="308"/>
      <c r="N914" s="308"/>
      <c r="O914" s="308"/>
      <c r="P914" s="308"/>
      <c r="Q914" s="308"/>
      <c r="R914" s="308"/>
      <c r="S914" s="308"/>
      <c r="T914" s="308"/>
      <c r="U914" s="308"/>
      <c r="V914" s="308"/>
      <c r="W914" s="308"/>
      <c r="X914" s="308"/>
      <c r="Y914" s="308"/>
      <c r="Z914" s="308"/>
    </row>
    <row r="915" spans="1:26" ht="14.25" customHeight="1" x14ac:dyDescent="0.3">
      <c r="A915" s="420"/>
      <c r="B915" s="308"/>
      <c r="C915" s="308"/>
      <c r="D915" s="308"/>
      <c r="E915" s="308"/>
      <c r="F915" s="308"/>
      <c r="G915" s="308"/>
      <c r="H915" s="308"/>
      <c r="I915" s="308"/>
      <c r="J915" s="308"/>
      <c r="K915" s="308"/>
      <c r="L915" s="308"/>
      <c r="M915" s="308"/>
      <c r="N915" s="308"/>
      <c r="O915" s="308"/>
      <c r="P915" s="308"/>
      <c r="Q915" s="308"/>
      <c r="R915" s="308"/>
      <c r="S915" s="308"/>
      <c r="T915" s="308"/>
      <c r="U915" s="308"/>
      <c r="V915" s="308"/>
      <c r="W915" s="308"/>
      <c r="X915" s="308"/>
      <c r="Y915" s="308"/>
      <c r="Z915" s="308"/>
    </row>
    <row r="916" spans="1:26" ht="14.25" customHeight="1" x14ac:dyDescent="0.3">
      <c r="A916" s="420"/>
      <c r="B916" s="308"/>
      <c r="C916" s="308"/>
      <c r="D916" s="308"/>
      <c r="E916" s="308"/>
      <c r="F916" s="308"/>
      <c r="G916" s="308"/>
      <c r="H916" s="308"/>
      <c r="I916" s="308"/>
      <c r="J916" s="308"/>
      <c r="K916" s="308"/>
      <c r="L916" s="308"/>
      <c r="M916" s="308"/>
      <c r="N916" s="308"/>
      <c r="O916" s="308"/>
      <c r="P916" s="308"/>
      <c r="Q916" s="308"/>
      <c r="R916" s="308"/>
      <c r="S916" s="308"/>
      <c r="T916" s="308"/>
      <c r="U916" s="308"/>
      <c r="V916" s="308"/>
      <c r="W916" s="308"/>
      <c r="X916" s="308"/>
      <c r="Y916" s="308"/>
      <c r="Z916" s="308"/>
    </row>
    <row r="917" spans="1:26" ht="14.25" customHeight="1" x14ac:dyDescent="0.3">
      <c r="A917" s="420"/>
      <c r="B917" s="308"/>
      <c r="C917" s="308"/>
      <c r="D917" s="308"/>
      <c r="E917" s="308"/>
      <c r="F917" s="308"/>
      <c r="G917" s="308"/>
      <c r="H917" s="308"/>
      <c r="I917" s="308"/>
      <c r="J917" s="308"/>
      <c r="K917" s="308"/>
      <c r="L917" s="308"/>
      <c r="M917" s="308"/>
      <c r="N917" s="308"/>
      <c r="O917" s="308"/>
      <c r="P917" s="308"/>
      <c r="Q917" s="308"/>
      <c r="R917" s="308"/>
      <c r="S917" s="308"/>
      <c r="T917" s="308"/>
      <c r="U917" s="308"/>
      <c r="V917" s="308"/>
      <c r="W917" s="308"/>
      <c r="X917" s="308"/>
      <c r="Y917" s="308"/>
      <c r="Z917" s="308"/>
    </row>
    <row r="918" spans="1:26" ht="14.25" customHeight="1" x14ac:dyDescent="0.3">
      <c r="A918" s="420"/>
      <c r="B918" s="308"/>
      <c r="C918" s="308"/>
      <c r="D918" s="308"/>
      <c r="E918" s="308"/>
      <c r="F918" s="308"/>
      <c r="G918" s="308"/>
      <c r="H918" s="308"/>
      <c r="I918" s="308"/>
      <c r="J918" s="308"/>
      <c r="K918" s="308"/>
      <c r="L918" s="308"/>
      <c r="M918" s="308"/>
      <c r="N918" s="308"/>
      <c r="O918" s="308"/>
      <c r="P918" s="308"/>
      <c r="Q918" s="308"/>
      <c r="R918" s="308"/>
      <c r="S918" s="308"/>
      <c r="T918" s="308"/>
      <c r="U918" s="308"/>
      <c r="V918" s="308"/>
      <c r="W918" s="308"/>
      <c r="X918" s="308"/>
      <c r="Y918" s="308"/>
      <c r="Z918" s="308"/>
    </row>
    <row r="919" spans="1:26" ht="14.25" customHeight="1" x14ac:dyDescent="0.3">
      <c r="A919" s="420"/>
      <c r="B919" s="308"/>
      <c r="C919" s="308"/>
      <c r="D919" s="308"/>
      <c r="E919" s="308"/>
      <c r="F919" s="308"/>
      <c r="G919" s="308"/>
      <c r="H919" s="308"/>
      <c r="I919" s="308"/>
      <c r="J919" s="308"/>
      <c r="K919" s="308"/>
      <c r="L919" s="308"/>
      <c r="M919" s="308"/>
      <c r="N919" s="308"/>
      <c r="O919" s="308"/>
      <c r="P919" s="308"/>
      <c r="Q919" s="308"/>
      <c r="R919" s="308"/>
      <c r="S919" s="308"/>
      <c r="T919" s="308"/>
      <c r="U919" s="308"/>
      <c r="V919" s="308"/>
      <c r="W919" s="308"/>
      <c r="X919" s="308"/>
      <c r="Y919" s="308"/>
      <c r="Z919" s="308"/>
    </row>
    <row r="920" spans="1:26" ht="14.25" customHeight="1" x14ac:dyDescent="0.3">
      <c r="A920" s="420"/>
      <c r="B920" s="308"/>
      <c r="C920" s="308"/>
      <c r="D920" s="308"/>
      <c r="E920" s="308"/>
      <c r="F920" s="308"/>
      <c r="G920" s="308"/>
      <c r="H920" s="308"/>
      <c r="I920" s="308"/>
      <c r="J920" s="308"/>
      <c r="K920" s="308"/>
      <c r="L920" s="308"/>
      <c r="M920" s="308"/>
      <c r="N920" s="308"/>
      <c r="O920" s="308"/>
      <c r="P920" s="308"/>
      <c r="Q920" s="308"/>
      <c r="R920" s="308"/>
      <c r="S920" s="308"/>
      <c r="T920" s="308"/>
      <c r="U920" s="308"/>
      <c r="V920" s="308"/>
      <c r="W920" s="308"/>
      <c r="X920" s="308"/>
      <c r="Y920" s="308"/>
      <c r="Z920" s="308"/>
    </row>
    <row r="921" spans="1:26" ht="14.25" customHeight="1" x14ac:dyDescent="0.3">
      <c r="A921" s="420"/>
      <c r="B921" s="308"/>
      <c r="C921" s="308"/>
      <c r="D921" s="308"/>
      <c r="E921" s="308"/>
      <c r="F921" s="308"/>
      <c r="G921" s="308"/>
      <c r="H921" s="308"/>
      <c r="I921" s="308"/>
      <c r="J921" s="308"/>
      <c r="K921" s="308"/>
      <c r="L921" s="308"/>
      <c r="M921" s="308"/>
      <c r="N921" s="308"/>
      <c r="O921" s="308"/>
      <c r="P921" s="308"/>
      <c r="Q921" s="308"/>
      <c r="R921" s="308"/>
      <c r="S921" s="308"/>
      <c r="T921" s="308"/>
      <c r="U921" s="308"/>
      <c r="V921" s="308"/>
      <c r="W921" s="308"/>
      <c r="X921" s="308"/>
      <c r="Y921" s="308"/>
      <c r="Z921" s="308"/>
    </row>
    <row r="922" spans="1:26" ht="14.25" customHeight="1" x14ac:dyDescent="0.3">
      <c r="A922" s="420"/>
      <c r="B922" s="308"/>
      <c r="C922" s="308"/>
      <c r="D922" s="308"/>
      <c r="E922" s="308"/>
      <c r="F922" s="308"/>
      <c r="G922" s="308"/>
      <c r="H922" s="308"/>
      <c r="I922" s="308"/>
      <c r="J922" s="308"/>
      <c r="K922" s="308"/>
      <c r="L922" s="308"/>
      <c r="M922" s="308"/>
      <c r="N922" s="308"/>
      <c r="O922" s="308"/>
      <c r="P922" s="308"/>
      <c r="Q922" s="308"/>
      <c r="R922" s="308"/>
      <c r="S922" s="308"/>
      <c r="T922" s="308"/>
      <c r="U922" s="308"/>
      <c r="V922" s="308"/>
      <c r="W922" s="308"/>
      <c r="X922" s="308"/>
      <c r="Y922" s="308"/>
      <c r="Z922" s="308"/>
    </row>
    <row r="923" spans="1:26" ht="14.25" customHeight="1" x14ac:dyDescent="0.3">
      <c r="A923" s="420"/>
      <c r="B923" s="308"/>
      <c r="C923" s="308"/>
      <c r="D923" s="308"/>
      <c r="E923" s="308"/>
      <c r="F923" s="308"/>
      <c r="G923" s="308"/>
      <c r="H923" s="308"/>
      <c r="I923" s="308"/>
      <c r="J923" s="308"/>
      <c r="K923" s="308"/>
      <c r="L923" s="308"/>
      <c r="M923" s="308"/>
      <c r="N923" s="308"/>
      <c r="O923" s="308"/>
      <c r="P923" s="308"/>
      <c r="Q923" s="308"/>
      <c r="R923" s="308"/>
      <c r="S923" s="308"/>
      <c r="T923" s="308"/>
      <c r="U923" s="308"/>
      <c r="V923" s="308"/>
      <c r="W923" s="308"/>
      <c r="X923" s="308"/>
      <c r="Y923" s="308"/>
      <c r="Z923" s="308"/>
    </row>
    <row r="924" spans="1:26" ht="14.25" customHeight="1" x14ac:dyDescent="0.3">
      <c r="A924" s="420"/>
      <c r="B924" s="308"/>
      <c r="C924" s="308"/>
      <c r="D924" s="308"/>
      <c r="E924" s="308"/>
      <c r="F924" s="308"/>
      <c r="G924" s="308"/>
      <c r="H924" s="308"/>
      <c r="I924" s="308"/>
      <c r="J924" s="308"/>
      <c r="K924" s="308"/>
      <c r="L924" s="308"/>
      <c r="M924" s="308"/>
      <c r="N924" s="308"/>
      <c r="O924" s="308"/>
      <c r="P924" s="308"/>
      <c r="Q924" s="308"/>
      <c r="R924" s="308"/>
      <c r="S924" s="308"/>
      <c r="T924" s="308"/>
      <c r="U924" s="308"/>
      <c r="V924" s="308"/>
      <c r="W924" s="308"/>
      <c r="X924" s="308"/>
      <c r="Y924" s="308"/>
      <c r="Z924" s="308"/>
    </row>
    <row r="925" spans="1:26" ht="14.25" customHeight="1" x14ac:dyDescent="0.3">
      <c r="A925" s="420"/>
      <c r="B925" s="308"/>
      <c r="C925" s="308"/>
      <c r="D925" s="308"/>
      <c r="E925" s="308"/>
      <c r="F925" s="308"/>
      <c r="G925" s="308"/>
      <c r="H925" s="308"/>
      <c r="I925" s="308"/>
      <c r="J925" s="308"/>
      <c r="K925" s="308"/>
      <c r="L925" s="308"/>
      <c r="M925" s="308"/>
      <c r="N925" s="308"/>
      <c r="O925" s="308"/>
      <c r="P925" s="308"/>
      <c r="Q925" s="308"/>
      <c r="R925" s="308"/>
      <c r="S925" s="308"/>
      <c r="T925" s="308"/>
      <c r="U925" s="308"/>
      <c r="V925" s="308"/>
      <c r="W925" s="308"/>
      <c r="X925" s="308"/>
      <c r="Y925" s="308"/>
      <c r="Z925" s="308"/>
    </row>
    <row r="926" spans="1:26" ht="14.25" customHeight="1" x14ac:dyDescent="0.3">
      <c r="A926" s="420"/>
      <c r="B926" s="308"/>
      <c r="C926" s="308"/>
      <c r="D926" s="308"/>
      <c r="E926" s="308"/>
      <c r="F926" s="308"/>
      <c r="G926" s="308"/>
      <c r="H926" s="308"/>
      <c r="I926" s="308"/>
      <c r="J926" s="308"/>
      <c r="K926" s="308"/>
      <c r="L926" s="308"/>
      <c r="M926" s="308"/>
      <c r="N926" s="308"/>
      <c r="O926" s="308"/>
      <c r="P926" s="308"/>
      <c r="Q926" s="308"/>
      <c r="R926" s="308"/>
      <c r="S926" s="308"/>
      <c r="T926" s="308"/>
      <c r="U926" s="308"/>
      <c r="V926" s="308"/>
      <c r="W926" s="308"/>
      <c r="X926" s="308"/>
      <c r="Y926" s="308"/>
      <c r="Z926" s="308"/>
    </row>
    <row r="927" spans="1:26" ht="14.25" customHeight="1" x14ac:dyDescent="0.3">
      <c r="A927" s="420"/>
      <c r="B927" s="308"/>
      <c r="C927" s="308"/>
      <c r="D927" s="308"/>
      <c r="E927" s="308"/>
      <c r="F927" s="308"/>
      <c r="G927" s="308"/>
      <c r="H927" s="308"/>
      <c r="I927" s="308"/>
      <c r="J927" s="308"/>
      <c r="K927" s="308"/>
      <c r="L927" s="308"/>
      <c r="M927" s="308"/>
      <c r="N927" s="308"/>
      <c r="O927" s="308"/>
      <c r="P927" s="308"/>
      <c r="Q927" s="308"/>
      <c r="R927" s="308"/>
      <c r="S927" s="308"/>
      <c r="T927" s="308"/>
      <c r="U927" s="308"/>
      <c r="V927" s="308"/>
      <c r="W927" s="308"/>
      <c r="X927" s="308"/>
      <c r="Y927" s="308"/>
      <c r="Z927" s="308"/>
    </row>
    <row r="928" spans="1:26" ht="14.25" customHeight="1" x14ac:dyDescent="0.3">
      <c r="A928" s="420"/>
      <c r="B928" s="308"/>
      <c r="C928" s="308"/>
      <c r="D928" s="308"/>
      <c r="E928" s="308"/>
      <c r="F928" s="308"/>
      <c r="G928" s="308"/>
      <c r="H928" s="308"/>
      <c r="I928" s="308"/>
      <c r="J928" s="308"/>
      <c r="K928" s="308"/>
      <c r="L928" s="308"/>
      <c r="M928" s="308"/>
      <c r="N928" s="308"/>
      <c r="O928" s="308"/>
      <c r="P928" s="308"/>
      <c r="Q928" s="308"/>
      <c r="R928" s="308"/>
      <c r="S928" s="308"/>
      <c r="T928" s="308"/>
      <c r="U928" s="308"/>
      <c r="V928" s="308"/>
      <c r="W928" s="308"/>
      <c r="X928" s="308"/>
      <c r="Y928" s="308"/>
      <c r="Z928" s="308"/>
    </row>
    <row r="929" spans="1:26" ht="14.25" customHeight="1" x14ac:dyDescent="0.3">
      <c r="A929" s="420"/>
      <c r="B929" s="308"/>
      <c r="C929" s="308"/>
      <c r="D929" s="308"/>
      <c r="E929" s="308"/>
      <c r="F929" s="308"/>
      <c r="G929" s="308"/>
      <c r="H929" s="308"/>
      <c r="I929" s="308"/>
      <c r="J929" s="308"/>
      <c r="K929" s="308"/>
      <c r="L929" s="308"/>
      <c r="M929" s="308"/>
      <c r="N929" s="308"/>
      <c r="O929" s="308"/>
      <c r="P929" s="308"/>
      <c r="Q929" s="308"/>
      <c r="R929" s="308"/>
      <c r="S929" s="308"/>
      <c r="T929" s="308"/>
      <c r="U929" s="308"/>
      <c r="V929" s="308"/>
      <c r="W929" s="308"/>
      <c r="X929" s="308"/>
      <c r="Y929" s="308"/>
      <c r="Z929" s="308"/>
    </row>
    <row r="930" spans="1:26" ht="14.25" customHeight="1" x14ac:dyDescent="0.3">
      <c r="A930" s="420"/>
      <c r="B930" s="308"/>
      <c r="C930" s="308"/>
      <c r="D930" s="308"/>
      <c r="E930" s="308"/>
      <c r="F930" s="308"/>
      <c r="G930" s="308"/>
      <c r="H930" s="308"/>
      <c r="I930" s="308"/>
      <c r="J930" s="308"/>
      <c r="K930" s="308"/>
      <c r="L930" s="308"/>
      <c r="M930" s="308"/>
      <c r="N930" s="308"/>
      <c r="O930" s="308"/>
      <c r="P930" s="308"/>
      <c r="Q930" s="308"/>
      <c r="R930" s="308"/>
      <c r="S930" s="308"/>
      <c r="T930" s="308"/>
      <c r="U930" s="308"/>
      <c r="V930" s="308"/>
      <c r="W930" s="308"/>
      <c r="X930" s="308"/>
      <c r="Y930" s="308"/>
      <c r="Z930" s="308"/>
    </row>
    <row r="931" spans="1:26" ht="14.25" customHeight="1" x14ac:dyDescent="0.3">
      <c r="A931" s="420"/>
      <c r="B931" s="308"/>
      <c r="C931" s="308"/>
      <c r="D931" s="308"/>
      <c r="E931" s="308"/>
      <c r="F931" s="308"/>
      <c r="G931" s="308"/>
      <c r="H931" s="308"/>
      <c r="I931" s="308"/>
      <c r="J931" s="308"/>
      <c r="K931" s="308"/>
      <c r="L931" s="308"/>
      <c r="M931" s="308"/>
      <c r="N931" s="308"/>
      <c r="O931" s="308"/>
      <c r="P931" s="308"/>
      <c r="Q931" s="308"/>
      <c r="R931" s="308"/>
      <c r="S931" s="308"/>
      <c r="T931" s="308"/>
      <c r="U931" s="308"/>
      <c r="V931" s="308"/>
      <c r="W931" s="308"/>
      <c r="X931" s="308"/>
      <c r="Y931" s="308"/>
      <c r="Z931" s="308"/>
    </row>
    <row r="932" spans="1:26" ht="14.25" customHeight="1" x14ac:dyDescent="0.3">
      <c r="A932" s="420"/>
      <c r="B932" s="308"/>
      <c r="C932" s="308"/>
      <c r="D932" s="308"/>
      <c r="E932" s="308"/>
      <c r="F932" s="308"/>
      <c r="G932" s="308"/>
      <c r="H932" s="308"/>
      <c r="I932" s="308"/>
      <c r="J932" s="308"/>
      <c r="K932" s="308"/>
      <c r="L932" s="308"/>
      <c r="M932" s="308"/>
      <c r="N932" s="308"/>
      <c r="O932" s="308"/>
      <c r="P932" s="308"/>
      <c r="Q932" s="308"/>
      <c r="R932" s="308"/>
      <c r="S932" s="308"/>
      <c r="T932" s="308"/>
      <c r="U932" s="308"/>
      <c r="V932" s="308"/>
      <c r="W932" s="308"/>
      <c r="X932" s="308"/>
      <c r="Y932" s="308"/>
      <c r="Z932" s="308"/>
    </row>
    <row r="933" spans="1:26" ht="14.25" customHeight="1" x14ac:dyDescent="0.3">
      <c r="A933" s="420"/>
      <c r="B933" s="308"/>
      <c r="C933" s="308"/>
      <c r="D933" s="308"/>
      <c r="E933" s="308"/>
      <c r="F933" s="308"/>
      <c r="G933" s="308"/>
      <c r="H933" s="308"/>
      <c r="I933" s="308"/>
      <c r="J933" s="308"/>
      <c r="K933" s="308"/>
      <c r="L933" s="308"/>
      <c r="M933" s="308"/>
      <c r="N933" s="308"/>
      <c r="O933" s="308"/>
      <c r="P933" s="308"/>
      <c r="Q933" s="308"/>
      <c r="R933" s="308"/>
      <c r="S933" s="308"/>
      <c r="T933" s="308"/>
      <c r="U933" s="308"/>
      <c r="V933" s="308"/>
      <c r="W933" s="308"/>
      <c r="X933" s="308"/>
      <c r="Y933" s="308"/>
      <c r="Z933" s="308"/>
    </row>
    <row r="934" spans="1:26" ht="14.25" customHeight="1" x14ac:dyDescent="0.3">
      <c r="A934" s="420"/>
      <c r="B934" s="308"/>
      <c r="C934" s="308"/>
      <c r="D934" s="308"/>
      <c r="E934" s="308"/>
      <c r="F934" s="308"/>
      <c r="G934" s="308"/>
      <c r="H934" s="308"/>
      <c r="I934" s="308"/>
      <c r="J934" s="308"/>
      <c r="K934" s="308"/>
      <c r="L934" s="308"/>
      <c r="M934" s="308"/>
      <c r="N934" s="308"/>
      <c r="O934" s="308"/>
      <c r="P934" s="308"/>
      <c r="Q934" s="308"/>
      <c r="R934" s="308"/>
      <c r="S934" s="308"/>
      <c r="T934" s="308"/>
      <c r="U934" s="308"/>
      <c r="V934" s="308"/>
      <c r="W934" s="308"/>
      <c r="X934" s="308"/>
      <c r="Y934" s="308"/>
      <c r="Z934" s="308"/>
    </row>
    <row r="935" spans="1:26" ht="14.25" customHeight="1" x14ac:dyDescent="0.3">
      <c r="A935" s="420"/>
      <c r="B935" s="308"/>
      <c r="C935" s="308"/>
      <c r="D935" s="308"/>
      <c r="E935" s="308"/>
      <c r="F935" s="308"/>
      <c r="G935" s="308"/>
      <c r="H935" s="308"/>
      <c r="I935" s="308"/>
      <c r="J935" s="308"/>
      <c r="K935" s="308"/>
      <c r="L935" s="308"/>
      <c r="M935" s="308"/>
      <c r="N935" s="308"/>
      <c r="O935" s="308"/>
      <c r="P935" s="308"/>
      <c r="Q935" s="308"/>
      <c r="R935" s="308"/>
      <c r="S935" s="308"/>
      <c r="T935" s="308"/>
      <c r="U935" s="308"/>
      <c r="V935" s="308"/>
      <c r="W935" s="308"/>
      <c r="X935" s="308"/>
      <c r="Y935" s="308"/>
      <c r="Z935" s="308"/>
    </row>
    <row r="936" spans="1:26" ht="14.25" customHeight="1" x14ac:dyDescent="0.3">
      <c r="A936" s="420"/>
      <c r="B936" s="308"/>
      <c r="C936" s="308"/>
      <c r="D936" s="308"/>
      <c r="E936" s="308"/>
      <c r="F936" s="308"/>
      <c r="G936" s="308"/>
      <c r="H936" s="308"/>
      <c r="I936" s="308"/>
      <c r="J936" s="308"/>
      <c r="K936" s="308"/>
      <c r="L936" s="308"/>
      <c r="M936" s="308"/>
      <c r="N936" s="308"/>
      <c r="O936" s="308"/>
      <c r="P936" s="308"/>
      <c r="Q936" s="308"/>
      <c r="R936" s="308"/>
      <c r="S936" s="308"/>
      <c r="T936" s="308"/>
      <c r="U936" s="308"/>
      <c r="V936" s="308"/>
      <c r="W936" s="308"/>
      <c r="X936" s="308"/>
      <c r="Y936" s="308"/>
      <c r="Z936" s="308"/>
    </row>
    <row r="937" spans="1:26" ht="14.25" customHeight="1" x14ac:dyDescent="0.3">
      <c r="A937" s="420"/>
      <c r="B937" s="308"/>
      <c r="C937" s="308"/>
      <c r="D937" s="308"/>
      <c r="E937" s="308"/>
      <c r="F937" s="308"/>
      <c r="G937" s="308"/>
      <c r="H937" s="308"/>
      <c r="I937" s="308"/>
      <c r="J937" s="308"/>
      <c r="K937" s="308"/>
      <c r="L937" s="308"/>
      <c r="M937" s="308"/>
      <c r="N937" s="308"/>
      <c r="O937" s="308"/>
      <c r="P937" s="308"/>
      <c r="Q937" s="308"/>
      <c r="R937" s="308"/>
      <c r="S937" s="308"/>
      <c r="T937" s="308"/>
      <c r="U937" s="308"/>
      <c r="V937" s="308"/>
      <c r="W937" s="308"/>
      <c r="X937" s="308"/>
      <c r="Y937" s="308"/>
      <c r="Z937" s="308"/>
    </row>
    <row r="938" spans="1:26" ht="14.25" customHeight="1" x14ac:dyDescent="0.3">
      <c r="A938" s="420"/>
      <c r="B938" s="308"/>
      <c r="C938" s="308"/>
      <c r="D938" s="308"/>
      <c r="E938" s="308"/>
      <c r="F938" s="308"/>
      <c r="G938" s="308"/>
      <c r="H938" s="308"/>
      <c r="I938" s="308"/>
      <c r="J938" s="308"/>
      <c r="K938" s="308"/>
      <c r="L938" s="308"/>
      <c r="M938" s="308"/>
      <c r="N938" s="308"/>
      <c r="O938" s="308"/>
      <c r="P938" s="308"/>
      <c r="Q938" s="308"/>
      <c r="R938" s="308"/>
      <c r="S938" s="308"/>
      <c r="T938" s="308"/>
      <c r="U938" s="308"/>
      <c r="V938" s="308"/>
      <c r="W938" s="308"/>
      <c r="X938" s="308"/>
      <c r="Y938" s="308"/>
      <c r="Z938" s="308"/>
    </row>
    <row r="939" spans="1:26" ht="14.25" customHeight="1" x14ac:dyDescent="0.3">
      <c r="A939" s="420"/>
      <c r="B939" s="308"/>
      <c r="C939" s="308"/>
      <c r="D939" s="308"/>
      <c r="E939" s="308"/>
      <c r="F939" s="308"/>
      <c r="G939" s="308"/>
      <c r="H939" s="308"/>
      <c r="I939" s="308"/>
      <c r="J939" s="308"/>
      <c r="K939" s="308"/>
      <c r="L939" s="308"/>
      <c r="M939" s="308"/>
      <c r="N939" s="308"/>
      <c r="O939" s="308"/>
      <c r="P939" s="308"/>
      <c r="Q939" s="308"/>
      <c r="R939" s="308"/>
      <c r="S939" s="308"/>
      <c r="T939" s="308"/>
      <c r="U939" s="308"/>
      <c r="V939" s="308"/>
      <c r="W939" s="308"/>
      <c r="X939" s="308"/>
      <c r="Y939" s="308"/>
      <c r="Z939" s="308"/>
    </row>
    <row r="940" spans="1:26" ht="14.25" customHeight="1" x14ac:dyDescent="0.3">
      <c r="A940" s="420"/>
      <c r="B940" s="308"/>
      <c r="C940" s="308"/>
      <c r="D940" s="308"/>
      <c r="E940" s="308"/>
      <c r="F940" s="308"/>
      <c r="G940" s="308"/>
      <c r="H940" s="308"/>
      <c r="I940" s="308"/>
      <c r="J940" s="308"/>
      <c r="K940" s="308"/>
      <c r="L940" s="308"/>
      <c r="M940" s="308"/>
      <c r="N940" s="308"/>
      <c r="O940" s="308"/>
      <c r="P940" s="308"/>
      <c r="Q940" s="308"/>
      <c r="R940" s="308"/>
      <c r="S940" s="308"/>
      <c r="T940" s="308"/>
      <c r="U940" s="308"/>
      <c r="V940" s="308"/>
      <c r="W940" s="308"/>
      <c r="X940" s="308"/>
      <c r="Y940" s="308"/>
      <c r="Z940" s="308"/>
    </row>
    <row r="941" spans="1:26" ht="14.25" customHeight="1" x14ac:dyDescent="0.3">
      <c r="A941" s="420"/>
      <c r="B941" s="308"/>
      <c r="C941" s="308"/>
      <c r="D941" s="308"/>
      <c r="E941" s="308"/>
      <c r="F941" s="308"/>
      <c r="G941" s="308"/>
      <c r="H941" s="308"/>
      <c r="I941" s="308"/>
      <c r="J941" s="308"/>
      <c r="K941" s="308"/>
      <c r="L941" s="308"/>
      <c r="M941" s="308"/>
      <c r="N941" s="308"/>
      <c r="O941" s="308"/>
      <c r="P941" s="308"/>
      <c r="Q941" s="308"/>
      <c r="R941" s="308"/>
      <c r="S941" s="308"/>
      <c r="T941" s="308"/>
      <c r="U941" s="308"/>
      <c r="V941" s="308"/>
      <c r="W941" s="308"/>
      <c r="X941" s="308"/>
      <c r="Y941" s="308"/>
      <c r="Z941" s="308"/>
    </row>
    <row r="942" spans="1:26" ht="14.25" customHeight="1" x14ac:dyDescent="0.3">
      <c r="A942" s="420"/>
      <c r="B942" s="308"/>
      <c r="C942" s="308"/>
      <c r="D942" s="308"/>
      <c r="E942" s="308"/>
      <c r="F942" s="308"/>
      <c r="G942" s="308"/>
      <c r="H942" s="308"/>
      <c r="I942" s="308"/>
      <c r="J942" s="308"/>
      <c r="K942" s="308"/>
      <c r="L942" s="308"/>
      <c r="M942" s="308"/>
      <c r="N942" s="308"/>
      <c r="O942" s="308"/>
      <c r="P942" s="308"/>
      <c r="Q942" s="308"/>
      <c r="R942" s="308"/>
      <c r="S942" s="308"/>
      <c r="T942" s="308"/>
      <c r="U942" s="308"/>
      <c r="V942" s="308"/>
      <c r="W942" s="308"/>
      <c r="X942" s="308"/>
      <c r="Y942" s="308"/>
      <c r="Z942" s="308"/>
    </row>
    <row r="943" spans="1:26" ht="14.25" customHeight="1" x14ac:dyDescent="0.3">
      <c r="A943" s="420"/>
      <c r="B943" s="308"/>
      <c r="C943" s="308"/>
      <c r="D943" s="308"/>
      <c r="E943" s="308"/>
      <c r="F943" s="308"/>
      <c r="G943" s="308"/>
      <c r="H943" s="308"/>
      <c r="I943" s="308"/>
      <c r="J943" s="308"/>
      <c r="K943" s="308"/>
      <c r="L943" s="308"/>
      <c r="M943" s="308"/>
      <c r="N943" s="308"/>
      <c r="O943" s="308"/>
      <c r="P943" s="308"/>
      <c r="Q943" s="308"/>
      <c r="R943" s="308"/>
      <c r="S943" s="308"/>
      <c r="T943" s="308"/>
      <c r="U943" s="308"/>
      <c r="V943" s="308"/>
      <c r="W943" s="308"/>
      <c r="X943" s="308"/>
      <c r="Y943" s="308"/>
      <c r="Z943" s="308"/>
    </row>
    <row r="944" spans="1:26" ht="14.25" customHeight="1" x14ac:dyDescent="0.3">
      <c r="A944" s="420"/>
      <c r="B944" s="308"/>
      <c r="C944" s="308"/>
      <c r="D944" s="308"/>
      <c r="E944" s="308"/>
      <c r="F944" s="308"/>
      <c r="G944" s="308"/>
      <c r="H944" s="308"/>
      <c r="I944" s="308"/>
      <c r="J944" s="308"/>
      <c r="K944" s="308"/>
      <c r="L944" s="308"/>
      <c r="M944" s="308"/>
      <c r="N944" s="308"/>
      <c r="O944" s="308"/>
      <c r="P944" s="308"/>
      <c r="Q944" s="308"/>
      <c r="R944" s="308"/>
      <c r="S944" s="308"/>
      <c r="T944" s="308"/>
      <c r="U944" s="308"/>
      <c r="V944" s="308"/>
      <c r="W944" s="308"/>
      <c r="X944" s="308"/>
      <c r="Y944" s="308"/>
      <c r="Z944" s="308"/>
    </row>
    <row r="945" spans="1:26" ht="14.25" customHeight="1" x14ac:dyDescent="0.3">
      <c r="A945" s="420"/>
      <c r="B945" s="308"/>
      <c r="C945" s="308"/>
      <c r="D945" s="308"/>
      <c r="E945" s="308"/>
      <c r="F945" s="308"/>
      <c r="G945" s="308"/>
      <c r="H945" s="308"/>
      <c r="I945" s="308"/>
      <c r="J945" s="308"/>
      <c r="K945" s="308"/>
      <c r="L945" s="308"/>
      <c r="M945" s="308"/>
      <c r="N945" s="308"/>
      <c r="O945" s="308"/>
      <c r="P945" s="308"/>
      <c r="Q945" s="308"/>
      <c r="R945" s="308"/>
      <c r="S945" s="308"/>
      <c r="T945" s="308"/>
      <c r="U945" s="308"/>
      <c r="V945" s="308"/>
      <c r="W945" s="308"/>
      <c r="X945" s="308"/>
      <c r="Y945" s="308"/>
      <c r="Z945" s="308"/>
    </row>
    <row r="946" spans="1:26" ht="14.25" customHeight="1" x14ac:dyDescent="0.3">
      <c r="A946" s="420"/>
      <c r="B946" s="308"/>
      <c r="C946" s="308"/>
      <c r="D946" s="308"/>
      <c r="E946" s="308"/>
      <c r="F946" s="308"/>
      <c r="G946" s="308"/>
      <c r="H946" s="308"/>
      <c r="I946" s="308"/>
      <c r="J946" s="308"/>
      <c r="K946" s="308"/>
      <c r="L946" s="308"/>
      <c r="M946" s="308"/>
      <c r="N946" s="308"/>
      <c r="O946" s="308"/>
      <c r="P946" s="308"/>
      <c r="Q946" s="308"/>
      <c r="R946" s="308"/>
      <c r="S946" s="308"/>
      <c r="T946" s="308"/>
      <c r="U946" s="308"/>
      <c r="V946" s="308"/>
      <c r="W946" s="308"/>
      <c r="X946" s="308"/>
      <c r="Y946" s="308"/>
      <c r="Z946" s="308"/>
    </row>
    <row r="947" spans="1:26" ht="14.25" customHeight="1" x14ac:dyDescent="0.3">
      <c r="A947" s="420"/>
      <c r="B947" s="308"/>
      <c r="C947" s="308"/>
      <c r="D947" s="308"/>
      <c r="E947" s="308"/>
      <c r="F947" s="308"/>
      <c r="G947" s="308"/>
      <c r="H947" s="308"/>
      <c r="I947" s="308"/>
      <c r="J947" s="308"/>
      <c r="K947" s="308"/>
      <c r="L947" s="308"/>
      <c r="M947" s="308"/>
      <c r="N947" s="308"/>
      <c r="O947" s="308"/>
      <c r="P947" s="308"/>
      <c r="Q947" s="308"/>
      <c r="R947" s="308"/>
      <c r="S947" s="308"/>
      <c r="T947" s="308"/>
      <c r="U947" s="308"/>
      <c r="V947" s="308"/>
      <c r="W947" s="308"/>
      <c r="X947" s="308"/>
      <c r="Y947" s="308"/>
      <c r="Z947" s="308"/>
    </row>
    <row r="948" spans="1:26" ht="14.25" customHeight="1" x14ac:dyDescent="0.3">
      <c r="A948" s="420"/>
      <c r="B948" s="308"/>
      <c r="C948" s="308"/>
      <c r="D948" s="308"/>
      <c r="E948" s="308"/>
      <c r="F948" s="308"/>
      <c r="G948" s="308"/>
      <c r="H948" s="308"/>
      <c r="I948" s="308"/>
      <c r="J948" s="308"/>
      <c r="K948" s="308"/>
      <c r="L948" s="308"/>
      <c r="M948" s="308"/>
      <c r="N948" s="308"/>
      <c r="O948" s="308"/>
      <c r="P948" s="308"/>
      <c r="Q948" s="308"/>
      <c r="R948" s="308"/>
      <c r="S948" s="308"/>
      <c r="T948" s="308"/>
      <c r="U948" s="308"/>
      <c r="V948" s="308"/>
      <c r="W948" s="308"/>
      <c r="X948" s="308"/>
      <c r="Y948" s="308"/>
      <c r="Z948" s="308"/>
    </row>
    <row r="949" spans="1:26" ht="14.25" customHeight="1" x14ac:dyDescent="0.3">
      <c r="A949" s="420"/>
      <c r="B949" s="308"/>
      <c r="C949" s="308"/>
      <c r="D949" s="308"/>
      <c r="E949" s="308"/>
      <c r="F949" s="308"/>
      <c r="G949" s="308"/>
      <c r="H949" s="308"/>
      <c r="I949" s="308"/>
      <c r="J949" s="308"/>
      <c r="K949" s="308"/>
      <c r="L949" s="308"/>
      <c r="M949" s="308"/>
      <c r="N949" s="308"/>
      <c r="O949" s="308"/>
      <c r="P949" s="308"/>
      <c r="Q949" s="308"/>
      <c r="R949" s="308"/>
      <c r="S949" s="308"/>
      <c r="T949" s="308"/>
      <c r="U949" s="308"/>
      <c r="V949" s="308"/>
      <c r="W949" s="308"/>
      <c r="X949" s="308"/>
      <c r="Y949" s="308"/>
      <c r="Z949" s="308"/>
    </row>
    <row r="950" spans="1:26" ht="14.25" customHeight="1" x14ac:dyDescent="0.3">
      <c r="A950" s="420"/>
      <c r="B950" s="308"/>
      <c r="C950" s="308"/>
      <c r="D950" s="308"/>
      <c r="E950" s="308"/>
      <c r="F950" s="308"/>
      <c r="G950" s="308"/>
      <c r="H950" s="308"/>
      <c r="I950" s="308"/>
      <c r="J950" s="308"/>
      <c r="K950" s="308"/>
      <c r="L950" s="308"/>
      <c r="M950" s="308"/>
      <c r="N950" s="308"/>
      <c r="O950" s="308"/>
      <c r="P950" s="308"/>
      <c r="Q950" s="308"/>
      <c r="R950" s="308"/>
      <c r="S950" s="308"/>
      <c r="T950" s="308"/>
      <c r="U950" s="308"/>
      <c r="V950" s="308"/>
      <c r="W950" s="308"/>
      <c r="X950" s="308"/>
      <c r="Y950" s="308"/>
      <c r="Z950" s="308"/>
    </row>
    <row r="951" spans="1:26" ht="14.25" customHeight="1" x14ac:dyDescent="0.3">
      <c r="A951" s="420"/>
      <c r="B951" s="308"/>
      <c r="C951" s="308"/>
      <c r="D951" s="308"/>
      <c r="E951" s="308"/>
      <c r="F951" s="308"/>
      <c r="G951" s="308"/>
      <c r="H951" s="308"/>
      <c r="I951" s="308"/>
      <c r="J951" s="308"/>
      <c r="K951" s="308"/>
      <c r="L951" s="308"/>
      <c r="M951" s="308"/>
      <c r="N951" s="308"/>
      <c r="O951" s="308"/>
      <c r="P951" s="308"/>
      <c r="Q951" s="308"/>
      <c r="R951" s="308"/>
      <c r="S951" s="308"/>
      <c r="T951" s="308"/>
      <c r="U951" s="308"/>
      <c r="V951" s="308"/>
      <c r="W951" s="308"/>
      <c r="X951" s="308"/>
      <c r="Y951" s="308"/>
      <c r="Z951" s="308"/>
    </row>
    <row r="952" spans="1:26" ht="14.25" customHeight="1" x14ac:dyDescent="0.3">
      <c r="A952" s="420"/>
      <c r="B952" s="308"/>
      <c r="C952" s="308"/>
      <c r="D952" s="308"/>
      <c r="E952" s="308"/>
      <c r="F952" s="308"/>
      <c r="G952" s="308"/>
      <c r="H952" s="308"/>
      <c r="I952" s="308"/>
      <c r="J952" s="308"/>
      <c r="K952" s="308"/>
      <c r="L952" s="308"/>
      <c r="M952" s="308"/>
      <c r="N952" s="308"/>
      <c r="O952" s="308"/>
      <c r="P952" s="308"/>
      <c r="Q952" s="308"/>
      <c r="R952" s="308"/>
      <c r="S952" s="308"/>
      <c r="T952" s="308"/>
      <c r="U952" s="308"/>
      <c r="V952" s="308"/>
      <c r="W952" s="308"/>
      <c r="X952" s="308"/>
      <c r="Y952" s="308"/>
      <c r="Z952" s="308"/>
    </row>
    <row r="953" spans="1:26" ht="14.25" customHeight="1" x14ac:dyDescent="0.3">
      <c r="A953" s="420"/>
      <c r="B953" s="308"/>
      <c r="C953" s="308"/>
      <c r="D953" s="308"/>
      <c r="E953" s="308"/>
      <c r="F953" s="308"/>
      <c r="G953" s="308"/>
      <c r="H953" s="308"/>
      <c r="I953" s="308"/>
      <c r="J953" s="308"/>
      <c r="K953" s="308"/>
      <c r="L953" s="308"/>
      <c r="M953" s="308"/>
      <c r="N953" s="308"/>
      <c r="O953" s="308"/>
      <c r="P953" s="308"/>
      <c r="Q953" s="308"/>
      <c r="R953" s="308"/>
      <c r="S953" s="308"/>
      <c r="T953" s="308"/>
      <c r="U953" s="308"/>
      <c r="V953" s="308"/>
      <c r="W953" s="308"/>
      <c r="X953" s="308"/>
      <c r="Y953" s="308"/>
      <c r="Z953" s="308"/>
    </row>
    <row r="954" spans="1:26" ht="14.25" customHeight="1" x14ac:dyDescent="0.3">
      <c r="A954" s="420"/>
      <c r="B954" s="308"/>
      <c r="C954" s="308"/>
      <c r="D954" s="308"/>
      <c r="E954" s="308"/>
      <c r="F954" s="308"/>
      <c r="G954" s="308"/>
      <c r="H954" s="308"/>
      <c r="I954" s="308"/>
      <c r="J954" s="308"/>
      <c r="K954" s="308"/>
      <c r="L954" s="308"/>
      <c r="M954" s="308"/>
      <c r="N954" s="308"/>
      <c r="O954" s="308"/>
      <c r="P954" s="308"/>
      <c r="Q954" s="308"/>
      <c r="R954" s="308"/>
      <c r="S954" s="308"/>
      <c r="T954" s="308"/>
      <c r="U954" s="308"/>
      <c r="V954" s="308"/>
      <c r="W954" s="308"/>
      <c r="X954" s="308"/>
      <c r="Y954" s="308"/>
      <c r="Z954" s="308"/>
    </row>
    <row r="955" spans="1:26" ht="14.25" customHeight="1" x14ac:dyDescent="0.3">
      <c r="A955" s="420"/>
      <c r="B955" s="308"/>
      <c r="C955" s="308"/>
      <c r="D955" s="308"/>
      <c r="E955" s="308"/>
      <c r="F955" s="308"/>
      <c r="G955" s="308"/>
      <c r="H955" s="308"/>
      <c r="I955" s="308"/>
      <c r="J955" s="308"/>
      <c r="K955" s="308"/>
      <c r="L955" s="308"/>
      <c r="M955" s="308"/>
      <c r="N955" s="308"/>
      <c r="O955" s="308"/>
      <c r="P955" s="308"/>
      <c r="Q955" s="308"/>
      <c r="R955" s="308"/>
      <c r="S955" s="308"/>
      <c r="T955" s="308"/>
      <c r="U955" s="308"/>
      <c r="V955" s="308"/>
      <c r="W955" s="308"/>
      <c r="X955" s="308"/>
      <c r="Y955" s="308"/>
      <c r="Z955" s="308"/>
    </row>
    <row r="956" spans="1:26" ht="14.25" customHeight="1" x14ac:dyDescent="0.3">
      <c r="A956" s="420"/>
      <c r="B956" s="308"/>
      <c r="C956" s="308"/>
      <c r="D956" s="308"/>
      <c r="E956" s="308"/>
      <c r="F956" s="308"/>
      <c r="G956" s="308"/>
      <c r="H956" s="308"/>
      <c r="I956" s="308"/>
      <c r="J956" s="308"/>
      <c r="K956" s="308"/>
      <c r="L956" s="308"/>
      <c r="M956" s="308"/>
      <c r="N956" s="308"/>
      <c r="O956" s="308"/>
      <c r="P956" s="308"/>
      <c r="Q956" s="308"/>
      <c r="R956" s="308"/>
      <c r="S956" s="308"/>
      <c r="T956" s="308"/>
      <c r="U956" s="308"/>
      <c r="V956" s="308"/>
      <c r="W956" s="308"/>
      <c r="X956" s="308"/>
      <c r="Y956" s="308"/>
      <c r="Z956" s="308"/>
    </row>
    <row r="957" spans="1:26" ht="14.25" customHeight="1" x14ac:dyDescent="0.3">
      <c r="A957" s="420"/>
      <c r="B957" s="308"/>
      <c r="C957" s="308"/>
      <c r="D957" s="308"/>
      <c r="E957" s="308"/>
      <c r="F957" s="308"/>
      <c r="G957" s="308"/>
      <c r="H957" s="308"/>
      <c r="I957" s="308"/>
      <c r="J957" s="308"/>
      <c r="K957" s="308"/>
      <c r="L957" s="308"/>
      <c r="M957" s="308"/>
      <c r="N957" s="308"/>
      <c r="O957" s="308"/>
      <c r="P957" s="308"/>
      <c r="Q957" s="308"/>
      <c r="R957" s="308"/>
      <c r="S957" s="308"/>
      <c r="T957" s="308"/>
      <c r="U957" s="308"/>
      <c r="V957" s="308"/>
      <c r="W957" s="308"/>
      <c r="X957" s="308"/>
      <c r="Y957" s="308"/>
      <c r="Z957" s="308"/>
    </row>
    <row r="958" spans="1:26" ht="14.25" customHeight="1" x14ac:dyDescent="0.3">
      <c r="A958" s="420"/>
      <c r="B958" s="308"/>
      <c r="C958" s="308"/>
      <c r="D958" s="308"/>
      <c r="E958" s="308"/>
      <c r="F958" s="308"/>
      <c r="G958" s="308"/>
      <c r="H958" s="308"/>
      <c r="I958" s="308"/>
      <c r="J958" s="308"/>
      <c r="K958" s="308"/>
      <c r="L958" s="308"/>
      <c r="M958" s="308"/>
      <c r="N958" s="308"/>
      <c r="O958" s="308"/>
      <c r="P958" s="308"/>
      <c r="Q958" s="308"/>
      <c r="R958" s="308"/>
      <c r="S958" s="308"/>
      <c r="T958" s="308"/>
      <c r="U958" s="308"/>
      <c r="V958" s="308"/>
      <c r="W958" s="308"/>
      <c r="X958" s="308"/>
      <c r="Y958" s="308"/>
      <c r="Z958" s="308"/>
    </row>
    <row r="959" spans="1:26" ht="14.25" customHeight="1" x14ac:dyDescent="0.3">
      <c r="A959" s="420"/>
      <c r="B959" s="308"/>
      <c r="C959" s="308"/>
      <c r="D959" s="308"/>
      <c r="E959" s="308"/>
      <c r="F959" s="308"/>
      <c r="G959" s="308"/>
      <c r="H959" s="308"/>
      <c r="I959" s="308"/>
      <c r="J959" s="308"/>
      <c r="K959" s="308"/>
      <c r="L959" s="308"/>
      <c r="M959" s="308"/>
      <c r="N959" s="308"/>
      <c r="O959" s="308"/>
      <c r="P959" s="308"/>
      <c r="Q959" s="308"/>
      <c r="R959" s="308"/>
      <c r="S959" s="308"/>
      <c r="T959" s="308"/>
      <c r="U959" s="308"/>
      <c r="V959" s="308"/>
      <c r="W959" s="308"/>
      <c r="X959" s="308"/>
      <c r="Y959" s="308"/>
      <c r="Z959" s="308"/>
    </row>
    <row r="960" spans="1:26" ht="14.25" customHeight="1" x14ac:dyDescent="0.3">
      <c r="A960" s="420"/>
      <c r="B960" s="308"/>
      <c r="C960" s="308"/>
      <c r="D960" s="308"/>
      <c r="E960" s="308"/>
      <c r="F960" s="308"/>
      <c r="G960" s="308"/>
      <c r="H960" s="308"/>
      <c r="I960" s="308"/>
      <c r="J960" s="308"/>
      <c r="K960" s="308"/>
      <c r="L960" s="308"/>
      <c r="M960" s="308"/>
      <c r="N960" s="308"/>
      <c r="O960" s="308"/>
      <c r="P960" s="308"/>
      <c r="Q960" s="308"/>
      <c r="R960" s="308"/>
      <c r="S960" s="308"/>
      <c r="T960" s="308"/>
      <c r="U960" s="308"/>
      <c r="V960" s="308"/>
      <c r="W960" s="308"/>
      <c r="X960" s="308"/>
      <c r="Y960" s="308"/>
      <c r="Z960" s="308"/>
    </row>
    <row r="961" spans="1:26" ht="14.25" customHeight="1" x14ac:dyDescent="0.3">
      <c r="A961" s="420"/>
      <c r="B961" s="308"/>
      <c r="C961" s="308"/>
      <c r="D961" s="308"/>
      <c r="E961" s="308"/>
      <c r="F961" s="308"/>
      <c r="G961" s="308"/>
      <c r="H961" s="308"/>
      <c r="I961" s="308"/>
      <c r="J961" s="308"/>
      <c r="K961" s="308"/>
      <c r="L961" s="308"/>
      <c r="M961" s="308"/>
      <c r="N961" s="308"/>
      <c r="O961" s="308"/>
      <c r="P961" s="308"/>
      <c r="Q961" s="308"/>
      <c r="R961" s="308"/>
      <c r="S961" s="308"/>
      <c r="T961" s="308"/>
      <c r="U961" s="308"/>
      <c r="V961" s="308"/>
      <c r="W961" s="308"/>
      <c r="X961" s="308"/>
      <c r="Y961" s="308"/>
      <c r="Z961" s="308"/>
    </row>
    <row r="962" spans="1:26" ht="14.25" customHeight="1" x14ac:dyDescent="0.3">
      <c r="A962" s="420"/>
      <c r="B962" s="308"/>
      <c r="C962" s="308"/>
      <c r="D962" s="308"/>
      <c r="E962" s="308"/>
      <c r="F962" s="308"/>
      <c r="G962" s="308"/>
      <c r="H962" s="308"/>
      <c r="I962" s="308"/>
      <c r="J962" s="308"/>
      <c r="K962" s="308"/>
      <c r="L962" s="308"/>
      <c r="M962" s="308"/>
      <c r="N962" s="308"/>
      <c r="O962" s="308"/>
      <c r="P962" s="308"/>
      <c r="Q962" s="308"/>
      <c r="R962" s="308"/>
      <c r="S962" s="308"/>
      <c r="T962" s="308"/>
      <c r="U962" s="308"/>
      <c r="V962" s="308"/>
      <c r="W962" s="308"/>
      <c r="X962" s="308"/>
      <c r="Y962" s="308"/>
      <c r="Z962" s="308"/>
    </row>
    <row r="963" spans="1:26" ht="14.25" customHeight="1" x14ac:dyDescent="0.3">
      <c r="A963" s="420"/>
      <c r="B963" s="308"/>
      <c r="C963" s="308"/>
      <c r="D963" s="308"/>
      <c r="E963" s="308"/>
      <c r="F963" s="308"/>
      <c r="G963" s="308"/>
      <c r="H963" s="308"/>
      <c r="I963" s="308"/>
      <c r="J963" s="308"/>
      <c r="K963" s="308"/>
      <c r="L963" s="308"/>
      <c r="M963" s="308"/>
      <c r="N963" s="308"/>
      <c r="O963" s="308"/>
      <c r="P963" s="308"/>
      <c r="Q963" s="308"/>
      <c r="R963" s="308"/>
      <c r="S963" s="308"/>
      <c r="T963" s="308"/>
      <c r="U963" s="308"/>
      <c r="V963" s="308"/>
      <c r="W963" s="308"/>
      <c r="X963" s="308"/>
      <c r="Y963" s="308"/>
      <c r="Z963" s="308"/>
    </row>
    <row r="964" spans="1:26" ht="14.25" customHeight="1" x14ac:dyDescent="0.3">
      <c r="A964" s="420"/>
      <c r="B964" s="308"/>
      <c r="C964" s="308"/>
      <c r="D964" s="308"/>
      <c r="E964" s="308"/>
      <c r="F964" s="308"/>
      <c r="G964" s="308"/>
      <c r="H964" s="308"/>
      <c r="I964" s="308"/>
      <c r="J964" s="308"/>
      <c r="K964" s="308"/>
      <c r="L964" s="308"/>
      <c r="M964" s="308"/>
      <c r="N964" s="308"/>
      <c r="O964" s="308"/>
      <c r="P964" s="308"/>
      <c r="Q964" s="308"/>
      <c r="R964" s="308"/>
      <c r="S964" s="308"/>
      <c r="T964" s="308"/>
      <c r="U964" s="308"/>
      <c r="V964" s="308"/>
      <c r="W964" s="308"/>
      <c r="X964" s="308"/>
      <c r="Y964" s="308"/>
      <c r="Z964" s="308"/>
    </row>
    <row r="965" spans="1:26" ht="14.25" customHeight="1" x14ac:dyDescent="0.3">
      <c r="A965" s="420"/>
      <c r="B965" s="308"/>
      <c r="C965" s="308"/>
      <c r="D965" s="308"/>
      <c r="E965" s="308"/>
      <c r="F965" s="308"/>
      <c r="G965" s="308"/>
      <c r="H965" s="308"/>
      <c r="I965" s="308"/>
      <c r="J965" s="308"/>
      <c r="K965" s="308"/>
      <c r="L965" s="308"/>
      <c r="M965" s="308"/>
      <c r="N965" s="308"/>
      <c r="O965" s="308"/>
      <c r="P965" s="308"/>
      <c r="Q965" s="308"/>
      <c r="R965" s="308"/>
      <c r="S965" s="308"/>
      <c r="T965" s="308"/>
      <c r="U965" s="308"/>
      <c r="V965" s="308"/>
      <c r="W965" s="308"/>
      <c r="X965" s="308"/>
      <c r="Y965" s="308"/>
      <c r="Z965" s="308"/>
    </row>
    <row r="966" spans="1:26" ht="14.25" customHeight="1" x14ac:dyDescent="0.3">
      <c r="A966" s="420"/>
      <c r="B966" s="308"/>
      <c r="C966" s="308"/>
      <c r="D966" s="308"/>
      <c r="E966" s="308"/>
      <c r="F966" s="308"/>
      <c r="G966" s="308"/>
      <c r="H966" s="308"/>
      <c r="I966" s="308"/>
      <c r="J966" s="308"/>
      <c r="K966" s="308"/>
      <c r="L966" s="308"/>
      <c r="M966" s="308"/>
      <c r="N966" s="308"/>
      <c r="O966" s="308"/>
      <c r="P966" s="308"/>
      <c r="Q966" s="308"/>
      <c r="R966" s="308"/>
      <c r="S966" s="308"/>
      <c r="T966" s="308"/>
      <c r="U966" s="308"/>
      <c r="V966" s="308"/>
      <c r="W966" s="308"/>
      <c r="X966" s="308"/>
      <c r="Y966" s="308"/>
      <c r="Z966" s="308"/>
    </row>
    <row r="967" spans="1:26" ht="14.25" customHeight="1" x14ac:dyDescent="0.3">
      <c r="A967" s="420"/>
      <c r="B967" s="308"/>
      <c r="C967" s="308"/>
      <c r="D967" s="308"/>
      <c r="E967" s="308"/>
      <c r="F967" s="308"/>
      <c r="G967" s="308"/>
      <c r="H967" s="308"/>
      <c r="I967" s="308"/>
      <c r="J967" s="308"/>
      <c r="K967" s="308"/>
      <c r="L967" s="308"/>
      <c r="M967" s="308"/>
      <c r="N967" s="308"/>
      <c r="O967" s="308"/>
      <c r="P967" s="308"/>
      <c r="Q967" s="308"/>
      <c r="R967" s="308"/>
      <c r="S967" s="308"/>
      <c r="T967" s="308"/>
      <c r="U967" s="308"/>
      <c r="V967" s="308"/>
      <c r="W967" s="308"/>
      <c r="X967" s="308"/>
      <c r="Y967" s="308"/>
      <c r="Z967" s="308"/>
    </row>
    <row r="968" spans="1:26" ht="14.25" customHeight="1" x14ac:dyDescent="0.3">
      <c r="A968" s="420"/>
      <c r="B968" s="308"/>
      <c r="C968" s="308"/>
      <c r="D968" s="308"/>
      <c r="E968" s="308"/>
      <c r="F968" s="308"/>
      <c r="G968" s="308"/>
      <c r="H968" s="308"/>
      <c r="I968" s="308"/>
      <c r="J968" s="308"/>
      <c r="K968" s="308"/>
      <c r="L968" s="308"/>
      <c r="M968" s="308"/>
      <c r="N968" s="308"/>
      <c r="O968" s="308"/>
      <c r="P968" s="308"/>
      <c r="Q968" s="308"/>
      <c r="R968" s="308"/>
      <c r="S968" s="308"/>
      <c r="T968" s="308"/>
      <c r="U968" s="308"/>
      <c r="V968" s="308"/>
      <c r="W968" s="308"/>
      <c r="X968" s="308"/>
      <c r="Y968" s="308"/>
      <c r="Z968" s="308"/>
    </row>
    <row r="969" spans="1:26" ht="14.25" customHeight="1" x14ac:dyDescent="0.3">
      <c r="A969" s="420"/>
      <c r="B969" s="308"/>
      <c r="C969" s="308"/>
      <c r="D969" s="308"/>
      <c r="E969" s="308"/>
      <c r="F969" s="308"/>
      <c r="G969" s="308"/>
      <c r="H969" s="308"/>
      <c r="I969" s="308"/>
      <c r="J969" s="308"/>
      <c r="K969" s="308"/>
      <c r="L969" s="308"/>
      <c r="M969" s="308"/>
      <c r="N969" s="308"/>
      <c r="O969" s="308"/>
      <c r="P969" s="308"/>
      <c r="Q969" s="308"/>
      <c r="R969" s="308"/>
      <c r="S969" s="308"/>
      <c r="T969" s="308"/>
      <c r="U969" s="308"/>
      <c r="V969" s="308"/>
      <c r="W969" s="308"/>
      <c r="X969" s="308"/>
      <c r="Y969" s="308"/>
      <c r="Z969" s="308"/>
    </row>
    <row r="970" spans="1:26" ht="14.25" customHeight="1" x14ac:dyDescent="0.3">
      <c r="A970" s="420"/>
      <c r="B970" s="308"/>
      <c r="C970" s="308"/>
      <c r="D970" s="308"/>
      <c r="E970" s="308"/>
      <c r="F970" s="308"/>
      <c r="G970" s="308"/>
      <c r="H970" s="308"/>
      <c r="I970" s="308"/>
      <c r="J970" s="308"/>
      <c r="K970" s="308"/>
      <c r="L970" s="308"/>
      <c r="M970" s="308"/>
      <c r="N970" s="308"/>
      <c r="O970" s="308"/>
      <c r="P970" s="308"/>
      <c r="Q970" s="308"/>
      <c r="R970" s="308"/>
      <c r="S970" s="308"/>
      <c r="T970" s="308"/>
      <c r="U970" s="308"/>
      <c r="V970" s="308"/>
      <c r="W970" s="308"/>
      <c r="X970" s="308"/>
      <c r="Y970" s="308"/>
      <c r="Z970" s="308"/>
    </row>
    <row r="971" spans="1:26" ht="14.25" customHeight="1" x14ac:dyDescent="0.3">
      <c r="A971" s="420"/>
      <c r="B971" s="308"/>
      <c r="C971" s="308"/>
      <c r="D971" s="308"/>
      <c r="E971" s="308"/>
      <c r="F971" s="308"/>
      <c r="G971" s="308"/>
      <c r="H971" s="308"/>
      <c r="I971" s="308"/>
      <c r="J971" s="308"/>
      <c r="K971" s="308"/>
      <c r="L971" s="308"/>
      <c r="M971" s="308"/>
      <c r="N971" s="308"/>
      <c r="O971" s="308"/>
      <c r="P971" s="308"/>
      <c r="Q971" s="308"/>
      <c r="R971" s="308"/>
      <c r="S971" s="308"/>
      <c r="T971" s="308"/>
      <c r="U971" s="308"/>
      <c r="V971" s="308"/>
      <c r="W971" s="308"/>
      <c r="X971" s="308"/>
      <c r="Y971" s="308"/>
      <c r="Z971" s="308"/>
    </row>
    <row r="972" spans="1:26" ht="14.25" customHeight="1" x14ac:dyDescent="0.3">
      <c r="A972" s="420"/>
      <c r="B972" s="308"/>
      <c r="C972" s="308"/>
      <c r="D972" s="308"/>
      <c r="E972" s="308"/>
      <c r="F972" s="308"/>
      <c r="G972" s="308"/>
      <c r="H972" s="308"/>
      <c r="I972" s="308"/>
      <c r="J972" s="308"/>
      <c r="K972" s="308"/>
      <c r="L972" s="308"/>
      <c r="M972" s="308"/>
      <c r="N972" s="308"/>
      <c r="O972" s="308"/>
      <c r="P972" s="308"/>
      <c r="Q972" s="308"/>
      <c r="R972" s="308"/>
      <c r="S972" s="308"/>
      <c r="T972" s="308"/>
      <c r="U972" s="308"/>
      <c r="V972" s="308"/>
      <c r="W972" s="308"/>
      <c r="X972" s="308"/>
      <c r="Y972" s="308"/>
      <c r="Z972" s="308"/>
    </row>
    <row r="973" spans="1:26" ht="14.25" customHeight="1" x14ac:dyDescent="0.3">
      <c r="A973" s="420"/>
      <c r="B973" s="308"/>
      <c r="C973" s="308"/>
      <c r="D973" s="308"/>
      <c r="E973" s="308"/>
      <c r="F973" s="308"/>
      <c r="G973" s="308"/>
      <c r="H973" s="308"/>
      <c r="I973" s="308"/>
      <c r="J973" s="308"/>
      <c r="K973" s="308"/>
      <c r="L973" s="308"/>
      <c r="M973" s="308"/>
      <c r="N973" s="308"/>
      <c r="O973" s="308"/>
      <c r="P973" s="308"/>
      <c r="Q973" s="308"/>
      <c r="R973" s="308"/>
      <c r="S973" s="308"/>
      <c r="T973" s="308"/>
      <c r="U973" s="308"/>
      <c r="V973" s="308"/>
      <c r="W973" s="308"/>
      <c r="X973" s="308"/>
      <c r="Y973" s="308"/>
      <c r="Z973" s="308"/>
    </row>
    <row r="974" spans="1:26" ht="14.25" customHeight="1" x14ac:dyDescent="0.3">
      <c r="A974" s="420"/>
      <c r="B974" s="308"/>
      <c r="C974" s="308"/>
      <c r="D974" s="308"/>
      <c r="E974" s="308"/>
      <c r="F974" s="308"/>
      <c r="G974" s="308"/>
      <c r="H974" s="308"/>
      <c r="I974" s="308"/>
      <c r="J974" s="308"/>
      <c r="K974" s="308"/>
      <c r="L974" s="308"/>
      <c r="M974" s="308"/>
      <c r="N974" s="308"/>
      <c r="O974" s="308"/>
      <c r="P974" s="308"/>
      <c r="Q974" s="308"/>
      <c r="R974" s="308"/>
      <c r="S974" s="308"/>
      <c r="T974" s="308"/>
      <c r="U974" s="308"/>
      <c r="V974" s="308"/>
      <c r="W974" s="308"/>
      <c r="X974" s="308"/>
      <c r="Y974" s="308"/>
      <c r="Z974" s="308"/>
    </row>
    <row r="975" spans="1:26" ht="14.25" customHeight="1" x14ac:dyDescent="0.3">
      <c r="A975" s="420"/>
      <c r="B975" s="308"/>
      <c r="C975" s="308"/>
      <c r="D975" s="308"/>
      <c r="E975" s="308"/>
      <c r="F975" s="308"/>
      <c r="G975" s="308"/>
      <c r="H975" s="308"/>
      <c r="I975" s="308"/>
      <c r="J975" s="308"/>
      <c r="K975" s="308"/>
      <c r="L975" s="308"/>
      <c r="M975" s="308"/>
      <c r="N975" s="308"/>
      <c r="O975" s="308"/>
      <c r="P975" s="308"/>
      <c r="Q975" s="308"/>
      <c r="R975" s="308"/>
      <c r="S975" s="308"/>
      <c r="T975" s="308"/>
      <c r="U975" s="308"/>
      <c r="V975" s="308"/>
      <c r="W975" s="308"/>
      <c r="X975" s="308"/>
      <c r="Y975" s="308"/>
      <c r="Z975" s="308"/>
    </row>
    <row r="976" spans="1:26" ht="14.25" customHeight="1" x14ac:dyDescent="0.3">
      <c r="A976" s="420"/>
      <c r="B976" s="308"/>
      <c r="C976" s="308"/>
      <c r="D976" s="308"/>
      <c r="E976" s="308"/>
      <c r="F976" s="308"/>
      <c r="G976" s="308"/>
      <c r="H976" s="308"/>
      <c r="I976" s="308"/>
      <c r="J976" s="308"/>
      <c r="K976" s="308"/>
      <c r="L976" s="308"/>
      <c r="M976" s="308"/>
      <c r="N976" s="308"/>
      <c r="O976" s="308"/>
      <c r="P976" s="308"/>
      <c r="Q976" s="308"/>
      <c r="R976" s="308"/>
      <c r="S976" s="308"/>
      <c r="T976" s="308"/>
      <c r="U976" s="308"/>
      <c r="V976" s="308"/>
      <c r="W976" s="308"/>
      <c r="X976" s="308"/>
      <c r="Y976" s="308"/>
      <c r="Z976" s="308"/>
    </row>
    <row r="977" spans="1:26" ht="14.25" customHeight="1" x14ac:dyDescent="0.3">
      <c r="A977" s="420"/>
      <c r="B977" s="308"/>
      <c r="C977" s="308"/>
      <c r="D977" s="308"/>
      <c r="E977" s="308"/>
      <c r="F977" s="308"/>
      <c r="G977" s="308"/>
      <c r="H977" s="308"/>
      <c r="I977" s="308"/>
      <c r="J977" s="308"/>
      <c r="K977" s="308"/>
      <c r="L977" s="308"/>
      <c r="M977" s="308"/>
      <c r="N977" s="308"/>
      <c r="O977" s="308"/>
      <c r="P977" s="308"/>
      <c r="Q977" s="308"/>
      <c r="R977" s="308"/>
      <c r="S977" s="308"/>
      <c r="T977" s="308"/>
      <c r="U977" s="308"/>
      <c r="V977" s="308"/>
      <c r="W977" s="308"/>
      <c r="X977" s="308"/>
      <c r="Y977" s="308"/>
      <c r="Z977" s="308"/>
    </row>
    <row r="978" spans="1:26" ht="14.25" customHeight="1" x14ac:dyDescent="0.3">
      <c r="A978" s="420"/>
      <c r="B978" s="308"/>
      <c r="C978" s="308"/>
      <c r="D978" s="308"/>
      <c r="E978" s="308"/>
      <c r="F978" s="308"/>
      <c r="G978" s="308"/>
      <c r="H978" s="308"/>
      <c r="I978" s="308"/>
      <c r="J978" s="308"/>
      <c r="K978" s="308"/>
      <c r="L978" s="308"/>
      <c r="M978" s="308"/>
      <c r="N978" s="308"/>
      <c r="O978" s="308"/>
      <c r="P978" s="308"/>
      <c r="Q978" s="308"/>
      <c r="R978" s="308"/>
      <c r="S978" s="308"/>
      <c r="T978" s="308"/>
      <c r="U978" s="308"/>
      <c r="V978" s="308"/>
      <c r="W978" s="308"/>
      <c r="X978" s="308"/>
      <c r="Y978" s="308"/>
      <c r="Z978" s="308"/>
    </row>
    <row r="979" spans="1:26" ht="14.25" customHeight="1" x14ac:dyDescent="0.3">
      <c r="A979" s="420"/>
      <c r="B979" s="308"/>
      <c r="C979" s="308"/>
      <c r="D979" s="308"/>
      <c r="E979" s="308"/>
      <c r="F979" s="308"/>
      <c r="G979" s="308"/>
      <c r="H979" s="308"/>
      <c r="I979" s="308"/>
      <c r="J979" s="308"/>
      <c r="K979" s="308"/>
      <c r="L979" s="308"/>
      <c r="M979" s="308"/>
      <c r="N979" s="308"/>
      <c r="O979" s="308"/>
      <c r="P979" s="308"/>
      <c r="Q979" s="308"/>
      <c r="R979" s="308"/>
      <c r="S979" s="308"/>
      <c r="T979" s="308"/>
      <c r="U979" s="308"/>
      <c r="V979" s="308"/>
      <c r="W979" s="308"/>
      <c r="X979" s="308"/>
      <c r="Y979" s="308"/>
      <c r="Z979" s="308"/>
    </row>
    <row r="980" spans="1:26" ht="14.25" customHeight="1" x14ac:dyDescent="0.3">
      <c r="A980" s="420"/>
      <c r="B980" s="308"/>
      <c r="C980" s="308"/>
      <c r="D980" s="308"/>
      <c r="E980" s="308"/>
      <c r="F980" s="308"/>
      <c r="G980" s="308"/>
      <c r="H980" s="308"/>
      <c r="I980" s="308"/>
      <c r="J980" s="308"/>
      <c r="K980" s="308"/>
      <c r="L980" s="308"/>
      <c r="M980" s="308"/>
      <c r="N980" s="308"/>
      <c r="O980" s="308"/>
      <c r="P980" s="308"/>
      <c r="Q980" s="308"/>
      <c r="R980" s="308"/>
      <c r="S980" s="308"/>
      <c r="T980" s="308"/>
      <c r="U980" s="308"/>
      <c r="V980" s="308"/>
      <c r="W980" s="308"/>
      <c r="X980" s="308"/>
      <c r="Y980" s="308"/>
      <c r="Z980" s="308"/>
    </row>
    <row r="981" spans="1:26" ht="14.25" customHeight="1" x14ac:dyDescent="0.3">
      <c r="A981" s="420"/>
      <c r="B981" s="308"/>
      <c r="C981" s="308"/>
      <c r="D981" s="308"/>
      <c r="E981" s="308"/>
      <c r="F981" s="308"/>
      <c r="G981" s="308"/>
      <c r="H981" s="308"/>
      <c r="I981" s="308"/>
      <c r="J981" s="308"/>
      <c r="K981" s="308"/>
      <c r="L981" s="308"/>
      <c r="M981" s="308"/>
      <c r="N981" s="308"/>
      <c r="O981" s="308"/>
      <c r="P981" s="308"/>
      <c r="Q981" s="308"/>
      <c r="R981" s="308"/>
      <c r="S981" s="308"/>
      <c r="T981" s="308"/>
      <c r="U981" s="308"/>
      <c r="V981" s="308"/>
      <c r="W981" s="308"/>
      <c r="X981" s="308"/>
      <c r="Y981" s="308"/>
      <c r="Z981" s="308"/>
    </row>
    <row r="982" spans="1:26" ht="14.25" customHeight="1" x14ac:dyDescent="0.3">
      <c r="A982" s="420"/>
      <c r="B982" s="308"/>
      <c r="C982" s="308"/>
      <c r="D982" s="308"/>
      <c r="E982" s="308"/>
      <c r="F982" s="308"/>
      <c r="G982" s="308"/>
      <c r="H982" s="308"/>
      <c r="I982" s="308"/>
      <c r="J982" s="308"/>
      <c r="K982" s="308"/>
      <c r="L982" s="308"/>
      <c r="M982" s="308"/>
      <c r="N982" s="308"/>
      <c r="O982" s="308"/>
      <c r="P982" s="308"/>
      <c r="Q982" s="308"/>
      <c r="R982" s="308"/>
      <c r="S982" s="308"/>
      <c r="T982" s="308"/>
      <c r="U982" s="308"/>
      <c r="V982" s="308"/>
      <c r="W982" s="308"/>
      <c r="X982" s="308"/>
      <c r="Y982" s="308"/>
      <c r="Z982" s="308"/>
    </row>
    <row r="983" spans="1:26" ht="14.25" customHeight="1" x14ac:dyDescent="0.3">
      <c r="A983" s="420"/>
      <c r="B983" s="308"/>
      <c r="C983" s="308"/>
      <c r="D983" s="308"/>
      <c r="E983" s="308"/>
      <c r="F983" s="308"/>
      <c r="G983" s="308"/>
      <c r="H983" s="308"/>
      <c r="I983" s="308"/>
      <c r="J983" s="308"/>
      <c r="K983" s="308"/>
      <c r="L983" s="308"/>
      <c r="M983" s="308"/>
      <c r="N983" s="308"/>
      <c r="O983" s="308"/>
      <c r="P983" s="308"/>
      <c r="Q983" s="308"/>
      <c r="R983" s="308"/>
      <c r="S983" s="308"/>
      <c r="T983" s="308"/>
      <c r="U983" s="308"/>
      <c r="V983" s="308"/>
      <c r="W983" s="308"/>
      <c r="X983" s="308"/>
      <c r="Y983" s="308"/>
      <c r="Z983" s="308"/>
    </row>
    <row r="984" spans="1:26" ht="14.25" customHeight="1" x14ac:dyDescent="0.3">
      <c r="A984" s="420"/>
      <c r="B984" s="308"/>
      <c r="C984" s="308"/>
      <c r="D984" s="308"/>
      <c r="E984" s="308"/>
      <c r="F984" s="308"/>
      <c r="G984" s="308"/>
      <c r="H984" s="308"/>
      <c r="I984" s="308"/>
      <c r="J984" s="308"/>
      <c r="K984" s="308"/>
      <c r="L984" s="308"/>
      <c r="M984" s="308"/>
      <c r="N984" s="308"/>
      <c r="O984" s="308"/>
      <c r="P984" s="308"/>
      <c r="Q984" s="308"/>
      <c r="R984" s="308"/>
      <c r="S984" s="308"/>
      <c r="T984" s="308"/>
      <c r="U984" s="308"/>
      <c r="V984" s="308"/>
      <c r="W984" s="308"/>
      <c r="X984" s="308"/>
      <c r="Y984" s="308"/>
      <c r="Z984" s="308"/>
    </row>
    <row r="985" spans="1:26" ht="14.25" customHeight="1" x14ac:dyDescent="0.3">
      <c r="A985" s="420"/>
      <c r="B985" s="308"/>
      <c r="C985" s="308"/>
      <c r="D985" s="308"/>
      <c r="E985" s="308"/>
      <c r="F985" s="308"/>
      <c r="G985" s="308"/>
      <c r="H985" s="308"/>
      <c r="I985" s="308"/>
      <c r="J985" s="308"/>
      <c r="K985" s="308"/>
      <c r="L985" s="308"/>
      <c r="M985" s="308"/>
      <c r="N985" s="308"/>
      <c r="O985" s="308"/>
      <c r="P985" s="308"/>
      <c r="Q985" s="308"/>
      <c r="R985" s="308"/>
      <c r="S985" s="308"/>
      <c r="T985" s="308"/>
      <c r="U985" s="308"/>
      <c r="V985" s="308"/>
      <c r="W985" s="308"/>
      <c r="X985" s="308"/>
      <c r="Y985" s="308"/>
      <c r="Z985" s="308"/>
    </row>
    <row r="986" spans="1:26" ht="14.25" customHeight="1" x14ac:dyDescent="0.3">
      <c r="A986" s="420"/>
      <c r="B986" s="308"/>
      <c r="C986" s="308"/>
      <c r="D986" s="308"/>
      <c r="E986" s="308"/>
      <c r="F986" s="308"/>
      <c r="G986" s="308"/>
      <c r="H986" s="308"/>
      <c r="I986" s="308"/>
      <c r="J986" s="308"/>
      <c r="K986" s="308"/>
      <c r="L986" s="308"/>
      <c r="M986" s="308"/>
      <c r="N986" s="308"/>
      <c r="O986" s="308"/>
      <c r="P986" s="308"/>
      <c r="Q986" s="308"/>
      <c r="R986" s="308"/>
      <c r="S986" s="308"/>
      <c r="T986" s="308"/>
      <c r="U986" s="308"/>
      <c r="V986" s="308"/>
      <c r="W986" s="308"/>
      <c r="X986" s="308"/>
      <c r="Y986" s="308"/>
      <c r="Z986" s="308"/>
    </row>
    <row r="987" spans="1:26" ht="14.25" customHeight="1" x14ac:dyDescent="0.3">
      <c r="A987" s="420"/>
      <c r="B987" s="308"/>
      <c r="C987" s="308"/>
      <c r="D987" s="308"/>
      <c r="E987" s="308"/>
      <c r="F987" s="308"/>
      <c r="G987" s="308"/>
      <c r="H987" s="308"/>
      <c r="I987" s="308"/>
      <c r="J987" s="308"/>
      <c r="K987" s="308"/>
      <c r="L987" s="308"/>
      <c r="M987" s="308"/>
      <c r="N987" s="308"/>
      <c r="O987" s="308"/>
      <c r="P987" s="308"/>
      <c r="Q987" s="308"/>
      <c r="R987" s="308"/>
      <c r="S987" s="308"/>
      <c r="T987" s="308"/>
      <c r="U987" s="308"/>
      <c r="V987" s="308"/>
      <c r="W987" s="308"/>
      <c r="X987" s="308"/>
      <c r="Y987" s="308"/>
      <c r="Z987" s="308"/>
    </row>
    <row r="988" spans="1:26" ht="14.25" customHeight="1" x14ac:dyDescent="0.3">
      <c r="A988" s="420"/>
      <c r="B988" s="308"/>
      <c r="C988" s="308"/>
      <c r="D988" s="308"/>
      <c r="E988" s="308"/>
      <c r="F988" s="308"/>
      <c r="G988" s="308"/>
      <c r="H988" s="308"/>
      <c r="I988" s="308"/>
      <c r="J988" s="308"/>
      <c r="K988" s="308"/>
      <c r="L988" s="308"/>
      <c r="M988" s="308"/>
      <c r="N988" s="308"/>
      <c r="O988" s="308"/>
      <c r="P988" s="308"/>
      <c r="Q988" s="308"/>
      <c r="R988" s="308"/>
      <c r="S988" s="308"/>
      <c r="T988" s="308"/>
      <c r="U988" s="308"/>
      <c r="V988" s="308"/>
      <c r="W988" s="308"/>
      <c r="X988" s="308"/>
      <c r="Y988" s="308"/>
      <c r="Z988" s="308"/>
    </row>
    <row r="989" spans="1:26" ht="14.25" customHeight="1" x14ac:dyDescent="0.3">
      <c r="A989" s="420"/>
      <c r="B989" s="308"/>
      <c r="C989" s="308"/>
      <c r="D989" s="308"/>
      <c r="E989" s="308"/>
      <c r="F989" s="308"/>
      <c r="G989" s="308"/>
      <c r="H989" s="308"/>
      <c r="I989" s="308"/>
      <c r="J989" s="308"/>
      <c r="K989" s="308"/>
      <c r="L989" s="308"/>
      <c r="M989" s="308"/>
      <c r="N989" s="308"/>
      <c r="O989" s="308"/>
      <c r="P989" s="308"/>
      <c r="Q989" s="308"/>
      <c r="R989" s="308"/>
      <c r="S989" s="308"/>
      <c r="T989" s="308"/>
      <c r="U989" s="308"/>
      <c r="V989" s="308"/>
      <c r="W989" s="308"/>
      <c r="X989" s="308"/>
      <c r="Y989" s="308"/>
      <c r="Z989" s="308"/>
    </row>
    <row r="990" spans="1:26" ht="14.25" customHeight="1" x14ac:dyDescent="0.3">
      <c r="A990" s="420"/>
      <c r="B990" s="308"/>
      <c r="C990" s="308"/>
      <c r="D990" s="308"/>
      <c r="E990" s="308"/>
      <c r="F990" s="308"/>
      <c r="G990" s="308"/>
      <c r="H990" s="308"/>
      <c r="I990" s="308"/>
      <c r="J990" s="308"/>
      <c r="K990" s="308"/>
      <c r="L990" s="308"/>
      <c r="M990" s="308"/>
      <c r="N990" s="308"/>
      <c r="O990" s="308"/>
      <c r="P990" s="308"/>
      <c r="Q990" s="308"/>
      <c r="R990" s="308"/>
      <c r="S990" s="308"/>
      <c r="T990" s="308"/>
      <c r="U990" s="308"/>
      <c r="V990" s="308"/>
      <c r="W990" s="308"/>
      <c r="X990" s="308"/>
      <c r="Y990" s="308"/>
      <c r="Z990" s="308"/>
    </row>
    <row r="991" spans="1:26" ht="14.25" customHeight="1" x14ac:dyDescent="0.3">
      <c r="A991" s="420"/>
      <c r="B991" s="308"/>
      <c r="C991" s="308"/>
      <c r="D991" s="308"/>
      <c r="E991" s="308"/>
      <c r="F991" s="308"/>
      <c r="G991" s="308"/>
      <c r="H991" s="308"/>
      <c r="I991" s="308"/>
      <c r="J991" s="308"/>
      <c r="K991" s="308"/>
      <c r="L991" s="308"/>
      <c r="M991" s="308"/>
      <c r="N991" s="308"/>
      <c r="O991" s="308"/>
      <c r="P991" s="308"/>
      <c r="Q991" s="308"/>
      <c r="R991" s="308"/>
      <c r="S991" s="308"/>
      <c r="T991" s="308"/>
      <c r="U991" s="308"/>
      <c r="V991" s="308"/>
      <c r="W991" s="308"/>
      <c r="X991" s="308"/>
      <c r="Y991" s="308"/>
      <c r="Z991" s="308"/>
    </row>
    <row r="992" spans="1:26" ht="14.25" customHeight="1" x14ac:dyDescent="0.3">
      <c r="A992" s="420"/>
      <c r="B992" s="308"/>
      <c r="C992" s="308"/>
      <c r="D992" s="308"/>
      <c r="E992" s="308"/>
      <c r="F992" s="308"/>
      <c r="G992" s="308"/>
      <c r="H992" s="308"/>
      <c r="I992" s="308"/>
      <c r="J992" s="308"/>
      <c r="K992" s="308"/>
      <c r="L992" s="308"/>
      <c r="M992" s="308"/>
      <c r="N992" s="308"/>
      <c r="O992" s="308"/>
      <c r="P992" s="308"/>
      <c r="Q992" s="308"/>
      <c r="R992" s="308"/>
      <c r="S992" s="308"/>
      <c r="T992" s="308"/>
      <c r="U992" s="308"/>
      <c r="V992" s="308"/>
      <c r="W992" s="308"/>
      <c r="X992" s="308"/>
      <c r="Y992" s="308"/>
      <c r="Z992" s="308"/>
    </row>
    <row r="993" spans="1:26" ht="14.25" customHeight="1" x14ac:dyDescent="0.3">
      <c r="A993" s="420"/>
      <c r="B993" s="308"/>
      <c r="C993" s="308"/>
      <c r="D993" s="308"/>
      <c r="E993" s="308"/>
      <c r="F993" s="308"/>
      <c r="G993" s="308"/>
      <c r="H993" s="308"/>
      <c r="I993" s="308"/>
      <c r="J993" s="308"/>
      <c r="K993" s="308"/>
      <c r="L993" s="308"/>
      <c r="M993" s="308"/>
      <c r="N993" s="308"/>
      <c r="O993" s="308"/>
      <c r="P993" s="308"/>
      <c r="Q993" s="308"/>
      <c r="R993" s="308"/>
      <c r="S993" s="308"/>
      <c r="T993" s="308"/>
      <c r="U993" s="308"/>
      <c r="V993" s="308"/>
      <c r="W993" s="308"/>
      <c r="X993" s="308"/>
      <c r="Y993" s="308"/>
      <c r="Z993" s="308"/>
    </row>
    <row r="994" spans="1:26" ht="14.25" customHeight="1" x14ac:dyDescent="0.3">
      <c r="A994" s="420"/>
      <c r="B994" s="308"/>
      <c r="C994" s="308"/>
      <c r="D994" s="308"/>
      <c r="E994" s="308"/>
      <c r="F994" s="308"/>
      <c r="G994" s="308"/>
      <c r="H994" s="308"/>
      <c r="I994" s="308"/>
      <c r="J994" s="308"/>
      <c r="K994" s="308"/>
      <c r="L994" s="308"/>
      <c r="M994" s="308"/>
      <c r="N994" s="308"/>
      <c r="O994" s="308"/>
      <c r="P994" s="308"/>
      <c r="Q994" s="308"/>
      <c r="R994" s="308"/>
      <c r="S994" s="308"/>
      <c r="T994" s="308"/>
      <c r="U994" s="308"/>
      <c r="V994" s="308"/>
      <c r="W994" s="308"/>
      <c r="X994" s="308"/>
      <c r="Y994" s="308"/>
      <c r="Z994" s="308"/>
    </row>
    <row r="995" spans="1:26" ht="14.25" customHeight="1" x14ac:dyDescent="0.3">
      <c r="A995" s="420"/>
      <c r="B995" s="308"/>
      <c r="C995" s="308"/>
      <c r="D995" s="308"/>
      <c r="E995" s="308"/>
      <c r="F995" s="308"/>
      <c r="G995" s="308"/>
      <c r="H995" s="308"/>
      <c r="I995" s="308"/>
      <c r="J995" s="308"/>
      <c r="K995" s="308"/>
      <c r="L995" s="308"/>
      <c r="M995" s="308"/>
      <c r="N995" s="308"/>
      <c r="O995" s="308"/>
      <c r="P995" s="308"/>
      <c r="Q995" s="308"/>
      <c r="R995" s="308"/>
      <c r="S995" s="308"/>
      <c r="T995" s="308"/>
      <c r="U995" s="308"/>
      <c r="V995" s="308"/>
      <c r="W995" s="308"/>
      <c r="X995" s="308"/>
      <c r="Y995" s="308"/>
      <c r="Z995" s="308"/>
    </row>
    <row r="996" spans="1:26" ht="14.25" customHeight="1" x14ac:dyDescent="0.3">
      <c r="A996" s="420"/>
      <c r="B996" s="308"/>
      <c r="C996" s="308"/>
      <c r="D996" s="308"/>
      <c r="E996" s="308"/>
      <c r="F996" s="308"/>
      <c r="G996" s="308"/>
      <c r="H996" s="308"/>
      <c r="I996" s="308"/>
      <c r="J996" s="308"/>
      <c r="K996" s="308"/>
      <c r="L996" s="308"/>
      <c r="M996" s="308"/>
      <c r="N996" s="308"/>
      <c r="O996" s="308"/>
      <c r="P996" s="308"/>
      <c r="Q996" s="308"/>
      <c r="R996" s="308"/>
      <c r="S996" s="308"/>
      <c r="T996" s="308"/>
      <c r="U996" s="308"/>
      <c r="V996" s="308"/>
      <c r="W996" s="308"/>
      <c r="X996" s="308"/>
      <c r="Y996" s="308"/>
      <c r="Z996" s="308"/>
    </row>
    <row r="997" spans="1:26" ht="14.25" customHeight="1" x14ac:dyDescent="0.3">
      <c r="A997" s="420"/>
      <c r="B997" s="308"/>
      <c r="C997" s="308"/>
      <c r="D997" s="308"/>
      <c r="E997" s="308"/>
      <c r="F997" s="308"/>
      <c r="G997" s="308"/>
      <c r="H997" s="308"/>
      <c r="I997" s="308"/>
      <c r="J997" s="308"/>
      <c r="K997" s="308"/>
      <c r="L997" s="308"/>
      <c r="M997" s="308"/>
      <c r="N997" s="308"/>
      <c r="O997" s="308"/>
      <c r="P997" s="308"/>
      <c r="Q997" s="308"/>
      <c r="R997" s="308"/>
      <c r="S997" s="308"/>
      <c r="T997" s="308"/>
      <c r="U997" s="308"/>
      <c r="V997" s="308"/>
      <c r="W997" s="308"/>
      <c r="X997" s="308"/>
      <c r="Y997" s="308"/>
      <c r="Z997" s="308"/>
    </row>
    <row r="998" spans="1:26" ht="14.25" customHeight="1" x14ac:dyDescent="0.3">
      <c r="A998" s="420"/>
      <c r="B998" s="308"/>
      <c r="C998" s="308"/>
      <c r="D998" s="308"/>
      <c r="E998" s="308"/>
      <c r="F998" s="308"/>
      <c r="G998" s="308"/>
      <c r="H998" s="308"/>
      <c r="I998" s="308"/>
      <c r="J998" s="308"/>
      <c r="K998" s="308"/>
      <c r="L998" s="308"/>
      <c r="M998" s="308"/>
      <c r="N998" s="308"/>
      <c r="O998" s="308"/>
      <c r="P998" s="308"/>
      <c r="Q998" s="308"/>
      <c r="R998" s="308"/>
      <c r="S998" s="308"/>
      <c r="T998" s="308"/>
      <c r="U998" s="308"/>
      <c r="V998" s="308"/>
      <c r="W998" s="308"/>
      <c r="X998" s="308"/>
      <c r="Y998" s="308"/>
      <c r="Z998" s="308"/>
    </row>
    <row r="999" spans="1:26" ht="14.25" customHeight="1" x14ac:dyDescent="0.3">
      <c r="A999" s="420"/>
      <c r="B999" s="308"/>
      <c r="C999" s="308"/>
      <c r="D999" s="308"/>
      <c r="E999" s="308"/>
      <c r="F999" s="308"/>
      <c r="G999" s="308"/>
      <c r="H999" s="308"/>
      <c r="I999" s="308"/>
      <c r="J999" s="308"/>
      <c r="K999" s="308"/>
      <c r="L999" s="308"/>
      <c r="M999" s="308"/>
      <c r="N999" s="308"/>
      <c r="O999" s="308"/>
      <c r="P999" s="308"/>
      <c r="Q999" s="308"/>
      <c r="R999" s="308"/>
      <c r="S999" s="308"/>
      <c r="T999" s="308"/>
      <c r="U999" s="308"/>
      <c r="V999" s="308"/>
      <c r="W999" s="308"/>
      <c r="X999" s="308"/>
      <c r="Y999" s="308"/>
      <c r="Z999" s="308"/>
    </row>
    <row r="1000" spans="1:26" ht="14.25" customHeight="1" x14ac:dyDescent="0.3">
      <c r="A1000" s="420"/>
      <c r="B1000" s="308"/>
      <c r="C1000" s="308"/>
      <c r="D1000" s="308"/>
      <c r="E1000" s="308"/>
      <c r="F1000" s="308"/>
      <c r="G1000" s="308"/>
      <c r="H1000" s="308"/>
      <c r="I1000" s="308"/>
      <c r="J1000" s="308"/>
      <c r="K1000" s="308"/>
      <c r="L1000" s="308"/>
      <c r="M1000" s="308"/>
      <c r="N1000" s="308"/>
      <c r="O1000" s="308"/>
      <c r="P1000" s="308"/>
      <c r="Q1000" s="308"/>
      <c r="R1000" s="308"/>
      <c r="S1000" s="308"/>
      <c r="T1000" s="308"/>
      <c r="U1000" s="308"/>
      <c r="V1000" s="308"/>
      <c r="W1000" s="308"/>
      <c r="X1000" s="308"/>
      <c r="Y1000" s="308"/>
      <c r="Z1000" s="308"/>
    </row>
    <row r="1001" spans="1:26" ht="15" customHeight="1" x14ac:dyDescent="0.3">
      <c r="A1001" s="420"/>
      <c r="D1001" s="423"/>
      <c r="I1001" s="308"/>
    </row>
    <row r="1002" spans="1:26" ht="15" customHeight="1" x14ac:dyDescent="0.3">
      <c r="A1002" s="420"/>
      <c r="D1002" s="423"/>
      <c r="H1002" s="462"/>
    </row>
    <row r="1003" spans="1:26" x14ac:dyDescent="0.3">
      <c r="A1003" s="420"/>
      <c r="D1003" s="423"/>
    </row>
    <row r="1004" spans="1:26" x14ac:dyDescent="0.3">
      <c r="B1004" s="459"/>
    </row>
  </sheetData>
  <hyperlinks>
    <hyperlink ref="I5" r:id="rId1" display="about:blank" xr:uid="{F9963631-E901-48EC-82CB-98ACD532D732}"/>
    <hyperlink ref="E34" r:id="rId2" display="http://pcrs/PCR_1_06032025.xls" xr:uid="{93755FAB-930B-4A78-8321-6CA27E48FA55}"/>
    <hyperlink ref="E42" r:id="rId3" display="http://pcrs/PCR_4_11062025_FELICIANA.xls" xr:uid="{4B072F86-B168-4346-95A4-A95D970347AD}"/>
    <hyperlink ref="E43" r:id="rId4" display="http://pcrs/PCR_4_11062025_FELICIANA.xls" xr:uid="{B418504B-A217-4720-98E8-F0AAF0894859}"/>
    <hyperlink ref="E44" r:id="rId5" display="http://pcrs/PCR_5_12062025_Algasal.xls" xr:uid="{994475B1-5F47-4867-A950-1630D2B02DBE}"/>
    <hyperlink ref="E62" r:id="rId6" display="http://pcrs/PCR_4_11062025_FELICIANA.xls" xr:uid="{5414E1A4-FF7E-45BA-9F9B-EB57DEC215CC}"/>
    <hyperlink ref="E67" r:id="rId7" display="http://pcrs/PCR_4_11062025_FELICIANA.xls" xr:uid="{FF69074E-3590-40D6-9CFA-433DD69FA268}"/>
    <hyperlink ref="E69" r:id="rId8" display="http://pcrs/PCR_6_12062025_CYANO.xls" xr:uid="{9C732E95-9083-4CA0-A116-0822D14A06AC}"/>
    <hyperlink ref="E72" r:id="rId9" display="http://pcrs/PCR_6_12062025_CYANO.xls" xr:uid="{6DBCE2B3-E2BF-46A9-9B11-62F24D09DE5E}"/>
    <hyperlink ref="E73" r:id="rId10" display="http://pcrs/PCR_6_12062025_CYANO.xls" xr:uid="{064401BD-2822-4649-8CF3-3B2107B32A4E}"/>
    <hyperlink ref="E79" r:id="rId11" display="http://pcrs/PCR_4_11062025_FELICIANA.xls" xr:uid="{13267C13-50C1-41F5-B98C-BDE2E9592066}"/>
    <hyperlink ref="E81" r:id="rId12" display="http://pcrs/PCR_11_23062025_CYANO.xls" xr:uid="{F8DFB06D-4668-4F0A-8CC6-97BCA6F03B72}"/>
    <hyperlink ref="E82" r:id="rId13" display="http://pcrs/PCR_6_12062025_CYANO.xls" xr:uid="{88DDEEFC-A020-42A5-A700-C4C5179F2CDF}"/>
    <hyperlink ref="E95" r:id="rId14" display="http://pcrs/PCR_5_12062025_CYANO.xls" xr:uid="{F4B5CA8C-EDC6-41CD-9CEF-CE51FA68C684}"/>
    <hyperlink ref="E98" r:id="rId15" display="http://pcrs/PCR_13_16062025_CYANO_diluciones_30.xls" xr:uid="{50C64C14-47D0-47D4-B15A-ED916DBCF7E8}"/>
    <hyperlink ref="E106" r:id="rId16" display="http://pcrs/PCR_13_16062025_CYANO_diluciones_30.xls" xr:uid="{BF5DEBE2-E2F9-490E-A6ED-3D3B163592B4}"/>
    <hyperlink ref="E113" r:id="rId17" display="http://pcrs/PCR_6_12062025_CYANO.xls" xr:uid="{2600E00C-E35B-4032-9019-2A31424B3C2F}"/>
    <hyperlink ref="E114" r:id="rId18" display="http://pcrs/PCR_6_12062025_CYANO.xls" xr:uid="{608871F0-F2C8-4C4B-A640-C2CFCEBDAAD6}"/>
    <hyperlink ref="E120" r:id="rId19" display="http://pcrs/PCR_5_12062025_CYANO.xls" xr:uid="{01FE478E-E4F7-4101-AB0A-FE3CDD71A917}"/>
    <hyperlink ref="E132" r:id="rId20" display="http://pcrs/PCR_5_12062025_CYANO.xls" xr:uid="{DE9F0900-6B66-4283-852F-21AA9A9AE30B}"/>
    <hyperlink ref="E145" r:id="rId21" display="http://pcrs/PCR_13_16062025_CYANO_diluciones_30.xls" xr:uid="{860FF7EF-F6E9-4E1A-8878-AFB4149DAA14}"/>
    <hyperlink ref="E147" r:id="rId22" display="http://pcrs/PCR_8_16062025_CYANO.xls" xr:uid="{42340F00-D7A6-4A5C-B6C0-2C803F794CCF}"/>
    <hyperlink ref="E150" r:id="rId23" display="http://pcrs/PCR_13_16062025_CYANO_diluciones_30.xls" xr:uid="{A94C0794-D476-4A07-957A-60BA19DFA029}"/>
    <hyperlink ref="E152" r:id="rId24" display="http://pcrs/PCR_8_16062025_CYANO.xls" xr:uid="{1DBCD6F9-0A45-4DBC-9D86-E08CE112E4B2}"/>
    <hyperlink ref="E167" r:id="rId25" display="http://pcrs/PCR_6_12062025_CYANO.xls" xr:uid="{3B756DCD-3AB1-4E78-BFA5-13D6BE4FE51B}"/>
    <hyperlink ref="E182" r:id="rId26" display="http://pcrs/PCR_5_12062025_CYANO.xls" xr:uid="{94424F2E-64FD-4C92-888B-4088350B7481}"/>
    <hyperlink ref="E195" r:id="rId27" display="http://pcrs/PCR_8_16062025_CYANO.xls" xr:uid="{64677A2F-89F7-4F21-9EEA-1109730781DC}"/>
    <hyperlink ref="E201" r:id="rId28" display="http://pcrs/PCR_13_16062025_CYANO_diluciones_30.xls" xr:uid="{4433C720-1050-4CBC-966B-339369981611}"/>
    <hyperlink ref="E207" r:id="rId29" display="http://pcrs/PCR_5_12062025_CYANO.xls" xr:uid="{DF843851-7200-4E67-93DF-AECA5FA8F82D}"/>
    <hyperlink ref="E237" r:id="rId30" display="http://pcrs/PCR_8_16062025_CYANO.xls" xr:uid="{B989A083-618F-4ABA-B9C8-1BE38AE870D4}"/>
    <hyperlink ref="E267" r:id="rId31" display="http://pcrs/PCR_13_16062025_CYANO_diluciones_30.xls" xr:uid="{20905631-E76B-4278-9DAC-EC1885D5E74D}"/>
    <hyperlink ref="E269" r:id="rId32" display="http://pcrs/PCR_13_16062025_CYANO_diluciones_30.xls" xr:uid="{602FCC0B-6C57-44B1-A760-94D8767247E9}"/>
    <hyperlink ref="E289" r:id="rId33" display="http://pcrs/PCR_13_16062025_CYANO_diluciones_30.xls" xr:uid="{DC62B218-D96D-481F-BC05-1EEB22B8B32E}"/>
    <hyperlink ref="E298" r:id="rId34" display="http://pcrs/PCR_8_16062025_CYANO.xls" xr:uid="{B5DF679C-CFF9-4120-97CA-8B95307DC2DE}"/>
    <hyperlink ref="E306" r:id="rId35" display="http://pcrs/PCR_13_16062025_CYANO_diluciones_30.xls" xr:uid="{5F662BE9-B4BC-43C6-A0F0-38DF1A8D2ED8}"/>
    <hyperlink ref="E321" r:id="rId36" display="http://pcrs/PCR_13_16062025_CYANO_diluciones_30.xls" xr:uid="{01EC2851-0088-4046-9108-797FBFC7B5DE}"/>
    <hyperlink ref="E327" r:id="rId37" display="http://pcrs/PCR_5_12062025_CYANO.xls" xr:uid="{73B308F5-D7E6-495C-84FC-85AC5FB58A99}"/>
    <hyperlink ref="E345" r:id="rId38" display="http://pcrs/PCR_13_16062025_CYANO_diluciones_30.xls" xr:uid="{2160B185-D5FA-407E-9014-930A07C07FB6}"/>
    <hyperlink ref="E364" r:id="rId39" display="http://pcrs/PCR_13_16062025_CYANO_diluciones_30.xls" xr:uid="{1642C8C5-2C36-45FF-982D-EF4E38A47F40}"/>
    <hyperlink ref="E384" r:id="rId40" display="http://pcrs/PCR_11_23062025_CYANO.xls" xr:uid="{AF68F9D9-6DD1-4433-ACDA-3A33887B8848}"/>
    <hyperlink ref="E387" r:id="rId41" display="http://pcrs/PCR_8_16062025_CYANO.xls" xr:uid="{E9CF1653-776D-4E07-8500-54D5F17CFCAE}"/>
    <hyperlink ref="E457" r:id="rId42" display="http://pcrs/PCR_8_16062025_CYANO.xls" xr:uid="{3E267DA6-941D-427D-A2F5-646E9459E1E5}"/>
    <hyperlink ref="E459" r:id="rId43" display="http://pcrs/PCR_13_16062025_CYANO_diluciones_30.xls" xr:uid="{881422A6-FB54-43C3-BA22-C36C2CA23BDF}"/>
    <hyperlink ref="E463" r:id="rId44" display="http://pcrs/PCR_8_16062025_CYANO.xls" xr:uid="{4FE19B18-DCB5-43FA-B0E6-046F020CAAAB}"/>
    <hyperlink ref="E515" r:id="rId45" display="http://pcrs/PCR_13_16062025_CYANO_diluciones_30.xls" xr:uid="{BF44548D-EFA8-4174-B312-91A01770E3E0}"/>
    <hyperlink ref="E516" r:id="rId46" display="http://pcrs/PCR_8_16062025_CYANO.xls" xr:uid="{802FB255-8583-4BAA-BAFA-28211AB1E56C}"/>
    <hyperlink ref="E518" r:id="rId47" display="http://pcrs/PCR_8_16062025_CYANO.xls" xr:uid="{1A227E96-630F-46CD-9889-56EE154324EB}"/>
    <hyperlink ref="E524" r:id="rId48" display="http://pcrs/PCR_8_16062025_CYANO.xls" xr:uid="{46116840-7B1F-4286-81BB-B2DFA8B117C8}"/>
    <hyperlink ref="E530" r:id="rId49" display="http://pcrs/PCR_13_16062025_CYANO_diluciones_30.xls" xr:uid="{49EC8723-CE6F-4537-90EF-862E5B51FFDC}"/>
    <hyperlink ref="E590" r:id="rId50" display="http://pcrs/PCR_4_11062025_FELICIANA.xls" xr:uid="{174F0ADE-5A59-46DC-8B0C-C6F133860639}"/>
    <hyperlink ref="E591" r:id="rId51" display="http://pcrs/PCR_5_12062025_Algasal.xls" xr:uid="{B47A9B95-3624-4A2C-B88C-692891885CF7}"/>
    <hyperlink ref="E596" r:id="rId52" display="http://pcrs/PCR_4_11062025_FELICIANA.xls" xr:uid="{EA9757C6-B3BD-44B3-B883-CA8497D065D7}"/>
    <hyperlink ref="E707" r:id="rId53" display="http://pcrs/PCR_4_11062025_FELICIANA.xls" xr:uid="{6ED39096-7739-4E04-B016-16ED565E7BA0}"/>
    <hyperlink ref="E713" r:id="rId54" display="http://pcrs/PCR_4_11062025_FELICIANA.xls" xr:uid="{397F9F25-1B15-40DB-986D-353F07782D52}"/>
    <hyperlink ref="E714" r:id="rId55" display="http://pcrs/PCR_4_11062025_FELICIANA.xls" xr:uid="{B1BD226B-BE7C-4AB0-927F-A451F8B348D7}"/>
    <hyperlink ref="E715" r:id="rId56" display="http://pcrs/PCR_4_11062025_FELICIANA.xls" xr:uid="{86000379-136C-4D9C-8F74-39DC412EE319}"/>
    <hyperlink ref="E820" r:id="rId57" display="http://pcrs/PCR_5_12062025_Algasal.xls" xr:uid="{2876F19E-7B28-45F7-83F2-1B243C5454A4}"/>
    <hyperlink ref="E593:E594" r:id="rId58" display="PCRs\PCR_4_11062025_FELICIANA.xls" xr:uid="{988D0306-7BF9-41B0-9158-BC4AB11D4915}"/>
    <hyperlink ref="E597:E598" r:id="rId59" display="PCRs\PCR_5_12062025_CYANO.xls" xr:uid="{B7F242C6-42B1-4962-8848-223C36D0EBEE}"/>
    <hyperlink ref="E65" r:id="rId60" display="PCRs\PCR_5_12062025_CYANO.xls" xr:uid="{162994F5-EB22-40CF-B594-9C3828FF53D4}"/>
    <hyperlink ref="E602:E603" r:id="rId61" display="PCRs\PCR_16_25062025_MACRO_ULVA.xls" xr:uid="{2B8B49D5-DADC-4404-BF82-BD43EA05EB61}"/>
    <hyperlink ref="E604:E605" r:id="rId62" display="PCRs\PCR_16_25062025_MACRO_ULVA.xls" xr:uid="{E2E7082C-362B-4627-8E02-583B1EC2A117}"/>
    <hyperlink ref="E102" r:id="rId63" display="PCRs\PCR_16_25062025_MACRO_ULVA.xls" xr:uid="{7D1891F4-ADF3-488E-BF53-7F5922F65697}"/>
    <hyperlink ref="E607:E608" r:id="rId64" display="PCRs\PCR_11_23062025_CYANO.xls" xr:uid="{2DB120D8-84DD-46A3-99B4-B5AAFCA6C400}"/>
    <hyperlink ref="E109" r:id="rId65" display="PCRs\PCR_11_23062025_CYANO.xls" xr:uid="{5DF3E521-2D7A-4C4A-AA1C-D4F80B8B0A56}"/>
    <hyperlink ref="E610:E611" r:id="rId66" display="PCRs\PCR_11_23062025_CYANO.xls" xr:uid="{368BA73F-62D2-43C5-A523-C46BAE9DD659}"/>
    <hyperlink ref="E612:E615" r:id="rId67" display="PCRs\PCR_11_23062025_CYANO.xls" xr:uid="{AD3C320B-F73D-4532-9470-3684119B3C8D}"/>
    <hyperlink ref="E135" r:id="rId68" display="PCRs\PCR_11_23062025_CYANO.xls" xr:uid="{E68182AD-576E-432E-9142-17EC05002EDF}"/>
    <hyperlink ref="E617:E618" r:id="rId69" display="PCRs\PCR_19_27062025_MACRO_ULVA.xls" xr:uid="{90B92DFD-CA0B-4989-B0AA-900242FF0B7B}"/>
    <hyperlink ref="E619:E620" r:id="rId70" display="PCRs\PCR_19_27062025_MACRO_ULVA.xls" xr:uid="{3EBE5A72-8F4C-4E3B-BA35-D995BDDA656D}"/>
    <hyperlink ref="E621:E622" r:id="rId71" display="PCRs\PCR_19_27062025_MACRO_ULVA.xls" xr:uid="{04A8DE5F-DA33-44A6-B868-5658EC6CF613}"/>
    <hyperlink ref="E189" r:id="rId72" display="PCRs\PCR_19_27062025_MACRO_ULVA.xls" xr:uid="{365F641E-FE48-4266-857E-5A4A96CB91E8}"/>
    <hyperlink ref="E191" r:id="rId73" display="PCRs\PCR_19_27062025_MACRO_ULVA.xls" xr:uid="{6F837CE4-D346-4F26-95A9-A4C8C49AB827}"/>
    <hyperlink ref="E196" r:id="rId74" display="PCRs\PCR_13_16062025_CYANO_diluciones_30.xls" xr:uid="{DE566A42-B7A5-4605-A35E-DD53A4BD669F}"/>
    <hyperlink ref="E625:E626" r:id="rId75" display="PCRs\PCR_19_27062025_MACRO_ULVA.xls" xr:uid="{B4A3A435-C543-4AA8-B944-C4D05B293924}"/>
    <hyperlink ref="E200" r:id="rId76" display="PCRs\PCR_8_16062025_CYANO.xls" xr:uid="{3A22BDB2-93F2-40E5-8061-0CE9EA209AFB}"/>
    <hyperlink ref="E627:E628" r:id="rId77" display="PCRs\PCR_19_27062025_MACRO_ULVA.xls" xr:uid="{A15800F7-1453-4806-BF38-C6437AC75F87}"/>
    <hyperlink ref="E629:E630" r:id="rId78" display="PCRs\PCR_19_27062025_MACRO_ULVA.xls" xr:uid="{C8DFF304-2D05-45EF-B60C-E085CE875BF1}"/>
    <hyperlink ref="E213" r:id="rId79" display="PCRs\PCR_19_27062025_MACRO_ULVA.xls" xr:uid="{9AB07C90-EFEC-4A2B-96D5-0FA5A84CC22A}"/>
    <hyperlink ref="E217" r:id="rId80" display="PCRs\PCR_19_27062025_MACRO_ULVA.xls" xr:uid="{F8D82721-19CF-42B6-9509-D0EE7B10A32F}"/>
    <hyperlink ref="E221" r:id="rId81" display="PCRs\PCR_19_27062025_MACRO_ULVA.xls" xr:uid="{D1369C1A-3CD1-47EF-9AEE-9E04738127C5}"/>
    <hyperlink ref="E634:E635" r:id="rId82" display="PCRs\PCR_19_27062025_MACRO_ULVA.xls" xr:uid="{FE86FB9A-DD61-47AB-8F62-CD6CB53DFCEE}"/>
    <hyperlink ref="E226" r:id="rId83" display="PCRs\PCR_19_27062025_MACRO_ULVA.xls" xr:uid="{295401E8-8C08-4AB3-90B8-0EEF7ED0CED0}"/>
    <hyperlink ref="E637:E638" r:id="rId84" display="PCRs\PCR_19_27062025_MACRO_ULVA.xls" xr:uid="{01DB2B93-8946-4E78-9C47-AAEDB5048732}"/>
    <hyperlink ref="E639:E640" r:id="rId85" display="PCRs\PCR_19_27062025_MACRO_ULVA.xls" xr:uid="{486508C7-CED2-45EA-B42F-F2194A0F5E17}"/>
    <hyperlink ref="E641:E642" r:id="rId86" display="PCRs\PCR_19_27062025_MACRO_ULVA.xls" xr:uid="{81D1162E-5FF2-4CFA-8D21-4D1F2FFD1A81}"/>
    <hyperlink ref="E643:E646" r:id="rId87" display="PCRs\PCR_19_27062025_MACRO_ULVA.xls" xr:uid="{56246666-6928-4D83-A006-1C76B4CA220C}"/>
    <hyperlink ref="E250" r:id="rId88" display="PCRs\PCR_19_27062025_MACRO_ULVA.xls" xr:uid="{D41DBCB7-12F3-490A-8574-6765314B915F}"/>
    <hyperlink ref="E252" r:id="rId89" display="PCRs\PCR_19_27062025_MACRO_ULVA.xls" xr:uid="{D5933D5D-899A-4633-8A99-39C74E7D2670}"/>
    <hyperlink ref="E649:E650" r:id="rId90" display="PCRs\PCR_19_27062025_MACRO_ULVA.xls" xr:uid="{013E8809-BCEC-4082-B45E-0CCA42B3FBC8}"/>
    <hyperlink ref="E651:E655" r:id="rId91" display="PCRs\PCR_19_27062025_MACRO_ULVA.xls" xr:uid="{F4225038-7B91-462D-AC70-FBF182939C70}"/>
    <hyperlink ref="E266" r:id="rId92" display="PCRs\PCR_19_27062025_MACRO_ULVA.xls" xr:uid="{E7096C72-2D86-4C6A-9E81-D8F3CCABFE57}"/>
    <hyperlink ref="E271" r:id="rId93" display="PCRs\PCR_19_27062025_MACRO_ULVA.xls" xr:uid="{FC5155A7-D61D-4AD5-895C-30BA6495D633}"/>
    <hyperlink ref="E658:E659" r:id="rId94" display="PCRs\PCR_19_27062025_MACRO_ULVA.xls" xr:uid="{9D551A3F-6EA4-4FF3-810A-5618BA663A05}"/>
    <hyperlink ref="E662:E663" r:id="rId95" display="PCRs\PCR_20_110925_euk.xls" xr:uid="{41AF4319-6338-4120-A4A9-EBA92679BE23}"/>
    <hyperlink ref="E664:E665" r:id="rId96" display="PCRs\PCR_20_110925_euk.xls" xr:uid="{308E85E8-8919-4141-9B87-46CD3ACA408E}"/>
    <hyperlink ref="E666:E667" r:id="rId97" display="PCRs\PCR_20_110925_euk.xls" xr:uid="{524AC93A-C6BA-41B4-BD70-14FDADED54EB}"/>
    <hyperlink ref="E668:E669" r:id="rId98" display="PCRs\PCR_20_110925_euk.xls" xr:uid="{53EAD55B-9FC8-416A-8F05-845807649DC4}"/>
    <hyperlink ref="E670:E671" r:id="rId99" display="PCRs\PCR_20_110925_euk.xls" xr:uid="{238014FC-422E-4F9E-8E59-AF5DD8BF165A}"/>
    <hyperlink ref="E301" r:id="rId100" display="PCRs\PCR_20_110925_euk.xls" xr:uid="{C2EB0A3C-3C4D-411F-BF75-0839DA22B724}"/>
    <hyperlink ref="E673:E674" r:id="rId101" display="PCRs\PCR_20_110925_euk.xls" xr:uid="{7AE2EE77-EBE6-46E0-BFA8-64D4C4FCB8F3}"/>
    <hyperlink ref="E675:E676" r:id="rId102" display="PCRs\PCR_20_110925_euk.xls" xr:uid="{614266EB-8320-4246-A976-B438041BC640}"/>
    <hyperlink ref="E317" r:id="rId103" display="PCRs\PCR_20_110925_euk.xls" xr:uid="{2DF47456-2808-4271-846B-73A792001BDB}"/>
    <hyperlink ref="E323" r:id="rId104" display="PCRs\PCR_20_110925_euk.xls" xr:uid="{7ADC98FE-54F9-4F79-B20F-1F9F2841882D}"/>
    <hyperlink ref="I716" r:id="rId105" display="about:blank" xr:uid="{0B61ED1C-9431-46A5-A9EA-B180D44BEE62}"/>
    <hyperlink ref="I713" r:id="rId106" display="about:blank" xr:uid="{19D89043-B34D-4DAE-AAF2-465E16027208}"/>
    <hyperlink ref="I703" r:id="rId107" display="about:blank" xr:uid="{C4585C82-1EB6-4350-926A-EF85A6AC1FA4}"/>
    <hyperlink ref="I591" r:id="rId108" display="about:blank" xr:uid="{5830D210-7771-422A-8E7D-4C4CAA402FE2}"/>
    <hyperlink ref="I590" r:id="rId109" display="about:blank" xr:uid="{A30BB989-654C-43B5-B4E5-8DECED808D0B}"/>
    <hyperlink ref="I586" r:id="rId110" display="about:blank" xr:uid="{7C1B17A8-B00E-4DEC-A6BD-A1D061792D04}"/>
    <hyperlink ref="I585" r:id="rId111" display="about:blank" xr:uid="{27F33636-B134-4B8D-A005-CCCF18C399F9}"/>
    <hyperlink ref="I529" r:id="rId112" display="about:blank" xr:uid="{99B9B565-D440-4563-B4EB-EE1935C514DE}"/>
    <hyperlink ref="I519" r:id="rId113" display="about:blank" xr:uid="{F72C7DF2-6783-4D52-8430-D273CBF9FAF1}"/>
    <hyperlink ref="I517" r:id="rId114" display="about:blank" xr:uid="{E92938DE-7E0F-46AA-9CAF-B3EEDA7E383D}"/>
    <hyperlink ref="I516" r:id="rId115" display="about:blank" xr:uid="{EF342C17-37FC-4FC3-BE81-B074C702447D}"/>
    <hyperlink ref="I503" r:id="rId116" display="about:blank" xr:uid="{50670692-AAEF-48AA-A83D-96C2ADE54447}"/>
    <hyperlink ref="I463" r:id="rId117" display="about:blank" xr:uid="{F489F4DE-0DA6-4DE2-82A3-E8584436ECF0}"/>
    <hyperlink ref="I462" r:id="rId118" display="about:blank" xr:uid="{E3788389-A9CA-4766-8676-562FE22E2CED}"/>
    <hyperlink ref="I395" r:id="rId119" display="about:blank" xr:uid="{E55C1CD5-4761-47FE-B4C1-EE1964941094}"/>
    <hyperlink ref="I384" r:id="rId120" display="about:blank" xr:uid="{7F8AD152-55B1-4AED-AC8B-3322AB762A43}"/>
    <hyperlink ref="I373" r:id="rId121" display="about:blank" xr:uid="{457BBE08-CE2A-4137-BE63-0956CDDAF1EE}"/>
    <hyperlink ref="I351" r:id="rId122" display="about:blank" xr:uid="{2B1DB7E3-50B0-4324-B15D-883734507EC2}"/>
    <hyperlink ref="I333" r:id="rId123" display="about:blank" xr:uid="{E13277EB-9F34-49F2-BDCE-B420172B1F8A}"/>
    <hyperlink ref="I329" r:id="rId124" display="about:blank" xr:uid="{DB5C78A1-B733-4707-A214-0D38AF62302B}"/>
    <hyperlink ref="I282" r:id="rId125" display="about:blank" xr:uid="{D01D7551-8DB6-40A0-8604-6FE6951299D3}"/>
    <hyperlink ref="I274" r:id="rId126" display="about:blank" xr:uid="{FBF62369-D809-4FBE-8F83-B566A3B6016E}"/>
    <hyperlink ref="I237" r:id="rId127" display="about:blank" xr:uid="{81DE4F8E-E829-4589-9836-6586FB6BF313}"/>
    <hyperlink ref="I209" r:id="rId128" display="about:blank" xr:uid="{25045162-15E0-4236-9A9C-1F9863411C8D}"/>
    <hyperlink ref="I204" r:id="rId129" display="about:blank" xr:uid="{4EE79EB1-7181-49B0-8CF6-1AE5C39A2758}"/>
    <hyperlink ref="I203" r:id="rId130" display="about:blank" xr:uid="{C2B478E8-FAF9-4C48-ADA7-04B871EE43AD}"/>
    <hyperlink ref="I187" r:id="rId131" display="about:blank" xr:uid="{E1AF7B03-A6DB-4EF4-8636-F154AD3D386F}"/>
    <hyperlink ref="I152" r:id="rId132" display="about:blank" xr:uid="{6209E267-1C30-4132-827D-8B5882B7E0DD}"/>
    <hyperlink ref="I106" r:id="rId133" display="about:blank" xr:uid="{54432403-724B-49A5-A8AD-9CE359DEA510}"/>
    <hyperlink ref="I98" r:id="rId134" display="about:blank" xr:uid="{78AEFDDC-4304-4221-A9C8-096E7A23D87B}"/>
    <hyperlink ref="I48" r:id="rId135" display="about:blank" xr:uid="{4A83EF9F-C5B7-4B27-A1D0-8C99E2A53B75}"/>
    <hyperlink ref="I62" r:id="rId136" display="about:blank" xr:uid="{7A9FE406-24BC-4367-BC56-B8A6D4372F1F}"/>
    <hyperlink ref="I67" r:id="rId137" display="about:blank" xr:uid="{93827B1F-905D-4050-A6D9-451F6586815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9011D-1531-41EF-86BE-F850E3B0EA06}">
  <dimension ref="A1:Z990"/>
  <sheetViews>
    <sheetView zoomScale="91" workbookViewId="0">
      <selection activeCell="A2" sqref="A2"/>
    </sheetView>
  </sheetViews>
  <sheetFormatPr baseColWidth="10" defaultColWidth="12.6640625" defaultRowHeight="14.4" x14ac:dyDescent="0.3"/>
  <cols>
    <col min="1" max="1" width="23.5546875" style="277" customWidth="1"/>
    <col min="2" max="12" width="11.109375" style="277" customWidth="1"/>
    <col min="13" max="13" width="31.77734375" style="277" customWidth="1"/>
    <col min="14" max="14" width="19.6640625" style="277" customWidth="1"/>
    <col min="15" max="15" width="15" style="277" customWidth="1"/>
    <col min="16" max="26" width="10.6640625" style="277" customWidth="1"/>
    <col min="27" max="16384" width="12.6640625" style="277"/>
  </cols>
  <sheetData>
    <row r="1" spans="1:26" ht="14.25" customHeight="1" x14ac:dyDescent="0.3">
      <c r="A1" s="273" t="s">
        <v>3464</v>
      </c>
      <c r="B1" s="274" t="s">
        <v>0</v>
      </c>
      <c r="C1" s="274" t="s">
        <v>1334</v>
      </c>
      <c r="D1" s="274" t="s">
        <v>1335</v>
      </c>
      <c r="E1" s="274" t="s">
        <v>1336</v>
      </c>
      <c r="F1" s="274" t="s">
        <v>1070</v>
      </c>
      <c r="G1" s="274" t="s">
        <v>1069</v>
      </c>
      <c r="H1" s="274" t="s">
        <v>1071</v>
      </c>
      <c r="I1" s="274" t="s">
        <v>1337</v>
      </c>
      <c r="J1" s="274" t="s">
        <v>1338</v>
      </c>
      <c r="K1" s="274" t="s">
        <v>1068</v>
      </c>
      <c r="L1" s="274" t="s">
        <v>1339</v>
      </c>
      <c r="M1" s="274" t="s">
        <v>1340</v>
      </c>
      <c r="N1" s="275" t="s">
        <v>12</v>
      </c>
      <c r="O1" s="275"/>
      <c r="P1" s="276"/>
      <c r="Q1" s="276"/>
      <c r="R1" s="276"/>
      <c r="S1" s="276"/>
      <c r="T1" s="276"/>
      <c r="U1" s="276"/>
      <c r="V1" s="276"/>
      <c r="W1" s="276"/>
      <c r="X1" s="276"/>
      <c r="Y1" s="276"/>
      <c r="Z1" s="276"/>
    </row>
    <row r="2" spans="1:26" ht="14.25" customHeight="1" x14ac:dyDescent="0.3">
      <c r="A2" s="278" t="s">
        <v>2205</v>
      </c>
      <c r="B2" s="279" t="s">
        <v>1341</v>
      </c>
      <c r="C2" s="279" t="s">
        <v>1342</v>
      </c>
      <c r="D2" s="280">
        <v>45824</v>
      </c>
      <c r="E2" s="279" t="s">
        <v>1343</v>
      </c>
      <c r="F2" s="276">
        <v>1</v>
      </c>
      <c r="G2" s="281" t="s">
        <v>1086</v>
      </c>
      <c r="H2" s="280">
        <v>45817</v>
      </c>
      <c r="I2" s="276" t="s">
        <v>1344</v>
      </c>
      <c r="J2" s="276" t="s">
        <v>1345</v>
      </c>
      <c r="K2" s="282" t="s">
        <v>1142</v>
      </c>
      <c r="L2" s="283">
        <v>45833</v>
      </c>
      <c r="M2" s="276" t="s">
        <v>1346</v>
      </c>
      <c r="N2" s="276"/>
      <c r="O2" s="276"/>
      <c r="P2" s="275"/>
      <c r="Q2" s="275"/>
      <c r="R2" s="275"/>
      <c r="S2" s="275"/>
      <c r="T2" s="275"/>
      <c r="U2" s="275"/>
      <c r="V2" s="275"/>
      <c r="W2" s="275"/>
      <c r="X2" s="275"/>
      <c r="Y2" s="275"/>
      <c r="Z2" s="275"/>
    </row>
    <row r="3" spans="1:26" ht="14.25" customHeight="1" x14ac:dyDescent="0.3">
      <c r="A3" s="278" t="s">
        <v>2206</v>
      </c>
      <c r="B3" s="279" t="s">
        <v>1341</v>
      </c>
      <c r="C3" s="279" t="s">
        <v>1342</v>
      </c>
      <c r="D3" s="280">
        <v>45824</v>
      </c>
      <c r="E3" s="279" t="s">
        <v>1343</v>
      </c>
      <c r="F3" s="276">
        <v>1</v>
      </c>
      <c r="G3" s="281" t="s">
        <v>1086</v>
      </c>
      <c r="H3" s="280">
        <v>45817</v>
      </c>
      <c r="I3" s="276" t="s">
        <v>1347</v>
      </c>
      <c r="J3" s="276" t="s">
        <v>1345</v>
      </c>
      <c r="K3" s="282" t="s">
        <v>1142</v>
      </c>
      <c r="L3" s="283">
        <v>45833</v>
      </c>
      <c r="M3" s="276" t="s">
        <v>1348</v>
      </c>
      <c r="N3" s="276" t="s">
        <v>1349</v>
      </c>
      <c r="O3" s="276"/>
      <c r="P3" s="276"/>
      <c r="Q3" s="276"/>
      <c r="R3" s="276"/>
      <c r="S3" s="276"/>
      <c r="T3" s="276"/>
      <c r="U3" s="276"/>
      <c r="V3" s="276"/>
      <c r="W3" s="276"/>
      <c r="X3" s="276"/>
      <c r="Y3" s="276"/>
      <c r="Z3" s="276"/>
    </row>
    <row r="4" spans="1:26" ht="14.25" customHeight="1" x14ac:dyDescent="0.3">
      <c r="A4" s="278" t="s">
        <v>2207</v>
      </c>
      <c r="B4" s="279" t="s">
        <v>1341</v>
      </c>
      <c r="C4" s="279" t="s">
        <v>1342</v>
      </c>
      <c r="D4" s="280">
        <v>45824</v>
      </c>
      <c r="E4" s="279" t="s">
        <v>1343</v>
      </c>
      <c r="F4" s="276">
        <v>1</v>
      </c>
      <c r="G4" s="281" t="s">
        <v>1086</v>
      </c>
      <c r="H4" s="280">
        <v>45817</v>
      </c>
      <c r="I4" s="276" t="s">
        <v>1344</v>
      </c>
      <c r="J4" s="276" t="s">
        <v>1345</v>
      </c>
      <c r="K4" s="284" t="s">
        <v>1208</v>
      </c>
      <c r="L4" s="283">
        <v>45833</v>
      </c>
      <c r="M4" s="276" t="s">
        <v>1350</v>
      </c>
      <c r="N4" s="276" t="s">
        <v>1349</v>
      </c>
      <c r="O4" s="276"/>
      <c r="P4" s="276"/>
      <c r="Q4" s="276"/>
      <c r="R4" s="276"/>
      <c r="S4" s="276"/>
      <c r="T4" s="276"/>
      <c r="U4" s="276"/>
      <c r="V4" s="276"/>
      <c r="W4" s="276"/>
      <c r="X4" s="276"/>
      <c r="Y4" s="276"/>
      <c r="Z4" s="276"/>
    </row>
    <row r="5" spans="1:26" ht="14.25" customHeight="1" x14ac:dyDescent="0.3">
      <c r="A5" s="278" t="s">
        <v>2208</v>
      </c>
      <c r="B5" s="279" t="s">
        <v>1341</v>
      </c>
      <c r="C5" s="279" t="s">
        <v>1342</v>
      </c>
      <c r="D5" s="280">
        <v>45824</v>
      </c>
      <c r="E5" s="279" t="s">
        <v>1343</v>
      </c>
      <c r="F5" s="276">
        <v>1</v>
      </c>
      <c r="G5" s="281" t="s">
        <v>1086</v>
      </c>
      <c r="H5" s="280">
        <v>45817</v>
      </c>
      <c r="I5" s="276" t="s">
        <v>1347</v>
      </c>
      <c r="J5" s="276" t="s">
        <v>1345</v>
      </c>
      <c r="K5" s="282" t="s">
        <v>1142</v>
      </c>
      <c r="L5" s="283">
        <v>45833</v>
      </c>
      <c r="M5" s="276" t="s">
        <v>1351</v>
      </c>
      <c r="N5" s="276" t="s">
        <v>1349</v>
      </c>
      <c r="O5" s="276"/>
      <c r="P5" s="276"/>
      <c r="Q5" s="276"/>
      <c r="R5" s="276"/>
      <c r="S5" s="276"/>
      <c r="T5" s="276"/>
      <c r="U5" s="276"/>
      <c r="V5" s="276"/>
      <c r="W5" s="276"/>
      <c r="X5" s="276"/>
      <c r="Y5" s="276"/>
      <c r="Z5" s="276"/>
    </row>
    <row r="6" spans="1:26" ht="14.25" customHeight="1" x14ac:dyDescent="0.3">
      <c r="A6" s="278" t="s">
        <v>2209</v>
      </c>
      <c r="B6" s="279" t="s">
        <v>1341</v>
      </c>
      <c r="C6" s="279" t="s">
        <v>1342</v>
      </c>
      <c r="D6" s="280">
        <v>45824</v>
      </c>
      <c r="E6" s="279" t="s">
        <v>1343</v>
      </c>
      <c r="F6" s="276">
        <v>1</v>
      </c>
      <c r="G6" s="281" t="s">
        <v>1086</v>
      </c>
      <c r="H6" s="280">
        <v>45817</v>
      </c>
      <c r="I6" s="276" t="s">
        <v>1347</v>
      </c>
      <c r="J6" s="276" t="s">
        <v>1345</v>
      </c>
      <c r="K6" s="282" t="s">
        <v>1142</v>
      </c>
      <c r="L6" s="283">
        <v>45833</v>
      </c>
      <c r="M6" s="276" t="s">
        <v>1352</v>
      </c>
      <c r="N6" s="276" t="s">
        <v>1349</v>
      </c>
      <c r="O6" s="276"/>
      <c r="P6" s="276"/>
      <c r="Q6" s="276"/>
      <c r="R6" s="276"/>
      <c r="S6" s="276"/>
      <c r="T6" s="276"/>
      <c r="U6" s="276"/>
      <c r="V6" s="276"/>
      <c r="W6" s="276"/>
      <c r="X6" s="276"/>
      <c r="Y6" s="276"/>
      <c r="Z6" s="276"/>
    </row>
    <row r="7" spans="1:26" ht="14.25" customHeight="1" x14ac:dyDescent="0.3">
      <c r="A7" s="278" t="s">
        <v>2211</v>
      </c>
      <c r="B7" s="279" t="s">
        <v>1341</v>
      </c>
      <c r="C7" s="279" t="s">
        <v>1342</v>
      </c>
      <c r="D7" s="280">
        <v>45824</v>
      </c>
      <c r="E7" s="279" t="s">
        <v>1343</v>
      </c>
      <c r="F7" s="276">
        <v>1</v>
      </c>
      <c r="G7" s="281" t="s">
        <v>1086</v>
      </c>
      <c r="H7" s="280">
        <v>45817</v>
      </c>
      <c r="I7" s="276" t="s">
        <v>1347</v>
      </c>
      <c r="J7" s="276" t="s">
        <v>1345</v>
      </c>
      <c r="K7" s="282" t="s">
        <v>1142</v>
      </c>
      <c r="L7" s="283">
        <v>45833</v>
      </c>
      <c r="M7" s="276" t="s">
        <v>1353</v>
      </c>
      <c r="N7" s="276" t="s">
        <v>1349</v>
      </c>
      <c r="O7" s="276"/>
      <c r="P7" s="276"/>
      <c r="Q7" s="276"/>
      <c r="R7" s="276"/>
      <c r="S7" s="276"/>
      <c r="T7" s="276"/>
      <c r="U7" s="276"/>
      <c r="V7" s="276"/>
      <c r="W7" s="276"/>
      <c r="X7" s="276"/>
      <c r="Y7" s="276"/>
      <c r="Z7" s="276"/>
    </row>
    <row r="8" spans="1:26" ht="14.25" customHeight="1" x14ac:dyDescent="0.3">
      <c r="A8" s="278" t="s">
        <v>2212</v>
      </c>
      <c r="B8" s="279" t="s">
        <v>1341</v>
      </c>
      <c r="C8" s="279" t="s">
        <v>1342</v>
      </c>
      <c r="D8" s="280">
        <v>45824</v>
      </c>
      <c r="E8" s="279" t="s">
        <v>1343</v>
      </c>
      <c r="F8" s="276">
        <v>1</v>
      </c>
      <c r="G8" s="281" t="s">
        <v>1086</v>
      </c>
      <c r="H8" s="280">
        <v>45817</v>
      </c>
      <c r="I8" s="276" t="s">
        <v>1347</v>
      </c>
      <c r="J8" s="276" t="s">
        <v>1345</v>
      </c>
      <c r="K8" s="282" t="s">
        <v>1142</v>
      </c>
      <c r="L8" s="283">
        <v>45833</v>
      </c>
      <c r="M8" s="276" t="s">
        <v>1354</v>
      </c>
      <c r="N8" s="276" t="s">
        <v>1349</v>
      </c>
      <c r="O8" s="276"/>
      <c r="P8" s="276"/>
      <c r="Q8" s="276"/>
      <c r="R8" s="276"/>
      <c r="S8" s="276"/>
      <c r="T8" s="276"/>
      <c r="U8" s="276"/>
      <c r="V8" s="276"/>
      <c r="W8" s="276"/>
      <c r="X8" s="276"/>
      <c r="Y8" s="276"/>
      <c r="Z8" s="276"/>
    </row>
    <row r="9" spans="1:26" ht="14.25" customHeight="1" x14ac:dyDescent="0.3">
      <c r="A9" s="285" t="s">
        <v>2827</v>
      </c>
      <c r="B9" s="279" t="s">
        <v>1341</v>
      </c>
      <c r="C9" s="279" t="s">
        <v>1342</v>
      </c>
      <c r="D9" s="280">
        <v>45824</v>
      </c>
      <c r="E9" s="279" t="s">
        <v>1180</v>
      </c>
      <c r="F9" s="279">
        <v>4</v>
      </c>
      <c r="G9" s="286" t="s">
        <v>1086</v>
      </c>
      <c r="H9" s="280">
        <v>45819</v>
      </c>
      <c r="I9" s="276" t="s">
        <v>1347</v>
      </c>
      <c r="J9" s="276" t="s">
        <v>1345</v>
      </c>
      <c r="K9" s="282" t="s">
        <v>1142</v>
      </c>
      <c r="L9" s="283">
        <v>45894</v>
      </c>
      <c r="M9" s="276" t="s">
        <v>1355</v>
      </c>
      <c r="N9" s="276" t="s">
        <v>1349</v>
      </c>
      <c r="O9" s="276"/>
      <c r="P9" s="276"/>
      <c r="Q9" s="276"/>
      <c r="R9" s="276"/>
      <c r="S9" s="276"/>
      <c r="T9" s="276"/>
      <c r="U9" s="276"/>
      <c r="V9" s="276"/>
      <c r="W9" s="276"/>
      <c r="X9" s="276"/>
      <c r="Y9" s="276"/>
      <c r="Z9" s="276"/>
    </row>
    <row r="10" spans="1:26" ht="14.25" customHeight="1" x14ac:dyDescent="0.3">
      <c r="A10" s="278" t="s">
        <v>2214</v>
      </c>
      <c r="B10" s="279" t="s">
        <v>1341</v>
      </c>
      <c r="C10" s="279" t="s">
        <v>1342</v>
      </c>
      <c r="D10" s="280">
        <v>45824</v>
      </c>
      <c r="E10" s="279" t="s">
        <v>1180</v>
      </c>
      <c r="F10" s="279">
        <v>4</v>
      </c>
      <c r="G10" s="281" t="s">
        <v>1086</v>
      </c>
      <c r="H10" s="280">
        <v>45819</v>
      </c>
      <c r="I10" s="276" t="s">
        <v>1356</v>
      </c>
      <c r="J10" s="276" t="s">
        <v>1345</v>
      </c>
      <c r="K10" s="284" t="s">
        <v>1208</v>
      </c>
      <c r="L10" s="283">
        <v>45894</v>
      </c>
      <c r="M10" s="276" t="s">
        <v>451</v>
      </c>
      <c r="N10" s="276" t="s">
        <v>1357</v>
      </c>
      <c r="O10" s="276"/>
      <c r="P10" s="276"/>
      <c r="Q10" s="276"/>
      <c r="R10" s="276"/>
      <c r="S10" s="276"/>
      <c r="T10" s="276"/>
      <c r="U10" s="276"/>
      <c r="V10" s="276"/>
      <c r="W10" s="276"/>
      <c r="X10" s="276"/>
      <c r="Y10" s="276"/>
      <c r="Z10" s="276"/>
    </row>
    <row r="11" spans="1:26" ht="14.25" customHeight="1" x14ac:dyDescent="0.3">
      <c r="A11" s="278" t="s">
        <v>2243</v>
      </c>
      <c r="B11" s="279" t="s">
        <v>1341</v>
      </c>
      <c r="C11" s="279" t="s">
        <v>1342</v>
      </c>
      <c r="D11" s="280">
        <v>45824</v>
      </c>
      <c r="E11" s="279" t="s">
        <v>1343</v>
      </c>
      <c r="F11" s="279">
        <v>5</v>
      </c>
      <c r="G11" s="281" t="s">
        <v>1086</v>
      </c>
      <c r="H11" s="280">
        <v>45820</v>
      </c>
      <c r="I11" s="276" t="s">
        <v>1347</v>
      </c>
      <c r="J11" s="276" t="s">
        <v>1345</v>
      </c>
      <c r="K11" s="282" t="s">
        <v>1142</v>
      </c>
      <c r="L11" s="283">
        <v>45894</v>
      </c>
      <c r="M11" s="276" t="s">
        <v>1358</v>
      </c>
      <c r="N11" s="276" t="s">
        <v>1349</v>
      </c>
      <c r="O11" s="276"/>
      <c r="P11" s="276"/>
      <c r="Q11" s="276"/>
      <c r="R11" s="276"/>
      <c r="S11" s="276"/>
      <c r="T11" s="276"/>
      <c r="U11" s="276"/>
      <c r="V11" s="276"/>
      <c r="W11" s="276"/>
      <c r="X11" s="276"/>
      <c r="Y11" s="276"/>
      <c r="Z11" s="276"/>
    </row>
    <row r="12" spans="1:26" ht="14.25" customHeight="1" x14ac:dyDescent="0.3">
      <c r="A12" s="278" t="s">
        <v>2254</v>
      </c>
      <c r="B12" s="279" t="s">
        <v>1341</v>
      </c>
      <c r="C12" s="279" t="s">
        <v>1342</v>
      </c>
      <c r="D12" s="280">
        <v>45824</v>
      </c>
      <c r="E12" s="279" t="s">
        <v>1343</v>
      </c>
      <c r="F12" s="279">
        <v>5</v>
      </c>
      <c r="G12" s="281" t="s">
        <v>1086</v>
      </c>
      <c r="H12" s="280">
        <v>45820</v>
      </c>
      <c r="I12" s="276" t="s">
        <v>1347</v>
      </c>
      <c r="J12" s="276" t="s">
        <v>1345</v>
      </c>
      <c r="K12" s="282" t="s">
        <v>1142</v>
      </c>
      <c r="L12" s="283">
        <v>45894</v>
      </c>
      <c r="M12" s="276" t="s">
        <v>1359</v>
      </c>
      <c r="N12" s="276" t="s">
        <v>1349</v>
      </c>
      <c r="O12" s="276"/>
      <c r="P12" s="276"/>
      <c r="Q12" s="276"/>
      <c r="R12" s="276"/>
      <c r="S12" s="276"/>
      <c r="T12" s="276"/>
      <c r="U12" s="276"/>
      <c r="V12" s="276"/>
      <c r="W12" s="276"/>
      <c r="X12" s="276"/>
      <c r="Y12" s="276"/>
      <c r="Z12" s="276"/>
    </row>
    <row r="13" spans="1:26" ht="14.25" customHeight="1" x14ac:dyDescent="0.3">
      <c r="A13" s="287" t="s">
        <v>1099</v>
      </c>
      <c r="B13" s="279" t="s">
        <v>1341</v>
      </c>
      <c r="C13" s="279" t="s">
        <v>1342</v>
      </c>
      <c r="D13" s="280">
        <v>45824</v>
      </c>
      <c r="E13" s="279" t="s">
        <v>1089</v>
      </c>
      <c r="F13" s="279">
        <v>6</v>
      </c>
      <c r="G13" s="286" t="s">
        <v>1088</v>
      </c>
      <c r="H13" s="280">
        <v>45821</v>
      </c>
      <c r="I13" s="276" t="s">
        <v>1344</v>
      </c>
      <c r="J13" s="276" t="s">
        <v>1345</v>
      </c>
      <c r="K13" s="284" t="s">
        <v>1208</v>
      </c>
      <c r="L13" s="283">
        <v>45833</v>
      </c>
      <c r="M13" s="276" t="s">
        <v>451</v>
      </c>
      <c r="N13" s="276" t="s">
        <v>1360</v>
      </c>
      <c r="O13" s="276"/>
      <c r="P13" s="276"/>
      <c r="Q13" s="276"/>
      <c r="R13" s="276"/>
      <c r="S13" s="276"/>
      <c r="T13" s="276"/>
      <c r="U13" s="276"/>
      <c r="V13" s="276"/>
      <c r="W13" s="276"/>
      <c r="X13" s="276"/>
      <c r="Y13" s="276"/>
      <c r="Z13" s="276"/>
    </row>
    <row r="14" spans="1:26" ht="14.25" customHeight="1" x14ac:dyDescent="0.3">
      <c r="A14" s="288" t="s">
        <v>1099</v>
      </c>
      <c r="B14" s="279" t="s">
        <v>1341</v>
      </c>
      <c r="C14" s="279" t="s">
        <v>1342</v>
      </c>
      <c r="D14" s="280">
        <v>45824</v>
      </c>
      <c r="E14" s="279" t="s">
        <v>1089</v>
      </c>
      <c r="F14" s="279">
        <v>6</v>
      </c>
      <c r="G14" s="286" t="s">
        <v>1088</v>
      </c>
      <c r="H14" s="280">
        <v>45821</v>
      </c>
      <c r="I14" s="276" t="s">
        <v>1344</v>
      </c>
      <c r="J14" s="276" t="s">
        <v>1345</v>
      </c>
      <c r="K14" s="284" t="s">
        <v>1208</v>
      </c>
      <c r="L14" s="283">
        <v>45833</v>
      </c>
      <c r="M14" s="276" t="s">
        <v>451</v>
      </c>
      <c r="N14" s="276" t="s">
        <v>1360</v>
      </c>
      <c r="O14" s="276"/>
      <c r="P14" s="276"/>
      <c r="Q14" s="276"/>
      <c r="R14" s="276"/>
      <c r="S14" s="276"/>
      <c r="T14" s="276"/>
      <c r="U14" s="276"/>
      <c r="V14" s="276"/>
      <c r="W14" s="276"/>
      <c r="X14" s="276"/>
      <c r="Y14" s="276"/>
      <c r="Z14" s="276"/>
    </row>
    <row r="15" spans="1:26" ht="14.25" customHeight="1" x14ac:dyDescent="0.3">
      <c r="A15" s="287" t="s">
        <v>1105</v>
      </c>
      <c r="B15" s="279" t="s">
        <v>1341</v>
      </c>
      <c r="C15" s="279" t="s">
        <v>1342</v>
      </c>
      <c r="D15" s="280">
        <v>45824</v>
      </c>
      <c r="E15" s="279" t="s">
        <v>1089</v>
      </c>
      <c r="F15" s="279">
        <v>5</v>
      </c>
      <c r="G15" s="286" t="s">
        <v>1088</v>
      </c>
      <c r="H15" s="280">
        <v>45820</v>
      </c>
      <c r="I15" s="276" t="s">
        <v>1356</v>
      </c>
      <c r="J15" s="276" t="s">
        <v>1345</v>
      </c>
      <c r="K15" s="282" t="s">
        <v>1142</v>
      </c>
      <c r="L15" s="283">
        <v>45894</v>
      </c>
      <c r="M15" s="291" t="s">
        <v>2746</v>
      </c>
      <c r="N15" s="276" t="s">
        <v>1078</v>
      </c>
      <c r="O15" s="276" t="s">
        <v>1361</v>
      </c>
      <c r="P15" s="276"/>
      <c r="Q15" s="276"/>
      <c r="R15" s="276"/>
      <c r="S15" s="276"/>
      <c r="T15" s="276"/>
      <c r="U15" s="276"/>
      <c r="V15" s="276"/>
      <c r="W15" s="276"/>
      <c r="X15" s="276"/>
      <c r="Y15" s="276"/>
      <c r="Z15" s="276"/>
    </row>
    <row r="16" spans="1:26" ht="14.25" customHeight="1" x14ac:dyDescent="0.3">
      <c r="A16" s="287" t="s">
        <v>2171</v>
      </c>
      <c r="B16" s="279" t="s">
        <v>1341</v>
      </c>
      <c r="C16" s="279" t="s">
        <v>1342</v>
      </c>
      <c r="D16" s="280">
        <v>45824</v>
      </c>
      <c r="E16" s="279" t="s">
        <v>1089</v>
      </c>
      <c r="F16" s="279">
        <v>5</v>
      </c>
      <c r="G16" s="286" t="s">
        <v>1088</v>
      </c>
      <c r="H16" s="280">
        <v>45820</v>
      </c>
      <c r="I16" s="276" t="s">
        <v>1356</v>
      </c>
      <c r="J16" s="276" t="s">
        <v>1345</v>
      </c>
      <c r="K16" s="284" t="s">
        <v>1208</v>
      </c>
      <c r="L16" s="283">
        <v>45894</v>
      </c>
      <c r="M16" s="276" t="s">
        <v>451</v>
      </c>
      <c r="N16" s="276"/>
      <c r="O16" s="276" t="s">
        <v>1361</v>
      </c>
      <c r="P16" s="276"/>
      <c r="Q16" s="276"/>
      <c r="R16" s="276"/>
      <c r="S16" s="276"/>
      <c r="T16" s="276"/>
      <c r="U16" s="276"/>
      <c r="V16" s="276"/>
      <c r="W16" s="276"/>
      <c r="X16" s="276"/>
      <c r="Y16" s="276"/>
      <c r="Z16" s="276"/>
    </row>
    <row r="17" spans="1:26" ht="14.25" customHeight="1" x14ac:dyDescent="0.3">
      <c r="A17" s="287" t="s">
        <v>562</v>
      </c>
      <c r="B17" s="279" t="s">
        <v>1341</v>
      </c>
      <c r="C17" s="279" t="s">
        <v>1342</v>
      </c>
      <c r="D17" s="280">
        <v>45824</v>
      </c>
      <c r="E17" s="279" t="s">
        <v>1089</v>
      </c>
      <c r="F17" s="279">
        <v>5</v>
      </c>
      <c r="G17" s="286" t="s">
        <v>1088</v>
      </c>
      <c r="H17" s="280">
        <v>45820</v>
      </c>
      <c r="I17" s="276" t="s">
        <v>1362</v>
      </c>
      <c r="J17" s="276" t="s">
        <v>1345</v>
      </c>
      <c r="K17" s="282" t="s">
        <v>1142</v>
      </c>
      <c r="L17" s="283">
        <v>45894</v>
      </c>
      <c r="M17" s="291" t="s">
        <v>2747</v>
      </c>
      <c r="N17" s="276" t="s">
        <v>1142</v>
      </c>
      <c r="O17" s="276" t="s">
        <v>1361</v>
      </c>
      <c r="P17" s="276"/>
      <c r="Q17" s="276"/>
      <c r="R17" s="276"/>
      <c r="S17" s="276"/>
      <c r="T17" s="276"/>
      <c r="U17" s="276"/>
      <c r="V17" s="276"/>
      <c r="W17" s="276"/>
      <c r="X17" s="276"/>
      <c r="Y17" s="276"/>
      <c r="Z17" s="276"/>
    </row>
    <row r="18" spans="1:26" ht="14.25" customHeight="1" x14ac:dyDescent="0.3">
      <c r="A18" s="287" t="s">
        <v>2172</v>
      </c>
      <c r="B18" s="279" t="s">
        <v>1341</v>
      </c>
      <c r="C18" s="279" t="s">
        <v>1342</v>
      </c>
      <c r="D18" s="280">
        <v>45824</v>
      </c>
      <c r="E18" s="279" t="s">
        <v>1089</v>
      </c>
      <c r="F18" s="279">
        <v>5</v>
      </c>
      <c r="G18" s="286" t="s">
        <v>1088</v>
      </c>
      <c r="H18" s="280">
        <v>45820</v>
      </c>
      <c r="I18" s="276" t="s">
        <v>1356</v>
      </c>
      <c r="J18" s="276" t="s">
        <v>1345</v>
      </c>
      <c r="K18" s="284" t="s">
        <v>1208</v>
      </c>
      <c r="L18" s="283">
        <v>45894</v>
      </c>
      <c r="M18" s="276" t="s">
        <v>451</v>
      </c>
      <c r="N18" s="276"/>
      <c r="O18" s="276" t="s">
        <v>1361</v>
      </c>
      <c r="P18" s="276"/>
      <c r="Q18" s="276"/>
      <c r="R18" s="276"/>
      <c r="S18" s="276"/>
      <c r="T18" s="276"/>
      <c r="U18" s="276"/>
      <c r="V18" s="276"/>
      <c r="W18" s="276"/>
      <c r="X18" s="276"/>
      <c r="Y18" s="276"/>
      <c r="Z18" s="276"/>
    </row>
    <row r="19" spans="1:26" ht="14.25" customHeight="1" x14ac:dyDescent="0.3">
      <c r="A19" s="287" t="s">
        <v>1116</v>
      </c>
      <c r="B19" s="279" t="s">
        <v>1341</v>
      </c>
      <c r="C19" s="279" t="s">
        <v>1342</v>
      </c>
      <c r="D19" s="280">
        <v>45824</v>
      </c>
      <c r="E19" s="279" t="s">
        <v>1089</v>
      </c>
      <c r="F19" s="279">
        <v>6</v>
      </c>
      <c r="G19" s="286" t="s">
        <v>1088</v>
      </c>
      <c r="H19" s="280">
        <v>45821</v>
      </c>
      <c r="I19" s="276" t="s">
        <v>1347</v>
      </c>
      <c r="J19" s="276" t="s">
        <v>1345</v>
      </c>
      <c r="K19" s="282" t="s">
        <v>1142</v>
      </c>
      <c r="L19" s="283">
        <v>45894</v>
      </c>
      <c r="M19" s="291" t="s">
        <v>2641</v>
      </c>
      <c r="N19" s="276"/>
      <c r="O19" s="276" t="s">
        <v>1363</v>
      </c>
      <c r="P19" s="276"/>
      <c r="Q19" s="276"/>
      <c r="R19" s="276"/>
      <c r="S19" s="276"/>
      <c r="T19" s="276"/>
      <c r="U19" s="276"/>
      <c r="V19" s="276"/>
      <c r="W19" s="276"/>
      <c r="X19" s="276"/>
      <c r="Y19" s="276"/>
      <c r="Z19" s="276"/>
    </row>
    <row r="20" spans="1:26" ht="14.25" customHeight="1" x14ac:dyDescent="0.3">
      <c r="A20" s="289" t="s">
        <v>577</v>
      </c>
      <c r="B20" s="279" t="s">
        <v>1341</v>
      </c>
      <c r="C20" s="279" t="s">
        <v>1342</v>
      </c>
      <c r="D20" s="280">
        <v>45824</v>
      </c>
      <c r="E20" s="279" t="s">
        <v>1089</v>
      </c>
      <c r="F20" s="279">
        <v>5</v>
      </c>
      <c r="G20" s="286" t="s">
        <v>1088</v>
      </c>
      <c r="H20" s="280">
        <v>45820</v>
      </c>
      <c r="I20" s="276" t="s">
        <v>1356</v>
      </c>
      <c r="J20" s="276" t="s">
        <v>1345</v>
      </c>
      <c r="K20" s="282" t="s">
        <v>1142</v>
      </c>
      <c r="L20" s="283">
        <v>45894</v>
      </c>
      <c r="M20" s="291" t="s">
        <v>2748</v>
      </c>
      <c r="N20" s="276"/>
      <c r="O20" s="276" t="s">
        <v>1364</v>
      </c>
      <c r="P20" s="276"/>
      <c r="Q20" s="276"/>
      <c r="R20" s="276"/>
      <c r="S20" s="276"/>
      <c r="T20" s="276"/>
      <c r="U20" s="276"/>
      <c r="V20" s="276"/>
      <c r="W20" s="276"/>
      <c r="X20" s="276"/>
      <c r="Y20" s="276"/>
      <c r="Z20" s="276"/>
    </row>
    <row r="21" spans="1:26" ht="14.25" customHeight="1" x14ac:dyDescent="0.3">
      <c r="A21" s="287" t="s">
        <v>2174</v>
      </c>
      <c r="B21" s="279" t="s">
        <v>1341</v>
      </c>
      <c r="C21" s="279" t="s">
        <v>1342</v>
      </c>
      <c r="D21" s="280">
        <v>45824</v>
      </c>
      <c r="E21" s="279" t="s">
        <v>1089</v>
      </c>
      <c r="F21" s="279">
        <v>5</v>
      </c>
      <c r="G21" s="286" t="s">
        <v>1088</v>
      </c>
      <c r="H21" s="280">
        <v>45820</v>
      </c>
      <c r="I21" s="276" t="s">
        <v>1356</v>
      </c>
      <c r="J21" s="276" t="s">
        <v>1345</v>
      </c>
      <c r="K21" s="284" t="s">
        <v>1208</v>
      </c>
      <c r="L21" s="283">
        <v>45894</v>
      </c>
      <c r="M21" s="276" t="s">
        <v>451</v>
      </c>
      <c r="N21" s="276"/>
      <c r="O21" s="276"/>
      <c r="P21" s="276"/>
      <c r="Q21" s="276"/>
      <c r="R21" s="276"/>
      <c r="S21" s="276"/>
      <c r="T21" s="276"/>
      <c r="U21" s="276"/>
      <c r="V21" s="276"/>
      <c r="W21" s="276"/>
      <c r="X21" s="276"/>
      <c r="Y21" s="276"/>
      <c r="Z21" s="276"/>
    </row>
    <row r="22" spans="1:26" ht="14.25" customHeight="1" x14ac:dyDescent="0.3">
      <c r="A22" s="287" t="s">
        <v>1118</v>
      </c>
      <c r="B22" s="279" t="s">
        <v>1341</v>
      </c>
      <c r="C22" s="279" t="s">
        <v>1342</v>
      </c>
      <c r="D22" s="280">
        <v>45824</v>
      </c>
      <c r="E22" s="279" t="s">
        <v>1089</v>
      </c>
      <c r="F22" s="279">
        <v>6</v>
      </c>
      <c r="G22" s="286" t="s">
        <v>1088</v>
      </c>
      <c r="H22" s="280">
        <v>45821</v>
      </c>
      <c r="I22" s="276" t="s">
        <v>1347</v>
      </c>
      <c r="J22" s="276" t="s">
        <v>1345</v>
      </c>
      <c r="K22" s="282" t="s">
        <v>1142</v>
      </c>
      <c r="L22" s="283">
        <v>45894</v>
      </c>
      <c r="M22" s="291" t="s">
        <v>2670</v>
      </c>
      <c r="N22" s="276"/>
      <c r="O22" s="276"/>
      <c r="P22" s="276"/>
      <c r="Q22" s="276"/>
      <c r="R22" s="276"/>
      <c r="S22" s="276"/>
      <c r="T22" s="276"/>
      <c r="U22" s="276"/>
      <c r="V22" s="276"/>
      <c r="W22" s="276"/>
      <c r="X22" s="276"/>
      <c r="Y22" s="276"/>
      <c r="Z22" s="276"/>
    </row>
    <row r="23" spans="1:26" ht="14.25" customHeight="1" x14ac:dyDescent="0.3">
      <c r="A23" s="287" t="s">
        <v>1119</v>
      </c>
      <c r="B23" s="279" t="s">
        <v>1341</v>
      </c>
      <c r="C23" s="279" t="s">
        <v>1342</v>
      </c>
      <c r="D23" s="280">
        <v>45824</v>
      </c>
      <c r="E23" s="279" t="s">
        <v>1089</v>
      </c>
      <c r="F23" s="279">
        <v>5</v>
      </c>
      <c r="G23" s="286" t="s">
        <v>1088</v>
      </c>
      <c r="H23" s="280">
        <v>45820</v>
      </c>
      <c r="I23" s="276" t="s">
        <v>1356</v>
      </c>
      <c r="J23" s="276" t="s">
        <v>1345</v>
      </c>
      <c r="K23" s="284" t="s">
        <v>1128</v>
      </c>
      <c r="L23" s="283">
        <v>45894</v>
      </c>
      <c r="M23" s="276" t="s">
        <v>451</v>
      </c>
      <c r="N23" s="276"/>
      <c r="O23" s="276"/>
      <c r="P23" s="276"/>
      <c r="Q23" s="276"/>
      <c r="R23" s="276"/>
      <c r="S23" s="276"/>
      <c r="T23" s="276"/>
      <c r="U23" s="276"/>
      <c r="V23" s="276"/>
      <c r="W23" s="276"/>
      <c r="X23" s="276"/>
      <c r="Y23" s="276"/>
      <c r="Z23" s="276"/>
    </row>
    <row r="24" spans="1:26" ht="14.25" customHeight="1" x14ac:dyDescent="0.3">
      <c r="A24" s="287" t="s">
        <v>1120</v>
      </c>
      <c r="B24" s="279" t="s">
        <v>1341</v>
      </c>
      <c r="C24" s="279" t="s">
        <v>1342</v>
      </c>
      <c r="D24" s="280">
        <v>45824</v>
      </c>
      <c r="E24" s="279" t="s">
        <v>1089</v>
      </c>
      <c r="F24" s="279">
        <v>5</v>
      </c>
      <c r="G24" s="286" t="s">
        <v>1088</v>
      </c>
      <c r="H24" s="280">
        <v>45820</v>
      </c>
      <c r="I24" s="276" t="s">
        <v>1347</v>
      </c>
      <c r="J24" s="276" t="s">
        <v>1345</v>
      </c>
      <c r="K24" s="282" t="s">
        <v>1142</v>
      </c>
      <c r="L24" s="283">
        <v>45894</v>
      </c>
      <c r="M24" s="291" t="s">
        <v>2749</v>
      </c>
      <c r="N24" s="276"/>
      <c r="O24" s="276"/>
      <c r="P24" s="276"/>
      <c r="Q24" s="276"/>
      <c r="R24" s="276"/>
      <c r="S24" s="276"/>
      <c r="T24" s="276"/>
      <c r="U24" s="276"/>
      <c r="V24" s="276"/>
      <c r="W24" s="276"/>
      <c r="X24" s="276"/>
      <c r="Y24" s="276"/>
      <c r="Z24" s="276"/>
    </row>
    <row r="25" spans="1:26" ht="14.25" customHeight="1" x14ac:dyDescent="0.3">
      <c r="A25" s="287" t="s">
        <v>595</v>
      </c>
      <c r="B25" s="279" t="s">
        <v>1341</v>
      </c>
      <c r="C25" s="279" t="s">
        <v>1342</v>
      </c>
      <c r="D25" s="280">
        <v>45824</v>
      </c>
      <c r="E25" s="279" t="s">
        <v>1089</v>
      </c>
      <c r="F25" s="279">
        <v>6</v>
      </c>
      <c r="G25" s="286" t="s">
        <v>1088</v>
      </c>
      <c r="H25" s="280">
        <v>45821</v>
      </c>
      <c r="I25" s="276" t="s">
        <v>1347</v>
      </c>
      <c r="J25" s="276" t="s">
        <v>1345</v>
      </c>
      <c r="K25" s="282" t="s">
        <v>1142</v>
      </c>
      <c r="L25" s="283">
        <v>45894</v>
      </c>
      <c r="M25" s="291" t="s">
        <v>2750</v>
      </c>
      <c r="N25" s="276"/>
      <c r="O25" s="276"/>
      <c r="P25" s="276"/>
      <c r="Q25" s="276"/>
      <c r="R25" s="276"/>
      <c r="S25" s="276"/>
      <c r="T25" s="276"/>
      <c r="U25" s="276"/>
      <c r="V25" s="276"/>
      <c r="W25" s="276"/>
      <c r="X25" s="276"/>
      <c r="Y25" s="276"/>
      <c r="Z25" s="276"/>
    </row>
    <row r="26" spans="1:26" ht="14.25" customHeight="1" x14ac:dyDescent="0.3">
      <c r="A26" s="287" t="s">
        <v>1129</v>
      </c>
      <c r="B26" s="279" t="s">
        <v>1341</v>
      </c>
      <c r="C26" s="279" t="s">
        <v>1342</v>
      </c>
      <c r="D26" s="280">
        <v>45824</v>
      </c>
      <c r="E26" s="279" t="s">
        <v>1089</v>
      </c>
      <c r="F26" s="279">
        <v>5</v>
      </c>
      <c r="G26" s="286" t="s">
        <v>1088</v>
      </c>
      <c r="H26" s="280">
        <v>45820</v>
      </c>
      <c r="I26" s="276" t="s">
        <v>1347</v>
      </c>
      <c r="J26" s="276" t="s">
        <v>1345</v>
      </c>
      <c r="K26" s="282" t="s">
        <v>1142</v>
      </c>
      <c r="L26" s="283">
        <v>45894</v>
      </c>
      <c r="M26" s="291" t="s">
        <v>2751</v>
      </c>
      <c r="N26" s="276"/>
      <c r="O26" s="276"/>
      <c r="P26" s="276"/>
      <c r="Q26" s="276"/>
      <c r="R26" s="276"/>
      <c r="S26" s="276"/>
      <c r="T26" s="276"/>
      <c r="U26" s="276"/>
      <c r="V26" s="276"/>
      <c r="W26" s="276"/>
      <c r="X26" s="276"/>
      <c r="Y26" s="276"/>
      <c r="Z26" s="276"/>
    </row>
    <row r="27" spans="1:26" ht="14.25" customHeight="1" x14ac:dyDescent="0.3">
      <c r="A27" s="287" t="s">
        <v>1135</v>
      </c>
      <c r="B27" s="279" t="s">
        <v>1341</v>
      </c>
      <c r="C27" s="279" t="s">
        <v>1342</v>
      </c>
      <c r="D27" s="280">
        <v>45824</v>
      </c>
      <c r="E27" s="279" t="s">
        <v>1089</v>
      </c>
      <c r="F27" s="279">
        <v>5</v>
      </c>
      <c r="G27" s="286" t="s">
        <v>1088</v>
      </c>
      <c r="H27" s="280">
        <v>45820</v>
      </c>
      <c r="I27" s="276" t="s">
        <v>1356</v>
      </c>
      <c r="J27" s="276" t="s">
        <v>1345</v>
      </c>
      <c r="K27" s="284" t="s">
        <v>1208</v>
      </c>
      <c r="L27" s="283">
        <v>45894</v>
      </c>
      <c r="M27" s="276" t="s">
        <v>451</v>
      </c>
      <c r="N27" s="276"/>
      <c r="O27" s="276"/>
      <c r="P27" s="276"/>
      <c r="Q27" s="276"/>
      <c r="R27" s="276"/>
      <c r="S27" s="276"/>
      <c r="T27" s="276"/>
      <c r="U27" s="276"/>
      <c r="V27" s="276"/>
      <c r="W27" s="276"/>
      <c r="X27" s="276"/>
      <c r="Y27" s="276"/>
      <c r="Z27" s="276"/>
    </row>
    <row r="28" spans="1:26" ht="14.25" customHeight="1" x14ac:dyDescent="0.3">
      <c r="A28" s="287" t="s">
        <v>1136</v>
      </c>
      <c r="B28" s="279" t="s">
        <v>1341</v>
      </c>
      <c r="C28" s="279" t="s">
        <v>1342</v>
      </c>
      <c r="D28" s="280">
        <v>45824</v>
      </c>
      <c r="E28" s="279" t="s">
        <v>1089</v>
      </c>
      <c r="F28" s="279">
        <v>5</v>
      </c>
      <c r="G28" s="286" t="s">
        <v>1088</v>
      </c>
      <c r="H28" s="280">
        <v>45820</v>
      </c>
      <c r="I28" s="276" t="s">
        <v>1347</v>
      </c>
      <c r="J28" s="276" t="s">
        <v>1345</v>
      </c>
      <c r="K28" s="282" t="s">
        <v>1142</v>
      </c>
      <c r="L28" s="283">
        <v>45894</v>
      </c>
      <c r="M28" s="291" t="s">
        <v>2752</v>
      </c>
      <c r="N28" s="276" t="s">
        <v>1142</v>
      </c>
      <c r="O28" s="276"/>
      <c r="P28" s="276"/>
      <c r="Q28" s="276"/>
      <c r="R28" s="276"/>
      <c r="S28" s="276"/>
      <c r="T28" s="276"/>
      <c r="U28" s="276"/>
      <c r="V28" s="276"/>
      <c r="W28" s="276"/>
      <c r="X28" s="276"/>
      <c r="Y28" s="276"/>
      <c r="Z28" s="276"/>
    </row>
    <row r="29" spans="1:26" ht="14.25" customHeight="1" x14ac:dyDescent="0.3">
      <c r="A29" s="287" t="s">
        <v>2240</v>
      </c>
      <c r="B29" s="279" t="s">
        <v>1341</v>
      </c>
      <c r="C29" s="279" t="s">
        <v>1342</v>
      </c>
      <c r="D29" s="280">
        <v>45824</v>
      </c>
      <c r="E29" s="279" t="s">
        <v>1089</v>
      </c>
      <c r="F29" s="279">
        <v>5</v>
      </c>
      <c r="G29" s="286" t="s">
        <v>1088</v>
      </c>
      <c r="H29" s="280">
        <v>45820</v>
      </c>
      <c r="I29" s="276" t="s">
        <v>1356</v>
      </c>
      <c r="J29" s="276" t="s">
        <v>1345</v>
      </c>
      <c r="K29" s="284" t="s">
        <v>1128</v>
      </c>
      <c r="L29" s="283">
        <v>45894</v>
      </c>
      <c r="M29" s="276" t="s">
        <v>451</v>
      </c>
      <c r="N29" s="276"/>
      <c r="O29" s="276"/>
      <c r="P29" s="276"/>
      <c r="Q29" s="276"/>
      <c r="R29" s="276"/>
      <c r="S29" s="276"/>
      <c r="T29" s="276"/>
      <c r="U29" s="276"/>
      <c r="V29" s="276"/>
      <c r="W29" s="276"/>
      <c r="X29" s="276"/>
      <c r="Y29" s="276"/>
      <c r="Z29" s="276"/>
    </row>
    <row r="30" spans="1:26" ht="14.25" customHeight="1" x14ac:dyDescent="0.3">
      <c r="A30" s="287" t="s">
        <v>2179</v>
      </c>
      <c r="B30" s="279" t="s">
        <v>1341</v>
      </c>
      <c r="C30" s="279" t="s">
        <v>1342</v>
      </c>
      <c r="D30" s="280">
        <v>45824</v>
      </c>
      <c r="E30" s="279" t="s">
        <v>1089</v>
      </c>
      <c r="F30" s="279">
        <v>5</v>
      </c>
      <c r="G30" s="286" t="s">
        <v>1088</v>
      </c>
      <c r="H30" s="280">
        <v>45820</v>
      </c>
      <c r="I30" s="276" t="s">
        <v>1356</v>
      </c>
      <c r="J30" s="276" t="s">
        <v>1345</v>
      </c>
      <c r="K30" s="284" t="s">
        <v>1208</v>
      </c>
      <c r="L30" s="283">
        <v>45894</v>
      </c>
      <c r="M30" s="276" t="s">
        <v>451</v>
      </c>
      <c r="N30" s="276"/>
      <c r="O30" s="276"/>
      <c r="P30" s="276"/>
      <c r="Q30" s="276"/>
      <c r="R30" s="276"/>
      <c r="S30" s="276"/>
      <c r="T30" s="276"/>
      <c r="U30" s="276"/>
      <c r="V30" s="276"/>
      <c r="W30" s="276"/>
      <c r="X30" s="276"/>
      <c r="Y30" s="276"/>
      <c r="Z30" s="276"/>
    </row>
    <row r="31" spans="1:26" ht="14.25" customHeight="1" x14ac:dyDescent="0.3">
      <c r="A31" s="287" t="s">
        <v>1147</v>
      </c>
      <c r="B31" s="279" t="s">
        <v>1341</v>
      </c>
      <c r="C31" s="279" t="s">
        <v>1342</v>
      </c>
      <c r="D31" s="280">
        <v>45824</v>
      </c>
      <c r="E31" s="279" t="s">
        <v>1089</v>
      </c>
      <c r="F31" s="279">
        <v>5</v>
      </c>
      <c r="G31" s="286" t="s">
        <v>1088</v>
      </c>
      <c r="H31" s="280">
        <v>45820</v>
      </c>
      <c r="I31" s="276" t="s">
        <v>1356</v>
      </c>
      <c r="J31" s="276" t="s">
        <v>1345</v>
      </c>
      <c r="K31" s="282" t="s">
        <v>1142</v>
      </c>
      <c r="L31" s="283">
        <v>45894</v>
      </c>
      <c r="M31" s="291" t="s">
        <v>2753</v>
      </c>
      <c r="N31" s="276" t="s">
        <v>1078</v>
      </c>
      <c r="O31" s="276" t="s">
        <v>1363</v>
      </c>
      <c r="P31" s="276"/>
      <c r="Q31" s="276"/>
      <c r="R31" s="276"/>
      <c r="S31" s="276"/>
      <c r="T31" s="276"/>
      <c r="U31" s="276"/>
      <c r="V31" s="276"/>
      <c r="W31" s="276"/>
      <c r="X31" s="276"/>
      <c r="Y31" s="276"/>
      <c r="Z31" s="276"/>
    </row>
    <row r="32" spans="1:26" ht="14.25" customHeight="1" x14ac:dyDescent="0.3">
      <c r="A32" s="287" t="s">
        <v>1151</v>
      </c>
      <c r="B32" s="279" t="s">
        <v>1341</v>
      </c>
      <c r="C32" s="279" t="s">
        <v>1342</v>
      </c>
      <c r="D32" s="280">
        <v>45824</v>
      </c>
      <c r="E32" s="279" t="s">
        <v>1089</v>
      </c>
      <c r="F32" s="279">
        <v>5</v>
      </c>
      <c r="G32" s="286" t="s">
        <v>1088</v>
      </c>
      <c r="H32" s="280">
        <v>45820</v>
      </c>
      <c r="I32" s="276" t="s">
        <v>1356</v>
      </c>
      <c r="J32" s="276" t="s">
        <v>1345</v>
      </c>
      <c r="K32" s="282" t="s">
        <v>1142</v>
      </c>
      <c r="L32" s="283">
        <v>45894</v>
      </c>
      <c r="M32" s="291" t="s">
        <v>2754</v>
      </c>
      <c r="N32" s="276" t="s">
        <v>1078</v>
      </c>
      <c r="O32" s="276" t="s">
        <v>1364</v>
      </c>
      <c r="P32" s="276"/>
      <c r="Q32" s="276"/>
      <c r="R32" s="276"/>
      <c r="S32" s="276"/>
      <c r="T32" s="276"/>
      <c r="U32" s="276"/>
      <c r="V32" s="276"/>
      <c r="W32" s="276"/>
      <c r="X32" s="276"/>
      <c r="Y32" s="276"/>
      <c r="Z32" s="276"/>
    </row>
    <row r="33" spans="1:26" ht="14.25" customHeight="1" x14ac:dyDescent="0.3">
      <c r="A33" s="287" t="s">
        <v>2241</v>
      </c>
      <c r="B33" s="279" t="s">
        <v>1341</v>
      </c>
      <c r="C33" s="279" t="s">
        <v>1342</v>
      </c>
      <c r="D33" s="280">
        <v>45824</v>
      </c>
      <c r="E33" s="279" t="s">
        <v>1180</v>
      </c>
      <c r="F33" s="279">
        <v>4</v>
      </c>
      <c r="G33" s="281" t="s">
        <v>1086</v>
      </c>
      <c r="H33" s="280">
        <v>45819</v>
      </c>
      <c r="I33" s="276" t="s">
        <v>1356</v>
      </c>
      <c r="J33" s="276" t="s">
        <v>1345</v>
      </c>
      <c r="K33" s="284" t="s">
        <v>1208</v>
      </c>
      <c r="L33" s="283">
        <v>45894</v>
      </c>
      <c r="M33" s="276" t="s">
        <v>451</v>
      </c>
      <c r="N33" s="276" t="s">
        <v>1365</v>
      </c>
      <c r="O33" s="276"/>
      <c r="P33" s="276"/>
      <c r="Q33" s="276"/>
      <c r="R33" s="276"/>
      <c r="S33" s="276"/>
      <c r="T33" s="276"/>
      <c r="U33" s="276"/>
      <c r="V33" s="276"/>
      <c r="W33" s="276"/>
      <c r="X33" s="276"/>
      <c r="Y33" s="276"/>
      <c r="Z33" s="276"/>
    </row>
    <row r="34" spans="1:26" ht="14.25" customHeight="1" x14ac:dyDescent="0.3">
      <c r="A34" s="285" t="s">
        <v>1174</v>
      </c>
      <c r="B34" s="279" t="s">
        <v>1341</v>
      </c>
      <c r="C34" s="279" t="s">
        <v>1342</v>
      </c>
      <c r="D34" s="280">
        <v>45824</v>
      </c>
      <c r="E34" s="279" t="s">
        <v>1180</v>
      </c>
      <c r="F34" s="279">
        <v>4</v>
      </c>
      <c r="G34" s="281" t="s">
        <v>1086</v>
      </c>
      <c r="H34" s="280">
        <v>45819</v>
      </c>
      <c r="I34" s="276" t="s">
        <v>1347</v>
      </c>
      <c r="J34" s="276" t="s">
        <v>1345</v>
      </c>
      <c r="K34" s="282" t="s">
        <v>1142</v>
      </c>
      <c r="L34" s="283">
        <v>45894</v>
      </c>
      <c r="M34" s="276" t="s">
        <v>1366</v>
      </c>
      <c r="N34" s="276" t="s">
        <v>1365</v>
      </c>
      <c r="O34" s="276"/>
      <c r="P34" s="276"/>
      <c r="Q34" s="276"/>
      <c r="R34" s="276"/>
      <c r="S34" s="276"/>
      <c r="T34" s="276"/>
      <c r="U34" s="276"/>
      <c r="V34" s="276"/>
      <c r="W34" s="276"/>
      <c r="X34" s="276"/>
      <c r="Y34" s="276"/>
      <c r="Z34" s="276"/>
    </row>
    <row r="35" spans="1:26" ht="14.25" customHeight="1" x14ac:dyDescent="0.3">
      <c r="A35" s="278" t="s">
        <v>1175</v>
      </c>
      <c r="B35" s="279" t="s">
        <v>1341</v>
      </c>
      <c r="C35" s="279" t="s">
        <v>1342</v>
      </c>
      <c r="D35" s="280">
        <v>45824</v>
      </c>
      <c r="E35" s="279" t="s">
        <v>1180</v>
      </c>
      <c r="F35" s="279">
        <v>4</v>
      </c>
      <c r="G35" s="281" t="s">
        <v>1086</v>
      </c>
      <c r="H35" s="280">
        <v>45819</v>
      </c>
      <c r="I35" s="276" t="s">
        <v>1362</v>
      </c>
      <c r="J35" s="276" t="s">
        <v>1345</v>
      </c>
      <c r="K35" s="290" t="s">
        <v>1142</v>
      </c>
      <c r="L35" s="283">
        <v>45894</v>
      </c>
      <c r="M35" s="276" t="s">
        <v>1367</v>
      </c>
      <c r="N35" s="276" t="s">
        <v>1365</v>
      </c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Y35" s="276"/>
      <c r="Z35" s="276"/>
    </row>
    <row r="36" spans="1:26" ht="14.25" customHeight="1" x14ac:dyDescent="0.3">
      <c r="A36" s="278" t="s">
        <v>1176</v>
      </c>
      <c r="B36" s="279" t="s">
        <v>1341</v>
      </c>
      <c r="C36" s="279" t="s">
        <v>1342</v>
      </c>
      <c r="D36" s="280">
        <v>45824</v>
      </c>
      <c r="E36" s="279" t="s">
        <v>1180</v>
      </c>
      <c r="F36" s="279">
        <v>4</v>
      </c>
      <c r="G36" s="281" t="s">
        <v>1086</v>
      </c>
      <c r="H36" s="280">
        <v>45819</v>
      </c>
      <c r="I36" s="276" t="s">
        <v>1347</v>
      </c>
      <c r="J36" s="276" t="s">
        <v>1345</v>
      </c>
      <c r="K36" s="282" t="s">
        <v>1142</v>
      </c>
      <c r="L36" s="283">
        <v>45894</v>
      </c>
      <c r="M36" s="276" t="s">
        <v>1368</v>
      </c>
      <c r="N36" s="276" t="s">
        <v>1365</v>
      </c>
      <c r="O36" s="276"/>
      <c r="P36" s="276"/>
      <c r="Q36" s="276"/>
      <c r="R36" s="276"/>
      <c r="S36" s="276"/>
      <c r="T36" s="276"/>
      <c r="U36" s="276"/>
      <c r="V36" s="276"/>
      <c r="W36" s="276"/>
      <c r="X36" s="276"/>
      <c r="Y36" s="276"/>
      <c r="Z36" s="276"/>
    </row>
    <row r="37" spans="1:26" ht="14.25" customHeight="1" x14ac:dyDescent="0.3">
      <c r="A37" s="278" t="s">
        <v>2237</v>
      </c>
      <c r="B37" s="279" t="s">
        <v>1341</v>
      </c>
      <c r="C37" s="279" t="s">
        <v>1342</v>
      </c>
      <c r="D37" s="280">
        <v>45824</v>
      </c>
      <c r="E37" s="279" t="s">
        <v>1369</v>
      </c>
      <c r="F37" s="279">
        <v>4</v>
      </c>
      <c r="G37" s="281" t="s">
        <v>1086</v>
      </c>
      <c r="H37" s="280">
        <v>45819</v>
      </c>
      <c r="I37" s="276" t="s">
        <v>1347</v>
      </c>
      <c r="J37" s="276" t="s">
        <v>1345</v>
      </c>
      <c r="K37" s="282" t="s">
        <v>1142</v>
      </c>
      <c r="L37" s="283">
        <v>45895</v>
      </c>
      <c r="M37" s="276" t="s">
        <v>1370</v>
      </c>
      <c r="N37" s="276" t="s">
        <v>1365</v>
      </c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Y37" s="276"/>
      <c r="Z37" s="276"/>
    </row>
    <row r="38" spans="1:26" ht="14.25" customHeight="1" x14ac:dyDescent="0.3">
      <c r="A38" s="285" t="s">
        <v>1181</v>
      </c>
      <c r="B38" s="279" t="s">
        <v>1341</v>
      </c>
      <c r="C38" s="279" t="s">
        <v>1342</v>
      </c>
      <c r="D38" s="280">
        <v>45824</v>
      </c>
      <c r="E38" s="279" t="s">
        <v>1180</v>
      </c>
      <c r="F38" s="279">
        <v>4</v>
      </c>
      <c r="G38" s="281" t="s">
        <v>1086</v>
      </c>
      <c r="H38" s="280">
        <v>45819</v>
      </c>
      <c r="I38" s="276" t="s">
        <v>1347</v>
      </c>
      <c r="J38" s="276" t="s">
        <v>1345</v>
      </c>
      <c r="K38" s="282" t="s">
        <v>1142</v>
      </c>
      <c r="L38" s="283">
        <v>45894</v>
      </c>
      <c r="M38" s="276" t="s">
        <v>1371</v>
      </c>
      <c r="N38" s="276" t="s">
        <v>1365</v>
      </c>
      <c r="O38" s="276" t="s">
        <v>1372</v>
      </c>
      <c r="P38" s="276"/>
      <c r="Q38" s="276"/>
      <c r="R38" s="276"/>
      <c r="S38" s="276"/>
      <c r="T38" s="276"/>
      <c r="U38" s="276"/>
      <c r="V38" s="276"/>
      <c r="W38" s="276"/>
      <c r="X38" s="276"/>
      <c r="Y38" s="276"/>
      <c r="Z38" s="276"/>
    </row>
    <row r="39" spans="1:26" ht="14.25" customHeight="1" x14ac:dyDescent="0.3">
      <c r="A39" s="278" t="s">
        <v>2638</v>
      </c>
      <c r="B39" s="279" t="s">
        <v>1341</v>
      </c>
      <c r="C39" s="279" t="s">
        <v>1342</v>
      </c>
      <c r="D39" s="280">
        <v>45824</v>
      </c>
      <c r="E39" s="279" t="s">
        <v>1180</v>
      </c>
      <c r="F39" s="279">
        <v>4</v>
      </c>
      <c r="G39" s="281" t="s">
        <v>1086</v>
      </c>
      <c r="H39" s="280">
        <v>45819</v>
      </c>
      <c r="I39" s="276" t="s">
        <v>1347</v>
      </c>
      <c r="J39" s="276" t="s">
        <v>1345</v>
      </c>
      <c r="K39" s="282" t="s">
        <v>1142</v>
      </c>
      <c r="L39" s="283">
        <v>45894</v>
      </c>
      <c r="M39" s="276" t="s">
        <v>1373</v>
      </c>
      <c r="N39" s="276" t="s">
        <v>1365</v>
      </c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Y39" s="276"/>
      <c r="Z39" s="276"/>
    </row>
    <row r="40" spans="1:26" ht="14.25" customHeight="1" x14ac:dyDescent="0.3">
      <c r="A40" s="278" t="s">
        <v>1187</v>
      </c>
      <c r="B40" s="279" t="s">
        <v>1341</v>
      </c>
      <c r="C40" s="279" t="s">
        <v>1342</v>
      </c>
      <c r="D40" s="280">
        <v>45824</v>
      </c>
      <c r="E40" s="279" t="s">
        <v>1180</v>
      </c>
      <c r="F40" s="279">
        <v>4</v>
      </c>
      <c r="G40" s="281" t="s">
        <v>1086</v>
      </c>
      <c r="H40" s="280">
        <v>45819</v>
      </c>
      <c r="I40" s="276" t="s">
        <v>1347</v>
      </c>
      <c r="J40" s="276" t="s">
        <v>1345</v>
      </c>
      <c r="K40" s="282" t="s">
        <v>1142</v>
      </c>
      <c r="L40" s="283">
        <v>45894</v>
      </c>
      <c r="M40" s="276" t="s">
        <v>1374</v>
      </c>
      <c r="N40" s="276" t="s">
        <v>1365</v>
      </c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Y40" s="276"/>
      <c r="Z40" s="276"/>
    </row>
    <row r="41" spans="1:26" ht="14.25" customHeight="1" x14ac:dyDescent="0.3">
      <c r="A41" s="278" t="s">
        <v>1188</v>
      </c>
      <c r="B41" s="279" t="s">
        <v>1341</v>
      </c>
      <c r="C41" s="279" t="s">
        <v>1342</v>
      </c>
      <c r="D41" s="280">
        <v>45824</v>
      </c>
      <c r="E41" s="279" t="s">
        <v>1180</v>
      </c>
      <c r="F41" s="279">
        <v>4</v>
      </c>
      <c r="G41" s="281" t="s">
        <v>1086</v>
      </c>
      <c r="H41" s="280">
        <v>45819</v>
      </c>
      <c r="I41" s="276" t="s">
        <v>1347</v>
      </c>
      <c r="J41" s="276" t="s">
        <v>1345</v>
      </c>
      <c r="K41" s="282" t="s">
        <v>1142</v>
      </c>
      <c r="L41" s="283">
        <v>45894</v>
      </c>
      <c r="M41" s="276" t="s">
        <v>1375</v>
      </c>
      <c r="N41" s="276" t="s">
        <v>1365</v>
      </c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Y41" s="276"/>
      <c r="Z41" s="276"/>
    </row>
    <row r="42" spans="1:26" ht="14.25" customHeight="1" x14ac:dyDescent="0.3">
      <c r="A42" s="278" t="s">
        <v>1190</v>
      </c>
      <c r="B42" s="279" t="s">
        <v>1341</v>
      </c>
      <c r="C42" s="279" t="s">
        <v>1342</v>
      </c>
      <c r="D42" s="280">
        <v>45824</v>
      </c>
      <c r="E42" s="279" t="s">
        <v>1180</v>
      </c>
      <c r="F42" s="279">
        <v>4</v>
      </c>
      <c r="G42" s="281" t="s">
        <v>1086</v>
      </c>
      <c r="H42" s="280">
        <v>45819</v>
      </c>
      <c r="I42" s="276" t="s">
        <v>1347</v>
      </c>
      <c r="J42" s="276" t="s">
        <v>1345</v>
      </c>
      <c r="K42" s="282" t="s">
        <v>1142</v>
      </c>
      <c r="L42" s="283">
        <v>45894</v>
      </c>
      <c r="M42" s="276" t="s">
        <v>1376</v>
      </c>
      <c r="N42" s="276" t="s">
        <v>1365</v>
      </c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Y42" s="276"/>
      <c r="Z42" s="276"/>
    </row>
    <row r="43" spans="1:26" ht="14.25" customHeight="1" x14ac:dyDescent="0.3">
      <c r="A43" s="278" t="s">
        <v>1192</v>
      </c>
      <c r="B43" s="279" t="s">
        <v>1341</v>
      </c>
      <c r="C43" s="279" t="s">
        <v>1342</v>
      </c>
      <c r="D43" s="280">
        <v>45824</v>
      </c>
      <c r="E43" s="279" t="s">
        <v>1180</v>
      </c>
      <c r="F43" s="279">
        <v>4</v>
      </c>
      <c r="G43" s="281" t="s">
        <v>1086</v>
      </c>
      <c r="H43" s="280">
        <v>45819</v>
      </c>
      <c r="I43" s="276" t="s">
        <v>1347</v>
      </c>
      <c r="J43" s="276" t="s">
        <v>1345</v>
      </c>
      <c r="K43" s="282" t="s">
        <v>1142</v>
      </c>
      <c r="L43" s="283">
        <v>45894</v>
      </c>
      <c r="M43" s="276" t="s">
        <v>1377</v>
      </c>
      <c r="N43" s="276" t="s">
        <v>1365</v>
      </c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Y43" s="276"/>
      <c r="Z43" s="276"/>
    </row>
    <row r="44" spans="1:26" ht="14.25" customHeight="1" x14ac:dyDescent="0.3">
      <c r="A44" s="278" t="s">
        <v>1193</v>
      </c>
      <c r="B44" s="279" t="s">
        <v>1341</v>
      </c>
      <c r="C44" s="279" t="s">
        <v>1342</v>
      </c>
      <c r="D44" s="280">
        <v>45824</v>
      </c>
      <c r="E44" s="279" t="s">
        <v>1180</v>
      </c>
      <c r="F44" s="279">
        <v>4</v>
      </c>
      <c r="G44" s="281" t="s">
        <v>1086</v>
      </c>
      <c r="H44" s="280">
        <v>45819</v>
      </c>
      <c r="I44" s="276" t="s">
        <v>1347</v>
      </c>
      <c r="J44" s="276" t="s">
        <v>1345</v>
      </c>
      <c r="K44" s="282" t="s">
        <v>1142</v>
      </c>
      <c r="L44" s="283">
        <v>45894</v>
      </c>
      <c r="M44" s="276" t="s">
        <v>1378</v>
      </c>
      <c r="N44" s="276" t="s">
        <v>1365</v>
      </c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Y44" s="276"/>
      <c r="Z44" s="276"/>
    </row>
    <row r="45" spans="1:26" ht="14.25" customHeight="1" x14ac:dyDescent="0.3">
      <c r="A45" s="278" t="s">
        <v>1194</v>
      </c>
      <c r="B45" s="279" t="s">
        <v>1341</v>
      </c>
      <c r="C45" s="279" t="s">
        <v>1342</v>
      </c>
      <c r="D45" s="280">
        <v>45824</v>
      </c>
      <c r="E45" s="279" t="s">
        <v>1180</v>
      </c>
      <c r="F45" s="279">
        <v>4</v>
      </c>
      <c r="G45" s="281" t="s">
        <v>1086</v>
      </c>
      <c r="H45" s="280">
        <v>45819</v>
      </c>
      <c r="I45" s="276" t="s">
        <v>1356</v>
      </c>
      <c r="J45" s="276" t="s">
        <v>1345</v>
      </c>
      <c r="K45" s="284" t="s">
        <v>1208</v>
      </c>
      <c r="L45" s="283">
        <v>45894</v>
      </c>
      <c r="M45" s="276" t="s">
        <v>1379</v>
      </c>
      <c r="N45" s="276" t="s">
        <v>1365</v>
      </c>
      <c r="O45" s="276" t="s">
        <v>1380</v>
      </c>
      <c r="P45" s="276"/>
      <c r="Q45" s="276"/>
      <c r="R45" s="276"/>
      <c r="S45" s="276"/>
      <c r="T45" s="276"/>
      <c r="U45" s="276"/>
      <c r="V45" s="276"/>
      <c r="W45" s="276"/>
      <c r="X45" s="276"/>
      <c r="Y45" s="276"/>
      <c r="Z45" s="276"/>
    </row>
    <row r="46" spans="1:26" ht="14.25" customHeight="1" x14ac:dyDescent="0.3">
      <c r="A46" s="278" t="s">
        <v>2639</v>
      </c>
      <c r="B46" s="279" t="s">
        <v>1341</v>
      </c>
      <c r="C46" s="279" t="s">
        <v>1342</v>
      </c>
      <c r="D46" s="280">
        <v>45824</v>
      </c>
      <c r="E46" s="279" t="s">
        <v>1180</v>
      </c>
      <c r="F46" s="279">
        <v>4</v>
      </c>
      <c r="G46" s="281" t="s">
        <v>1086</v>
      </c>
      <c r="H46" s="280">
        <v>45819</v>
      </c>
      <c r="I46" s="276" t="s">
        <v>1347</v>
      </c>
      <c r="J46" s="276" t="s">
        <v>1345</v>
      </c>
      <c r="K46" s="282" t="s">
        <v>1142</v>
      </c>
      <c r="L46" s="283">
        <v>45894</v>
      </c>
      <c r="M46" s="276" t="s">
        <v>1381</v>
      </c>
      <c r="N46" s="276" t="s">
        <v>1365</v>
      </c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Y46" s="276"/>
      <c r="Z46" s="276"/>
    </row>
    <row r="47" spans="1:26" ht="14.25" customHeight="1" x14ac:dyDescent="0.3">
      <c r="A47" s="278" t="s">
        <v>1195</v>
      </c>
      <c r="B47" s="279" t="s">
        <v>1341</v>
      </c>
      <c r="C47" s="279" t="s">
        <v>1342</v>
      </c>
      <c r="D47" s="280">
        <v>45824</v>
      </c>
      <c r="E47" s="279" t="s">
        <v>1180</v>
      </c>
      <c r="F47" s="279">
        <v>4</v>
      </c>
      <c r="G47" s="281" t="s">
        <v>1086</v>
      </c>
      <c r="H47" s="280">
        <v>45819</v>
      </c>
      <c r="I47" s="276" t="s">
        <v>1347</v>
      </c>
      <c r="J47" s="276" t="s">
        <v>1345</v>
      </c>
      <c r="K47" s="282" t="s">
        <v>1142</v>
      </c>
      <c r="L47" s="283">
        <v>45894</v>
      </c>
      <c r="M47" s="276" t="s">
        <v>1382</v>
      </c>
      <c r="N47" s="276" t="s">
        <v>1365</v>
      </c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Y47" s="276"/>
      <c r="Z47" s="276"/>
    </row>
    <row r="48" spans="1:26" ht="14.25" customHeight="1" x14ac:dyDescent="0.3">
      <c r="A48" s="278" t="s">
        <v>1202</v>
      </c>
      <c r="B48" s="279" t="s">
        <v>1341</v>
      </c>
      <c r="C48" s="279" t="s">
        <v>1342</v>
      </c>
      <c r="D48" s="280">
        <v>45824</v>
      </c>
      <c r="E48" s="279" t="s">
        <v>1343</v>
      </c>
      <c r="F48" s="279">
        <v>5</v>
      </c>
      <c r="G48" s="281" t="s">
        <v>1086</v>
      </c>
      <c r="H48" s="280">
        <v>45820</v>
      </c>
      <c r="I48" s="276" t="s">
        <v>1347</v>
      </c>
      <c r="J48" s="276" t="s">
        <v>1345</v>
      </c>
      <c r="K48" s="282" t="s">
        <v>1142</v>
      </c>
      <c r="L48" s="283">
        <v>45895</v>
      </c>
      <c r="M48" s="276" t="s">
        <v>1383</v>
      </c>
      <c r="N48" s="276" t="s">
        <v>1365</v>
      </c>
      <c r="O48" s="276"/>
      <c r="P48" s="276"/>
      <c r="Q48" s="276"/>
      <c r="R48" s="276"/>
      <c r="S48" s="276"/>
      <c r="T48" s="276"/>
      <c r="U48" s="276"/>
      <c r="V48" s="276"/>
      <c r="W48" s="276"/>
      <c r="X48" s="276"/>
      <c r="Y48" s="276"/>
      <c r="Z48" s="276"/>
    </row>
    <row r="49" spans="1:26" ht="14.25" customHeight="1" x14ac:dyDescent="0.3">
      <c r="A49" s="285" t="s">
        <v>1203</v>
      </c>
      <c r="B49" s="279" t="s">
        <v>1341</v>
      </c>
      <c r="C49" s="279" t="s">
        <v>1342</v>
      </c>
      <c r="D49" s="280">
        <v>45824</v>
      </c>
      <c r="E49" s="279" t="s">
        <v>1343</v>
      </c>
      <c r="F49" s="279">
        <v>5</v>
      </c>
      <c r="G49" s="281" t="s">
        <v>1086</v>
      </c>
      <c r="H49" s="280">
        <v>45820</v>
      </c>
      <c r="I49" s="276" t="s">
        <v>1347</v>
      </c>
      <c r="J49" s="276" t="s">
        <v>1345</v>
      </c>
      <c r="K49" s="282" t="s">
        <v>1142</v>
      </c>
      <c r="L49" s="283">
        <v>45896</v>
      </c>
      <c r="M49" s="291" t="s">
        <v>1384</v>
      </c>
      <c r="N49" s="276" t="s">
        <v>1365</v>
      </c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Y49" s="276"/>
      <c r="Z49" s="276"/>
    </row>
    <row r="50" spans="1:26" ht="14.25" customHeight="1" x14ac:dyDescent="0.3">
      <c r="A50" s="292" t="s">
        <v>21</v>
      </c>
      <c r="B50" s="279" t="s">
        <v>1341</v>
      </c>
      <c r="C50" s="279" t="s">
        <v>1385</v>
      </c>
      <c r="D50" s="276" t="s">
        <v>1386</v>
      </c>
      <c r="E50" s="279" t="s">
        <v>1343</v>
      </c>
      <c r="F50" s="279">
        <v>17</v>
      </c>
      <c r="G50" s="293" t="s">
        <v>1082</v>
      </c>
      <c r="H50" s="283">
        <v>45833</v>
      </c>
      <c r="I50" s="276" t="s">
        <v>1347</v>
      </c>
      <c r="J50" s="276" t="s">
        <v>1387</v>
      </c>
      <c r="K50" s="282" t="s">
        <v>1142</v>
      </c>
      <c r="L50" s="283">
        <v>45929</v>
      </c>
      <c r="M50" s="291" t="s">
        <v>2718</v>
      </c>
      <c r="N50" s="276" t="s">
        <v>1388</v>
      </c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Y50" s="276"/>
      <c r="Z50" s="276"/>
    </row>
    <row r="51" spans="1:26" ht="14.25" customHeight="1" x14ac:dyDescent="0.3">
      <c r="A51" s="294" t="s">
        <v>28</v>
      </c>
      <c r="B51" s="279" t="s">
        <v>1341</v>
      </c>
      <c r="C51" s="279" t="s">
        <v>1385</v>
      </c>
      <c r="D51" s="276" t="s">
        <v>1386</v>
      </c>
      <c r="E51" s="279" t="s">
        <v>1343</v>
      </c>
      <c r="F51" s="279">
        <v>16</v>
      </c>
      <c r="G51" s="295" t="s">
        <v>1079</v>
      </c>
      <c r="H51" s="283">
        <v>45833</v>
      </c>
      <c r="I51" s="276" t="s">
        <v>1347</v>
      </c>
      <c r="J51" s="276" t="s">
        <v>1387</v>
      </c>
      <c r="K51" s="282" t="s">
        <v>1142</v>
      </c>
      <c r="L51" s="283">
        <v>45929</v>
      </c>
      <c r="M51" s="291" t="s">
        <v>2699</v>
      </c>
      <c r="N51" s="276" t="s">
        <v>1388</v>
      </c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Y51" s="276"/>
      <c r="Z51" s="276"/>
    </row>
    <row r="52" spans="1:26" ht="14.25" customHeight="1" x14ac:dyDescent="0.3">
      <c r="A52" s="292" t="s">
        <v>28</v>
      </c>
      <c r="B52" s="279" t="s">
        <v>1341</v>
      </c>
      <c r="C52" s="279" t="s">
        <v>1385</v>
      </c>
      <c r="D52" s="276" t="s">
        <v>1386</v>
      </c>
      <c r="E52" s="279" t="s">
        <v>1343</v>
      </c>
      <c r="F52" s="279">
        <v>17</v>
      </c>
      <c r="G52" s="293" t="s">
        <v>1082</v>
      </c>
      <c r="H52" s="283">
        <v>45833</v>
      </c>
      <c r="I52" s="276" t="s">
        <v>1347</v>
      </c>
      <c r="J52" s="276" t="s">
        <v>1387</v>
      </c>
      <c r="K52" s="282" t="s">
        <v>1142</v>
      </c>
      <c r="L52" s="283">
        <v>45929</v>
      </c>
      <c r="M52" s="291" t="s">
        <v>2719</v>
      </c>
      <c r="N52" s="276" t="s">
        <v>1388</v>
      </c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Y52" s="276"/>
      <c r="Z52" s="276"/>
    </row>
    <row r="53" spans="1:26" ht="14.25" customHeight="1" x14ac:dyDescent="0.3">
      <c r="A53" s="292" t="s">
        <v>29</v>
      </c>
      <c r="B53" s="279" t="s">
        <v>1341</v>
      </c>
      <c r="C53" s="279" t="s">
        <v>1385</v>
      </c>
      <c r="D53" s="276" t="s">
        <v>1386</v>
      </c>
      <c r="E53" s="279" t="s">
        <v>1343</v>
      </c>
      <c r="F53" s="279">
        <v>17</v>
      </c>
      <c r="G53" s="293" t="s">
        <v>1082</v>
      </c>
      <c r="H53" s="283">
        <v>45833</v>
      </c>
      <c r="I53" s="276" t="s">
        <v>1347</v>
      </c>
      <c r="J53" s="276" t="s">
        <v>1387</v>
      </c>
      <c r="K53" s="282" t="s">
        <v>1142</v>
      </c>
      <c r="L53" s="283">
        <v>45929</v>
      </c>
      <c r="M53" s="291" t="s">
        <v>2720</v>
      </c>
      <c r="N53" s="276" t="s">
        <v>1388</v>
      </c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Y53" s="276"/>
      <c r="Z53" s="276"/>
    </row>
    <row r="54" spans="1:26" ht="14.25" customHeight="1" x14ac:dyDescent="0.3">
      <c r="A54" s="296" t="s">
        <v>36</v>
      </c>
      <c r="B54" s="279" t="s">
        <v>1341</v>
      </c>
      <c r="C54" s="279" t="s">
        <v>1385</v>
      </c>
      <c r="D54" s="276" t="s">
        <v>1386</v>
      </c>
      <c r="E54" s="279" t="s">
        <v>1343</v>
      </c>
      <c r="F54" s="279">
        <v>16</v>
      </c>
      <c r="G54" s="295" t="s">
        <v>1079</v>
      </c>
      <c r="H54" s="283">
        <v>45833</v>
      </c>
      <c r="I54" s="276" t="s">
        <v>1347</v>
      </c>
      <c r="J54" s="276" t="s">
        <v>1387</v>
      </c>
      <c r="K54" s="282" t="s">
        <v>1142</v>
      </c>
      <c r="L54" s="283">
        <v>45929</v>
      </c>
      <c r="M54" s="291" t="s">
        <v>2700</v>
      </c>
      <c r="N54" s="276" t="s">
        <v>1388</v>
      </c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Y54" s="276"/>
      <c r="Z54" s="276"/>
    </row>
    <row r="55" spans="1:26" ht="14.25" customHeight="1" x14ac:dyDescent="0.3">
      <c r="A55" s="292" t="s">
        <v>36</v>
      </c>
      <c r="B55" s="279" t="s">
        <v>1341</v>
      </c>
      <c r="C55" s="279" t="s">
        <v>1385</v>
      </c>
      <c r="D55" s="276" t="s">
        <v>1386</v>
      </c>
      <c r="E55" s="279" t="s">
        <v>1343</v>
      </c>
      <c r="F55" s="279">
        <v>17</v>
      </c>
      <c r="G55" s="293" t="s">
        <v>1082</v>
      </c>
      <c r="H55" s="283">
        <v>45833</v>
      </c>
      <c r="I55" s="276" t="s">
        <v>1347</v>
      </c>
      <c r="J55" s="276" t="s">
        <v>1387</v>
      </c>
      <c r="K55" s="282" t="s">
        <v>1142</v>
      </c>
      <c r="L55" s="283">
        <v>45929</v>
      </c>
      <c r="M55" s="291" t="s">
        <v>2721</v>
      </c>
      <c r="N55" s="276" t="s">
        <v>1388</v>
      </c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Y55" s="276"/>
      <c r="Z55" s="276"/>
    </row>
    <row r="56" spans="1:26" ht="14.25" customHeight="1" x14ac:dyDescent="0.3">
      <c r="A56" s="294" t="s">
        <v>2243</v>
      </c>
      <c r="B56" s="279" t="s">
        <v>1341</v>
      </c>
      <c r="C56" s="279" t="s">
        <v>1385</v>
      </c>
      <c r="D56" s="276" t="s">
        <v>1386</v>
      </c>
      <c r="E56" s="279" t="s">
        <v>1343</v>
      </c>
      <c r="F56" s="279">
        <v>16</v>
      </c>
      <c r="G56" s="295" t="s">
        <v>1079</v>
      </c>
      <c r="H56" s="283">
        <v>45833</v>
      </c>
      <c r="I56" s="276" t="s">
        <v>1347</v>
      </c>
      <c r="J56" s="276" t="s">
        <v>1387</v>
      </c>
      <c r="K56" s="282" t="s">
        <v>1142</v>
      </c>
      <c r="L56" s="283">
        <v>45929</v>
      </c>
      <c r="M56" s="291" t="s">
        <v>2701</v>
      </c>
      <c r="N56" s="276" t="s">
        <v>1388</v>
      </c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Y56" s="276"/>
      <c r="Z56" s="276"/>
    </row>
    <row r="57" spans="1:26" ht="14.25" customHeight="1" x14ac:dyDescent="0.3">
      <c r="A57" s="292" t="s">
        <v>2243</v>
      </c>
      <c r="B57" s="279" t="s">
        <v>1341</v>
      </c>
      <c r="C57" s="279" t="s">
        <v>1385</v>
      </c>
      <c r="D57" s="276" t="s">
        <v>1386</v>
      </c>
      <c r="E57" s="279" t="s">
        <v>1343</v>
      </c>
      <c r="F57" s="279">
        <v>17</v>
      </c>
      <c r="G57" s="293" t="s">
        <v>1082</v>
      </c>
      <c r="H57" s="283">
        <v>45833</v>
      </c>
      <c r="I57" s="276" t="s">
        <v>1347</v>
      </c>
      <c r="J57" s="276" t="s">
        <v>1387</v>
      </c>
      <c r="K57" s="282" t="s">
        <v>1142</v>
      </c>
      <c r="L57" s="283">
        <v>45929</v>
      </c>
      <c r="M57" s="291" t="s">
        <v>2722</v>
      </c>
      <c r="N57" s="276" t="s">
        <v>1388</v>
      </c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Y57" s="276"/>
      <c r="Z57" s="276"/>
    </row>
    <row r="58" spans="1:26" ht="14.25" customHeight="1" x14ac:dyDescent="0.3">
      <c r="A58" s="297" t="s">
        <v>1099</v>
      </c>
      <c r="B58" s="279" t="s">
        <v>1341</v>
      </c>
      <c r="C58" s="279" t="s">
        <v>1385</v>
      </c>
      <c r="D58" s="276" t="s">
        <v>1386</v>
      </c>
      <c r="E58" s="290" t="s">
        <v>1089</v>
      </c>
      <c r="F58" s="290"/>
      <c r="G58" s="290" t="s">
        <v>1091</v>
      </c>
      <c r="H58" s="283">
        <v>45833</v>
      </c>
      <c r="I58" s="276" t="s">
        <v>1347</v>
      </c>
      <c r="J58" s="276" t="s">
        <v>1387</v>
      </c>
      <c r="K58" s="282" t="s">
        <v>1142</v>
      </c>
      <c r="L58" s="283">
        <v>45929</v>
      </c>
      <c r="M58" s="549" t="s">
        <v>2671</v>
      </c>
      <c r="N58" s="290" t="s">
        <v>1389</v>
      </c>
      <c r="O58" s="290"/>
      <c r="P58" s="290"/>
      <c r="Q58" s="290"/>
      <c r="R58" s="290"/>
      <c r="S58" s="290"/>
      <c r="T58" s="290"/>
      <c r="U58" s="290"/>
      <c r="V58" s="290"/>
      <c r="W58" s="290"/>
      <c r="X58" s="290"/>
      <c r="Y58" s="290"/>
      <c r="Z58" s="290"/>
    </row>
    <row r="59" spans="1:26" ht="14.25" customHeight="1" x14ac:dyDescent="0.3">
      <c r="A59" s="297" t="s">
        <v>2183</v>
      </c>
      <c r="B59" s="279" t="s">
        <v>1341</v>
      </c>
      <c r="C59" s="279" t="s">
        <v>1385</v>
      </c>
      <c r="D59" s="276" t="s">
        <v>1386</v>
      </c>
      <c r="E59" s="290" t="s">
        <v>1089</v>
      </c>
      <c r="F59" s="290"/>
      <c r="G59" s="290" t="s">
        <v>1091</v>
      </c>
      <c r="H59" s="283">
        <v>45833</v>
      </c>
      <c r="I59" s="276" t="s">
        <v>1347</v>
      </c>
      <c r="J59" s="276" t="s">
        <v>1387</v>
      </c>
      <c r="K59" s="282" t="s">
        <v>1142</v>
      </c>
      <c r="L59" s="283">
        <v>45929</v>
      </c>
      <c r="M59" s="549" t="s">
        <v>2671</v>
      </c>
      <c r="N59" s="290" t="s">
        <v>1389</v>
      </c>
      <c r="O59" s="290"/>
      <c r="P59" s="290"/>
      <c r="Q59" s="290"/>
      <c r="R59" s="290"/>
      <c r="S59" s="290"/>
      <c r="T59" s="290"/>
      <c r="U59" s="290"/>
      <c r="V59" s="290"/>
      <c r="W59" s="290"/>
      <c r="X59" s="290"/>
      <c r="Y59" s="290"/>
      <c r="Z59" s="290"/>
    </row>
    <row r="60" spans="1:26" ht="14.25" customHeight="1" x14ac:dyDescent="0.3">
      <c r="A60" s="297" t="s">
        <v>2184</v>
      </c>
      <c r="B60" s="279" t="s">
        <v>1341</v>
      </c>
      <c r="C60" s="279" t="s">
        <v>1385</v>
      </c>
      <c r="D60" s="276" t="s">
        <v>1386</v>
      </c>
      <c r="E60" s="290" t="s">
        <v>1089</v>
      </c>
      <c r="F60" s="290"/>
      <c r="G60" s="290" t="s">
        <v>1091</v>
      </c>
      <c r="H60" s="283">
        <v>45833</v>
      </c>
      <c r="I60" s="276" t="s">
        <v>1347</v>
      </c>
      <c r="J60" s="276" t="s">
        <v>1387</v>
      </c>
      <c r="K60" s="282" t="s">
        <v>1142</v>
      </c>
      <c r="L60" s="283">
        <v>45929</v>
      </c>
      <c r="M60" s="549" t="s">
        <v>2671</v>
      </c>
      <c r="N60" s="290" t="s">
        <v>1389</v>
      </c>
      <c r="O60" s="290"/>
      <c r="P60" s="290"/>
      <c r="Q60" s="290"/>
      <c r="R60" s="290"/>
      <c r="S60" s="290"/>
      <c r="T60" s="290"/>
      <c r="U60" s="290"/>
      <c r="V60" s="290"/>
      <c r="W60" s="290"/>
      <c r="X60" s="290"/>
      <c r="Y60" s="290"/>
      <c r="Z60" s="290"/>
    </row>
    <row r="61" spans="1:26" ht="14.25" customHeight="1" x14ac:dyDescent="0.3">
      <c r="A61" s="298" t="s">
        <v>2185</v>
      </c>
      <c r="B61" s="279" t="s">
        <v>1341</v>
      </c>
      <c r="C61" s="279" t="s">
        <v>1385</v>
      </c>
      <c r="D61" s="276" t="s">
        <v>1386</v>
      </c>
      <c r="E61" s="290" t="s">
        <v>1089</v>
      </c>
      <c r="F61" s="276"/>
      <c r="G61" s="290" t="s">
        <v>1091</v>
      </c>
      <c r="H61" s="283">
        <v>45833</v>
      </c>
      <c r="I61" s="276" t="s">
        <v>1347</v>
      </c>
      <c r="J61" s="276" t="s">
        <v>1387</v>
      </c>
      <c r="K61" s="282" t="s">
        <v>1142</v>
      </c>
      <c r="L61" s="283">
        <v>45929</v>
      </c>
      <c r="M61" s="291" t="s">
        <v>2661</v>
      </c>
      <c r="N61" s="290" t="s">
        <v>1389</v>
      </c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Y61" s="276"/>
      <c r="Z61" s="276"/>
    </row>
    <row r="62" spans="1:26" ht="14.25" customHeight="1" x14ac:dyDescent="0.3">
      <c r="A62" s="298" t="s">
        <v>2170</v>
      </c>
      <c r="B62" s="279" t="s">
        <v>1341</v>
      </c>
      <c r="C62" s="279" t="s">
        <v>1385</v>
      </c>
      <c r="D62" s="276" t="s">
        <v>1386</v>
      </c>
      <c r="E62" s="290" t="s">
        <v>1089</v>
      </c>
      <c r="F62" s="276"/>
      <c r="G62" s="290" t="s">
        <v>1091</v>
      </c>
      <c r="H62" s="283">
        <v>45833</v>
      </c>
      <c r="I62" s="276" t="s">
        <v>1347</v>
      </c>
      <c r="J62" s="276" t="s">
        <v>1387</v>
      </c>
      <c r="K62" s="282" t="s">
        <v>1142</v>
      </c>
      <c r="L62" s="283">
        <v>45929</v>
      </c>
      <c r="M62" s="291" t="s">
        <v>2662</v>
      </c>
      <c r="N62" s="290" t="s">
        <v>1389</v>
      </c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Y62" s="276"/>
      <c r="Z62" s="276"/>
    </row>
    <row r="63" spans="1:26" ht="14.25" customHeight="1" x14ac:dyDescent="0.3">
      <c r="A63" s="298" t="s">
        <v>1111</v>
      </c>
      <c r="B63" s="279" t="s">
        <v>1341</v>
      </c>
      <c r="C63" s="279" t="s">
        <v>1385</v>
      </c>
      <c r="D63" s="276" t="s">
        <v>1386</v>
      </c>
      <c r="E63" s="290" t="s">
        <v>1089</v>
      </c>
      <c r="F63" s="276"/>
      <c r="G63" s="290" t="s">
        <v>1091</v>
      </c>
      <c r="H63" s="283">
        <v>45833</v>
      </c>
      <c r="I63" s="276" t="s">
        <v>1347</v>
      </c>
      <c r="J63" s="276" t="s">
        <v>1387</v>
      </c>
      <c r="K63" s="282" t="s">
        <v>1142</v>
      </c>
      <c r="L63" s="283">
        <v>45929</v>
      </c>
      <c r="M63" s="291" t="s">
        <v>2672</v>
      </c>
      <c r="N63" s="290" t="s">
        <v>1389</v>
      </c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Y63" s="276"/>
      <c r="Z63" s="276"/>
    </row>
    <row r="64" spans="1:26" ht="14.25" customHeight="1" x14ac:dyDescent="0.3">
      <c r="A64" s="298" t="s">
        <v>577</v>
      </c>
      <c r="B64" s="279" t="s">
        <v>1341</v>
      </c>
      <c r="C64" s="279" t="s">
        <v>1385</v>
      </c>
      <c r="D64" s="276" t="s">
        <v>1386</v>
      </c>
      <c r="E64" s="290" t="s">
        <v>1089</v>
      </c>
      <c r="F64" s="276"/>
      <c r="G64" s="290" t="s">
        <v>1091</v>
      </c>
      <c r="H64" s="283">
        <v>45833</v>
      </c>
      <c r="I64" s="276" t="s">
        <v>1347</v>
      </c>
      <c r="J64" s="276" t="s">
        <v>1387</v>
      </c>
      <c r="K64" s="282" t="s">
        <v>1142</v>
      </c>
      <c r="L64" s="283">
        <v>45929</v>
      </c>
      <c r="M64" s="291" t="s">
        <v>2673</v>
      </c>
      <c r="N64" s="290" t="s">
        <v>1389</v>
      </c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Y64" s="276"/>
      <c r="Z64" s="276"/>
    </row>
    <row r="65" spans="1:26" ht="14.25" customHeight="1" x14ac:dyDescent="0.3">
      <c r="A65" s="298" t="s">
        <v>595</v>
      </c>
      <c r="B65" s="279" t="s">
        <v>1341</v>
      </c>
      <c r="C65" s="279" t="s">
        <v>1385</v>
      </c>
      <c r="D65" s="276" t="s">
        <v>1386</v>
      </c>
      <c r="E65" s="290" t="s">
        <v>1089</v>
      </c>
      <c r="F65" s="276"/>
      <c r="G65" s="290" t="s">
        <v>1091</v>
      </c>
      <c r="H65" s="283">
        <v>45833</v>
      </c>
      <c r="I65" s="276" t="s">
        <v>1347</v>
      </c>
      <c r="J65" s="276" t="s">
        <v>1387</v>
      </c>
      <c r="K65" s="282" t="s">
        <v>1142</v>
      </c>
      <c r="L65" s="283">
        <v>45929</v>
      </c>
      <c r="M65" s="291" t="s">
        <v>2674</v>
      </c>
      <c r="N65" s="290" t="s">
        <v>1389</v>
      </c>
      <c r="O65" s="276"/>
      <c r="P65" s="276"/>
      <c r="Q65" s="276"/>
      <c r="R65" s="276"/>
      <c r="S65" s="276"/>
      <c r="T65" s="276"/>
      <c r="U65" s="276"/>
      <c r="V65" s="276"/>
      <c r="W65" s="276"/>
      <c r="X65" s="276"/>
      <c r="Y65" s="276"/>
      <c r="Z65" s="276"/>
    </row>
    <row r="66" spans="1:26" ht="14.25" customHeight="1" x14ac:dyDescent="0.3">
      <c r="A66" s="298" t="s">
        <v>601</v>
      </c>
      <c r="B66" s="279" t="s">
        <v>1341</v>
      </c>
      <c r="C66" s="279" t="s">
        <v>1385</v>
      </c>
      <c r="D66" s="276" t="s">
        <v>1386</v>
      </c>
      <c r="E66" s="290" t="s">
        <v>1089</v>
      </c>
      <c r="F66" s="276"/>
      <c r="G66" s="290" t="s">
        <v>1091</v>
      </c>
      <c r="H66" s="283">
        <v>45833</v>
      </c>
      <c r="I66" s="276" t="s">
        <v>1347</v>
      </c>
      <c r="J66" s="276" t="s">
        <v>1387</v>
      </c>
      <c r="K66" s="282" t="s">
        <v>1142</v>
      </c>
      <c r="L66" s="283">
        <v>45929</v>
      </c>
      <c r="M66" s="291" t="s">
        <v>2675</v>
      </c>
      <c r="N66" s="290" t="s">
        <v>1389</v>
      </c>
      <c r="O66" s="276"/>
      <c r="P66" s="276"/>
      <c r="Q66" s="276"/>
      <c r="R66" s="276"/>
      <c r="S66" s="276"/>
      <c r="T66" s="276"/>
      <c r="U66" s="276"/>
      <c r="V66" s="276"/>
      <c r="W66" s="276"/>
      <c r="X66" s="276"/>
      <c r="Y66" s="276"/>
      <c r="Z66" s="276"/>
    </row>
    <row r="67" spans="1:26" ht="36.75" customHeight="1" x14ac:dyDescent="0.3">
      <c r="A67" s="299" t="s">
        <v>605</v>
      </c>
      <c r="B67" s="300" t="s">
        <v>1341</v>
      </c>
      <c r="C67" s="279" t="s">
        <v>1385</v>
      </c>
      <c r="D67" s="291" t="s">
        <v>1386</v>
      </c>
      <c r="E67" s="300" t="s">
        <v>1089</v>
      </c>
      <c r="F67" s="300">
        <v>17</v>
      </c>
      <c r="G67" s="301" t="s">
        <v>1082</v>
      </c>
      <c r="H67" s="302">
        <v>45833</v>
      </c>
      <c r="I67" s="291" t="s">
        <v>1347</v>
      </c>
      <c r="J67" s="291" t="s">
        <v>1345</v>
      </c>
      <c r="K67" s="282" t="s">
        <v>1142</v>
      </c>
      <c r="L67" s="302">
        <v>45929</v>
      </c>
      <c r="M67" s="291" t="s">
        <v>2723</v>
      </c>
      <c r="N67" s="300"/>
      <c r="O67" s="291"/>
      <c r="P67" s="291"/>
      <c r="Q67" s="291"/>
      <c r="R67" s="291"/>
      <c r="S67" s="291"/>
      <c r="T67" s="291"/>
      <c r="U67" s="291"/>
      <c r="V67" s="291"/>
      <c r="W67" s="291"/>
      <c r="X67" s="291"/>
      <c r="Y67" s="291"/>
      <c r="Z67" s="291"/>
    </row>
    <row r="68" spans="1:26" ht="14.25" customHeight="1" x14ac:dyDescent="0.3">
      <c r="A68" s="298" t="s">
        <v>2175</v>
      </c>
      <c r="B68" s="279" t="s">
        <v>1341</v>
      </c>
      <c r="C68" s="279" t="s">
        <v>1385</v>
      </c>
      <c r="D68" s="276" t="s">
        <v>1386</v>
      </c>
      <c r="E68" s="290" t="s">
        <v>1089</v>
      </c>
      <c r="F68" s="276"/>
      <c r="G68" s="290" t="s">
        <v>1091</v>
      </c>
      <c r="H68" s="283">
        <v>45833</v>
      </c>
      <c r="I68" s="276" t="s">
        <v>1347</v>
      </c>
      <c r="J68" s="276" t="s">
        <v>1387</v>
      </c>
      <c r="K68" s="282" t="s">
        <v>1142</v>
      </c>
      <c r="L68" s="283">
        <v>45929</v>
      </c>
      <c r="M68" s="291" t="s">
        <v>2663</v>
      </c>
      <c r="N68" s="279" t="s">
        <v>1090</v>
      </c>
      <c r="O68" s="276"/>
      <c r="P68" s="276"/>
      <c r="Q68" s="276"/>
      <c r="R68" s="276"/>
      <c r="S68" s="276"/>
      <c r="T68" s="276"/>
      <c r="U68" s="276"/>
      <c r="V68" s="276"/>
      <c r="W68" s="276"/>
      <c r="X68" s="276"/>
      <c r="Y68" s="276"/>
      <c r="Z68" s="276"/>
    </row>
    <row r="69" spans="1:26" ht="14.25" customHeight="1" x14ac:dyDescent="0.3">
      <c r="A69" s="298" t="s">
        <v>2186</v>
      </c>
      <c r="B69" s="279" t="s">
        <v>1341</v>
      </c>
      <c r="C69" s="279" t="s">
        <v>1385</v>
      </c>
      <c r="D69" s="276" t="s">
        <v>1386</v>
      </c>
      <c r="E69" s="290" t="s">
        <v>1089</v>
      </c>
      <c r="F69" s="276"/>
      <c r="G69" s="290" t="s">
        <v>1091</v>
      </c>
      <c r="H69" s="283">
        <v>45833</v>
      </c>
      <c r="I69" s="276" t="s">
        <v>1347</v>
      </c>
      <c r="J69" s="276" t="s">
        <v>1387</v>
      </c>
      <c r="K69" s="282" t="s">
        <v>1142</v>
      </c>
      <c r="L69" s="283">
        <v>45929</v>
      </c>
      <c r="M69" s="291" t="s">
        <v>2676</v>
      </c>
      <c r="N69" s="279" t="s">
        <v>1090</v>
      </c>
      <c r="O69" s="276"/>
      <c r="P69" s="276"/>
      <c r="Q69" s="276"/>
      <c r="R69" s="276"/>
      <c r="S69" s="276"/>
      <c r="T69" s="276"/>
      <c r="U69" s="276"/>
      <c r="V69" s="276"/>
      <c r="W69" s="276"/>
      <c r="X69" s="276"/>
      <c r="Y69" s="276"/>
      <c r="Z69" s="276"/>
    </row>
    <row r="70" spans="1:26" ht="14.25" customHeight="1" x14ac:dyDescent="0.3">
      <c r="A70" s="298" t="s">
        <v>623</v>
      </c>
      <c r="B70" s="279" t="s">
        <v>1341</v>
      </c>
      <c r="C70" s="279" t="s">
        <v>1385</v>
      </c>
      <c r="D70" s="276" t="s">
        <v>1386</v>
      </c>
      <c r="E70" s="290" t="s">
        <v>1089</v>
      </c>
      <c r="F70" s="276"/>
      <c r="G70" s="290" t="s">
        <v>1091</v>
      </c>
      <c r="H70" s="283">
        <v>45833</v>
      </c>
      <c r="I70" s="276" t="s">
        <v>1347</v>
      </c>
      <c r="J70" s="276" t="s">
        <v>1387</v>
      </c>
      <c r="K70" s="282" t="s">
        <v>1142</v>
      </c>
      <c r="L70" s="283">
        <v>45929</v>
      </c>
      <c r="M70" s="291" t="s">
        <v>2677</v>
      </c>
      <c r="N70" s="279" t="s">
        <v>1090</v>
      </c>
      <c r="O70" s="276"/>
      <c r="P70" s="276"/>
      <c r="Q70" s="276"/>
      <c r="R70" s="276"/>
      <c r="S70" s="276"/>
      <c r="T70" s="276"/>
      <c r="U70" s="276"/>
      <c r="V70" s="276"/>
      <c r="W70" s="276"/>
      <c r="X70" s="276"/>
      <c r="Y70" s="276"/>
      <c r="Z70" s="276"/>
    </row>
    <row r="71" spans="1:26" ht="14.25" customHeight="1" x14ac:dyDescent="0.3">
      <c r="A71" s="292" t="s">
        <v>1123</v>
      </c>
      <c r="B71" s="279" t="s">
        <v>1341</v>
      </c>
      <c r="C71" s="279" t="s">
        <v>1385</v>
      </c>
      <c r="D71" s="276" t="s">
        <v>1386</v>
      </c>
      <c r="E71" s="279" t="s">
        <v>1089</v>
      </c>
      <c r="F71" s="279">
        <v>17</v>
      </c>
      <c r="G71" s="293" t="s">
        <v>1088</v>
      </c>
      <c r="H71" s="283">
        <v>45833</v>
      </c>
      <c r="I71" s="291" t="s">
        <v>1347</v>
      </c>
      <c r="J71" s="291" t="s">
        <v>1345</v>
      </c>
      <c r="K71" s="282" t="s">
        <v>1142</v>
      </c>
      <c r="L71" s="283">
        <v>45929</v>
      </c>
      <c r="M71" s="291" t="s">
        <v>2755</v>
      </c>
      <c r="N71" s="279"/>
      <c r="O71" s="276"/>
      <c r="P71" s="276"/>
      <c r="Q71" s="276"/>
      <c r="R71" s="276"/>
      <c r="S71" s="276"/>
      <c r="T71" s="276"/>
      <c r="U71" s="276"/>
      <c r="V71" s="276"/>
      <c r="W71" s="276"/>
      <c r="X71" s="276"/>
      <c r="Y71" s="276"/>
      <c r="Z71" s="276"/>
    </row>
    <row r="72" spans="1:26" ht="14.25" customHeight="1" x14ac:dyDescent="0.3">
      <c r="A72" s="303" t="s">
        <v>787</v>
      </c>
      <c r="B72" s="279" t="s">
        <v>1341</v>
      </c>
      <c r="C72" s="279" t="s">
        <v>1385</v>
      </c>
      <c r="D72" s="276" t="s">
        <v>1386</v>
      </c>
      <c r="E72" s="279" t="s">
        <v>1089</v>
      </c>
      <c r="F72" s="279">
        <v>11</v>
      </c>
      <c r="G72" s="304" t="s">
        <v>1114</v>
      </c>
      <c r="H72" s="283">
        <v>45824</v>
      </c>
      <c r="I72" s="276" t="s">
        <v>1356</v>
      </c>
      <c r="J72" s="291" t="s">
        <v>1345</v>
      </c>
      <c r="K72" s="290" t="s">
        <v>1107</v>
      </c>
      <c r="L72" s="283">
        <v>45929</v>
      </c>
      <c r="M72" s="276" t="s">
        <v>451</v>
      </c>
      <c r="N72" s="276"/>
      <c r="O72" s="276"/>
      <c r="P72" s="276"/>
      <c r="Q72" s="276"/>
      <c r="R72" s="276"/>
      <c r="S72" s="276"/>
      <c r="T72" s="276"/>
      <c r="U72" s="276"/>
      <c r="V72" s="276"/>
      <c r="W72" s="276"/>
      <c r="X72" s="276"/>
      <c r="Y72" s="276"/>
      <c r="Z72" s="276"/>
    </row>
    <row r="73" spans="1:26" ht="14.25" customHeight="1" x14ac:dyDescent="0.3">
      <c r="A73" s="303" t="s">
        <v>1894</v>
      </c>
      <c r="B73" s="279" t="s">
        <v>1341</v>
      </c>
      <c r="C73" s="279" t="s">
        <v>1385</v>
      </c>
      <c r="D73" s="276" t="s">
        <v>1386</v>
      </c>
      <c r="E73" s="290" t="s">
        <v>1089</v>
      </c>
      <c r="F73" s="279">
        <v>11</v>
      </c>
      <c r="G73" s="304" t="s">
        <v>1390</v>
      </c>
      <c r="H73" s="283">
        <v>45833</v>
      </c>
      <c r="I73" s="276" t="s">
        <v>1347</v>
      </c>
      <c r="J73" s="276" t="s">
        <v>1387</v>
      </c>
      <c r="K73" s="282" t="s">
        <v>1142</v>
      </c>
      <c r="L73" s="283">
        <v>45929</v>
      </c>
      <c r="M73" s="291" t="s">
        <v>2724</v>
      </c>
      <c r="N73" s="290" t="s">
        <v>1389</v>
      </c>
      <c r="O73" s="276" t="s">
        <v>1391</v>
      </c>
      <c r="P73" s="276"/>
      <c r="Q73" s="276"/>
      <c r="R73" s="276"/>
      <c r="S73" s="276"/>
      <c r="T73" s="276"/>
      <c r="U73" s="276"/>
      <c r="V73" s="276"/>
      <c r="W73" s="276"/>
      <c r="X73" s="276"/>
      <c r="Y73" s="276"/>
      <c r="Z73" s="276"/>
    </row>
    <row r="74" spans="1:26" ht="14.25" customHeight="1" x14ac:dyDescent="0.3">
      <c r="A74" s="298" t="s">
        <v>800</v>
      </c>
      <c r="B74" s="279" t="s">
        <v>1341</v>
      </c>
      <c r="C74" s="279" t="s">
        <v>1385</v>
      </c>
      <c r="D74" s="276" t="s">
        <v>1386</v>
      </c>
      <c r="E74" s="290" t="s">
        <v>1089</v>
      </c>
      <c r="F74" s="276"/>
      <c r="G74" s="290" t="s">
        <v>1091</v>
      </c>
      <c r="H74" s="283">
        <v>45833</v>
      </c>
      <c r="I74" s="276" t="s">
        <v>1347</v>
      </c>
      <c r="J74" s="291" t="s">
        <v>1345</v>
      </c>
      <c r="K74" s="282" t="s">
        <v>1142</v>
      </c>
      <c r="L74" s="283">
        <v>45929</v>
      </c>
      <c r="M74" s="291" t="s">
        <v>2664</v>
      </c>
      <c r="N74" s="290" t="s">
        <v>1389</v>
      </c>
      <c r="O74" s="276"/>
      <c r="P74" s="276"/>
      <c r="Q74" s="276"/>
      <c r="R74" s="276"/>
      <c r="S74" s="276"/>
      <c r="T74" s="276"/>
      <c r="U74" s="276"/>
      <c r="V74" s="276"/>
      <c r="W74" s="276"/>
      <c r="X74" s="276"/>
      <c r="Y74" s="276"/>
      <c r="Z74" s="276"/>
    </row>
    <row r="75" spans="1:26" ht="14.25" customHeight="1" x14ac:dyDescent="0.3">
      <c r="A75" s="303" t="s">
        <v>812</v>
      </c>
      <c r="B75" s="279" t="s">
        <v>1341</v>
      </c>
      <c r="C75" s="279" t="s">
        <v>1385</v>
      </c>
      <c r="D75" s="276" t="s">
        <v>1386</v>
      </c>
      <c r="E75" s="279" t="s">
        <v>1089</v>
      </c>
      <c r="F75" s="279">
        <v>11</v>
      </c>
      <c r="G75" s="304" t="s">
        <v>1114</v>
      </c>
      <c r="H75" s="283">
        <v>45824</v>
      </c>
      <c r="I75" s="276" t="s">
        <v>1347</v>
      </c>
      <c r="J75" s="291" t="s">
        <v>1345</v>
      </c>
      <c r="K75" s="282" t="s">
        <v>1142</v>
      </c>
      <c r="L75" s="283">
        <v>45929</v>
      </c>
      <c r="M75" s="276" t="s">
        <v>1392</v>
      </c>
      <c r="N75" s="290" t="s">
        <v>1389</v>
      </c>
      <c r="O75" s="276"/>
      <c r="P75" s="276"/>
      <c r="Q75" s="276"/>
      <c r="R75" s="276"/>
      <c r="S75" s="276"/>
      <c r="T75" s="276"/>
      <c r="U75" s="276"/>
      <c r="V75" s="276"/>
      <c r="W75" s="276"/>
      <c r="X75" s="276"/>
      <c r="Y75" s="276"/>
      <c r="Z75" s="276"/>
    </row>
    <row r="76" spans="1:26" ht="14.25" customHeight="1" x14ac:dyDescent="0.3">
      <c r="A76" s="303" t="s">
        <v>2015</v>
      </c>
      <c r="B76" s="279" t="s">
        <v>1341</v>
      </c>
      <c r="C76" s="279" t="s">
        <v>1385</v>
      </c>
      <c r="D76" s="276" t="s">
        <v>1386</v>
      </c>
      <c r="E76" s="279" t="s">
        <v>1089</v>
      </c>
      <c r="F76" s="279">
        <v>11</v>
      </c>
      <c r="G76" s="304" t="s">
        <v>1114</v>
      </c>
      <c r="H76" s="283">
        <v>45824</v>
      </c>
      <c r="I76" s="276" t="s">
        <v>1347</v>
      </c>
      <c r="J76" s="291" t="s">
        <v>1345</v>
      </c>
      <c r="K76" s="282" t="s">
        <v>1142</v>
      </c>
      <c r="L76" s="283">
        <v>45929</v>
      </c>
      <c r="M76" s="276" t="s">
        <v>1393</v>
      </c>
      <c r="N76" s="290" t="s">
        <v>1389</v>
      </c>
      <c r="O76" s="276"/>
      <c r="P76" s="276"/>
      <c r="Q76" s="276"/>
      <c r="R76" s="276"/>
      <c r="S76" s="276"/>
      <c r="T76" s="276"/>
      <c r="U76" s="276"/>
      <c r="V76" s="276"/>
      <c r="W76" s="276"/>
      <c r="X76" s="276"/>
      <c r="Y76" s="276"/>
      <c r="Z76" s="276"/>
    </row>
    <row r="77" spans="1:26" ht="14.25" customHeight="1" x14ac:dyDescent="0.3">
      <c r="A77" s="303" t="s">
        <v>1629</v>
      </c>
      <c r="B77" s="279" t="s">
        <v>1341</v>
      </c>
      <c r="C77" s="279" t="s">
        <v>1385</v>
      </c>
      <c r="D77" s="276" t="s">
        <v>1386</v>
      </c>
      <c r="E77" s="279" t="s">
        <v>1089</v>
      </c>
      <c r="F77" s="279">
        <v>11</v>
      </c>
      <c r="G77" s="304" t="s">
        <v>1114</v>
      </c>
      <c r="H77" s="283">
        <v>45824</v>
      </c>
      <c r="I77" s="276" t="s">
        <v>1347</v>
      </c>
      <c r="J77" s="291" t="s">
        <v>1345</v>
      </c>
      <c r="K77" s="282" t="s">
        <v>1142</v>
      </c>
      <c r="L77" s="283">
        <v>45929</v>
      </c>
      <c r="M77" s="276" t="s">
        <v>1394</v>
      </c>
      <c r="N77" s="290" t="s">
        <v>1389</v>
      </c>
      <c r="O77" s="276"/>
      <c r="P77" s="276"/>
      <c r="Q77" s="276"/>
      <c r="R77" s="276"/>
      <c r="S77" s="276"/>
      <c r="T77" s="276"/>
      <c r="U77" s="276"/>
      <c r="V77" s="276"/>
      <c r="W77" s="276"/>
      <c r="X77" s="276"/>
      <c r="Y77" s="276"/>
      <c r="Z77" s="276"/>
    </row>
    <row r="78" spans="1:26" ht="14.25" customHeight="1" x14ac:dyDescent="0.3">
      <c r="A78" s="303" t="s">
        <v>831</v>
      </c>
      <c r="B78" s="279" t="s">
        <v>1341</v>
      </c>
      <c r="C78" s="279" t="s">
        <v>1385</v>
      </c>
      <c r="D78" s="276" t="s">
        <v>1386</v>
      </c>
      <c r="E78" s="279" t="s">
        <v>1089</v>
      </c>
      <c r="F78" s="279">
        <v>11</v>
      </c>
      <c r="G78" s="304" t="s">
        <v>1114</v>
      </c>
      <c r="H78" s="283">
        <v>45824</v>
      </c>
      <c r="I78" s="276" t="s">
        <v>1356</v>
      </c>
      <c r="J78" s="291" t="s">
        <v>1345</v>
      </c>
      <c r="K78" s="290" t="s">
        <v>1107</v>
      </c>
      <c r="L78" s="283">
        <v>45929</v>
      </c>
      <c r="M78" s="276" t="s">
        <v>1395</v>
      </c>
      <c r="N78" s="279" t="s">
        <v>1090</v>
      </c>
      <c r="O78" s="276"/>
      <c r="P78" s="276"/>
      <c r="Q78" s="276"/>
      <c r="R78" s="276"/>
      <c r="S78" s="276"/>
      <c r="T78" s="276"/>
      <c r="U78" s="276"/>
      <c r="V78" s="276"/>
      <c r="W78" s="276"/>
      <c r="X78" s="276"/>
      <c r="Y78" s="276"/>
      <c r="Z78" s="276"/>
    </row>
    <row r="79" spans="1:26" ht="14.25" customHeight="1" x14ac:dyDescent="0.3">
      <c r="A79" s="303" t="s">
        <v>2039</v>
      </c>
      <c r="B79" s="279" t="s">
        <v>1341</v>
      </c>
      <c r="C79" s="279" t="s">
        <v>1385</v>
      </c>
      <c r="D79" s="276" t="s">
        <v>1386</v>
      </c>
      <c r="E79" s="279" t="s">
        <v>1089</v>
      </c>
      <c r="F79" s="279">
        <v>11</v>
      </c>
      <c r="G79" s="304" t="s">
        <v>1114</v>
      </c>
      <c r="H79" s="283">
        <v>45824</v>
      </c>
      <c r="I79" s="276" t="s">
        <v>1347</v>
      </c>
      <c r="J79" s="276" t="s">
        <v>1387</v>
      </c>
      <c r="K79" s="282" t="s">
        <v>1142</v>
      </c>
      <c r="L79" s="283">
        <v>45929</v>
      </c>
      <c r="M79" s="276" t="s">
        <v>1396</v>
      </c>
      <c r="N79" s="290" t="s">
        <v>1389</v>
      </c>
      <c r="O79" s="276" t="s">
        <v>1391</v>
      </c>
      <c r="P79" s="276"/>
      <c r="Q79" s="276"/>
      <c r="R79" s="276"/>
      <c r="S79" s="276"/>
      <c r="T79" s="276"/>
      <c r="U79" s="276"/>
      <c r="V79" s="276"/>
      <c r="W79" s="276"/>
      <c r="X79" s="276"/>
      <c r="Y79" s="276"/>
      <c r="Z79" s="276"/>
    </row>
    <row r="80" spans="1:26" ht="14.25" customHeight="1" x14ac:dyDescent="0.3">
      <c r="A80" s="303" t="s">
        <v>1664</v>
      </c>
      <c r="B80" s="279" t="s">
        <v>1341</v>
      </c>
      <c r="C80" s="279" t="s">
        <v>1385</v>
      </c>
      <c r="D80" s="276" t="s">
        <v>1386</v>
      </c>
      <c r="E80" s="279" t="s">
        <v>1089</v>
      </c>
      <c r="F80" s="279">
        <v>11</v>
      </c>
      <c r="G80" s="304" t="s">
        <v>1114</v>
      </c>
      <c r="H80" s="283">
        <v>45824</v>
      </c>
      <c r="I80" s="276" t="s">
        <v>1347</v>
      </c>
      <c r="J80" s="276" t="s">
        <v>1387</v>
      </c>
      <c r="K80" s="282" t="s">
        <v>1142</v>
      </c>
      <c r="L80" s="283">
        <v>45929</v>
      </c>
      <c r="M80" s="276" t="s">
        <v>1397</v>
      </c>
      <c r="N80" s="290" t="s">
        <v>1389</v>
      </c>
      <c r="O80" s="276"/>
      <c r="P80" s="276"/>
      <c r="Q80" s="276"/>
      <c r="R80" s="276"/>
      <c r="S80" s="276"/>
      <c r="T80" s="276"/>
      <c r="U80" s="276"/>
      <c r="V80" s="276"/>
      <c r="W80" s="276"/>
      <c r="X80" s="276"/>
      <c r="Y80" s="276"/>
      <c r="Z80" s="276"/>
    </row>
    <row r="81" spans="1:26" ht="14.25" customHeight="1" x14ac:dyDescent="0.3">
      <c r="A81" s="303" t="s">
        <v>1154</v>
      </c>
      <c r="B81" s="279" t="s">
        <v>1341</v>
      </c>
      <c r="C81" s="279" t="s">
        <v>1385</v>
      </c>
      <c r="D81" s="276" t="s">
        <v>1386</v>
      </c>
      <c r="E81" s="279" t="s">
        <v>1089</v>
      </c>
      <c r="F81" s="279">
        <v>11</v>
      </c>
      <c r="G81" s="304" t="s">
        <v>1114</v>
      </c>
      <c r="H81" s="283">
        <v>45824</v>
      </c>
      <c r="I81" s="276" t="s">
        <v>1347</v>
      </c>
      <c r="J81" s="276" t="s">
        <v>1387</v>
      </c>
      <c r="K81" s="282" t="s">
        <v>1142</v>
      </c>
      <c r="L81" s="283">
        <v>45929</v>
      </c>
      <c r="M81" s="276" t="s">
        <v>1398</v>
      </c>
      <c r="N81" s="290" t="s">
        <v>1389</v>
      </c>
      <c r="O81" s="276"/>
      <c r="P81" s="276"/>
      <c r="Q81" s="276"/>
      <c r="R81" s="276"/>
      <c r="S81" s="276"/>
      <c r="T81" s="276"/>
      <c r="U81" s="276"/>
      <c r="V81" s="276"/>
      <c r="W81" s="276"/>
      <c r="X81" s="276"/>
      <c r="Y81" s="276"/>
      <c r="Z81" s="276"/>
    </row>
    <row r="82" spans="1:26" ht="14.25" customHeight="1" x14ac:dyDescent="0.3">
      <c r="A82" s="303" t="s">
        <v>1670</v>
      </c>
      <c r="B82" s="279" t="s">
        <v>1341</v>
      </c>
      <c r="C82" s="279" t="s">
        <v>1385</v>
      </c>
      <c r="D82" s="276" t="s">
        <v>1386</v>
      </c>
      <c r="E82" s="279" t="s">
        <v>1089</v>
      </c>
      <c r="F82" s="279">
        <v>11</v>
      </c>
      <c r="G82" s="304" t="s">
        <v>1079</v>
      </c>
      <c r="H82" s="283">
        <v>45824</v>
      </c>
      <c r="I82" s="276" t="s">
        <v>1347</v>
      </c>
      <c r="J82" s="291" t="s">
        <v>1345</v>
      </c>
      <c r="K82" s="282" t="s">
        <v>1142</v>
      </c>
      <c r="L82" s="283">
        <v>45929</v>
      </c>
      <c r="M82" s="276" t="s">
        <v>1399</v>
      </c>
      <c r="N82" s="279"/>
      <c r="O82" s="276"/>
      <c r="P82" s="276"/>
      <c r="Q82" s="276"/>
      <c r="R82" s="276"/>
      <c r="S82" s="276"/>
      <c r="T82" s="276"/>
      <c r="U82" s="276"/>
      <c r="V82" s="276"/>
      <c r="W82" s="276"/>
      <c r="X82" s="276"/>
      <c r="Y82" s="276"/>
      <c r="Z82" s="276"/>
    </row>
    <row r="83" spans="1:26" ht="14.25" customHeight="1" x14ac:dyDescent="0.3">
      <c r="A83" s="303" t="s">
        <v>904</v>
      </c>
      <c r="B83" s="279" t="s">
        <v>1341</v>
      </c>
      <c r="C83" s="279" t="s">
        <v>1385</v>
      </c>
      <c r="D83" s="276" t="s">
        <v>1386</v>
      </c>
      <c r="E83" s="279" t="s">
        <v>1089</v>
      </c>
      <c r="F83" s="279">
        <v>11</v>
      </c>
      <c r="G83" s="304" t="s">
        <v>1114</v>
      </c>
      <c r="H83" s="283">
        <v>45824</v>
      </c>
      <c r="I83" s="276" t="s">
        <v>1356</v>
      </c>
      <c r="J83" s="291" t="s">
        <v>1345</v>
      </c>
      <c r="K83" s="284" t="s">
        <v>1208</v>
      </c>
      <c r="L83" s="283">
        <v>45929</v>
      </c>
      <c r="M83" s="276" t="s">
        <v>451</v>
      </c>
      <c r="N83" s="276"/>
      <c r="O83" s="276"/>
      <c r="P83" s="276"/>
      <c r="Q83" s="276"/>
      <c r="R83" s="276"/>
      <c r="S83" s="276"/>
      <c r="T83" s="276"/>
      <c r="U83" s="276"/>
      <c r="V83" s="276"/>
      <c r="W83" s="276"/>
      <c r="X83" s="276"/>
      <c r="Y83" s="276"/>
      <c r="Z83" s="276"/>
    </row>
    <row r="84" spans="1:26" ht="14.25" customHeight="1" x14ac:dyDescent="0.3">
      <c r="A84" s="298" t="s">
        <v>2187</v>
      </c>
      <c r="B84" s="279" t="s">
        <v>1341</v>
      </c>
      <c r="C84" s="279" t="s">
        <v>1385</v>
      </c>
      <c r="D84" s="276"/>
      <c r="E84" s="276"/>
      <c r="F84" s="276"/>
      <c r="G84" s="304" t="s">
        <v>1091</v>
      </c>
      <c r="H84" s="283">
        <v>45824</v>
      </c>
      <c r="I84" s="276" t="s">
        <v>1362</v>
      </c>
      <c r="J84" s="276" t="s">
        <v>1345</v>
      </c>
      <c r="K84" s="290" t="s">
        <v>1200</v>
      </c>
      <c r="L84" s="283">
        <v>45929</v>
      </c>
      <c r="M84" s="291" t="s">
        <v>2698</v>
      </c>
      <c r="N84" s="290" t="s">
        <v>1389</v>
      </c>
      <c r="O84" s="276"/>
      <c r="P84" s="276"/>
      <c r="Q84" s="276"/>
      <c r="R84" s="276"/>
      <c r="S84" s="276"/>
      <c r="T84" s="276"/>
      <c r="U84" s="276"/>
      <c r="V84" s="276"/>
      <c r="W84" s="276"/>
      <c r="X84" s="276"/>
      <c r="Y84" s="276"/>
      <c r="Z84" s="276"/>
    </row>
    <row r="85" spans="1:26" ht="14.25" customHeight="1" x14ac:dyDescent="0.3">
      <c r="A85" s="303" t="s">
        <v>924</v>
      </c>
      <c r="B85" s="279" t="s">
        <v>1341</v>
      </c>
      <c r="C85" s="279" t="s">
        <v>1385</v>
      </c>
      <c r="D85" s="276" t="s">
        <v>1386</v>
      </c>
      <c r="E85" s="279" t="s">
        <v>1089</v>
      </c>
      <c r="F85" s="279">
        <v>11</v>
      </c>
      <c r="G85" s="304" t="s">
        <v>1114</v>
      </c>
      <c r="H85" s="283">
        <v>45824</v>
      </c>
      <c r="I85" s="276" t="s">
        <v>1347</v>
      </c>
      <c r="J85" s="276" t="s">
        <v>1387</v>
      </c>
      <c r="K85" s="282" t="s">
        <v>1142</v>
      </c>
      <c r="L85" s="283">
        <v>45929</v>
      </c>
      <c r="M85" s="276" t="s">
        <v>1400</v>
      </c>
      <c r="N85" s="290" t="s">
        <v>1389</v>
      </c>
      <c r="O85" s="276"/>
      <c r="P85" s="276"/>
      <c r="Q85" s="276"/>
      <c r="R85" s="276"/>
      <c r="S85" s="276"/>
      <c r="T85" s="276"/>
      <c r="U85" s="276"/>
      <c r="V85" s="276"/>
      <c r="W85" s="276"/>
      <c r="X85" s="276"/>
      <c r="Y85" s="276"/>
      <c r="Z85" s="276"/>
    </row>
    <row r="86" spans="1:26" ht="14.25" customHeight="1" x14ac:dyDescent="0.3">
      <c r="A86" s="294" t="s">
        <v>1165</v>
      </c>
      <c r="B86" s="279" t="s">
        <v>1341</v>
      </c>
      <c r="C86" s="279" t="s">
        <v>1385</v>
      </c>
      <c r="D86" s="276" t="s">
        <v>1386</v>
      </c>
      <c r="E86" s="279" t="s">
        <v>1089</v>
      </c>
      <c r="F86" s="279">
        <v>16</v>
      </c>
      <c r="G86" s="295" t="s">
        <v>1079</v>
      </c>
      <c r="H86" s="283">
        <v>45833</v>
      </c>
      <c r="I86" s="276" t="s">
        <v>1347</v>
      </c>
      <c r="J86" s="276" t="s">
        <v>1387</v>
      </c>
      <c r="K86" s="282" t="s">
        <v>1142</v>
      </c>
      <c r="L86" s="283">
        <v>45929</v>
      </c>
      <c r="M86" s="276" t="s">
        <v>1401</v>
      </c>
      <c r="N86" s="290" t="s">
        <v>1389</v>
      </c>
      <c r="O86" s="276"/>
      <c r="P86" s="276"/>
      <c r="Q86" s="276"/>
      <c r="R86" s="276"/>
      <c r="S86" s="276"/>
      <c r="T86" s="276"/>
      <c r="U86" s="276"/>
      <c r="V86" s="276"/>
      <c r="W86" s="276"/>
      <c r="X86" s="276"/>
      <c r="Y86" s="276"/>
      <c r="Z86" s="276"/>
    </row>
    <row r="87" spans="1:26" ht="14.25" customHeight="1" x14ac:dyDescent="0.3">
      <c r="A87" s="292" t="s">
        <v>1165</v>
      </c>
      <c r="B87" s="279" t="s">
        <v>1341</v>
      </c>
      <c r="C87" s="279" t="s">
        <v>1385</v>
      </c>
      <c r="D87" s="276" t="s">
        <v>1386</v>
      </c>
      <c r="E87" s="279" t="s">
        <v>1089</v>
      </c>
      <c r="F87" s="279">
        <v>17</v>
      </c>
      <c r="G87" s="293" t="s">
        <v>1082</v>
      </c>
      <c r="H87" s="283">
        <v>45833</v>
      </c>
      <c r="I87" s="276" t="s">
        <v>1356</v>
      </c>
      <c r="J87" s="291" t="s">
        <v>1345</v>
      </c>
      <c r="K87" s="284" t="s">
        <v>1208</v>
      </c>
      <c r="L87" s="283">
        <v>45929</v>
      </c>
      <c r="M87" s="276" t="s">
        <v>451</v>
      </c>
      <c r="N87" s="276"/>
      <c r="O87" s="276"/>
      <c r="P87" s="276"/>
      <c r="Q87" s="276"/>
      <c r="R87" s="276"/>
      <c r="S87" s="276"/>
      <c r="T87" s="276"/>
      <c r="U87" s="276"/>
      <c r="V87" s="276"/>
      <c r="W87" s="276"/>
      <c r="X87" s="276"/>
      <c r="Y87" s="276"/>
      <c r="Z87" s="276"/>
    </row>
    <row r="88" spans="1:26" ht="14.25" customHeight="1" x14ac:dyDescent="0.3">
      <c r="A88" s="303" t="s">
        <v>937</v>
      </c>
      <c r="B88" s="279" t="s">
        <v>1341</v>
      </c>
      <c r="C88" s="279" t="s">
        <v>1385</v>
      </c>
      <c r="D88" s="276" t="s">
        <v>1386</v>
      </c>
      <c r="E88" s="279" t="s">
        <v>1089</v>
      </c>
      <c r="F88" s="279">
        <v>11</v>
      </c>
      <c r="G88" s="304" t="s">
        <v>1114</v>
      </c>
      <c r="H88" s="283">
        <v>45824</v>
      </c>
      <c r="I88" s="276" t="s">
        <v>1356</v>
      </c>
      <c r="J88" s="291" t="s">
        <v>1345</v>
      </c>
      <c r="K88" s="290" t="s">
        <v>1128</v>
      </c>
      <c r="L88" s="283">
        <v>45929</v>
      </c>
      <c r="M88" s="276" t="s">
        <v>451</v>
      </c>
      <c r="N88" s="276"/>
      <c r="O88" s="276"/>
      <c r="P88" s="276"/>
      <c r="Q88" s="276"/>
      <c r="R88" s="276"/>
      <c r="S88" s="276"/>
      <c r="T88" s="276"/>
      <c r="U88" s="276"/>
      <c r="V88" s="276"/>
      <c r="W88" s="276"/>
      <c r="X88" s="276"/>
      <c r="Y88" s="276"/>
      <c r="Z88" s="276"/>
    </row>
    <row r="89" spans="1:26" ht="14.25" customHeight="1" x14ac:dyDescent="0.3">
      <c r="A89" s="303" t="s">
        <v>938</v>
      </c>
      <c r="B89" s="279" t="s">
        <v>1341</v>
      </c>
      <c r="C89" s="279" t="s">
        <v>1385</v>
      </c>
      <c r="D89" s="276" t="s">
        <v>1386</v>
      </c>
      <c r="E89" s="279" t="s">
        <v>1089</v>
      </c>
      <c r="F89" s="279">
        <v>11</v>
      </c>
      <c r="G89" s="304" t="s">
        <v>1114</v>
      </c>
      <c r="H89" s="283">
        <v>45824</v>
      </c>
      <c r="I89" s="276" t="s">
        <v>1356</v>
      </c>
      <c r="J89" s="291" t="s">
        <v>1345</v>
      </c>
      <c r="K89" s="284" t="s">
        <v>1128</v>
      </c>
      <c r="L89" s="283">
        <v>45929</v>
      </c>
      <c r="M89" s="276" t="s">
        <v>451</v>
      </c>
      <c r="N89" s="276"/>
      <c r="O89" s="276"/>
      <c r="P89" s="276"/>
      <c r="Q89" s="276"/>
      <c r="R89" s="276"/>
      <c r="S89" s="276"/>
      <c r="T89" s="276"/>
      <c r="U89" s="276"/>
      <c r="V89" s="276"/>
      <c r="W89" s="276"/>
      <c r="X89" s="276"/>
      <c r="Y89" s="276"/>
      <c r="Z89" s="276"/>
    </row>
    <row r="90" spans="1:26" ht="14.25" customHeight="1" x14ac:dyDescent="0.3">
      <c r="A90" s="292" t="s">
        <v>1166</v>
      </c>
      <c r="B90" s="279" t="s">
        <v>1341</v>
      </c>
      <c r="C90" s="279" t="s">
        <v>1385</v>
      </c>
      <c r="D90" s="276" t="s">
        <v>1386</v>
      </c>
      <c r="E90" s="279" t="s">
        <v>1089</v>
      </c>
      <c r="F90" s="279">
        <v>17</v>
      </c>
      <c r="G90" s="293" t="s">
        <v>1082</v>
      </c>
      <c r="H90" s="283">
        <v>45833</v>
      </c>
      <c r="I90" s="276" t="s">
        <v>1347</v>
      </c>
      <c r="J90" s="276" t="s">
        <v>1387</v>
      </c>
      <c r="K90" s="282" t="s">
        <v>1142</v>
      </c>
      <c r="L90" s="283">
        <v>45929</v>
      </c>
      <c r="M90" s="291" t="s">
        <v>2725</v>
      </c>
      <c r="N90" s="290" t="s">
        <v>1389</v>
      </c>
      <c r="O90" s="276"/>
      <c r="P90" s="276"/>
      <c r="Q90" s="276"/>
      <c r="R90" s="276"/>
      <c r="S90" s="276"/>
      <c r="T90" s="276"/>
      <c r="U90" s="276"/>
      <c r="V90" s="276"/>
      <c r="W90" s="276"/>
      <c r="X90" s="276"/>
      <c r="Y90" s="276"/>
      <c r="Z90" s="276"/>
    </row>
    <row r="91" spans="1:26" ht="14.25" customHeight="1" x14ac:dyDescent="0.3">
      <c r="A91" s="296" t="s">
        <v>946</v>
      </c>
      <c r="B91" s="279" t="s">
        <v>1341</v>
      </c>
      <c r="C91" s="279" t="s">
        <v>1385</v>
      </c>
      <c r="D91" s="276" t="s">
        <v>1386</v>
      </c>
      <c r="E91" s="279" t="s">
        <v>1089</v>
      </c>
      <c r="F91" s="279">
        <v>16</v>
      </c>
      <c r="G91" s="295" t="s">
        <v>1079</v>
      </c>
      <c r="H91" s="283">
        <v>45833</v>
      </c>
      <c r="I91" s="276" t="s">
        <v>1347</v>
      </c>
      <c r="J91" s="276" t="s">
        <v>1387</v>
      </c>
      <c r="K91" s="282" t="s">
        <v>1142</v>
      </c>
      <c r="L91" s="283">
        <v>45929</v>
      </c>
      <c r="M91" s="291" t="s">
        <v>2702</v>
      </c>
      <c r="N91" s="290" t="s">
        <v>1389</v>
      </c>
      <c r="O91" s="276"/>
      <c r="P91" s="276"/>
      <c r="Q91" s="276"/>
      <c r="R91" s="276"/>
      <c r="S91" s="276"/>
      <c r="T91" s="276"/>
      <c r="U91" s="276"/>
      <c r="V91" s="276"/>
      <c r="W91" s="276"/>
      <c r="X91" s="276"/>
      <c r="Y91" s="276"/>
      <c r="Z91" s="276"/>
    </row>
    <row r="92" spans="1:26" ht="14.25" customHeight="1" x14ac:dyDescent="0.3">
      <c r="A92" s="305" t="s">
        <v>2743</v>
      </c>
      <c r="B92" s="279" t="s">
        <v>1341</v>
      </c>
      <c r="C92" s="279" t="s">
        <v>1385</v>
      </c>
      <c r="D92" s="276" t="s">
        <v>1386</v>
      </c>
      <c r="E92" s="279" t="s">
        <v>1089</v>
      </c>
      <c r="F92" s="279">
        <v>16</v>
      </c>
      <c r="G92" s="295" t="s">
        <v>1079</v>
      </c>
      <c r="H92" s="283">
        <v>45833</v>
      </c>
      <c r="I92" s="276" t="s">
        <v>1362</v>
      </c>
      <c r="J92" s="276" t="s">
        <v>1345</v>
      </c>
      <c r="K92" s="290" t="s">
        <v>1200</v>
      </c>
      <c r="L92" s="283">
        <v>45929</v>
      </c>
      <c r="M92" s="291" t="s">
        <v>2703</v>
      </c>
      <c r="N92" s="290" t="s">
        <v>1389</v>
      </c>
      <c r="O92" s="276"/>
      <c r="P92" s="276"/>
      <c r="Q92" s="276"/>
      <c r="R92" s="276"/>
      <c r="S92" s="276"/>
      <c r="T92" s="276"/>
      <c r="U92" s="276"/>
      <c r="V92" s="276"/>
      <c r="W92" s="276"/>
      <c r="X92" s="276"/>
      <c r="Y92" s="276"/>
      <c r="Z92" s="276"/>
    </row>
    <row r="93" spans="1:26" ht="14.25" customHeight="1" x14ac:dyDescent="0.3">
      <c r="A93" s="303" t="s">
        <v>2257</v>
      </c>
      <c r="B93" s="279" t="s">
        <v>1341</v>
      </c>
      <c r="C93" s="279" t="s">
        <v>1385</v>
      </c>
      <c r="D93" s="276" t="s">
        <v>1386</v>
      </c>
      <c r="E93" s="279" t="s">
        <v>1089</v>
      </c>
      <c r="F93" s="279">
        <v>11</v>
      </c>
      <c r="G93" s="304" t="s">
        <v>1114</v>
      </c>
      <c r="H93" s="283">
        <v>45824</v>
      </c>
      <c r="I93" s="276" t="s">
        <v>1347</v>
      </c>
      <c r="J93" s="276" t="s">
        <v>1387</v>
      </c>
      <c r="K93" s="282" t="s">
        <v>1142</v>
      </c>
      <c r="L93" s="283">
        <v>45929</v>
      </c>
      <c r="M93" s="276" t="s">
        <v>1402</v>
      </c>
      <c r="N93" s="290" t="s">
        <v>1389</v>
      </c>
      <c r="O93" s="276"/>
      <c r="P93" s="276"/>
      <c r="Q93" s="276"/>
      <c r="R93" s="276"/>
      <c r="S93" s="276"/>
      <c r="T93" s="276"/>
      <c r="U93" s="276"/>
      <c r="V93" s="276"/>
      <c r="W93" s="276"/>
      <c r="X93" s="276"/>
      <c r="Y93" s="276"/>
      <c r="Z93" s="276"/>
    </row>
    <row r="94" spans="1:26" ht="14.25" customHeight="1" x14ac:dyDescent="0.3">
      <c r="A94" s="292" t="s">
        <v>2236</v>
      </c>
      <c r="B94" s="279" t="s">
        <v>1341</v>
      </c>
      <c r="C94" s="279" t="s">
        <v>1385</v>
      </c>
      <c r="D94" s="276" t="s">
        <v>1386</v>
      </c>
      <c r="E94" s="279" t="s">
        <v>1369</v>
      </c>
      <c r="F94" s="279">
        <v>17</v>
      </c>
      <c r="G94" s="293" t="s">
        <v>1082</v>
      </c>
      <c r="H94" s="283">
        <v>45833</v>
      </c>
      <c r="I94" s="276" t="s">
        <v>1347</v>
      </c>
      <c r="J94" s="276" t="s">
        <v>1387</v>
      </c>
      <c r="K94" s="282" t="s">
        <v>1142</v>
      </c>
      <c r="L94" s="283">
        <v>45929</v>
      </c>
      <c r="M94" s="276" t="s">
        <v>1403</v>
      </c>
      <c r="N94" s="290" t="s">
        <v>1389</v>
      </c>
      <c r="O94" s="276"/>
      <c r="P94" s="276"/>
      <c r="Q94" s="276"/>
      <c r="R94" s="276"/>
      <c r="S94" s="276"/>
      <c r="T94" s="276"/>
      <c r="U94" s="276"/>
      <c r="V94" s="276"/>
      <c r="W94" s="276"/>
      <c r="X94" s="276"/>
      <c r="Y94" s="276"/>
      <c r="Z94" s="276"/>
    </row>
    <row r="95" spans="1:26" ht="14.25" customHeight="1" x14ac:dyDescent="0.3">
      <c r="A95" s="294" t="s">
        <v>2237</v>
      </c>
      <c r="B95" s="279" t="s">
        <v>1341</v>
      </c>
      <c r="C95" s="279" t="s">
        <v>1385</v>
      </c>
      <c r="D95" s="276" t="s">
        <v>1386</v>
      </c>
      <c r="E95" s="279" t="s">
        <v>1369</v>
      </c>
      <c r="F95" s="279">
        <v>16</v>
      </c>
      <c r="G95" s="295" t="s">
        <v>1079</v>
      </c>
      <c r="H95" s="283">
        <v>45833</v>
      </c>
      <c r="I95" s="276" t="s">
        <v>1347</v>
      </c>
      <c r="J95" s="276" t="s">
        <v>1387</v>
      </c>
      <c r="K95" s="282" t="s">
        <v>1142</v>
      </c>
      <c r="L95" s="283">
        <v>45929</v>
      </c>
      <c r="M95" s="291" t="s">
        <v>2704</v>
      </c>
      <c r="N95" s="276" t="s">
        <v>1404</v>
      </c>
      <c r="O95" s="276"/>
      <c r="P95" s="276"/>
      <c r="Q95" s="276"/>
      <c r="R95" s="276"/>
      <c r="S95" s="276"/>
      <c r="T95" s="276"/>
      <c r="U95" s="276"/>
      <c r="V95" s="276"/>
      <c r="W95" s="276"/>
      <c r="X95" s="276"/>
      <c r="Y95" s="276"/>
      <c r="Z95" s="276"/>
    </row>
    <row r="96" spans="1:26" ht="14.25" customHeight="1" x14ac:dyDescent="0.3">
      <c r="A96" s="292" t="s">
        <v>985</v>
      </c>
      <c r="B96" s="279" t="s">
        <v>1341</v>
      </c>
      <c r="C96" s="279" t="s">
        <v>1385</v>
      </c>
      <c r="D96" s="276" t="s">
        <v>1386</v>
      </c>
      <c r="E96" s="279" t="s">
        <v>1343</v>
      </c>
      <c r="F96" s="279">
        <v>17</v>
      </c>
      <c r="G96" s="293" t="s">
        <v>1082</v>
      </c>
      <c r="H96" s="283">
        <v>45833</v>
      </c>
      <c r="I96" s="276" t="s">
        <v>1347</v>
      </c>
      <c r="J96" s="276" t="s">
        <v>1387</v>
      </c>
      <c r="K96" s="282" t="s">
        <v>1142</v>
      </c>
      <c r="L96" s="283">
        <v>45929</v>
      </c>
      <c r="M96" s="291" t="s">
        <v>2726</v>
      </c>
      <c r="N96" s="276" t="s">
        <v>1388</v>
      </c>
      <c r="O96" s="276"/>
      <c r="P96" s="276"/>
      <c r="Q96" s="276"/>
      <c r="R96" s="276"/>
      <c r="S96" s="276"/>
      <c r="T96" s="276"/>
      <c r="U96" s="276"/>
      <c r="V96" s="276"/>
      <c r="W96" s="276"/>
      <c r="X96" s="276"/>
      <c r="Y96" s="276"/>
      <c r="Z96" s="276"/>
    </row>
    <row r="97" spans="1:26" ht="14.25" customHeight="1" x14ac:dyDescent="0.3">
      <c r="A97" s="306" t="s">
        <v>992</v>
      </c>
      <c r="B97" s="279" t="s">
        <v>1341</v>
      </c>
      <c r="C97" s="279" t="s">
        <v>1385</v>
      </c>
      <c r="D97" s="276" t="s">
        <v>1386</v>
      </c>
      <c r="E97" s="279" t="s">
        <v>1343</v>
      </c>
      <c r="F97" s="279">
        <v>11</v>
      </c>
      <c r="G97" s="304" t="s">
        <v>1114</v>
      </c>
      <c r="H97" s="283">
        <v>45824</v>
      </c>
      <c r="I97" s="276" t="s">
        <v>1347</v>
      </c>
      <c r="J97" s="276" t="s">
        <v>1387</v>
      </c>
      <c r="K97" s="282" t="s">
        <v>1142</v>
      </c>
      <c r="L97" s="283">
        <v>45929</v>
      </c>
      <c r="M97" s="291" t="s">
        <v>1405</v>
      </c>
      <c r="N97" s="276" t="s">
        <v>1388</v>
      </c>
      <c r="O97" s="276"/>
      <c r="P97" s="276"/>
      <c r="Q97" s="276"/>
      <c r="R97" s="276"/>
      <c r="S97" s="276"/>
      <c r="T97" s="276"/>
      <c r="U97" s="276"/>
      <c r="V97" s="276"/>
      <c r="W97" s="276"/>
      <c r="X97" s="276"/>
      <c r="Y97" s="276"/>
      <c r="Z97" s="276"/>
    </row>
    <row r="98" spans="1:26" ht="14.25" customHeight="1" x14ac:dyDescent="0.3">
      <c r="A98" s="303" t="s">
        <v>2263</v>
      </c>
      <c r="B98" s="279" t="s">
        <v>1341</v>
      </c>
      <c r="C98" s="279" t="s">
        <v>1385</v>
      </c>
      <c r="D98" s="276" t="s">
        <v>1386</v>
      </c>
      <c r="E98" s="279" t="s">
        <v>1343</v>
      </c>
      <c r="F98" s="279">
        <v>11</v>
      </c>
      <c r="G98" s="304" t="s">
        <v>1114</v>
      </c>
      <c r="H98" s="283">
        <v>45824</v>
      </c>
      <c r="I98" s="276" t="s">
        <v>1347</v>
      </c>
      <c r="J98" s="276" t="s">
        <v>1387</v>
      </c>
      <c r="K98" s="282" t="s">
        <v>1142</v>
      </c>
      <c r="L98" s="283">
        <v>45929</v>
      </c>
      <c r="M98" s="291" t="s">
        <v>1406</v>
      </c>
      <c r="N98" s="276" t="s">
        <v>1388</v>
      </c>
      <c r="O98" s="276"/>
      <c r="P98" s="276"/>
      <c r="Q98" s="276"/>
      <c r="R98" s="276"/>
      <c r="S98" s="276"/>
      <c r="T98" s="276"/>
      <c r="U98" s="276"/>
      <c r="V98" s="276"/>
      <c r="W98" s="276"/>
      <c r="X98" s="276"/>
      <c r="Y98" s="276"/>
      <c r="Z98" s="276"/>
    </row>
    <row r="99" spans="1:26" ht="14.25" customHeight="1" x14ac:dyDescent="0.3">
      <c r="A99" s="296" t="s">
        <v>2281</v>
      </c>
      <c r="B99" s="279" t="s">
        <v>1341</v>
      </c>
      <c r="C99" s="279" t="s">
        <v>1385</v>
      </c>
      <c r="D99" s="276" t="s">
        <v>1386</v>
      </c>
      <c r="E99" s="279" t="s">
        <v>1343</v>
      </c>
      <c r="F99" s="279">
        <v>16</v>
      </c>
      <c r="G99" s="295" t="s">
        <v>1079</v>
      </c>
      <c r="H99" s="283">
        <v>45833</v>
      </c>
      <c r="I99" s="276" t="s">
        <v>1362</v>
      </c>
      <c r="J99" s="276" t="s">
        <v>1345</v>
      </c>
      <c r="K99" s="284" t="s">
        <v>1208</v>
      </c>
      <c r="L99" s="283">
        <v>45929</v>
      </c>
      <c r="M99" s="291" t="s">
        <v>2705</v>
      </c>
      <c r="N99" s="276" t="s">
        <v>1388</v>
      </c>
      <c r="O99" s="276"/>
      <c r="P99" s="276"/>
      <c r="Q99" s="276"/>
      <c r="R99" s="276"/>
      <c r="S99" s="276"/>
      <c r="T99" s="276"/>
      <c r="U99" s="276"/>
      <c r="V99" s="276"/>
      <c r="W99" s="276"/>
      <c r="X99" s="276"/>
      <c r="Y99" s="276"/>
      <c r="Z99" s="276"/>
    </row>
    <row r="100" spans="1:26" ht="14.25" customHeight="1" x14ac:dyDescent="0.3">
      <c r="A100" s="307" t="s">
        <v>1202</v>
      </c>
      <c r="B100" s="279" t="s">
        <v>1341</v>
      </c>
      <c r="C100" s="279" t="s">
        <v>1385</v>
      </c>
      <c r="D100" s="276" t="s">
        <v>1386</v>
      </c>
      <c r="E100" s="279" t="s">
        <v>1343</v>
      </c>
      <c r="F100" s="276"/>
      <c r="G100" s="293" t="s">
        <v>1082</v>
      </c>
      <c r="H100" s="283">
        <v>45833</v>
      </c>
      <c r="I100" s="276" t="s">
        <v>1347</v>
      </c>
      <c r="J100" s="276" t="s">
        <v>1387</v>
      </c>
      <c r="K100" s="282" t="s">
        <v>1142</v>
      </c>
      <c r="L100" s="283">
        <v>45929</v>
      </c>
      <c r="M100" s="276" t="s">
        <v>1407</v>
      </c>
      <c r="N100" s="290" t="s">
        <v>1389</v>
      </c>
      <c r="O100" s="276"/>
      <c r="P100" s="276"/>
      <c r="Q100" s="276"/>
      <c r="R100" s="276"/>
      <c r="S100" s="276"/>
      <c r="T100" s="276"/>
      <c r="U100" s="276"/>
      <c r="V100" s="276"/>
      <c r="W100" s="276"/>
      <c r="X100" s="276"/>
      <c r="Y100" s="276"/>
      <c r="Z100" s="276"/>
    </row>
    <row r="101" spans="1:26" ht="14.25" customHeight="1" x14ac:dyDescent="0.3">
      <c r="A101" s="307" t="s">
        <v>1164</v>
      </c>
      <c r="B101" s="279" t="s">
        <v>1341</v>
      </c>
      <c r="C101" s="279" t="s">
        <v>1385</v>
      </c>
      <c r="D101" s="276" t="s">
        <v>1386</v>
      </c>
      <c r="E101" s="279" t="s">
        <v>1089</v>
      </c>
      <c r="F101" s="276"/>
      <c r="G101" s="293" t="s">
        <v>1082</v>
      </c>
      <c r="H101" s="283">
        <v>45833</v>
      </c>
      <c r="I101" s="276" t="s">
        <v>1347</v>
      </c>
      <c r="J101" s="276" t="s">
        <v>1387</v>
      </c>
      <c r="K101" s="282" t="s">
        <v>1142</v>
      </c>
      <c r="L101" s="283">
        <v>45929</v>
      </c>
      <c r="M101" s="291" t="s">
        <v>2727</v>
      </c>
      <c r="N101" s="290" t="s">
        <v>1389</v>
      </c>
      <c r="O101" s="276"/>
      <c r="P101" s="276"/>
      <c r="Q101" s="276"/>
      <c r="R101" s="276"/>
      <c r="S101" s="276"/>
      <c r="T101" s="276"/>
      <c r="U101" s="276"/>
      <c r="V101" s="276"/>
      <c r="W101" s="276"/>
      <c r="X101" s="276"/>
      <c r="Y101" s="276"/>
      <c r="Z101" s="276"/>
    </row>
    <row r="102" spans="1:26" ht="14.25" customHeight="1" x14ac:dyDescent="0.3">
      <c r="A102" s="307" t="s">
        <v>1165</v>
      </c>
      <c r="B102" s="279" t="s">
        <v>1341</v>
      </c>
      <c r="C102" s="279" t="s">
        <v>1385</v>
      </c>
      <c r="D102" s="276" t="s">
        <v>1386</v>
      </c>
      <c r="E102" s="279" t="s">
        <v>1089</v>
      </c>
      <c r="F102" s="276"/>
      <c r="G102" s="293" t="s">
        <v>1082</v>
      </c>
      <c r="H102" s="283">
        <v>45833</v>
      </c>
      <c r="I102" s="276" t="s">
        <v>1347</v>
      </c>
      <c r="J102" s="276" t="s">
        <v>1387</v>
      </c>
      <c r="K102" s="282" t="s">
        <v>1142</v>
      </c>
      <c r="L102" s="283">
        <v>45929</v>
      </c>
      <c r="M102" s="291" t="s">
        <v>2728</v>
      </c>
      <c r="N102" s="290" t="s">
        <v>1389</v>
      </c>
      <c r="O102" s="276"/>
      <c r="P102" s="276"/>
      <c r="Q102" s="276"/>
      <c r="R102" s="276"/>
      <c r="S102" s="276"/>
      <c r="T102" s="276"/>
      <c r="U102" s="276"/>
      <c r="V102" s="276"/>
      <c r="W102" s="276"/>
      <c r="X102" s="276"/>
      <c r="Y102" s="276"/>
      <c r="Z102" s="276"/>
    </row>
    <row r="103" spans="1:26" ht="14.25" customHeight="1" x14ac:dyDescent="0.3">
      <c r="A103" s="307" t="s">
        <v>946</v>
      </c>
      <c r="B103" s="279" t="s">
        <v>1341</v>
      </c>
      <c r="C103" s="279" t="s">
        <v>1385</v>
      </c>
      <c r="D103" s="276" t="s">
        <v>1386</v>
      </c>
      <c r="E103" s="279" t="s">
        <v>1089</v>
      </c>
      <c r="F103" s="276"/>
      <c r="G103" s="295" t="s">
        <v>1079</v>
      </c>
      <c r="H103" s="283">
        <v>45833</v>
      </c>
      <c r="I103" s="276" t="s">
        <v>1347</v>
      </c>
      <c r="J103" s="276" t="s">
        <v>1387</v>
      </c>
      <c r="K103" s="282" t="s">
        <v>1142</v>
      </c>
      <c r="L103" s="283">
        <v>45929</v>
      </c>
      <c r="M103" s="291" t="s">
        <v>2706</v>
      </c>
      <c r="N103" s="290" t="s">
        <v>1389</v>
      </c>
      <c r="O103" s="276"/>
      <c r="P103" s="276"/>
      <c r="Q103" s="276"/>
      <c r="R103" s="276"/>
      <c r="S103" s="276"/>
      <c r="T103" s="276"/>
      <c r="U103" s="276"/>
      <c r="V103" s="276"/>
      <c r="W103" s="276"/>
      <c r="X103" s="276"/>
      <c r="Y103" s="276"/>
      <c r="Z103" s="276"/>
    </row>
    <row r="104" spans="1:26" ht="14.25" customHeight="1" x14ac:dyDescent="0.3">
      <c r="A104" s="307" t="s">
        <v>2743</v>
      </c>
      <c r="B104" s="279" t="s">
        <v>1341</v>
      </c>
      <c r="C104" s="279" t="s">
        <v>1385</v>
      </c>
      <c r="D104" s="276" t="s">
        <v>1386</v>
      </c>
      <c r="E104" s="279" t="s">
        <v>1089</v>
      </c>
      <c r="F104" s="276"/>
      <c r="G104" s="295" t="s">
        <v>1079</v>
      </c>
      <c r="H104" s="283">
        <v>45833</v>
      </c>
      <c r="I104" s="276" t="s">
        <v>1362</v>
      </c>
      <c r="J104" s="276" t="s">
        <v>1345</v>
      </c>
      <c r="K104" s="290" t="s">
        <v>1200</v>
      </c>
      <c r="L104" s="283">
        <v>45929</v>
      </c>
      <c r="M104" s="291" t="s">
        <v>2703</v>
      </c>
      <c r="N104" s="290" t="s">
        <v>1389</v>
      </c>
      <c r="O104" s="276"/>
      <c r="P104" s="276"/>
      <c r="Q104" s="276"/>
      <c r="R104" s="276"/>
      <c r="S104" s="276"/>
      <c r="T104" s="276"/>
      <c r="U104" s="276"/>
      <c r="V104" s="276"/>
      <c r="W104" s="276"/>
      <c r="X104" s="276"/>
      <c r="Y104" s="276"/>
      <c r="Z104" s="276"/>
    </row>
    <row r="105" spans="1:26" ht="14.25" customHeight="1" x14ac:dyDescent="0.3">
      <c r="A105" s="307" t="s">
        <v>2237</v>
      </c>
      <c r="B105" s="279" t="s">
        <v>1341</v>
      </c>
      <c r="C105" s="279" t="s">
        <v>1385</v>
      </c>
      <c r="D105" s="276" t="s">
        <v>1386</v>
      </c>
      <c r="E105" s="279" t="s">
        <v>1369</v>
      </c>
      <c r="F105" s="276"/>
      <c r="G105" s="293" t="s">
        <v>1082</v>
      </c>
      <c r="H105" s="283">
        <v>45833</v>
      </c>
      <c r="I105" s="276" t="s">
        <v>1347</v>
      </c>
      <c r="J105" s="276" t="s">
        <v>1387</v>
      </c>
      <c r="K105" s="282" t="s">
        <v>1142</v>
      </c>
      <c r="L105" s="283">
        <v>45929</v>
      </c>
      <c r="M105" s="291" t="s">
        <v>1408</v>
      </c>
      <c r="N105" s="290" t="s">
        <v>1389</v>
      </c>
      <c r="O105" s="276"/>
      <c r="P105" s="276"/>
      <c r="Q105" s="276"/>
      <c r="R105" s="276"/>
      <c r="S105" s="276"/>
      <c r="T105" s="276"/>
      <c r="U105" s="276"/>
      <c r="V105" s="276"/>
      <c r="W105" s="276"/>
      <c r="X105" s="276"/>
      <c r="Y105" s="276"/>
      <c r="Z105" s="276"/>
    </row>
    <row r="106" spans="1:26" ht="14.25" customHeight="1" x14ac:dyDescent="0.3">
      <c r="A106" s="307" t="s">
        <v>1197</v>
      </c>
      <c r="B106" s="279" t="s">
        <v>1341</v>
      </c>
      <c r="C106" s="279" t="s">
        <v>1385</v>
      </c>
      <c r="D106" s="276" t="s">
        <v>1386</v>
      </c>
      <c r="E106" s="279" t="s">
        <v>1343</v>
      </c>
      <c r="F106" s="276"/>
      <c r="G106" s="293" t="s">
        <v>1082</v>
      </c>
      <c r="H106" s="283">
        <v>45833</v>
      </c>
      <c r="I106" s="276" t="s">
        <v>1347</v>
      </c>
      <c r="J106" s="276" t="s">
        <v>1387</v>
      </c>
      <c r="K106" s="282" t="s">
        <v>1142</v>
      </c>
      <c r="L106" s="283">
        <v>45929</v>
      </c>
      <c r="M106" s="276" t="s">
        <v>1409</v>
      </c>
      <c r="N106" s="290" t="s">
        <v>1389</v>
      </c>
      <c r="O106" s="276"/>
      <c r="P106" s="276"/>
      <c r="Q106" s="276"/>
      <c r="R106" s="276"/>
      <c r="S106" s="276"/>
      <c r="T106" s="276"/>
      <c r="U106" s="276"/>
      <c r="V106" s="276"/>
      <c r="W106" s="276"/>
      <c r="X106" s="276"/>
      <c r="Y106" s="276"/>
      <c r="Z106" s="276"/>
    </row>
    <row r="107" spans="1:26" ht="14.25" customHeight="1" x14ac:dyDescent="0.3">
      <c r="A107" s="307" t="s">
        <v>1202</v>
      </c>
      <c r="B107" s="279" t="s">
        <v>1341</v>
      </c>
      <c r="C107" s="279" t="s">
        <v>1385</v>
      </c>
      <c r="D107" s="276" t="s">
        <v>1386</v>
      </c>
      <c r="E107" s="279" t="s">
        <v>1343</v>
      </c>
      <c r="F107" s="276"/>
      <c r="G107" s="295" t="s">
        <v>1079</v>
      </c>
      <c r="H107" s="283">
        <v>45833</v>
      </c>
      <c r="I107" s="276" t="s">
        <v>1362</v>
      </c>
      <c r="J107" s="276" t="s">
        <v>1345</v>
      </c>
      <c r="K107" s="284" t="s">
        <v>1208</v>
      </c>
      <c r="L107" s="283">
        <v>45929</v>
      </c>
      <c r="M107" s="291" t="s">
        <v>2705</v>
      </c>
      <c r="N107" s="290" t="s">
        <v>1389</v>
      </c>
      <c r="O107" s="276"/>
      <c r="P107" s="276"/>
      <c r="Q107" s="276"/>
      <c r="R107" s="276"/>
      <c r="S107" s="276"/>
      <c r="T107" s="276"/>
      <c r="U107" s="276"/>
      <c r="V107" s="276"/>
      <c r="W107" s="276"/>
      <c r="X107" s="276"/>
      <c r="Y107" s="276"/>
      <c r="Z107" s="276"/>
    </row>
    <row r="108" spans="1:26" ht="14.25" customHeight="1" x14ac:dyDescent="0.3">
      <c r="A108" s="307" t="s">
        <v>2736</v>
      </c>
      <c r="B108" s="279" t="s">
        <v>1341</v>
      </c>
      <c r="C108" s="279" t="s">
        <v>1385</v>
      </c>
      <c r="D108" s="276" t="s">
        <v>1386</v>
      </c>
      <c r="E108" s="279" t="s">
        <v>1089</v>
      </c>
      <c r="F108" s="276"/>
      <c r="G108" s="293" t="s">
        <v>1082</v>
      </c>
      <c r="H108" s="283">
        <v>45833</v>
      </c>
      <c r="I108" s="276" t="s">
        <v>1347</v>
      </c>
      <c r="J108" s="276" t="s">
        <v>1387</v>
      </c>
      <c r="K108" s="282" t="s">
        <v>1142</v>
      </c>
      <c r="L108" s="283">
        <v>45929</v>
      </c>
      <c r="M108" s="291" t="s">
        <v>2729</v>
      </c>
      <c r="N108" s="290" t="s">
        <v>1389</v>
      </c>
      <c r="O108" s="276"/>
      <c r="P108" s="276"/>
      <c r="Q108" s="276"/>
      <c r="R108" s="276"/>
      <c r="S108" s="276"/>
      <c r="T108" s="276"/>
      <c r="U108" s="276"/>
      <c r="V108" s="276"/>
      <c r="W108" s="276"/>
      <c r="X108" s="276"/>
      <c r="Y108" s="276"/>
      <c r="Z108" s="276"/>
    </row>
    <row r="109" spans="1:26" ht="14.25" customHeight="1" x14ac:dyDescent="0.3">
      <c r="A109" s="308" t="s">
        <v>1105</v>
      </c>
      <c r="B109" s="276" t="s">
        <v>1341</v>
      </c>
      <c r="C109" s="279" t="s">
        <v>1410</v>
      </c>
      <c r="D109" s="283">
        <v>45910</v>
      </c>
      <c r="E109" s="279" t="s">
        <v>1089</v>
      </c>
      <c r="F109" s="309">
        <v>18</v>
      </c>
      <c r="G109" s="310" t="s">
        <v>1088</v>
      </c>
      <c r="H109" s="283">
        <v>45905</v>
      </c>
      <c r="I109" s="276" t="s">
        <v>1347</v>
      </c>
      <c r="J109" s="276" t="s">
        <v>1345</v>
      </c>
      <c r="K109" s="282" t="s">
        <v>1142</v>
      </c>
      <c r="L109" s="283">
        <v>45921</v>
      </c>
      <c r="M109" s="291" t="s">
        <v>2746</v>
      </c>
      <c r="N109" s="276" t="s">
        <v>1411</v>
      </c>
      <c r="O109" s="276"/>
      <c r="P109" s="276"/>
      <c r="Q109" s="276"/>
      <c r="R109" s="276"/>
      <c r="S109" s="276"/>
      <c r="T109" s="276"/>
      <c r="U109" s="276"/>
      <c r="V109" s="276"/>
      <c r="W109" s="276"/>
      <c r="X109" s="276"/>
      <c r="Y109" s="276"/>
      <c r="Z109" s="276"/>
    </row>
    <row r="110" spans="1:26" ht="14.25" customHeight="1" x14ac:dyDescent="0.3">
      <c r="A110" s="308" t="s">
        <v>2188</v>
      </c>
      <c r="B110" s="276" t="s">
        <v>1341</v>
      </c>
      <c r="C110" s="279" t="s">
        <v>1410</v>
      </c>
      <c r="D110" s="283">
        <v>45910</v>
      </c>
      <c r="E110" s="279" t="s">
        <v>1089</v>
      </c>
      <c r="F110" s="311">
        <v>13</v>
      </c>
      <c r="G110" s="310" t="s">
        <v>1088</v>
      </c>
      <c r="H110" s="283">
        <v>45905</v>
      </c>
      <c r="I110" s="276" t="s">
        <v>1347</v>
      </c>
      <c r="J110" s="276" t="s">
        <v>1345</v>
      </c>
      <c r="K110" s="282" t="s">
        <v>1142</v>
      </c>
      <c r="L110" s="283">
        <v>45921</v>
      </c>
      <c r="M110" s="291" t="s">
        <v>2642</v>
      </c>
      <c r="N110" s="276"/>
      <c r="O110" s="276"/>
      <c r="P110" s="276"/>
      <c r="Q110" s="276"/>
      <c r="R110" s="276"/>
      <c r="S110" s="276"/>
      <c r="T110" s="276"/>
      <c r="U110" s="276"/>
      <c r="V110" s="276"/>
      <c r="W110" s="276"/>
      <c r="X110" s="276"/>
      <c r="Y110" s="276"/>
      <c r="Z110" s="276"/>
    </row>
    <row r="111" spans="1:26" ht="14.25" customHeight="1" x14ac:dyDescent="0.3">
      <c r="A111" s="308" t="s">
        <v>529</v>
      </c>
      <c r="B111" s="276" t="s">
        <v>1341</v>
      </c>
      <c r="C111" s="279" t="s">
        <v>1410</v>
      </c>
      <c r="D111" s="283">
        <v>45910</v>
      </c>
      <c r="E111" s="279" t="s">
        <v>1089</v>
      </c>
      <c r="F111" s="311">
        <v>13</v>
      </c>
      <c r="G111" s="310" t="s">
        <v>1088</v>
      </c>
      <c r="H111" s="283">
        <v>45905</v>
      </c>
      <c r="I111" s="276" t="s">
        <v>1356</v>
      </c>
      <c r="J111" s="276" t="s">
        <v>1345</v>
      </c>
      <c r="K111" s="284" t="s">
        <v>1128</v>
      </c>
      <c r="L111" s="283">
        <v>45921</v>
      </c>
      <c r="M111" s="276" t="s">
        <v>451</v>
      </c>
      <c r="N111" s="276" t="s">
        <v>1412</v>
      </c>
      <c r="O111" s="276" t="s">
        <v>1413</v>
      </c>
      <c r="P111" s="276"/>
      <c r="Q111" s="276"/>
      <c r="R111" s="276"/>
      <c r="S111" s="276"/>
      <c r="T111" s="276"/>
      <c r="U111" s="276"/>
      <c r="V111" s="276"/>
      <c r="W111" s="276"/>
      <c r="X111" s="276"/>
      <c r="Y111" s="276"/>
      <c r="Z111" s="276"/>
    </row>
    <row r="112" spans="1:26" ht="14.25" customHeight="1" x14ac:dyDescent="0.3">
      <c r="A112" s="308" t="s">
        <v>2189</v>
      </c>
      <c r="B112" s="276" t="s">
        <v>1341</v>
      </c>
      <c r="C112" s="279" t="s">
        <v>1410</v>
      </c>
      <c r="D112" s="283">
        <v>45910</v>
      </c>
      <c r="E112" s="279" t="s">
        <v>1089</v>
      </c>
      <c r="F112" s="311">
        <v>8</v>
      </c>
      <c r="G112" s="310" t="s">
        <v>1088</v>
      </c>
      <c r="H112" s="283">
        <v>45905</v>
      </c>
      <c r="I112" s="276" t="s">
        <v>1344</v>
      </c>
      <c r="J112" s="276" t="s">
        <v>1345</v>
      </c>
      <c r="K112" s="282" t="s">
        <v>1142</v>
      </c>
      <c r="L112" s="283">
        <v>45921</v>
      </c>
      <c r="M112" s="291" t="s">
        <v>2643</v>
      </c>
      <c r="N112" s="276" t="s">
        <v>1414</v>
      </c>
      <c r="O112" s="276"/>
      <c r="P112" s="276"/>
      <c r="Q112" s="276"/>
      <c r="R112" s="276"/>
      <c r="S112" s="276"/>
      <c r="T112" s="276"/>
      <c r="U112" s="276"/>
      <c r="V112" s="276"/>
      <c r="W112" s="276"/>
      <c r="X112" s="276"/>
      <c r="Y112" s="276"/>
      <c r="Z112" s="276"/>
    </row>
    <row r="113" spans="1:26" ht="14.25" customHeight="1" x14ac:dyDescent="0.3">
      <c r="A113" s="308" t="s">
        <v>1117</v>
      </c>
      <c r="B113" s="276" t="s">
        <v>1341</v>
      </c>
      <c r="C113" s="279" t="s">
        <v>1410</v>
      </c>
      <c r="D113" s="283">
        <v>45910</v>
      </c>
      <c r="E113" s="279" t="s">
        <v>1089</v>
      </c>
      <c r="F113" s="311">
        <v>19</v>
      </c>
      <c r="G113" s="310" t="s">
        <v>1088</v>
      </c>
      <c r="H113" s="283">
        <v>45905</v>
      </c>
      <c r="I113" s="276" t="s">
        <v>1347</v>
      </c>
      <c r="J113" s="276" t="s">
        <v>1345</v>
      </c>
      <c r="K113" s="282" t="s">
        <v>1142</v>
      </c>
      <c r="L113" s="283">
        <v>45921</v>
      </c>
      <c r="M113" s="291" t="s">
        <v>2756</v>
      </c>
      <c r="N113" s="276" t="s">
        <v>1090</v>
      </c>
      <c r="O113" s="276"/>
      <c r="P113" s="276"/>
      <c r="Q113" s="276"/>
      <c r="R113" s="276"/>
      <c r="S113" s="276"/>
      <c r="T113" s="276"/>
      <c r="U113" s="276"/>
      <c r="V113" s="276"/>
      <c r="W113" s="276"/>
      <c r="X113" s="276"/>
      <c r="Y113" s="276"/>
      <c r="Z113" s="276"/>
    </row>
    <row r="114" spans="1:26" ht="14.25" customHeight="1" x14ac:dyDescent="0.3">
      <c r="A114" s="308" t="s">
        <v>2190</v>
      </c>
      <c r="B114" s="276" t="s">
        <v>1341</v>
      </c>
      <c r="C114" s="279" t="s">
        <v>1410</v>
      </c>
      <c r="D114" s="283">
        <v>45910</v>
      </c>
      <c r="E114" s="279" t="s">
        <v>1089</v>
      </c>
      <c r="F114" s="311">
        <v>8</v>
      </c>
      <c r="G114" s="310" t="s">
        <v>1088</v>
      </c>
      <c r="H114" s="283">
        <v>45905</v>
      </c>
      <c r="I114" s="276" t="s">
        <v>1347</v>
      </c>
      <c r="J114" s="276" t="s">
        <v>1415</v>
      </c>
      <c r="K114" s="282" t="s">
        <v>1142</v>
      </c>
      <c r="L114" s="283">
        <v>45921</v>
      </c>
      <c r="M114" s="291" t="s">
        <v>2757</v>
      </c>
      <c r="N114" s="276"/>
      <c r="O114" s="276"/>
      <c r="P114" s="276"/>
      <c r="Q114" s="276"/>
      <c r="R114" s="276"/>
      <c r="S114" s="276"/>
      <c r="T114" s="276"/>
      <c r="U114" s="276"/>
      <c r="V114" s="276"/>
      <c r="W114" s="276"/>
      <c r="X114" s="276"/>
      <c r="Y114" s="276"/>
      <c r="Z114" s="276"/>
    </row>
    <row r="115" spans="1:26" ht="14.25" customHeight="1" x14ac:dyDescent="0.3">
      <c r="A115" s="308" t="s">
        <v>1984</v>
      </c>
      <c r="B115" s="276" t="s">
        <v>1341</v>
      </c>
      <c r="C115" s="279" t="s">
        <v>1410</v>
      </c>
      <c r="D115" s="283">
        <v>45910</v>
      </c>
      <c r="E115" s="279" t="s">
        <v>1089</v>
      </c>
      <c r="F115" s="311">
        <v>13</v>
      </c>
      <c r="G115" s="310" t="s">
        <v>1088</v>
      </c>
      <c r="H115" s="283">
        <v>45905</v>
      </c>
      <c r="I115" s="276" t="s">
        <v>1347</v>
      </c>
      <c r="J115" s="276" t="s">
        <v>1345</v>
      </c>
      <c r="K115" s="282" t="s">
        <v>1142</v>
      </c>
      <c r="L115" s="283">
        <v>45921</v>
      </c>
      <c r="M115" s="291" t="s">
        <v>2758</v>
      </c>
      <c r="N115" s="276" t="s">
        <v>1412</v>
      </c>
      <c r="O115" s="276"/>
      <c r="P115" s="276"/>
      <c r="Q115" s="276"/>
      <c r="R115" s="276"/>
      <c r="S115" s="276"/>
      <c r="T115" s="276"/>
      <c r="U115" s="276"/>
      <c r="V115" s="276"/>
      <c r="W115" s="276"/>
      <c r="X115" s="276"/>
      <c r="Y115" s="276"/>
      <c r="Z115" s="276"/>
    </row>
    <row r="116" spans="1:26" ht="14.25" customHeight="1" x14ac:dyDescent="0.3">
      <c r="A116" s="308" t="s">
        <v>1988</v>
      </c>
      <c r="B116" s="276" t="s">
        <v>1341</v>
      </c>
      <c r="C116" s="279" t="s">
        <v>1410</v>
      </c>
      <c r="D116" s="283">
        <v>45910</v>
      </c>
      <c r="E116" s="279" t="s">
        <v>1089</v>
      </c>
      <c r="F116" s="309">
        <v>18</v>
      </c>
      <c r="G116" s="310" t="s">
        <v>1088</v>
      </c>
      <c r="H116" s="283">
        <v>45905</v>
      </c>
      <c r="I116" s="276" t="s">
        <v>1347</v>
      </c>
      <c r="J116" s="276" t="s">
        <v>1345</v>
      </c>
      <c r="K116" s="282" t="s">
        <v>1142</v>
      </c>
      <c r="L116" s="283">
        <v>45921</v>
      </c>
      <c r="M116" s="291" t="s">
        <v>2759</v>
      </c>
      <c r="N116" s="276" t="s">
        <v>1090</v>
      </c>
      <c r="O116" s="276"/>
      <c r="P116" s="276"/>
      <c r="Q116" s="276"/>
      <c r="R116" s="276"/>
      <c r="S116" s="276"/>
      <c r="T116" s="276"/>
      <c r="U116" s="276"/>
      <c r="V116" s="276"/>
      <c r="W116" s="276"/>
      <c r="X116" s="276"/>
      <c r="Y116" s="276"/>
      <c r="Z116" s="276"/>
    </row>
    <row r="117" spans="1:26" ht="14.25" customHeight="1" x14ac:dyDescent="0.3">
      <c r="A117" s="312" t="s">
        <v>605</v>
      </c>
      <c r="B117" s="276" t="s">
        <v>1341</v>
      </c>
      <c r="C117" s="279" t="s">
        <v>1410</v>
      </c>
      <c r="D117" s="283">
        <v>45910</v>
      </c>
      <c r="E117" s="279" t="s">
        <v>1125</v>
      </c>
      <c r="F117" s="309">
        <v>17</v>
      </c>
      <c r="G117" s="286" t="s">
        <v>1082</v>
      </c>
      <c r="H117" s="283">
        <v>45905</v>
      </c>
      <c r="I117" s="276" t="s">
        <v>1347</v>
      </c>
      <c r="J117" s="276" t="s">
        <v>1345</v>
      </c>
      <c r="K117" s="282" t="s">
        <v>1142</v>
      </c>
      <c r="L117" s="283">
        <v>45921</v>
      </c>
      <c r="M117" s="291" t="s">
        <v>2723</v>
      </c>
      <c r="N117" s="290"/>
      <c r="O117" s="276"/>
      <c r="P117" s="276"/>
      <c r="Q117" s="276"/>
      <c r="R117" s="276"/>
      <c r="S117" s="276"/>
      <c r="T117" s="276"/>
      <c r="U117" s="276"/>
      <c r="V117" s="276"/>
      <c r="W117" s="276"/>
      <c r="X117" s="276"/>
      <c r="Y117" s="276"/>
      <c r="Z117" s="276"/>
    </row>
    <row r="118" spans="1:26" ht="14.25" customHeight="1" x14ac:dyDescent="0.3">
      <c r="A118" s="312" t="s">
        <v>1123</v>
      </c>
      <c r="B118" s="276" t="s">
        <v>1341</v>
      </c>
      <c r="C118" s="279" t="s">
        <v>1410</v>
      </c>
      <c r="D118" s="283">
        <v>45910</v>
      </c>
      <c r="E118" s="279" t="s">
        <v>1125</v>
      </c>
      <c r="F118" s="309">
        <v>17</v>
      </c>
      <c r="G118" s="310" t="s">
        <v>1088</v>
      </c>
      <c r="H118" s="283">
        <v>45905</v>
      </c>
      <c r="I118" s="276" t="s">
        <v>1347</v>
      </c>
      <c r="J118" s="276" t="s">
        <v>1345</v>
      </c>
      <c r="K118" s="282" t="s">
        <v>1142</v>
      </c>
      <c r="L118" s="283">
        <v>45921</v>
      </c>
      <c r="M118" s="291" t="s">
        <v>2755</v>
      </c>
      <c r="N118" s="276"/>
      <c r="O118" s="276"/>
      <c r="P118" s="276"/>
      <c r="Q118" s="276"/>
      <c r="R118" s="276"/>
      <c r="S118" s="276"/>
      <c r="T118" s="276"/>
      <c r="U118" s="276"/>
      <c r="V118" s="276"/>
      <c r="W118" s="276"/>
      <c r="X118" s="276"/>
      <c r="Y118" s="276"/>
      <c r="Z118" s="276"/>
    </row>
    <row r="119" spans="1:26" ht="14.25" customHeight="1" x14ac:dyDescent="0.3">
      <c r="A119" s="313" t="s">
        <v>1126</v>
      </c>
      <c r="B119" s="276" t="s">
        <v>1341</v>
      </c>
      <c r="C119" s="279" t="s">
        <v>1410</v>
      </c>
      <c r="D119" s="283">
        <v>45910</v>
      </c>
      <c r="E119" s="279" t="s">
        <v>1089</v>
      </c>
      <c r="F119" s="309">
        <v>18</v>
      </c>
      <c r="G119" s="286" t="s">
        <v>1082</v>
      </c>
      <c r="H119" s="283">
        <v>45905</v>
      </c>
      <c r="I119" s="276" t="s">
        <v>1347</v>
      </c>
      <c r="J119" s="276" t="s">
        <v>1345</v>
      </c>
      <c r="K119" s="282" t="s">
        <v>1142</v>
      </c>
      <c r="L119" s="283">
        <v>45921</v>
      </c>
      <c r="M119" s="291" t="s">
        <v>2730</v>
      </c>
      <c r="N119" s="276"/>
      <c r="O119" s="276"/>
      <c r="P119" s="276"/>
      <c r="Q119" s="276"/>
      <c r="R119" s="276"/>
      <c r="S119" s="276"/>
      <c r="T119" s="276"/>
      <c r="U119" s="276"/>
      <c r="V119" s="276"/>
      <c r="W119" s="276"/>
      <c r="X119" s="276"/>
      <c r="Y119" s="276"/>
      <c r="Z119" s="276"/>
    </row>
    <row r="120" spans="1:26" ht="14.25" customHeight="1" x14ac:dyDescent="0.3">
      <c r="A120" s="308" t="s">
        <v>1981</v>
      </c>
      <c r="B120" s="276" t="s">
        <v>1341</v>
      </c>
      <c r="C120" s="279" t="s">
        <v>1410</v>
      </c>
      <c r="D120" s="283">
        <v>45910</v>
      </c>
      <c r="E120" s="279" t="s">
        <v>1089</v>
      </c>
      <c r="F120" s="311">
        <v>8</v>
      </c>
      <c r="G120" s="310" t="s">
        <v>1088</v>
      </c>
      <c r="H120" s="283">
        <v>45905</v>
      </c>
      <c r="I120" s="276" t="s">
        <v>1347</v>
      </c>
      <c r="J120" s="276" t="s">
        <v>1345</v>
      </c>
      <c r="K120" s="282" t="s">
        <v>1142</v>
      </c>
      <c r="L120" s="283">
        <v>45921</v>
      </c>
      <c r="M120" s="291" t="s">
        <v>2644</v>
      </c>
      <c r="N120" s="276"/>
      <c r="O120" s="276"/>
      <c r="P120" s="276"/>
      <c r="Q120" s="276"/>
      <c r="R120" s="276"/>
      <c r="S120" s="276"/>
      <c r="T120" s="276"/>
      <c r="U120" s="276"/>
      <c r="V120" s="276"/>
      <c r="W120" s="276"/>
      <c r="X120" s="276"/>
      <c r="Y120" s="276"/>
      <c r="Z120" s="276"/>
    </row>
    <row r="121" spans="1:26" ht="14.25" customHeight="1" x14ac:dyDescent="0.3">
      <c r="A121" s="314" t="s">
        <v>1982</v>
      </c>
      <c r="B121" s="276" t="s">
        <v>1341</v>
      </c>
      <c r="C121" s="279" t="s">
        <v>1410</v>
      </c>
      <c r="D121" s="283">
        <v>45910</v>
      </c>
      <c r="E121" s="279" t="s">
        <v>1089</v>
      </c>
      <c r="F121" s="311">
        <v>8</v>
      </c>
      <c r="G121" s="315" t="s">
        <v>1088</v>
      </c>
      <c r="H121" s="283">
        <v>45905</v>
      </c>
      <c r="I121" s="276" t="s">
        <v>1356</v>
      </c>
      <c r="J121" s="276" t="s">
        <v>1345</v>
      </c>
      <c r="K121" s="290" t="s">
        <v>1107</v>
      </c>
      <c r="L121" s="283">
        <v>45921</v>
      </c>
      <c r="M121" s="276" t="s">
        <v>451</v>
      </c>
      <c r="N121" s="276" t="s">
        <v>1412</v>
      </c>
      <c r="O121" s="276" t="s">
        <v>1416</v>
      </c>
      <c r="P121" s="276"/>
      <c r="Q121" s="276"/>
      <c r="R121" s="276"/>
      <c r="S121" s="276"/>
      <c r="T121" s="276"/>
      <c r="U121" s="276"/>
      <c r="V121" s="276"/>
      <c r="W121" s="276"/>
      <c r="X121" s="276"/>
      <c r="Y121" s="276"/>
      <c r="Z121" s="276"/>
    </row>
    <row r="122" spans="1:26" ht="14.25" customHeight="1" x14ac:dyDescent="0.3">
      <c r="A122" s="308" t="s">
        <v>1127</v>
      </c>
      <c r="B122" s="276" t="s">
        <v>1341</v>
      </c>
      <c r="C122" s="279" t="s">
        <v>1410</v>
      </c>
      <c r="D122" s="283">
        <v>45910</v>
      </c>
      <c r="E122" s="279" t="s">
        <v>1089</v>
      </c>
      <c r="F122" s="311">
        <v>19</v>
      </c>
      <c r="G122" s="310" t="s">
        <v>1088</v>
      </c>
      <c r="H122" s="283">
        <v>45905</v>
      </c>
      <c r="I122" s="276" t="s">
        <v>1347</v>
      </c>
      <c r="J122" s="276" t="s">
        <v>1345</v>
      </c>
      <c r="K122" s="282" t="s">
        <v>1142</v>
      </c>
      <c r="L122" s="283">
        <v>45921</v>
      </c>
      <c r="M122" s="291" t="s">
        <v>2645</v>
      </c>
      <c r="N122" s="276" t="s">
        <v>1412</v>
      </c>
      <c r="O122" s="276"/>
      <c r="P122" s="276"/>
      <c r="Q122" s="276"/>
      <c r="R122" s="276"/>
      <c r="S122" s="276"/>
      <c r="T122" s="276"/>
      <c r="U122" s="276"/>
      <c r="V122" s="276"/>
      <c r="W122" s="276"/>
      <c r="X122" s="276"/>
      <c r="Y122" s="276"/>
      <c r="Z122" s="276"/>
    </row>
    <row r="123" spans="1:26" ht="14.25" customHeight="1" x14ac:dyDescent="0.3">
      <c r="A123" s="308" t="s">
        <v>646</v>
      </c>
      <c r="B123" s="276" t="s">
        <v>1341</v>
      </c>
      <c r="C123" s="279" t="s">
        <v>1410</v>
      </c>
      <c r="D123" s="283">
        <v>45910</v>
      </c>
      <c r="E123" s="279" t="s">
        <v>1089</v>
      </c>
      <c r="F123" s="311">
        <v>13</v>
      </c>
      <c r="G123" s="310" t="s">
        <v>1088</v>
      </c>
      <c r="H123" s="283">
        <v>45905</v>
      </c>
      <c r="I123" s="276" t="s">
        <v>1347</v>
      </c>
      <c r="J123" s="276" t="s">
        <v>1345</v>
      </c>
      <c r="K123" s="282" t="s">
        <v>1142</v>
      </c>
      <c r="L123" s="283">
        <v>45921</v>
      </c>
      <c r="M123" s="276" t="s">
        <v>451</v>
      </c>
      <c r="N123" s="291" t="s">
        <v>2760</v>
      </c>
      <c r="O123" s="276"/>
      <c r="P123" s="276"/>
      <c r="Q123" s="276"/>
      <c r="R123" s="276"/>
      <c r="S123" s="276"/>
      <c r="T123" s="276"/>
      <c r="U123" s="276"/>
      <c r="V123" s="276"/>
      <c r="W123" s="276"/>
      <c r="X123" s="276"/>
      <c r="Y123" s="276"/>
      <c r="Z123" s="276"/>
    </row>
    <row r="124" spans="1:26" ht="14.25" customHeight="1" x14ac:dyDescent="0.3">
      <c r="A124" s="308" t="s">
        <v>651</v>
      </c>
      <c r="B124" s="276" t="s">
        <v>1341</v>
      </c>
      <c r="C124" s="279" t="s">
        <v>1410</v>
      </c>
      <c r="D124" s="283">
        <v>45910</v>
      </c>
      <c r="E124" s="279" t="s">
        <v>1089</v>
      </c>
      <c r="F124" s="311">
        <v>13</v>
      </c>
      <c r="G124" s="310" t="s">
        <v>1088</v>
      </c>
      <c r="H124" s="283">
        <v>45905</v>
      </c>
      <c r="I124" s="276" t="s">
        <v>1347</v>
      </c>
      <c r="J124" s="276" t="s">
        <v>1345</v>
      </c>
      <c r="K124" s="282" t="s">
        <v>1142</v>
      </c>
      <c r="L124" s="283">
        <v>45921</v>
      </c>
      <c r="M124" s="291" t="s">
        <v>2761</v>
      </c>
      <c r="N124" s="276" t="s">
        <v>1412</v>
      </c>
      <c r="O124" s="276"/>
      <c r="P124" s="276"/>
      <c r="Q124" s="276"/>
      <c r="R124" s="276"/>
      <c r="S124" s="276"/>
      <c r="T124" s="276"/>
      <c r="U124" s="276"/>
      <c r="V124" s="276"/>
      <c r="W124" s="276"/>
      <c r="X124" s="276"/>
      <c r="Y124" s="276"/>
      <c r="Z124" s="276"/>
    </row>
    <row r="125" spans="1:26" ht="14.25" customHeight="1" x14ac:dyDescent="0.3">
      <c r="A125" s="313" t="s">
        <v>671</v>
      </c>
      <c r="B125" s="276" t="s">
        <v>1341</v>
      </c>
      <c r="C125" s="279" t="s">
        <v>1410</v>
      </c>
      <c r="D125" s="283">
        <v>45910</v>
      </c>
      <c r="E125" s="279" t="s">
        <v>1089</v>
      </c>
      <c r="F125" s="309">
        <v>18</v>
      </c>
      <c r="G125" s="316" t="s">
        <v>1091</v>
      </c>
      <c r="H125" s="283">
        <v>45905</v>
      </c>
      <c r="I125" s="276" t="s">
        <v>1356</v>
      </c>
      <c r="J125" s="276" t="s">
        <v>1345</v>
      </c>
      <c r="K125" s="284" t="s">
        <v>1208</v>
      </c>
      <c r="L125" s="283">
        <v>45921</v>
      </c>
      <c r="M125" s="276" t="s">
        <v>451</v>
      </c>
      <c r="N125" s="276" t="s">
        <v>1412</v>
      </c>
      <c r="O125" s="276" t="s">
        <v>1417</v>
      </c>
      <c r="P125" s="276"/>
      <c r="Q125" s="276"/>
      <c r="R125" s="276"/>
      <c r="S125" s="276"/>
      <c r="T125" s="276"/>
      <c r="U125" s="276"/>
      <c r="V125" s="276"/>
      <c r="W125" s="276"/>
      <c r="X125" s="276"/>
      <c r="Y125" s="276"/>
      <c r="Z125" s="276"/>
    </row>
    <row r="126" spans="1:26" ht="14.25" customHeight="1" x14ac:dyDescent="0.3">
      <c r="A126" s="308" t="s">
        <v>1614</v>
      </c>
      <c r="B126" s="276" t="s">
        <v>1341</v>
      </c>
      <c r="C126" s="279" t="s">
        <v>1410</v>
      </c>
      <c r="D126" s="283">
        <v>45910</v>
      </c>
      <c r="E126" s="279" t="s">
        <v>1089</v>
      </c>
      <c r="F126" s="311">
        <v>8</v>
      </c>
      <c r="G126" s="310" t="s">
        <v>1088</v>
      </c>
      <c r="H126" s="283">
        <v>45905</v>
      </c>
      <c r="I126" s="276" t="s">
        <v>1356</v>
      </c>
      <c r="J126" s="276" t="s">
        <v>1345</v>
      </c>
      <c r="K126" s="284" t="s">
        <v>1208</v>
      </c>
      <c r="L126" s="283">
        <v>45921</v>
      </c>
      <c r="M126" s="276" t="s">
        <v>451</v>
      </c>
      <c r="N126" s="276" t="s">
        <v>1412</v>
      </c>
      <c r="O126" s="276" t="s">
        <v>1416</v>
      </c>
      <c r="P126" s="276"/>
      <c r="Q126" s="276"/>
      <c r="R126" s="276"/>
      <c r="S126" s="276"/>
      <c r="T126" s="276"/>
      <c r="U126" s="276"/>
      <c r="V126" s="276"/>
      <c r="W126" s="276"/>
      <c r="X126" s="276"/>
      <c r="Y126" s="276"/>
      <c r="Z126" s="276"/>
    </row>
    <row r="127" spans="1:26" ht="14.25" customHeight="1" x14ac:dyDescent="0.3">
      <c r="A127" s="308" t="s">
        <v>2192</v>
      </c>
      <c r="B127" s="276" t="s">
        <v>1341</v>
      </c>
      <c r="C127" s="279" t="s">
        <v>1410</v>
      </c>
      <c r="D127" s="283">
        <v>45910</v>
      </c>
      <c r="E127" s="279" t="s">
        <v>1089</v>
      </c>
      <c r="F127" s="309">
        <v>18</v>
      </c>
      <c r="G127" s="310" t="s">
        <v>1088</v>
      </c>
      <c r="H127" s="283">
        <v>45905</v>
      </c>
      <c r="I127" s="276" t="s">
        <v>1356</v>
      </c>
      <c r="J127" s="276" t="s">
        <v>1345</v>
      </c>
      <c r="K127" s="284" t="s">
        <v>1208</v>
      </c>
      <c r="L127" s="283">
        <v>45921</v>
      </c>
      <c r="M127" s="276" t="s">
        <v>451</v>
      </c>
      <c r="N127" s="276" t="s">
        <v>1412</v>
      </c>
      <c r="O127" s="276" t="s">
        <v>1417</v>
      </c>
      <c r="P127" s="276"/>
      <c r="Q127" s="276"/>
      <c r="R127" s="276"/>
      <c r="S127" s="276"/>
      <c r="T127" s="276"/>
      <c r="U127" s="276"/>
      <c r="V127" s="276"/>
      <c r="W127" s="276"/>
      <c r="X127" s="276"/>
      <c r="Y127" s="276"/>
      <c r="Z127" s="276"/>
    </row>
    <row r="128" spans="1:26" ht="14.25" customHeight="1" x14ac:dyDescent="0.3">
      <c r="A128" s="308" t="s">
        <v>2193</v>
      </c>
      <c r="B128" s="276" t="s">
        <v>1341</v>
      </c>
      <c r="C128" s="279" t="s">
        <v>1410</v>
      </c>
      <c r="D128" s="283">
        <v>45910</v>
      </c>
      <c r="E128" s="279" t="s">
        <v>1089</v>
      </c>
      <c r="F128" s="311">
        <v>8</v>
      </c>
      <c r="G128" s="310" t="s">
        <v>1088</v>
      </c>
      <c r="H128" s="283">
        <v>45905</v>
      </c>
      <c r="I128" s="276" t="s">
        <v>1347</v>
      </c>
      <c r="J128" s="276" t="s">
        <v>1418</v>
      </c>
      <c r="K128" s="282" t="s">
        <v>1142</v>
      </c>
      <c r="L128" s="283">
        <v>45921</v>
      </c>
      <c r="M128" s="291" t="s">
        <v>2646</v>
      </c>
      <c r="N128" s="276"/>
      <c r="O128" s="276"/>
      <c r="P128" s="276"/>
      <c r="Q128" s="276"/>
      <c r="R128" s="276"/>
      <c r="S128" s="276"/>
      <c r="T128" s="276"/>
      <c r="U128" s="276"/>
      <c r="V128" s="276"/>
      <c r="W128" s="276"/>
      <c r="X128" s="276"/>
      <c r="Y128" s="276"/>
      <c r="Z128" s="276"/>
    </row>
    <row r="129" spans="1:26" ht="14.25" customHeight="1" x14ac:dyDescent="0.3">
      <c r="A129" s="308" t="s">
        <v>2194</v>
      </c>
      <c r="B129" s="276" t="s">
        <v>1341</v>
      </c>
      <c r="C129" s="279" t="s">
        <v>1410</v>
      </c>
      <c r="D129" s="283">
        <v>45910</v>
      </c>
      <c r="E129" s="279" t="s">
        <v>1089</v>
      </c>
      <c r="F129" s="311">
        <v>13</v>
      </c>
      <c r="G129" s="310" t="s">
        <v>1088</v>
      </c>
      <c r="H129" s="283">
        <v>45905</v>
      </c>
      <c r="I129" s="276" t="s">
        <v>1356</v>
      </c>
      <c r="J129" s="276" t="s">
        <v>1345</v>
      </c>
      <c r="K129" s="284" t="s">
        <v>1128</v>
      </c>
      <c r="L129" s="283">
        <v>45921</v>
      </c>
      <c r="M129" s="276" t="s">
        <v>451</v>
      </c>
      <c r="N129" s="276" t="s">
        <v>1412</v>
      </c>
      <c r="O129" s="276" t="s">
        <v>1419</v>
      </c>
      <c r="P129" s="276"/>
      <c r="Q129" s="276"/>
      <c r="R129" s="276"/>
      <c r="S129" s="276"/>
      <c r="T129" s="276"/>
      <c r="U129" s="276"/>
      <c r="V129" s="276"/>
      <c r="W129" s="276"/>
      <c r="X129" s="276"/>
      <c r="Y129" s="276"/>
      <c r="Z129" s="276"/>
    </row>
    <row r="130" spans="1:26" ht="14.25" customHeight="1" x14ac:dyDescent="0.3">
      <c r="A130" s="308" t="s">
        <v>703</v>
      </c>
      <c r="B130" s="276" t="s">
        <v>1341</v>
      </c>
      <c r="C130" s="279" t="s">
        <v>1410</v>
      </c>
      <c r="D130" s="283">
        <v>45910</v>
      </c>
      <c r="E130" s="279" t="s">
        <v>1089</v>
      </c>
      <c r="F130" s="311">
        <v>13</v>
      </c>
      <c r="G130" s="310" t="s">
        <v>1088</v>
      </c>
      <c r="H130" s="283">
        <v>45905</v>
      </c>
      <c r="I130" s="276" t="s">
        <v>1347</v>
      </c>
      <c r="J130" s="276" t="s">
        <v>1345</v>
      </c>
      <c r="K130" s="282" t="s">
        <v>1142</v>
      </c>
      <c r="L130" s="283">
        <v>45921</v>
      </c>
      <c r="M130" s="291" t="s">
        <v>2762</v>
      </c>
      <c r="N130" s="276" t="s">
        <v>1412</v>
      </c>
      <c r="O130" s="276"/>
      <c r="P130" s="276"/>
      <c r="Q130" s="276"/>
      <c r="R130" s="276"/>
      <c r="S130" s="276"/>
      <c r="T130" s="276"/>
      <c r="U130" s="276"/>
      <c r="V130" s="276"/>
      <c r="W130" s="276"/>
      <c r="X130" s="276"/>
      <c r="Y130" s="276"/>
      <c r="Z130" s="276"/>
    </row>
    <row r="131" spans="1:26" ht="14.25" customHeight="1" x14ac:dyDescent="0.3">
      <c r="A131" s="308" t="s">
        <v>2165</v>
      </c>
      <c r="B131" s="276" t="s">
        <v>1341</v>
      </c>
      <c r="C131" s="279" t="s">
        <v>1410</v>
      </c>
      <c r="D131" s="283">
        <v>45910</v>
      </c>
      <c r="E131" s="279" t="s">
        <v>1089</v>
      </c>
      <c r="F131" s="311">
        <v>8</v>
      </c>
      <c r="G131" s="310" t="s">
        <v>1088</v>
      </c>
      <c r="H131" s="283">
        <v>45905</v>
      </c>
      <c r="I131" s="276" t="s">
        <v>1356</v>
      </c>
      <c r="J131" s="276" t="s">
        <v>1345</v>
      </c>
      <c r="K131" s="284" t="s">
        <v>1208</v>
      </c>
      <c r="L131" s="283">
        <v>45921</v>
      </c>
      <c r="M131" s="276" t="s">
        <v>451</v>
      </c>
      <c r="N131" s="276" t="s">
        <v>1412</v>
      </c>
      <c r="O131" s="276" t="s">
        <v>1420</v>
      </c>
      <c r="P131" s="276"/>
      <c r="Q131" s="276"/>
      <c r="R131" s="276"/>
      <c r="S131" s="276"/>
      <c r="T131" s="276"/>
      <c r="U131" s="276"/>
      <c r="V131" s="276"/>
      <c r="W131" s="276"/>
      <c r="X131" s="276"/>
      <c r="Y131" s="276"/>
      <c r="Z131" s="276"/>
    </row>
    <row r="132" spans="1:26" ht="14.25" customHeight="1" x14ac:dyDescent="0.3">
      <c r="A132" s="308" t="s">
        <v>717</v>
      </c>
      <c r="B132" s="276" t="s">
        <v>1341</v>
      </c>
      <c r="C132" s="279" t="s">
        <v>1410</v>
      </c>
      <c r="D132" s="283">
        <v>45910</v>
      </c>
      <c r="E132" s="279" t="s">
        <v>1089</v>
      </c>
      <c r="F132" s="311">
        <v>13</v>
      </c>
      <c r="G132" s="310" t="s">
        <v>1088</v>
      </c>
      <c r="H132" s="283">
        <v>45905</v>
      </c>
      <c r="I132" s="276" t="s">
        <v>1347</v>
      </c>
      <c r="J132" s="276" t="s">
        <v>1345</v>
      </c>
      <c r="K132" s="282" t="s">
        <v>1142</v>
      </c>
      <c r="L132" s="283">
        <v>45921</v>
      </c>
      <c r="M132" s="291" t="s">
        <v>2647</v>
      </c>
      <c r="N132" s="276" t="s">
        <v>1421</v>
      </c>
      <c r="O132" s="276"/>
      <c r="P132" s="276"/>
      <c r="Q132" s="276"/>
      <c r="R132" s="276"/>
      <c r="S132" s="276"/>
      <c r="T132" s="276"/>
      <c r="U132" s="276"/>
      <c r="V132" s="276"/>
      <c r="W132" s="276"/>
      <c r="X132" s="276"/>
      <c r="Y132" s="276"/>
      <c r="Z132" s="276"/>
    </row>
    <row r="133" spans="1:26" ht="14.25" customHeight="1" x14ac:dyDescent="0.3">
      <c r="A133" s="308" t="s">
        <v>1147</v>
      </c>
      <c r="B133" s="276" t="s">
        <v>1341</v>
      </c>
      <c r="C133" s="279" t="s">
        <v>1410</v>
      </c>
      <c r="D133" s="283">
        <v>45910</v>
      </c>
      <c r="E133" s="279" t="s">
        <v>1089</v>
      </c>
      <c r="F133" s="309">
        <v>18</v>
      </c>
      <c r="G133" s="310" t="s">
        <v>1088</v>
      </c>
      <c r="H133" s="283">
        <v>45905</v>
      </c>
      <c r="I133" s="276" t="s">
        <v>1347</v>
      </c>
      <c r="J133" s="276" t="s">
        <v>1345</v>
      </c>
      <c r="K133" s="282" t="s">
        <v>1142</v>
      </c>
      <c r="L133" s="283">
        <v>45921</v>
      </c>
      <c r="M133" s="291" t="s">
        <v>2753</v>
      </c>
      <c r="N133" s="276" t="s">
        <v>1412</v>
      </c>
      <c r="O133" s="276"/>
      <c r="P133" s="276"/>
      <c r="Q133" s="276"/>
      <c r="R133" s="276"/>
      <c r="S133" s="276"/>
      <c r="T133" s="276"/>
      <c r="U133" s="276"/>
      <c r="V133" s="276"/>
      <c r="W133" s="276"/>
      <c r="X133" s="276"/>
      <c r="Y133" s="276"/>
      <c r="Z133" s="276"/>
    </row>
    <row r="134" spans="1:26" ht="14.25" customHeight="1" x14ac:dyDescent="0.3">
      <c r="A134" s="308" t="s">
        <v>1148</v>
      </c>
      <c r="B134" s="276" t="s">
        <v>1341</v>
      </c>
      <c r="C134" s="279" t="s">
        <v>1410</v>
      </c>
      <c r="D134" s="283">
        <v>45910</v>
      </c>
      <c r="E134" s="279" t="s">
        <v>1089</v>
      </c>
      <c r="F134" s="309">
        <v>18</v>
      </c>
      <c r="G134" s="310" t="s">
        <v>1088</v>
      </c>
      <c r="H134" s="283">
        <v>45905</v>
      </c>
      <c r="I134" s="276" t="s">
        <v>1347</v>
      </c>
      <c r="J134" s="276" t="s">
        <v>1345</v>
      </c>
      <c r="K134" s="282" t="s">
        <v>1142</v>
      </c>
      <c r="L134" s="283">
        <v>45921</v>
      </c>
      <c r="M134" s="291" t="s">
        <v>2648</v>
      </c>
      <c r="N134" s="276" t="s">
        <v>1412</v>
      </c>
      <c r="O134" s="276"/>
      <c r="P134" s="276"/>
      <c r="Q134" s="276"/>
      <c r="R134" s="276"/>
      <c r="S134" s="276"/>
      <c r="T134" s="276"/>
      <c r="U134" s="276"/>
      <c r="V134" s="276"/>
      <c r="W134" s="276"/>
      <c r="X134" s="276"/>
      <c r="Y134" s="276"/>
      <c r="Z134" s="276"/>
    </row>
    <row r="135" spans="1:26" ht="14.25" customHeight="1" x14ac:dyDescent="0.3">
      <c r="A135" s="308" t="s">
        <v>755</v>
      </c>
      <c r="B135" s="276" t="s">
        <v>1341</v>
      </c>
      <c r="C135" s="279" t="s">
        <v>1410</v>
      </c>
      <c r="D135" s="283">
        <v>45910</v>
      </c>
      <c r="E135" s="279" t="s">
        <v>1089</v>
      </c>
      <c r="F135" s="311">
        <v>8</v>
      </c>
      <c r="G135" s="310" t="s">
        <v>1088</v>
      </c>
      <c r="H135" s="283">
        <v>45905</v>
      </c>
      <c r="I135" s="276" t="s">
        <v>1356</v>
      </c>
      <c r="J135" s="276" t="s">
        <v>1345</v>
      </c>
      <c r="K135" s="284" t="s">
        <v>1128</v>
      </c>
      <c r="L135" s="283">
        <v>45921</v>
      </c>
      <c r="M135" s="276" t="s">
        <v>451</v>
      </c>
      <c r="N135" s="276" t="s">
        <v>1412</v>
      </c>
      <c r="O135" s="276" t="s">
        <v>1417</v>
      </c>
      <c r="P135" s="276"/>
      <c r="Q135" s="276"/>
      <c r="R135" s="276"/>
      <c r="S135" s="276"/>
      <c r="T135" s="276"/>
      <c r="U135" s="276"/>
      <c r="V135" s="276"/>
      <c r="W135" s="276"/>
      <c r="X135" s="276"/>
      <c r="Y135" s="276"/>
      <c r="Z135" s="276"/>
    </row>
    <row r="136" spans="1:26" ht="14.25" customHeight="1" x14ac:dyDescent="0.3">
      <c r="A136" s="308" t="s">
        <v>782</v>
      </c>
      <c r="B136" s="276" t="s">
        <v>1341</v>
      </c>
      <c r="C136" s="279" t="s">
        <v>1410</v>
      </c>
      <c r="D136" s="283">
        <v>45910</v>
      </c>
      <c r="E136" s="279" t="s">
        <v>1089</v>
      </c>
      <c r="F136" s="311">
        <v>8</v>
      </c>
      <c r="G136" s="310" t="s">
        <v>1088</v>
      </c>
      <c r="H136" s="283">
        <v>45905</v>
      </c>
      <c r="I136" s="276" t="s">
        <v>1347</v>
      </c>
      <c r="J136" s="276" t="s">
        <v>1415</v>
      </c>
      <c r="K136" s="282" t="s">
        <v>1142</v>
      </c>
      <c r="L136" s="283">
        <v>45921</v>
      </c>
      <c r="M136" s="291" t="s">
        <v>2763</v>
      </c>
      <c r="N136" s="276" t="s">
        <v>1412</v>
      </c>
      <c r="O136" s="276"/>
      <c r="P136" s="276"/>
      <c r="Q136" s="276"/>
      <c r="R136" s="276"/>
      <c r="S136" s="276"/>
      <c r="T136" s="276"/>
      <c r="U136" s="276"/>
      <c r="V136" s="276"/>
      <c r="W136" s="276"/>
      <c r="X136" s="276"/>
      <c r="Y136" s="276"/>
      <c r="Z136" s="276"/>
    </row>
    <row r="137" spans="1:26" ht="14.25" customHeight="1" x14ac:dyDescent="0.3">
      <c r="A137" s="313" t="s">
        <v>2744</v>
      </c>
      <c r="B137" s="276" t="s">
        <v>1341</v>
      </c>
      <c r="C137" s="279" t="s">
        <v>1410</v>
      </c>
      <c r="D137" s="283">
        <v>45910</v>
      </c>
      <c r="E137" s="279" t="s">
        <v>1089</v>
      </c>
      <c r="F137" s="309">
        <v>11</v>
      </c>
      <c r="G137" s="286" t="s">
        <v>1082</v>
      </c>
      <c r="H137" s="283">
        <v>45905</v>
      </c>
      <c r="I137" s="276" t="s">
        <v>1347</v>
      </c>
      <c r="J137" s="276" t="s">
        <v>1345</v>
      </c>
      <c r="K137" s="282" t="s">
        <v>1142</v>
      </c>
      <c r="L137" s="283">
        <v>45921</v>
      </c>
      <c r="M137" s="291" t="s">
        <v>2724</v>
      </c>
      <c r="N137" s="276"/>
      <c r="O137" s="276"/>
      <c r="P137" s="276"/>
      <c r="Q137" s="276"/>
      <c r="R137" s="276"/>
      <c r="S137" s="276"/>
      <c r="T137" s="276"/>
      <c r="U137" s="276"/>
      <c r="V137" s="276"/>
      <c r="W137" s="276"/>
      <c r="X137" s="276"/>
      <c r="Y137" s="276"/>
      <c r="Z137" s="276"/>
    </row>
    <row r="138" spans="1:26" ht="14.25" customHeight="1" x14ac:dyDescent="0.3">
      <c r="A138" s="313" t="s">
        <v>1150</v>
      </c>
      <c r="B138" s="276" t="s">
        <v>1341</v>
      </c>
      <c r="C138" s="279" t="s">
        <v>1410</v>
      </c>
      <c r="D138" s="283">
        <v>45910</v>
      </c>
      <c r="E138" s="279" t="s">
        <v>1089</v>
      </c>
      <c r="F138" s="309">
        <v>18</v>
      </c>
      <c r="G138" s="286" t="s">
        <v>1082</v>
      </c>
      <c r="H138" s="283">
        <v>45905</v>
      </c>
      <c r="I138" s="276" t="s">
        <v>1347</v>
      </c>
      <c r="J138" s="276" t="s">
        <v>1345</v>
      </c>
      <c r="K138" s="282" t="s">
        <v>1142</v>
      </c>
      <c r="L138" s="283">
        <v>45921</v>
      </c>
      <c r="M138" s="276" t="s">
        <v>1422</v>
      </c>
      <c r="N138" s="276"/>
      <c r="O138" s="276"/>
      <c r="P138" s="276"/>
      <c r="Q138" s="276"/>
      <c r="R138" s="276"/>
      <c r="S138" s="276"/>
      <c r="T138" s="276"/>
      <c r="U138" s="276"/>
      <c r="V138" s="276"/>
      <c r="W138" s="276"/>
      <c r="X138" s="276"/>
      <c r="Y138" s="276"/>
      <c r="Z138" s="276"/>
    </row>
    <row r="139" spans="1:26" ht="14.25" customHeight="1" x14ac:dyDescent="0.3">
      <c r="A139" s="308" t="s">
        <v>1615</v>
      </c>
      <c r="B139" s="276" t="s">
        <v>1341</v>
      </c>
      <c r="C139" s="279" t="s">
        <v>1410</v>
      </c>
      <c r="D139" s="283">
        <v>45910</v>
      </c>
      <c r="E139" s="279" t="s">
        <v>1089</v>
      </c>
      <c r="F139" s="309">
        <v>18</v>
      </c>
      <c r="G139" s="310" t="s">
        <v>1088</v>
      </c>
      <c r="H139" s="283">
        <v>45905</v>
      </c>
      <c r="I139" s="276" t="s">
        <v>1347</v>
      </c>
      <c r="J139" s="276" t="s">
        <v>1415</v>
      </c>
      <c r="K139" s="282" t="s">
        <v>1142</v>
      </c>
      <c r="L139" s="283">
        <v>45921</v>
      </c>
      <c r="M139" s="291" t="s">
        <v>2764</v>
      </c>
      <c r="N139" s="276" t="s">
        <v>1412</v>
      </c>
      <c r="O139" s="276"/>
      <c r="P139" s="276"/>
      <c r="Q139" s="276"/>
      <c r="R139" s="276"/>
      <c r="S139" s="276"/>
      <c r="T139" s="276"/>
      <c r="U139" s="276"/>
      <c r="V139" s="276"/>
      <c r="W139" s="276"/>
      <c r="X139" s="276"/>
      <c r="Y139" s="276"/>
      <c r="Z139" s="276"/>
    </row>
    <row r="140" spans="1:26" ht="14.25" customHeight="1" x14ac:dyDescent="0.3">
      <c r="A140" s="308" t="s">
        <v>2180</v>
      </c>
      <c r="B140" s="276" t="s">
        <v>1341</v>
      </c>
      <c r="C140" s="279" t="s">
        <v>1410</v>
      </c>
      <c r="D140" s="283">
        <v>45910</v>
      </c>
      <c r="E140" s="279" t="s">
        <v>1089</v>
      </c>
      <c r="F140" s="311">
        <v>8</v>
      </c>
      <c r="G140" s="310" t="s">
        <v>1088</v>
      </c>
      <c r="H140" s="283">
        <v>45905</v>
      </c>
      <c r="I140" s="276" t="s">
        <v>1347</v>
      </c>
      <c r="J140" s="276" t="s">
        <v>1415</v>
      </c>
      <c r="K140" s="282" t="s">
        <v>1142</v>
      </c>
      <c r="L140" s="283">
        <v>45921</v>
      </c>
      <c r="M140" s="291" t="s">
        <v>2765</v>
      </c>
      <c r="N140" s="276" t="s">
        <v>1412</v>
      </c>
      <c r="O140" s="276"/>
      <c r="P140" s="276"/>
      <c r="Q140" s="276"/>
      <c r="R140" s="276"/>
      <c r="S140" s="276"/>
      <c r="T140" s="276"/>
      <c r="U140" s="276"/>
      <c r="V140" s="276"/>
      <c r="W140" s="276"/>
      <c r="X140" s="276"/>
      <c r="Y140" s="276"/>
      <c r="Z140" s="276"/>
    </row>
    <row r="141" spans="1:26" ht="14.25" customHeight="1" x14ac:dyDescent="0.3">
      <c r="A141" s="308" t="s">
        <v>1930</v>
      </c>
      <c r="B141" s="276" t="s">
        <v>1341</v>
      </c>
      <c r="C141" s="279" t="s">
        <v>1410</v>
      </c>
      <c r="D141" s="283">
        <v>45910</v>
      </c>
      <c r="E141" s="279" t="s">
        <v>1089</v>
      </c>
      <c r="F141" s="311">
        <v>8</v>
      </c>
      <c r="G141" s="310" t="s">
        <v>1088</v>
      </c>
      <c r="H141" s="283">
        <v>45905</v>
      </c>
      <c r="I141" s="276" t="s">
        <v>1347</v>
      </c>
      <c r="J141" s="276" t="s">
        <v>1415</v>
      </c>
      <c r="K141" s="282" t="s">
        <v>1142</v>
      </c>
      <c r="L141" s="283">
        <v>45921</v>
      </c>
      <c r="M141" s="291" t="s">
        <v>2766</v>
      </c>
      <c r="N141" s="276"/>
      <c r="O141" s="276"/>
      <c r="P141" s="276"/>
      <c r="Q141" s="276"/>
      <c r="R141" s="276"/>
      <c r="S141" s="276"/>
      <c r="T141" s="276"/>
      <c r="U141" s="276"/>
      <c r="V141" s="276"/>
      <c r="W141" s="276"/>
      <c r="X141" s="276"/>
      <c r="Y141" s="276"/>
      <c r="Z141" s="276"/>
    </row>
    <row r="142" spans="1:26" ht="14.25" customHeight="1" x14ac:dyDescent="0.3">
      <c r="A142" s="308" t="s">
        <v>2196</v>
      </c>
      <c r="B142" s="276" t="s">
        <v>1341</v>
      </c>
      <c r="C142" s="279" t="s">
        <v>1410</v>
      </c>
      <c r="D142" s="283">
        <v>45910</v>
      </c>
      <c r="E142" s="279" t="s">
        <v>1089</v>
      </c>
      <c r="F142" s="311">
        <v>8</v>
      </c>
      <c r="G142" s="310" t="s">
        <v>1088</v>
      </c>
      <c r="H142" s="283">
        <v>45905</v>
      </c>
      <c r="I142" s="276" t="s">
        <v>1347</v>
      </c>
      <c r="J142" s="276" t="s">
        <v>1415</v>
      </c>
      <c r="K142" s="282" t="s">
        <v>1142</v>
      </c>
      <c r="L142" s="283">
        <v>45921</v>
      </c>
      <c r="M142" s="276" t="s">
        <v>1423</v>
      </c>
      <c r="N142" s="276"/>
      <c r="O142" s="276"/>
      <c r="P142" s="276"/>
      <c r="Q142" s="276"/>
      <c r="R142" s="276"/>
      <c r="S142" s="276"/>
      <c r="T142" s="276"/>
      <c r="U142" s="276"/>
      <c r="V142" s="276"/>
      <c r="W142" s="276"/>
      <c r="X142" s="276"/>
      <c r="Y142" s="276"/>
      <c r="Z142" s="276"/>
    </row>
    <row r="143" spans="1:26" ht="14.25" customHeight="1" x14ac:dyDescent="0.3">
      <c r="A143" s="313" t="s">
        <v>1158</v>
      </c>
      <c r="B143" s="276" t="s">
        <v>1341</v>
      </c>
      <c r="C143" s="279" t="s">
        <v>1410</v>
      </c>
      <c r="D143" s="283">
        <v>45910</v>
      </c>
      <c r="E143" s="279" t="s">
        <v>1089</v>
      </c>
      <c r="F143" s="309">
        <v>18</v>
      </c>
      <c r="G143" s="286" t="s">
        <v>1082</v>
      </c>
      <c r="H143" s="283">
        <v>45905</v>
      </c>
      <c r="I143" s="276" t="s">
        <v>1347</v>
      </c>
      <c r="J143" s="276" t="s">
        <v>1345</v>
      </c>
      <c r="K143" s="282" t="s">
        <v>1142</v>
      </c>
      <c r="L143" s="283">
        <v>45921</v>
      </c>
      <c r="M143" s="276" t="s">
        <v>1424</v>
      </c>
      <c r="N143" s="276"/>
      <c r="O143" s="276" t="s">
        <v>1425</v>
      </c>
      <c r="P143" s="276"/>
      <c r="Q143" s="276"/>
      <c r="R143" s="276"/>
      <c r="S143" s="276"/>
      <c r="T143" s="276"/>
      <c r="U143" s="276"/>
      <c r="V143" s="276"/>
      <c r="W143" s="276"/>
      <c r="X143" s="276"/>
      <c r="Y143" s="276"/>
      <c r="Z143" s="276"/>
    </row>
    <row r="144" spans="1:26" ht="14.25" customHeight="1" x14ac:dyDescent="0.3">
      <c r="A144" s="313" t="s">
        <v>1994</v>
      </c>
      <c r="B144" s="276" t="s">
        <v>1341</v>
      </c>
      <c r="C144" s="279" t="s">
        <v>1410</v>
      </c>
      <c r="D144" s="283">
        <v>45910</v>
      </c>
      <c r="E144" s="279" t="s">
        <v>1089</v>
      </c>
      <c r="F144" s="309">
        <v>18</v>
      </c>
      <c r="G144" s="286" t="s">
        <v>1082</v>
      </c>
      <c r="H144" s="283">
        <v>45905</v>
      </c>
      <c r="I144" s="276" t="s">
        <v>1347</v>
      </c>
      <c r="J144" s="276" t="s">
        <v>1345</v>
      </c>
      <c r="K144" s="282" t="s">
        <v>1142</v>
      </c>
      <c r="L144" s="283">
        <v>45921</v>
      </c>
      <c r="M144" s="291" t="s">
        <v>2731</v>
      </c>
      <c r="N144" s="276"/>
      <c r="O144" s="276"/>
      <c r="P144" s="276"/>
      <c r="Q144" s="276"/>
      <c r="R144" s="276"/>
      <c r="S144" s="276"/>
      <c r="T144" s="276"/>
      <c r="U144" s="276"/>
      <c r="V144" s="276"/>
      <c r="W144" s="276"/>
      <c r="X144" s="276"/>
      <c r="Y144" s="276"/>
      <c r="Z144" s="276"/>
    </row>
    <row r="145" spans="1:26" ht="14.25" customHeight="1" x14ac:dyDescent="0.3">
      <c r="A145" s="308" t="s">
        <v>920</v>
      </c>
      <c r="B145" s="276" t="s">
        <v>1341</v>
      </c>
      <c r="C145" s="279" t="s">
        <v>1410</v>
      </c>
      <c r="D145" s="283">
        <v>45910</v>
      </c>
      <c r="E145" s="279" t="s">
        <v>1089</v>
      </c>
      <c r="F145" s="311">
        <v>8</v>
      </c>
      <c r="G145" s="310" t="s">
        <v>1088</v>
      </c>
      <c r="H145" s="283">
        <v>45905</v>
      </c>
      <c r="I145" s="276" t="s">
        <v>1426</v>
      </c>
      <c r="J145" s="276" t="s">
        <v>1345</v>
      </c>
      <c r="K145" s="282" t="s">
        <v>1142</v>
      </c>
      <c r="L145" s="283">
        <v>45921</v>
      </c>
      <c r="M145" s="291" t="s">
        <v>2767</v>
      </c>
      <c r="N145" s="276" t="s">
        <v>1426</v>
      </c>
      <c r="O145" s="276" t="s">
        <v>1427</v>
      </c>
      <c r="P145" s="276"/>
      <c r="Q145" s="276"/>
      <c r="R145" s="276"/>
      <c r="S145" s="276"/>
      <c r="T145" s="276"/>
      <c r="U145" s="276"/>
      <c r="V145" s="276"/>
      <c r="W145" s="276"/>
      <c r="X145" s="276"/>
      <c r="Y145" s="276"/>
      <c r="Z145" s="276"/>
    </row>
    <row r="146" spans="1:26" ht="14.25" customHeight="1" x14ac:dyDescent="0.3">
      <c r="A146" s="308" t="s">
        <v>1977</v>
      </c>
      <c r="B146" s="276" t="s">
        <v>1341</v>
      </c>
      <c r="C146" s="279" t="s">
        <v>1410</v>
      </c>
      <c r="D146" s="283">
        <v>45910</v>
      </c>
      <c r="E146" s="279" t="s">
        <v>1089</v>
      </c>
      <c r="F146" s="311">
        <v>8</v>
      </c>
      <c r="G146" s="310" t="s">
        <v>1088</v>
      </c>
      <c r="H146" s="283">
        <v>45905</v>
      </c>
      <c r="I146" s="276" t="s">
        <v>1428</v>
      </c>
      <c r="J146" s="276" t="s">
        <v>1345</v>
      </c>
      <c r="K146" s="282" t="s">
        <v>1142</v>
      </c>
      <c r="L146" s="283">
        <v>45921</v>
      </c>
      <c r="M146" s="291" t="s">
        <v>2768</v>
      </c>
      <c r="N146" s="276"/>
      <c r="O146" s="276"/>
      <c r="P146" s="276"/>
      <c r="Q146" s="276"/>
      <c r="R146" s="276"/>
      <c r="S146" s="276"/>
      <c r="T146" s="276"/>
      <c r="U146" s="276"/>
      <c r="V146" s="276"/>
      <c r="W146" s="276"/>
      <c r="X146" s="276"/>
      <c r="Y146" s="276"/>
      <c r="Z146" s="276"/>
    </row>
    <row r="147" spans="1:26" ht="14.25" customHeight="1" x14ac:dyDescent="0.3">
      <c r="A147" s="313" t="s">
        <v>1166</v>
      </c>
      <c r="B147" s="276" t="s">
        <v>1341</v>
      </c>
      <c r="C147" s="279" t="s">
        <v>1410</v>
      </c>
      <c r="D147" s="283">
        <v>45910</v>
      </c>
      <c r="E147" s="279" t="s">
        <v>1089</v>
      </c>
      <c r="F147" s="309">
        <v>18</v>
      </c>
      <c r="G147" s="286" t="s">
        <v>1082</v>
      </c>
      <c r="H147" s="283">
        <v>45905</v>
      </c>
      <c r="I147" s="276" t="s">
        <v>1347</v>
      </c>
      <c r="J147" s="276" t="s">
        <v>1345</v>
      </c>
      <c r="K147" s="282" t="s">
        <v>1142</v>
      </c>
      <c r="L147" s="283">
        <v>45921</v>
      </c>
      <c r="M147" s="291" t="s">
        <v>2725</v>
      </c>
      <c r="N147" s="276"/>
      <c r="O147" s="276"/>
      <c r="P147" s="276"/>
      <c r="Q147" s="276"/>
      <c r="R147" s="276"/>
      <c r="S147" s="276"/>
      <c r="T147" s="276"/>
      <c r="U147" s="276"/>
      <c r="V147" s="276"/>
      <c r="W147" s="276"/>
      <c r="X147" s="276"/>
      <c r="Y147" s="276"/>
      <c r="Z147" s="276"/>
    </row>
    <row r="148" spans="1:26" ht="14.25" customHeight="1" x14ac:dyDescent="0.3">
      <c r="A148" s="308" t="s">
        <v>2197</v>
      </c>
      <c r="B148" s="276" t="s">
        <v>1341</v>
      </c>
      <c r="C148" s="279" t="s">
        <v>1410</v>
      </c>
      <c r="D148" s="283">
        <v>45910</v>
      </c>
      <c r="E148" s="279" t="s">
        <v>1089</v>
      </c>
      <c r="F148" s="311">
        <v>8</v>
      </c>
      <c r="G148" s="310" t="s">
        <v>1088</v>
      </c>
      <c r="H148" s="283">
        <v>45905</v>
      </c>
      <c r="I148" s="276" t="s">
        <v>1426</v>
      </c>
      <c r="J148" s="276" t="s">
        <v>1345</v>
      </c>
      <c r="K148" s="282" t="s">
        <v>1142</v>
      </c>
      <c r="L148" s="283">
        <v>45921</v>
      </c>
      <c r="M148" s="276" t="s">
        <v>1429</v>
      </c>
      <c r="N148" s="276" t="s">
        <v>1430</v>
      </c>
      <c r="O148" s="276"/>
      <c r="P148" s="276"/>
      <c r="Q148" s="276"/>
      <c r="R148" s="276"/>
      <c r="S148" s="276"/>
      <c r="T148" s="276"/>
      <c r="U148" s="276"/>
      <c r="V148" s="276"/>
      <c r="W148" s="276"/>
      <c r="X148" s="276"/>
      <c r="Y148" s="276"/>
      <c r="Z148" s="276"/>
    </row>
    <row r="149" spans="1:26" ht="14.25" customHeight="1" x14ac:dyDescent="0.3">
      <c r="A149" s="314" t="s">
        <v>1169</v>
      </c>
      <c r="B149" s="276" t="s">
        <v>1341</v>
      </c>
      <c r="C149" s="279" t="s">
        <v>1410</v>
      </c>
      <c r="D149" s="283">
        <v>45910</v>
      </c>
      <c r="E149" s="279" t="s">
        <v>1089</v>
      </c>
      <c r="F149" s="311">
        <v>8</v>
      </c>
      <c r="G149" s="315" t="s">
        <v>1088</v>
      </c>
      <c r="H149" s="283">
        <v>45905</v>
      </c>
      <c r="I149" s="276" t="s">
        <v>1347</v>
      </c>
      <c r="J149" s="276" t="s">
        <v>1345</v>
      </c>
      <c r="K149" s="282" t="s">
        <v>1142</v>
      </c>
      <c r="L149" s="283">
        <v>45921</v>
      </c>
      <c r="M149" s="291" t="s">
        <v>2649</v>
      </c>
      <c r="N149" s="276"/>
      <c r="O149" s="276"/>
      <c r="P149" s="276"/>
      <c r="Q149" s="276"/>
      <c r="R149" s="276"/>
      <c r="S149" s="276"/>
      <c r="T149" s="276"/>
      <c r="U149" s="276"/>
      <c r="V149" s="276"/>
      <c r="W149" s="276"/>
      <c r="X149" s="276"/>
      <c r="Y149" s="276"/>
      <c r="Z149" s="276"/>
    </row>
    <row r="150" spans="1:26" ht="14.25" customHeight="1" x14ac:dyDescent="0.3">
      <c r="A150" s="317" t="s">
        <v>954</v>
      </c>
      <c r="B150" s="290" t="s">
        <v>1341</v>
      </c>
      <c r="C150" s="279" t="s">
        <v>1410</v>
      </c>
      <c r="D150" s="318">
        <v>45910</v>
      </c>
      <c r="E150" s="319" t="s">
        <v>1089</v>
      </c>
      <c r="F150" s="320">
        <v>18</v>
      </c>
      <c r="G150" s="321" t="s">
        <v>1088</v>
      </c>
      <c r="H150" s="318">
        <v>45905</v>
      </c>
      <c r="I150" s="276" t="s">
        <v>1426</v>
      </c>
      <c r="J150" s="276" t="s">
        <v>1345</v>
      </c>
      <c r="K150" s="282" t="s">
        <v>1142</v>
      </c>
      <c r="L150" s="283">
        <v>45921</v>
      </c>
      <c r="M150" s="549" t="s">
        <v>2769</v>
      </c>
      <c r="N150" s="290"/>
      <c r="O150" s="276" t="s">
        <v>1427</v>
      </c>
      <c r="P150" s="290"/>
      <c r="Q150" s="290"/>
      <c r="R150" s="290"/>
      <c r="S150" s="290"/>
      <c r="T150" s="290"/>
      <c r="U150" s="290"/>
      <c r="V150" s="290"/>
      <c r="W150" s="290"/>
      <c r="X150" s="290"/>
      <c r="Y150" s="290"/>
      <c r="Z150" s="290"/>
    </row>
    <row r="151" spans="1:26" ht="14.25" customHeight="1" x14ac:dyDescent="0.3">
      <c r="A151" s="313" t="s">
        <v>1170</v>
      </c>
      <c r="B151" s="276" t="s">
        <v>1341</v>
      </c>
      <c r="C151" s="279" t="s">
        <v>1410</v>
      </c>
      <c r="D151" s="283">
        <v>45910</v>
      </c>
      <c r="E151" s="279" t="s">
        <v>1089</v>
      </c>
      <c r="F151" s="309">
        <v>18</v>
      </c>
      <c r="G151" s="286" t="s">
        <v>1082</v>
      </c>
      <c r="H151" s="283">
        <v>45905</v>
      </c>
      <c r="I151" s="276" t="s">
        <v>1347</v>
      </c>
      <c r="J151" s="276" t="s">
        <v>1345</v>
      </c>
      <c r="K151" s="282" t="s">
        <v>1142</v>
      </c>
      <c r="L151" s="283">
        <v>45921</v>
      </c>
      <c r="M151" s="276" t="s">
        <v>1431</v>
      </c>
      <c r="N151" s="276"/>
      <c r="O151" s="276" t="s">
        <v>1432</v>
      </c>
      <c r="P151" s="276"/>
      <c r="Q151" s="276"/>
      <c r="R151" s="276"/>
      <c r="S151" s="276"/>
      <c r="T151" s="276"/>
      <c r="U151" s="276"/>
      <c r="V151" s="276"/>
      <c r="W151" s="276"/>
      <c r="X151" s="276"/>
      <c r="Y151" s="276"/>
      <c r="Z151" s="276"/>
    </row>
    <row r="152" spans="1:26" ht="14.25" customHeight="1" x14ac:dyDescent="0.3">
      <c r="A152" s="313" t="s">
        <v>1171</v>
      </c>
      <c r="B152" s="276" t="s">
        <v>1341</v>
      </c>
      <c r="C152" s="279" t="s">
        <v>1410</v>
      </c>
      <c r="D152" s="283">
        <v>45910</v>
      </c>
      <c r="E152" s="279" t="s">
        <v>1089</v>
      </c>
      <c r="F152" s="309">
        <v>18</v>
      </c>
      <c r="G152" s="286" t="s">
        <v>1082</v>
      </c>
      <c r="H152" s="283">
        <v>45905</v>
      </c>
      <c r="I152" s="276" t="s">
        <v>1347</v>
      </c>
      <c r="J152" s="276" t="s">
        <v>1345</v>
      </c>
      <c r="K152" s="282" t="s">
        <v>1142</v>
      </c>
      <c r="L152" s="283">
        <v>45921</v>
      </c>
      <c r="M152" s="291" t="s">
        <v>2732</v>
      </c>
      <c r="N152" s="276"/>
      <c r="O152" s="276"/>
      <c r="P152" s="276"/>
      <c r="Q152" s="276"/>
      <c r="R152" s="276"/>
      <c r="S152" s="276"/>
      <c r="T152" s="276"/>
      <c r="U152" s="276"/>
      <c r="V152" s="276"/>
      <c r="W152" s="276"/>
      <c r="X152" s="276"/>
      <c r="Y152" s="276"/>
      <c r="Z152" s="276"/>
    </row>
    <row r="153" spans="1:26" ht="14.25" customHeight="1" x14ac:dyDescent="0.3">
      <c r="A153" s="312" t="s">
        <v>2236</v>
      </c>
      <c r="B153" s="276" t="s">
        <v>1341</v>
      </c>
      <c r="C153" s="279" t="s">
        <v>1410</v>
      </c>
      <c r="D153" s="283">
        <v>45910</v>
      </c>
      <c r="E153" s="279" t="s">
        <v>1125</v>
      </c>
      <c r="F153" s="309">
        <v>17</v>
      </c>
      <c r="G153" s="286" t="s">
        <v>1082</v>
      </c>
      <c r="H153" s="283">
        <v>45905</v>
      </c>
      <c r="I153" s="276" t="s">
        <v>1356</v>
      </c>
      <c r="J153" s="276" t="s">
        <v>1345</v>
      </c>
      <c r="K153" s="284" t="s">
        <v>1208</v>
      </c>
      <c r="L153" s="283">
        <v>45921</v>
      </c>
      <c r="M153" s="276" t="s">
        <v>451</v>
      </c>
      <c r="N153" s="276" t="s">
        <v>1433</v>
      </c>
      <c r="O153" s="276" t="s">
        <v>1434</v>
      </c>
      <c r="P153" s="276"/>
      <c r="Q153" s="276"/>
      <c r="R153" s="276"/>
      <c r="S153" s="276"/>
      <c r="T153" s="276"/>
      <c r="U153" s="276"/>
      <c r="V153" s="276"/>
      <c r="W153" s="276"/>
      <c r="X153" s="276"/>
      <c r="Y153" s="276"/>
      <c r="Z153" s="276"/>
    </row>
    <row r="154" spans="1:26" ht="14.25" customHeight="1" x14ac:dyDescent="0.3">
      <c r="A154" s="322" t="s">
        <v>2745</v>
      </c>
      <c r="B154" s="276" t="s">
        <v>1341</v>
      </c>
      <c r="C154" s="279" t="s">
        <v>1410</v>
      </c>
      <c r="D154" s="283">
        <v>45910</v>
      </c>
      <c r="E154" s="279" t="s">
        <v>1180</v>
      </c>
      <c r="F154" s="309">
        <v>18</v>
      </c>
      <c r="G154" s="286" t="s">
        <v>1082</v>
      </c>
      <c r="H154" s="283">
        <v>45905</v>
      </c>
      <c r="I154" s="276" t="s">
        <v>1356</v>
      </c>
      <c r="J154" s="276" t="s">
        <v>1345</v>
      </c>
      <c r="K154" s="284" t="s">
        <v>1208</v>
      </c>
      <c r="L154" s="283">
        <v>45921</v>
      </c>
      <c r="M154" s="276" t="s">
        <v>1435</v>
      </c>
      <c r="N154" s="276"/>
      <c r="O154" s="276"/>
      <c r="P154" s="276"/>
      <c r="Q154" s="276"/>
      <c r="R154" s="276"/>
      <c r="S154" s="276"/>
      <c r="T154" s="276"/>
      <c r="U154" s="276"/>
      <c r="V154" s="276"/>
      <c r="W154" s="276"/>
      <c r="X154" s="276"/>
      <c r="Y154" s="276"/>
      <c r="Z154" s="276"/>
    </row>
    <row r="155" spans="1:26" ht="14.25" customHeight="1" x14ac:dyDescent="0.3">
      <c r="A155" s="312" t="s">
        <v>1189</v>
      </c>
      <c r="B155" s="276" t="s">
        <v>1341</v>
      </c>
      <c r="C155" s="279" t="s">
        <v>1410</v>
      </c>
      <c r="D155" s="283">
        <v>45910</v>
      </c>
      <c r="E155" s="279" t="s">
        <v>1180</v>
      </c>
      <c r="F155" s="309">
        <v>18</v>
      </c>
      <c r="G155" s="286" t="s">
        <v>1082</v>
      </c>
      <c r="H155" s="283">
        <v>45905</v>
      </c>
      <c r="I155" s="276" t="s">
        <v>1347</v>
      </c>
      <c r="J155" s="276" t="s">
        <v>1345</v>
      </c>
      <c r="K155" s="282" t="s">
        <v>1142</v>
      </c>
      <c r="L155" s="283">
        <v>45921</v>
      </c>
      <c r="M155" s="291" t="s">
        <v>2733</v>
      </c>
      <c r="N155" s="276"/>
      <c r="O155" s="276"/>
      <c r="P155" s="276"/>
      <c r="Q155" s="276"/>
      <c r="R155" s="276"/>
      <c r="S155" s="276"/>
      <c r="T155" s="276"/>
      <c r="U155" s="276"/>
      <c r="V155" s="276"/>
      <c r="W155" s="276"/>
      <c r="X155" s="276"/>
      <c r="Y155" s="276"/>
      <c r="Z155" s="276"/>
    </row>
    <row r="156" spans="1:26" ht="14.25" customHeight="1" x14ac:dyDescent="0.3">
      <c r="A156" s="308" t="s">
        <v>2204</v>
      </c>
      <c r="B156" s="276" t="s">
        <v>1341</v>
      </c>
      <c r="C156" s="279" t="s">
        <v>1410</v>
      </c>
      <c r="D156" s="283">
        <v>45910</v>
      </c>
      <c r="E156" s="279" t="s">
        <v>1180</v>
      </c>
      <c r="F156" s="309">
        <v>18</v>
      </c>
      <c r="G156" s="310" t="s">
        <v>1088</v>
      </c>
      <c r="H156" s="283">
        <v>45905</v>
      </c>
      <c r="I156" s="276" t="s">
        <v>1347</v>
      </c>
      <c r="J156" s="276" t="s">
        <v>1345</v>
      </c>
      <c r="K156" s="282" t="s">
        <v>1142</v>
      </c>
      <c r="L156" s="283">
        <v>45921</v>
      </c>
      <c r="M156" s="291" t="s">
        <v>2650</v>
      </c>
      <c r="N156" s="276"/>
      <c r="O156" s="276"/>
      <c r="P156" s="276"/>
      <c r="Q156" s="276"/>
      <c r="R156" s="276"/>
      <c r="S156" s="276"/>
      <c r="T156" s="276"/>
      <c r="U156" s="276"/>
      <c r="V156" s="276"/>
      <c r="W156" s="276"/>
      <c r="X156" s="276"/>
      <c r="Y156" s="276"/>
      <c r="Z156" s="276"/>
    </row>
    <row r="157" spans="1:26" ht="14.25" customHeight="1" x14ac:dyDescent="0.3">
      <c r="A157" s="323" t="s">
        <v>506</v>
      </c>
      <c r="B157" s="276" t="s">
        <v>1341</v>
      </c>
      <c r="C157" s="279" t="s">
        <v>1436</v>
      </c>
      <c r="D157" s="283">
        <v>45909</v>
      </c>
      <c r="E157" s="279" t="s">
        <v>1095</v>
      </c>
      <c r="F157" s="324">
        <v>20</v>
      </c>
      <c r="G157" s="325" t="s">
        <v>1096</v>
      </c>
      <c r="H157" s="283">
        <v>45920</v>
      </c>
      <c r="I157" s="276" t="s">
        <v>1356</v>
      </c>
      <c r="J157" s="276" t="s">
        <v>1345</v>
      </c>
      <c r="K157" s="290" t="s">
        <v>1107</v>
      </c>
      <c r="L157" s="283">
        <v>45979</v>
      </c>
      <c r="M157" s="313" t="s">
        <v>1437</v>
      </c>
      <c r="N157" s="283">
        <v>45979</v>
      </c>
      <c r="O157" s="276"/>
      <c r="P157" s="276"/>
      <c r="Q157" s="276"/>
      <c r="R157" s="276"/>
      <c r="S157" s="276"/>
      <c r="T157" s="276"/>
      <c r="U157" s="276"/>
      <c r="V157" s="276"/>
      <c r="W157" s="276"/>
      <c r="X157" s="276"/>
      <c r="Y157" s="276"/>
      <c r="Z157" s="276"/>
    </row>
    <row r="158" spans="1:26" ht="14.25" customHeight="1" x14ac:dyDescent="0.3">
      <c r="A158" s="323" t="s">
        <v>565</v>
      </c>
      <c r="B158" s="276" t="s">
        <v>1341</v>
      </c>
      <c r="C158" s="279" t="s">
        <v>1436</v>
      </c>
      <c r="D158" s="283">
        <v>45909</v>
      </c>
      <c r="E158" s="279" t="s">
        <v>1095</v>
      </c>
      <c r="F158" s="324">
        <v>20</v>
      </c>
      <c r="G158" s="325" t="s">
        <v>1096</v>
      </c>
      <c r="H158" s="283">
        <v>45920</v>
      </c>
      <c r="I158" s="276" t="s">
        <v>1347</v>
      </c>
      <c r="J158" s="276" t="s">
        <v>1345</v>
      </c>
      <c r="K158" s="326" t="s">
        <v>1142</v>
      </c>
      <c r="L158" s="276"/>
      <c r="M158" s="276" t="s">
        <v>1438</v>
      </c>
      <c r="N158" s="283">
        <v>45979</v>
      </c>
      <c r="O158" s="276"/>
      <c r="P158" s="276"/>
      <c r="Q158" s="276"/>
      <c r="R158" s="276"/>
      <c r="S158" s="276"/>
      <c r="T158" s="276"/>
      <c r="U158" s="276"/>
      <c r="V158" s="276"/>
      <c r="W158" s="276"/>
      <c r="X158" s="276"/>
      <c r="Y158" s="276"/>
      <c r="Z158" s="276"/>
    </row>
    <row r="159" spans="1:26" ht="14.25" customHeight="1" x14ac:dyDescent="0.3">
      <c r="A159" s="323" t="s">
        <v>500</v>
      </c>
      <c r="B159" s="276" t="s">
        <v>1341</v>
      </c>
      <c r="C159" s="279" t="s">
        <v>1436</v>
      </c>
      <c r="D159" s="283">
        <v>45909</v>
      </c>
      <c r="E159" s="279" t="s">
        <v>1095</v>
      </c>
      <c r="F159" s="324">
        <v>20</v>
      </c>
      <c r="G159" s="325" t="s">
        <v>1096</v>
      </c>
      <c r="H159" s="283">
        <v>45920</v>
      </c>
      <c r="I159" s="276" t="s">
        <v>1347</v>
      </c>
      <c r="J159" s="276" t="s">
        <v>1345</v>
      </c>
      <c r="K159" s="326" t="s">
        <v>1142</v>
      </c>
      <c r="L159" s="276"/>
      <c r="M159" s="276" t="s">
        <v>1439</v>
      </c>
      <c r="N159" s="283">
        <v>45979</v>
      </c>
      <c r="O159" s="276"/>
      <c r="P159" s="276"/>
      <c r="Q159" s="276"/>
      <c r="R159" s="276"/>
      <c r="S159" s="276"/>
      <c r="T159" s="276"/>
      <c r="U159" s="276"/>
      <c r="V159" s="276"/>
      <c r="W159" s="276"/>
      <c r="X159" s="276"/>
      <c r="Y159" s="276"/>
      <c r="Z159" s="276"/>
    </row>
    <row r="160" spans="1:26" ht="14.25" customHeight="1" x14ac:dyDescent="0.3">
      <c r="A160" s="323" t="s">
        <v>1097</v>
      </c>
      <c r="B160" s="276" t="s">
        <v>1341</v>
      </c>
      <c r="C160" s="279" t="s">
        <v>1436</v>
      </c>
      <c r="D160" s="283">
        <v>45909</v>
      </c>
      <c r="E160" s="279" t="s">
        <v>1095</v>
      </c>
      <c r="F160" s="324">
        <v>20</v>
      </c>
      <c r="G160" s="325" t="s">
        <v>1096</v>
      </c>
      <c r="H160" s="283">
        <v>45920</v>
      </c>
      <c r="I160" s="276" t="s">
        <v>1347</v>
      </c>
      <c r="J160" s="276" t="s">
        <v>1345</v>
      </c>
      <c r="K160" s="326" t="s">
        <v>1142</v>
      </c>
      <c r="L160" s="276"/>
      <c r="M160" s="276" t="s">
        <v>1440</v>
      </c>
      <c r="N160" s="283">
        <v>45979</v>
      </c>
      <c r="O160" s="276"/>
      <c r="P160" s="276"/>
      <c r="Q160" s="276"/>
      <c r="R160" s="276"/>
      <c r="S160" s="276"/>
      <c r="T160" s="276"/>
      <c r="U160" s="276"/>
      <c r="V160" s="276"/>
      <c r="W160" s="276"/>
      <c r="X160" s="276"/>
      <c r="Y160" s="276"/>
      <c r="Z160" s="276"/>
    </row>
    <row r="161" spans="1:26" ht="14.25" customHeight="1" x14ac:dyDescent="0.3">
      <c r="A161" s="323" t="s">
        <v>525</v>
      </c>
      <c r="B161" s="276" t="s">
        <v>1341</v>
      </c>
      <c r="C161" s="279" t="s">
        <v>1436</v>
      </c>
      <c r="D161" s="283">
        <v>45909</v>
      </c>
      <c r="E161" s="279" t="s">
        <v>1095</v>
      </c>
      <c r="F161" s="324">
        <v>20</v>
      </c>
      <c r="G161" s="325" t="s">
        <v>1096</v>
      </c>
      <c r="H161" s="283">
        <v>45920</v>
      </c>
      <c r="I161" s="276" t="s">
        <v>1347</v>
      </c>
      <c r="J161" s="276" t="s">
        <v>1345</v>
      </c>
      <c r="K161" s="326" t="s">
        <v>1142</v>
      </c>
      <c r="L161" s="276"/>
      <c r="M161" s="276" t="s">
        <v>1441</v>
      </c>
      <c r="N161" s="283">
        <v>45979</v>
      </c>
      <c r="O161" s="276"/>
      <c r="P161" s="276"/>
      <c r="Q161" s="276"/>
      <c r="R161" s="276"/>
      <c r="S161" s="276"/>
      <c r="T161" s="276"/>
      <c r="U161" s="276"/>
      <c r="V161" s="276"/>
      <c r="W161" s="276"/>
      <c r="X161" s="276"/>
      <c r="Y161" s="276"/>
      <c r="Z161" s="276"/>
    </row>
    <row r="162" spans="1:26" ht="14.25" customHeight="1" x14ac:dyDescent="0.3">
      <c r="A162" s="323" t="s">
        <v>1103</v>
      </c>
      <c r="B162" s="276" t="s">
        <v>1341</v>
      </c>
      <c r="C162" s="279" t="s">
        <v>1436</v>
      </c>
      <c r="D162" s="283">
        <v>45909</v>
      </c>
      <c r="E162" s="279" t="s">
        <v>1095</v>
      </c>
      <c r="F162" s="324">
        <v>20</v>
      </c>
      <c r="G162" s="325" t="s">
        <v>1096</v>
      </c>
      <c r="H162" s="283">
        <v>45920</v>
      </c>
      <c r="I162" s="276" t="s">
        <v>1347</v>
      </c>
      <c r="J162" s="276" t="s">
        <v>1345</v>
      </c>
      <c r="K162" s="326" t="s">
        <v>1142</v>
      </c>
      <c r="L162" s="276"/>
      <c r="M162" s="276" t="s">
        <v>1442</v>
      </c>
      <c r="N162" s="283">
        <v>45979</v>
      </c>
      <c r="O162" s="276"/>
      <c r="P162" s="276"/>
      <c r="Q162" s="276"/>
      <c r="R162" s="276"/>
      <c r="S162" s="276"/>
      <c r="T162" s="276"/>
      <c r="U162" s="276"/>
      <c r="V162" s="276"/>
      <c r="W162" s="276"/>
      <c r="X162" s="276"/>
      <c r="Y162" s="276"/>
      <c r="Z162" s="276"/>
    </row>
    <row r="163" spans="1:26" ht="13.5" customHeight="1" x14ac:dyDescent="0.3">
      <c r="A163" s="323" t="s">
        <v>471</v>
      </c>
      <c r="B163" s="276" t="s">
        <v>1341</v>
      </c>
      <c r="C163" s="279" t="s">
        <v>1436</v>
      </c>
      <c r="D163" s="283">
        <v>45909</v>
      </c>
      <c r="E163" s="279" t="s">
        <v>1095</v>
      </c>
      <c r="F163" s="324">
        <v>20</v>
      </c>
      <c r="G163" s="325" t="s">
        <v>1096</v>
      </c>
      <c r="H163" s="283">
        <v>45920</v>
      </c>
      <c r="I163" s="276" t="s">
        <v>1347</v>
      </c>
      <c r="J163" s="276" t="s">
        <v>1345</v>
      </c>
      <c r="K163" s="326" t="s">
        <v>1142</v>
      </c>
      <c r="L163" s="276"/>
      <c r="M163" s="291" t="s">
        <v>1443</v>
      </c>
      <c r="N163" s="283">
        <v>45979</v>
      </c>
      <c r="O163" s="276"/>
      <c r="P163" s="276"/>
      <c r="Q163" s="276"/>
      <c r="R163" s="276"/>
      <c r="S163" s="276"/>
      <c r="T163" s="276"/>
      <c r="U163" s="276"/>
      <c r="V163" s="276"/>
      <c r="W163" s="276"/>
      <c r="X163" s="276"/>
      <c r="Y163" s="276"/>
      <c r="Z163" s="276"/>
    </row>
    <row r="164" spans="1:26" ht="14.25" customHeight="1" x14ac:dyDescent="0.3">
      <c r="A164" s="327" t="s">
        <v>696</v>
      </c>
      <c r="B164" s="276" t="s">
        <v>1341</v>
      </c>
      <c r="C164" s="279" t="s">
        <v>1436</v>
      </c>
      <c r="D164" s="283">
        <v>45909</v>
      </c>
      <c r="E164" s="279" t="s">
        <v>1125</v>
      </c>
      <c r="F164" s="276">
        <v>22</v>
      </c>
      <c r="G164" s="328" t="s">
        <v>1088</v>
      </c>
      <c r="H164" s="283">
        <v>45936</v>
      </c>
      <c r="I164" s="276" t="s">
        <v>1362</v>
      </c>
      <c r="J164" s="276" t="s">
        <v>1345</v>
      </c>
      <c r="K164" s="326" t="s">
        <v>1142</v>
      </c>
      <c r="L164" s="283">
        <v>45979</v>
      </c>
      <c r="M164" s="291" t="s">
        <v>2651</v>
      </c>
      <c r="N164" s="276"/>
      <c r="O164" s="276"/>
      <c r="P164" s="276"/>
      <c r="Q164" s="276"/>
      <c r="R164" s="276"/>
      <c r="S164" s="276"/>
      <c r="T164" s="276"/>
      <c r="U164" s="276"/>
      <c r="V164" s="276"/>
      <c r="W164" s="276"/>
      <c r="X164" s="276"/>
      <c r="Y164" s="276"/>
      <c r="Z164" s="276"/>
    </row>
    <row r="165" spans="1:26" ht="14.25" customHeight="1" x14ac:dyDescent="0.3">
      <c r="A165" s="329" t="s">
        <v>809</v>
      </c>
      <c r="B165" s="276" t="s">
        <v>1341</v>
      </c>
      <c r="C165" s="279" t="s">
        <v>1436</v>
      </c>
      <c r="D165" s="283">
        <v>45909</v>
      </c>
      <c r="E165" s="279" t="s">
        <v>1125</v>
      </c>
      <c r="F165" s="276">
        <v>22</v>
      </c>
      <c r="G165" s="328" t="s">
        <v>1114</v>
      </c>
      <c r="H165" s="283">
        <v>45936</v>
      </c>
      <c r="I165" s="276" t="s">
        <v>1362</v>
      </c>
      <c r="J165" s="276" t="s">
        <v>1345</v>
      </c>
      <c r="K165" s="326" t="s">
        <v>1142</v>
      </c>
      <c r="L165" s="283">
        <v>45979</v>
      </c>
      <c r="M165" s="276" t="s">
        <v>1444</v>
      </c>
      <c r="N165" s="276"/>
      <c r="O165" s="276"/>
      <c r="P165" s="276"/>
      <c r="Q165" s="276"/>
      <c r="R165" s="276"/>
      <c r="S165" s="276"/>
      <c r="T165" s="276"/>
      <c r="U165" s="276"/>
      <c r="V165" s="276"/>
      <c r="W165" s="276"/>
      <c r="X165" s="276"/>
      <c r="Y165" s="276"/>
      <c r="Z165" s="276"/>
    </row>
    <row r="166" spans="1:26" ht="14.25" customHeight="1" x14ac:dyDescent="0.3">
      <c r="A166" s="329" t="s">
        <v>1050</v>
      </c>
      <c r="B166" s="276" t="s">
        <v>1341</v>
      </c>
      <c r="C166" s="279" t="s">
        <v>1436</v>
      </c>
      <c r="D166" s="283">
        <v>45909</v>
      </c>
      <c r="E166" s="279" t="s">
        <v>1125</v>
      </c>
      <c r="F166" s="276">
        <v>22</v>
      </c>
      <c r="G166" s="328" t="s">
        <v>1114</v>
      </c>
      <c r="H166" s="283">
        <v>45936</v>
      </c>
      <c r="I166" s="276" t="s">
        <v>1347</v>
      </c>
      <c r="J166" s="276" t="s">
        <v>1345</v>
      </c>
      <c r="K166" s="326" t="s">
        <v>1142</v>
      </c>
      <c r="L166" s="283">
        <v>45979</v>
      </c>
      <c r="M166" s="276" t="s">
        <v>1445</v>
      </c>
      <c r="N166" s="276"/>
      <c r="O166" s="276"/>
      <c r="P166" s="276"/>
      <c r="Q166" s="276"/>
      <c r="R166" s="276"/>
      <c r="S166" s="276"/>
      <c r="T166" s="276"/>
      <c r="U166" s="276"/>
      <c r="V166" s="276"/>
      <c r="W166" s="276"/>
      <c r="X166" s="276"/>
      <c r="Y166" s="276"/>
      <c r="Z166" s="276"/>
    </row>
    <row r="167" spans="1:26" ht="14.25" customHeight="1" x14ac:dyDescent="0.3">
      <c r="A167" s="329" t="s">
        <v>761</v>
      </c>
      <c r="B167" s="276" t="s">
        <v>1341</v>
      </c>
      <c r="C167" s="279" t="s">
        <v>1436</v>
      </c>
      <c r="D167" s="283">
        <v>45909</v>
      </c>
      <c r="E167" s="279" t="s">
        <v>1125</v>
      </c>
      <c r="F167" s="276">
        <v>22</v>
      </c>
      <c r="G167" s="328" t="s">
        <v>1114</v>
      </c>
      <c r="H167" s="283">
        <v>45936</v>
      </c>
      <c r="I167" s="276" t="s">
        <v>1347</v>
      </c>
      <c r="J167" s="276" t="s">
        <v>1345</v>
      </c>
      <c r="K167" s="326" t="s">
        <v>1142</v>
      </c>
      <c r="L167" s="283">
        <v>45979</v>
      </c>
      <c r="M167" s="276" t="s">
        <v>1446</v>
      </c>
      <c r="N167" s="276"/>
      <c r="O167" s="276"/>
      <c r="P167" s="276"/>
      <c r="Q167" s="276"/>
      <c r="R167" s="276"/>
      <c r="S167" s="276"/>
      <c r="T167" s="276"/>
      <c r="U167" s="276"/>
      <c r="V167" s="276"/>
      <c r="W167" s="276"/>
      <c r="X167" s="276"/>
      <c r="Y167" s="276"/>
      <c r="Z167" s="276"/>
    </row>
    <row r="168" spans="1:26" ht="14.25" customHeight="1" x14ac:dyDescent="0.3">
      <c r="A168" s="330" t="s">
        <v>2134</v>
      </c>
      <c r="B168" s="276" t="s">
        <v>1341</v>
      </c>
      <c r="C168" s="279" t="s">
        <v>1436</v>
      </c>
      <c r="D168" s="283">
        <v>45909</v>
      </c>
      <c r="E168" s="280" t="s">
        <v>1447</v>
      </c>
      <c r="F168" s="324">
        <v>20</v>
      </c>
      <c r="G168" s="331" t="s">
        <v>1079</v>
      </c>
      <c r="H168" s="283">
        <v>45920</v>
      </c>
      <c r="I168" s="276" t="s">
        <v>1356</v>
      </c>
      <c r="J168" s="276" t="s">
        <v>1345</v>
      </c>
      <c r="K168" s="332" t="s">
        <v>1208</v>
      </c>
      <c r="L168" s="283">
        <v>45979</v>
      </c>
      <c r="M168" s="276" t="s">
        <v>451</v>
      </c>
      <c r="N168" s="313" t="s">
        <v>1448</v>
      </c>
      <c r="O168" s="276"/>
      <c r="P168" s="276"/>
      <c r="Q168" s="276"/>
      <c r="R168" s="276"/>
      <c r="S168" s="276"/>
      <c r="T168" s="276"/>
      <c r="U168" s="276"/>
      <c r="V168" s="276"/>
      <c r="W168" s="276"/>
      <c r="X168" s="276"/>
      <c r="Y168" s="276"/>
      <c r="Z168" s="276"/>
    </row>
    <row r="169" spans="1:26" ht="14.25" customHeight="1" x14ac:dyDescent="0.3">
      <c r="A169" s="330" t="s">
        <v>2102</v>
      </c>
      <c r="B169" s="276" t="s">
        <v>1341</v>
      </c>
      <c r="C169" s="279" t="s">
        <v>1436</v>
      </c>
      <c r="D169" s="283">
        <v>45909</v>
      </c>
      <c r="E169" s="280" t="s">
        <v>1447</v>
      </c>
      <c r="F169" s="324">
        <v>20</v>
      </c>
      <c r="G169" s="331" t="s">
        <v>1079</v>
      </c>
      <c r="H169" s="283">
        <v>45920</v>
      </c>
      <c r="I169" s="276" t="s">
        <v>1347</v>
      </c>
      <c r="J169" s="276" t="s">
        <v>1345</v>
      </c>
      <c r="K169" s="326" t="s">
        <v>1142</v>
      </c>
      <c r="L169" s="283">
        <v>45979</v>
      </c>
      <c r="M169" s="291" t="s">
        <v>2707</v>
      </c>
      <c r="N169" s="276"/>
      <c r="O169" s="276"/>
      <c r="P169" s="276"/>
      <c r="Q169" s="276"/>
      <c r="R169" s="276"/>
      <c r="S169" s="276"/>
      <c r="T169" s="276"/>
      <c r="U169" s="276"/>
      <c r="V169" s="276"/>
      <c r="W169" s="276"/>
      <c r="X169" s="276"/>
      <c r="Y169" s="276"/>
      <c r="Z169" s="276"/>
    </row>
    <row r="170" spans="1:26" ht="14.25" customHeight="1" x14ac:dyDescent="0.3">
      <c r="A170" s="333" t="s">
        <v>2096</v>
      </c>
      <c r="B170" s="276" t="s">
        <v>1341</v>
      </c>
      <c r="C170" s="279" t="s">
        <v>1436</v>
      </c>
      <c r="D170" s="283">
        <v>45909</v>
      </c>
      <c r="E170" s="280" t="s">
        <v>1447</v>
      </c>
      <c r="F170" s="324">
        <v>20</v>
      </c>
      <c r="G170" s="331" t="s">
        <v>1079</v>
      </c>
      <c r="H170" s="283">
        <v>45920</v>
      </c>
      <c r="I170" s="276" t="s">
        <v>1347</v>
      </c>
      <c r="J170" s="276" t="s">
        <v>1345</v>
      </c>
      <c r="K170" s="326" t="s">
        <v>1142</v>
      </c>
      <c r="L170" s="283">
        <v>45979</v>
      </c>
      <c r="M170" s="291" t="s">
        <v>2708</v>
      </c>
      <c r="N170" s="276"/>
      <c r="O170" s="276"/>
      <c r="P170" s="276"/>
      <c r="Q170" s="276"/>
      <c r="R170" s="276"/>
      <c r="S170" s="276"/>
      <c r="T170" s="276"/>
      <c r="U170" s="276"/>
      <c r="V170" s="276"/>
      <c r="W170" s="276"/>
      <c r="X170" s="276"/>
      <c r="Y170" s="276"/>
      <c r="Z170" s="276"/>
    </row>
    <row r="171" spans="1:26" ht="14.25" customHeight="1" x14ac:dyDescent="0.3">
      <c r="A171" s="330" t="s">
        <v>2093</v>
      </c>
      <c r="B171" s="276" t="s">
        <v>1341</v>
      </c>
      <c r="C171" s="279" t="s">
        <v>1436</v>
      </c>
      <c r="D171" s="283">
        <v>45909</v>
      </c>
      <c r="E171" s="280" t="s">
        <v>1447</v>
      </c>
      <c r="F171" s="324">
        <v>20</v>
      </c>
      <c r="G171" s="331" t="s">
        <v>1079</v>
      </c>
      <c r="H171" s="283">
        <v>45920</v>
      </c>
      <c r="I171" s="276" t="s">
        <v>1347</v>
      </c>
      <c r="J171" s="276" t="s">
        <v>1345</v>
      </c>
      <c r="K171" s="326" t="s">
        <v>1142</v>
      </c>
      <c r="L171" s="283">
        <v>45979</v>
      </c>
      <c r="M171" s="291" t="s">
        <v>2709</v>
      </c>
      <c r="N171" s="276"/>
      <c r="O171" s="276"/>
      <c r="P171" s="276"/>
      <c r="Q171" s="276"/>
      <c r="R171" s="276"/>
      <c r="S171" s="276"/>
      <c r="T171" s="276"/>
      <c r="U171" s="276"/>
      <c r="V171" s="276"/>
      <c r="W171" s="276"/>
      <c r="X171" s="276"/>
      <c r="Y171" s="276"/>
      <c r="Z171" s="276"/>
    </row>
    <row r="172" spans="1:26" ht="14.25" customHeight="1" x14ac:dyDescent="0.3">
      <c r="A172" s="330" t="s">
        <v>2118</v>
      </c>
      <c r="B172" s="276" t="s">
        <v>1341</v>
      </c>
      <c r="C172" s="279" t="s">
        <v>1436</v>
      </c>
      <c r="D172" s="283">
        <v>45909</v>
      </c>
      <c r="E172" s="280" t="s">
        <v>1447</v>
      </c>
      <c r="F172" s="324">
        <v>20</v>
      </c>
      <c r="G172" s="331" t="s">
        <v>1079</v>
      </c>
      <c r="H172" s="283">
        <v>45920</v>
      </c>
      <c r="I172" s="276" t="s">
        <v>1347</v>
      </c>
      <c r="J172" s="276" t="s">
        <v>1345</v>
      </c>
      <c r="K172" s="326" t="s">
        <v>1142</v>
      </c>
      <c r="L172" s="283">
        <v>45979</v>
      </c>
      <c r="M172" s="291" t="s">
        <v>2710</v>
      </c>
      <c r="N172" s="276"/>
      <c r="O172" s="276"/>
      <c r="P172" s="276"/>
      <c r="Q172" s="276"/>
      <c r="R172" s="276"/>
      <c r="S172" s="276"/>
      <c r="T172" s="276"/>
      <c r="U172" s="276"/>
      <c r="V172" s="276"/>
      <c r="W172" s="276"/>
      <c r="X172" s="276"/>
      <c r="Y172" s="276"/>
      <c r="Z172" s="276"/>
    </row>
    <row r="173" spans="1:26" ht="14.25" customHeight="1" x14ac:dyDescent="0.3">
      <c r="A173" s="330" t="s">
        <v>2119</v>
      </c>
      <c r="B173" s="276" t="s">
        <v>1341</v>
      </c>
      <c r="C173" s="279" t="s">
        <v>1436</v>
      </c>
      <c r="D173" s="283">
        <v>45909</v>
      </c>
      <c r="E173" s="280" t="s">
        <v>1447</v>
      </c>
      <c r="F173" s="276">
        <v>20</v>
      </c>
      <c r="G173" s="331" t="s">
        <v>1079</v>
      </c>
      <c r="H173" s="283">
        <v>45920</v>
      </c>
      <c r="I173" s="276" t="s">
        <v>1356</v>
      </c>
      <c r="J173" s="276" t="s">
        <v>1345</v>
      </c>
      <c r="K173" s="332" t="s">
        <v>1208</v>
      </c>
      <c r="L173" s="283">
        <v>45979</v>
      </c>
      <c r="M173" s="276" t="s">
        <v>451</v>
      </c>
      <c r="N173" s="313" t="s">
        <v>1448</v>
      </c>
      <c r="O173" s="276"/>
      <c r="P173" s="276"/>
      <c r="Q173" s="276"/>
      <c r="R173" s="276"/>
      <c r="S173" s="276"/>
      <c r="T173" s="276"/>
      <c r="U173" s="276"/>
      <c r="V173" s="276"/>
      <c r="W173" s="276"/>
      <c r="X173" s="276"/>
      <c r="Y173" s="276"/>
      <c r="Z173" s="276"/>
    </row>
    <row r="174" spans="1:26" ht="14.25" customHeight="1" x14ac:dyDescent="0.3">
      <c r="A174" s="330" t="s">
        <v>1157</v>
      </c>
      <c r="B174" s="276" t="s">
        <v>1341</v>
      </c>
      <c r="C174" s="279" t="s">
        <v>1436</v>
      </c>
      <c r="D174" s="283">
        <v>45909</v>
      </c>
      <c r="E174" s="279" t="s">
        <v>1125</v>
      </c>
      <c r="F174" s="276">
        <v>20</v>
      </c>
      <c r="G174" s="331" t="s">
        <v>1449</v>
      </c>
      <c r="H174" s="283">
        <v>45920</v>
      </c>
      <c r="I174" s="276" t="s">
        <v>1347</v>
      </c>
      <c r="J174" s="276" t="s">
        <v>1345</v>
      </c>
      <c r="K174" s="326" t="s">
        <v>1142</v>
      </c>
      <c r="L174" s="283">
        <v>45979</v>
      </c>
      <c r="M174" s="291" t="s">
        <v>2711</v>
      </c>
      <c r="N174" s="276"/>
      <c r="O174" s="276"/>
      <c r="P174" s="276"/>
      <c r="Q174" s="276"/>
      <c r="R174" s="276"/>
      <c r="S174" s="276"/>
      <c r="T174" s="276"/>
      <c r="U174" s="276"/>
      <c r="V174" s="276"/>
      <c r="W174" s="276"/>
      <c r="X174" s="276"/>
      <c r="Y174" s="276"/>
      <c r="Z174" s="276"/>
    </row>
    <row r="175" spans="1:26" ht="14.25" customHeight="1" x14ac:dyDescent="0.3">
      <c r="A175" s="334" t="s">
        <v>2223</v>
      </c>
      <c r="B175" s="276" t="s">
        <v>1341</v>
      </c>
      <c r="C175" s="279" t="s">
        <v>1436</v>
      </c>
      <c r="D175" s="283">
        <v>45909</v>
      </c>
      <c r="E175" s="279" t="s">
        <v>1125</v>
      </c>
      <c r="F175" s="276">
        <v>21</v>
      </c>
      <c r="G175" s="315" t="s">
        <v>1088</v>
      </c>
      <c r="H175" s="283">
        <v>45929</v>
      </c>
      <c r="I175" s="276" t="s">
        <v>1356</v>
      </c>
      <c r="J175" s="276" t="s">
        <v>1345</v>
      </c>
      <c r="K175" s="284" t="s">
        <v>1128</v>
      </c>
      <c r="L175" s="283">
        <v>45979</v>
      </c>
      <c r="M175" s="276" t="s">
        <v>451</v>
      </c>
      <c r="N175" s="550" t="s">
        <v>2652</v>
      </c>
      <c r="O175" s="276"/>
      <c r="P175" s="276"/>
      <c r="Q175" s="276"/>
      <c r="R175" s="276"/>
      <c r="S175" s="276"/>
      <c r="T175" s="276"/>
      <c r="U175" s="276"/>
      <c r="V175" s="276"/>
      <c r="W175" s="276"/>
      <c r="X175" s="276"/>
      <c r="Y175" s="276"/>
      <c r="Z175" s="276"/>
    </row>
    <row r="176" spans="1:26" ht="14.25" customHeight="1" x14ac:dyDescent="0.3">
      <c r="A176" s="334" t="s">
        <v>2653</v>
      </c>
      <c r="B176" s="276" t="s">
        <v>1341</v>
      </c>
      <c r="C176" s="279" t="s">
        <v>1436</v>
      </c>
      <c r="D176" s="283">
        <v>45909</v>
      </c>
      <c r="E176" s="279" t="s">
        <v>1125</v>
      </c>
      <c r="F176" s="276">
        <v>21</v>
      </c>
      <c r="G176" s="315" t="s">
        <v>1088</v>
      </c>
      <c r="H176" s="283">
        <v>45929</v>
      </c>
      <c r="I176" s="276" t="s">
        <v>1356</v>
      </c>
      <c r="J176" s="276" t="s">
        <v>1345</v>
      </c>
      <c r="K176" s="332" t="s">
        <v>1208</v>
      </c>
      <c r="L176" s="283">
        <v>45979</v>
      </c>
      <c r="M176" s="276" t="s">
        <v>451</v>
      </c>
      <c r="N176" s="313" t="s">
        <v>1450</v>
      </c>
      <c r="O176" s="276"/>
      <c r="P176" s="276"/>
      <c r="Q176" s="276"/>
      <c r="R176" s="276"/>
      <c r="S176" s="276"/>
      <c r="T176" s="276"/>
      <c r="U176" s="276"/>
      <c r="V176" s="276"/>
      <c r="W176" s="276"/>
      <c r="X176" s="276"/>
      <c r="Y176" s="276"/>
      <c r="Z176" s="276"/>
    </row>
    <row r="177" spans="1:26" ht="14.25" customHeight="1" x14ac:dyDescent="0.3">
      <c r="A177" s="334" t="s">
        <v>1246</v>
      </c>
      <c r="B177" s="276" t="s">
        <v>1341</v>
      </c>
      <c r="C177" s="279" t="s">
        <v>1436</v>
      </c>
      <c r="D177" s="283">
        <v>45909</v>
      </c>
      <c r="E177" s="279" t="s">
        <v>1125</v>
      </c>
      <c r="F177" s="276">
        <v>21</v>
      </c>
      <c r="G177" s="315" t="s">
        <v>1088</v>
      </c>
      <c r="H177" s="283">
        <v>45929</v>
      </c>
      <c r="I177" s="276" t="s">
        <v>1356</v>
      </c>
      <c r="J177" s="276" t="s">
        <v>1345</v>
      </c>
      <c r="K177" s="332" t="s">
        <v>1208</v>
      </c>
      <c r="L177" s="283">
        <v>45979</v>
      </c>
      <c r="M177" s="276" t="s">
        <v>451</v>
      </c>
      <c r="N177" s="313" t="s">
        <v>1451</v>
      </c>
      <c r="O177" s="276"/>
      <c r="P177" s="276"/>
      <c r="Q177" s="276"/>
      <c r="R177" s="276"/>
      <c r="S177" s="276"/>
      <c r="T177" s="276"/>
      <c r="U177" s="276"/>
      <c r="V177" s="276"/>
      <c r="W177" s="276"/>
      <c r="X177" s="276"/>
      <c r="Y177" s="276"/>
      <c r="Z177" s="276"/>
    </row>
    <row r="178" spans="1:26" ht="14.25" customHeight="1" x14ac:dyDescent="0.3">
      <c r="A178" s="334" t="s">
        <v>1247</v>
      </c>
      <c r="B178" s="276" t="s">
        <v>1341</v>
      </c>
      <c r="C178" s="279" t="s">
        <v>1436</v>
      </c>
      <c r="D178" s="283">
        <v>45909</v>
      </c>
      <c r="E178" s="279" t="s">
        <v>1125</v>
      </c>
      <c r="F178" s="276">
        <v>21</v>
      </c>
      <c r="G178" s="315" t="s">
        <v>1088</v>
      </c>
      <c r="H178" s="283">
        <v>45929</v>
      </c>
      <c r="I178" s="276" t="s">
        <v>1356</v>
      </c>
      <c r="J178" s="276" t="s">
        <v>1345</v>
      </c>
      <c r="K178" s="284" t="s">
        <v>1128</v>
      </c>
      <c r="L178" s="283">
        <v>45979</v>
      </c>
      <c r="M178" s="276" t="s">
        <v>451</v>
      </c>
      <c r="N178" s="313" t="s">
        <v>1452</v>
      </c>
      <c r="O178" s="276"/>
      <c r="P178" s="276"/>
      <c r="Q178" s="276"/>
      <c r="R178" s="276"/>
      <c r="S178" s="276"/>
      <c r="T178" s="276"/>
      <c r="U178" s="276"/>
      <c r="V178" s="276"/>
      <c r="W178" s="276"/>
      <c r="X178" s="276"/>
      <c r="Y178" s="276"/>
      <c r="Z178" s="276"/>
    </row>
    <row r="179" spans="1:26" ht="14.25" customHeight="1" x14ac:dyDescent="0.3">
      <c r="A179" s="334" t="s">
        <v>1249</v>
      </c>
      <c r="B179" s="276" t="s">
        <v>1341</v>
      </c>
      <c r="C179" s="279" t="s">
        <v>1436</v>
      </c>
      <c r="D179" s="283">
        <v>45909</v>
      </c>
      <c r="E179" s="279" t="s">
        <v>1125</v>
      </c>
      <c r="F179" s="276">
        <v>21</v>
      </c>
      <c r="G179" s="315" t="s">
        <v>1088</v>
      </c>
      <c r="H179" s="283">
        <v>45929</v>
      </c>
      <c r="I179" s="276" t="s">
        <v>1356</v>
      </c>
      <c r="J179" s="276" t="s">
        <v>1345</v>
      </c>
      <c r="K179" s="284" t="s">
        <v>1128</v>
      </c>
      <c r="L179" s="283">
        <v>45979</v>
      </c>
      <c r="M179" s="276" t="s">
        <v>451</v>
      </c>
      <c r="N179" s="313" t="s">
        <v>1453</v>
      </c>
      <c r="O179" s="276"/>
      <c r="P179" s="276"/>
      <c r="Q179" s="276"/>
      <c r="R179" s="276"/>
      <c r="S179" s="276"/>
      <c r="T179" s="276"/>
      <c r="U179" s="276"/>
      <c r="V179" s="276"/>
      <c r="W179" s="276"/>
      <c r="X179" s="276"/>
      <c r="Y179" s="276"/>
      <c r="Z179" s="276"/>
    </row>
    <row r="180" spans="1:26" ht="14.25" customHeight="1" x14ac:dyDescent="0.3">
      <c r="A180" s="334" t="s">
        <v>1248</v>
      </c>
      <c r="B180" s="276" t="s">
        <v>1341</v>
      </c>
      <c r="C180" s="279" t="s">
        <v>1436</v>
      </c>
      <c r="D180" s="283">
        <v>45909</v>
      </c>
      <c r="E180" s="279" t="s">
        <v>1125</v>
      </c>
      <c r="F180" s="276">
        <v>21</v>
      </c>
      <c r="G180" s="315" t="s">
        <v>1088</v>
      </c>
      <c r="H180" s="283">
        <v>45929</v>
      </c>
      <c r="I180" s="276" t="s">
        <v>1356</v>
      </c>
      <c r="J180" s="276" t="s">
        <v>1345</v>
      </c>
      <c r="K180" s="332" t="s">
        <v>1208</v>
      </c>
      <c r="L180" s="283">
        <v>45979</v>
      </c>
      <c r="M180" s="276" t="s">
        <v>451</v>
      </c>
      <c r="N180" s="313" t="s">
        <v>1454</v>
      </c>
      <c r="O180" s="276"/>
      <c r="P180" s="276"/>
      <c r="Q180" s="276"/>
      <c r="R180" s="276"/>
      <c r="S180" s="276"/>
      <c r="T180" s="276"/>
      <c r="U180" s="276"/>
      <c r="V180" s="276"/>
      <c r="W180" s="276"/>
      <c r="X180" s="276"/>
      <c r="Y180" s="276"/>
      <c r="Z180" s="276"/>
    </row>
    <row r="181" spans="1:26" ht="14.25" customHeight="1" x14ac:dyDescent="0.3">
      <c r="A181" s="334" t="s">
        <v>2253</v>
      </c>
      <c r="B181" s="276" t="s">
        <v>1341</v>
      </c>
      <c r="C181" s="279" t="s">
        <v>1436</v>
      </c>
      <c r="D181" s="283">
        <v>45909</v>
      </c>
      <c r="E181" s="279" t="s">
        <v>1125</v>
      </c>
      <c r="F181" s="276">
        <v>21</v>
      </c>
      <c r="G181" s="315" t="s">
        <v>1088</v>
      </c>
      <c r="H181" s="283">
        <v>45929</v>
      </c>
      <c r="I181" s="276" t="s">
        <v>1356</v>
      </c>
      <c r="J181" s="276" t="s">
        <v>1345</v>
      </c>
      <c r="K181" s="284" t="s">
        <v>1128</v>
      </c>
      <c r="L181" s="283">
        <v>45979</v>
      </c>
      <c r="M181" s="276" t="s">
        <v>451</v>
      </c>
      <c r="N181" s="313" t="s">
        <v>1455</v>
      </c>
      <c r="O181" s="276"/>
      <c r="P181" s="276"/>
      <c r="Q181" s="276"/>
      <c r="R181" s="276"/>
      <c r="S181" s="276"/>
      <c r="T181" s="276"/>
      <c r="U181" s="276"/>
      <c r="V181" s="276"/>
      <c r="W181" s="276"/>
      <c r="X181" s="276"/>
      <c r="Y181" s="276"/>
      <c r="Z181" s="276"/>
    </row>
    <row r="182" spans="1:26" ht="14.25" customHeight="1" x14ac:dyDescent="0.3">
      <c r="A182" s="335" t="s">
        <v>2640</v>
      </c>
      <c r="B182" s="276" t="s">
        <v>1341</v>
      </c>
      <c r="C182" s="279" t="s">
        <v>1436</v>
      </c>
      <c r="D182" s="283">
        <v>45909</v>
      </c>
      <c r="E182" s="280" t="s">
        <v>1447</v>
      </c>
      <c r="F182" s="276">
        <v>22</v>
      </c>
      <c r="G182" s="328" t="s">
        <v>1114</v>
      </c>
      <c r="H182" s="283">
        <v>45936</v>
      </c>
      <c r="I182" s="276" t="s">
        <v>1347</v>
      </c>
      <c r="J182" s="276" t="s">
        <v>1345</v>
      </c>
      <c r="K182" s="326" t="s">
        <v>1142</v>
      </c>
      <c r="L182" s="283">
        <v>45979</v>
      </c>
      <c r="M182" s="291" t="s">
        <v>1456</v>
      </c>
      <c r="N182" s="276"/>
      <c r="O182" s="276"/>
      <c r="P182" s="276"/>
      <c r="Q182" s="276"/>
      <c r="R182" s="276"/>
      <c r="S182" s="276"/>
      <c r="T182" s="276"/>
      <c r="U182" s="276"/>
      <c r="V182" s="276"/>
      <c r="W182" s="276"/>
      <c r="X182" s="276"/>
      <c r="Y182" s="276"/>
      <c r="Z182" s="276"/>
    </row>
    <row r="183" spans="1:26" ht="14.25" customHeight="1" x14ac:dyDescent="0.3">
      <c r="A183" s="335" t="s">
        <v>513</v>
      </c>
      <c r="B183" s="276" t="s">
        <v>1341</v>
      </c>
      <c r="C183" s="279" t="s">
        <v>1436</v>
      </c>
      <c r="D183" s="283">
        <v>45909</v>
      </c>
      <c r="E183" s="279" t="s">
        <v>1125</v>
      </c>
      <c r="F183" s="276">
        <v>22</v>
      </c>
      <c r="G183" s="328" t="s">
        <v>1114</v>
      </c>
      <c r="H183" s="283">
        <v>45936</v>
      </c>
      <c r="I183" s="276" t="s">
        <v>1356</v>
      </c>
      <c r="J183" s="276" t="s">
        <v>1345</v>
      </c>
      <c r="K183" s="284" t="s">
        <v>1128</v>
      </c>
      <c r="L183" s="283">
        <v>45979</v>
      </c>
      <c r="M183" s="276" t="s">
        <v>451</v>
      </c>
      <c r="N183" s="313" t="s">
        <v>1457</v>
      </c>
      <c r="O183" s="276"/>
      <c r="P183" s="276"/>
      <c r="Q183" s="276"/>
      <c r="R183" s="276"/>
      <c r="S183" s="276"/>
      <c r="T183" s="276"/>
      <c r="U183" s="276"/>
      <c r="V183" s="276"/>
      <c r="W183" s="276"/>
      <c r="X183" s="276"/>
      <c r="Y183" s="276"/>
      <c r="Z183" s="276"/>
    </row>
    <row r="184" spans="1:26" ht="14.25" customHeight="1" x14ac:dyDescent="0.3">
      <c r="A184" s="335" t="s">
        <v>2107</v>
      </c>
      <c r="B184" s="276" t="s">
        <v>1341</v>
      </c>
      <c r="C184" s="279" t="s">
        <v>1436</v>
      </c>
      <c r="D184" s="283">
        <v>45909</v>
      </c>
      <c r="E184" s="280" t="s">
        <v>1447</v>
      </c>
      <c r="F184" s="276">
        <v>22</v>
      </c>
      <c r="G184" s="328" t="s">
        <v>1114</v>
      </c>
      <c r="H184" s="283">
        <v>45936</v>
      </c>
      <c r="I184" s="276" t="s">
        <v>1347</v>
      </c>
      <c r="J184" s="276" t="s">
        <v>1345</v>
      </c>
      <c r="K184" s="326" t="s">
        <v>1142</v>
      </c>
      <c r="L184" s="283">
        <v>45979</v>
      </c>
      <c r="M184" s="291" t="s">
        <v>1458</v>
      </c>
      <c r="N184" s="276"/>
      <c r="O184" s="276"/>
      <c r="P184" s="276"/>
      <c r="Q184" s="276"/>
      <c r="R184" s="276"/>
      <c r="S184" s="276"/>
      <c r="T184" s="276"/>
      <c r="U184" s="276"/>
      <c r="V184" s="276"/>
      <c r="W184" s="276"/>
      <c r="X184" s="276"/>
      <c r="Y184" s="276"/>
      <c r="Z184" s="276"/>
    </row>
    <row r="185" spans="1:26" ht="17.399999999999999" customHeight="1" x14ac:dyDescent="0.3">
      <c r="A185" s="335" t="s">
        <v>2109</v>
      </c>
      <c r="B185" s="276" t="s">
        <v>1341</v>
      </c>
      <c r="C185" s="279" t="s">
        <v>1436</v>
      </c>
      <c r="D185" s="283">
        <v>45909</v>
      </c>
      <c r="E185" s="280" t="s">
        <v>1447</v>
      </c>
      <c r="F185" s="276">
        <v>22</v>
      </c>
      <c r="G185" s="328" t="s">
        <v>1114</v>
      </c>
      <c r="H185" s="283">
        <v>45936</v>
      </c>
      <c r="I185" s="276" t="s">
        <v>1347</v>
      </c>
      <c r="J185" s="276" t="s">
        <v>1345</v>
      </c>
      <c r="K185" s="326" t="s">
        <v>1142</v>
      </c>
      <c r="L185" s="283">
        <v>45979</v>
      </c>
      <c r="M185" s="276" t="s">
        <v>1459</v>
      </c>
      <c r="N185" s="276"/>
      <c r="O185" s="276"/>
      <c r="P185" s="276"/>
      <c r="Q185" s="276"/>
      <c r="R185" s="276"/>
      <c r="S185" s="276"/>
      <c r="T185" s="276"/>
      <c r="U185" s="276"/>
      <c r="V185" s="276"/>
      <c r="W185" s="276"/>
      <c r="X185" s="276"/>
      <c r="Y185" s="276"/>
      <c r="Z185" s="276"/>
    </row>
    <row r="186" spans="1:26" ht="14.25" customHeight="1" x14ac:dyDescent="0.3">
      <c r="A186" s="336" t="s">
        <v>2712</v>
      </c>
      <c r="B186" s="276" t="s">
        <v>1341</v>
      </c>
      <c r="C186" s="279" t="s">
        <v>1436</v>
      </c>
      <c r="D186" s="283">
        <v>45909</v>
      </c>
      <c r="E186" s="280" t="s">
        <v>1447</v>
      </c>
      <c r="F186" s="276">
        <v>22</v>
      </c>
      <c r="G186" s="331" t="s">
        <v>1079</v>
      </c>
      <c r="H186" s="283">
        <v>45936</v>
      </c>
      <c r="I186" s="276" t="s">
        <v>1347</v>
      </c>
      <c r="J186" s="276" t="s">
        <v>1345</v>
      </c>
      <c r="K186" s="326" t="s">
        <v>1142</v>
      </c>
      <c r="L186" s="283">
        <v>45979</v>
      </c>
      <c r="M186" s="291" t="s">
        <v>2713</v>
      </c>
      <c r="N186" s="276"/>
      <c r="O186" s="276"/>
      <c r="P186" s="276"/>
      <c r="Q186" s="276"/>
      <c r="R186" s="276"/>
      <c r="S186" s="276"/>
      <c r="T186" s="276"/>
      <c r="U186" s="276"/>
      <c r="V186" s="276"/>
      <c r="W186" s="276"/>
      <c r="X186" s="276"/>
      <c r="Y186" s="276"/>
      <c r="Z186" s="276"/>
    </row>
    <row r="187" spans="1:26" ht="14.25" customHeight="1" x14ac:dyDescent="0.3">
      <c r="A187" s="336" t="s">
        <v>2714</v>
      </c>
      <c r="B187" s="276" t="s">
        <v>1341</v>
      </c>
      <c r="C187" s="279" t="s">
        <v>1436</v>
      </c>
      <c r="D187" s="283">
        <v>45909</v>
      </c>
      <c r="E187" s="280" t="s">
        <v>1447</v>
      </c>
      <c r="F187" s="276">
        <v>22</v>
      </c>
      <c r="G187" s="331" t="s">
        <v>1079</v>
      </c>
      <c r="H187" s="283">
        <v>45938</v>
      </c>
      <c r="I187" s="276" t="s">
        <v>1356</v>
      </c>
      <c r="J187" s="276" t="s">
        <v>1345</v>
      </c>
      <c r="K187" s="332" t="s">
        <v>1208</v>
      </c>
      <c r="L187" s="283">
        <v>45979</v>
      </c>
      <c r="M187" s="313" t="s">
        <v>2715</v>
      </c>
      <c r="N187" s="276"/>
      <c r="O187" s="276"/>
      <c r="P187" s="276"/>
      <c r="Q187" s="276"/>
      <c r="R187" s="276"/>
      <c r="S187" s="276"/>
      <c r="T187" s="276"/>
      <c r="U187" s="276"/>
      <c r="V187" s="276"/>
      <c r="W187" s="276"/>
      <c r="X187" s="276"/>
      <c r="Y187" s="276"/>
      <c r="Z187" s="276"/>
    </row>
    <row r="188" spans="1:26" ht="14.25" customHeight="1" x14ac:dyDescent="0.3">
      <c r="A188" s="336" t="s">
        <v>2640</v>
      </c>
      <c r="B188" s="276" t="s">
        <v>1341</v>
      </c>
      <c r="C188" s="279" t="s">
        <v>1436</v>
      </c>
      <c r="D188" s="283">
        <v>45909</v>
      </c>
      <c r="E188" s="280" t="s">
        <v>1447</v>
      </c>
      <c r="F188" s="276">
        <v>22</v>
      </c>
      <c r="G188" s="331" t="s">
        <v>1079</v>
      </c>
      <c r="H188" s="283">
        <v>45938</v>
      </c>
      <c r="I188" s="276" t="s">
        <v>1356</v>
      </c>
      <c r="J188" s="276" t="s">
        <v>1345</v>
      </c>
      <c r="K188" s="332" t="s">
        <v>1208</v>
      </c>
      <c r="L188" s="283">
        <v>45979</v>
      </c>
      <c r="M188" s="276" t="s">
        <v>451</v>
      </c>
      <c r="N188" s="337" t="s">
        <v>1450</v>
      </c>
      <c r="O188" s="276"/>
      <c r="P188" s="276"/>
      <c r="Q188" s="276"/>
      <c r="R188" s="276"/>
      <c r="S188" s="276"/>
      <c r="T188" s="276"/>
      <c r="U188" s="276"/>
      <c r="V188" s="276"/>
      <c r="W188" s="276"/>
      <c r="X188" s="276"/>
      <c r="Y188" s="276"/>
      <c r="Z188" s="276"/>
    </row>
    <row r="189" spans="1:26" ht="14.25" customHeight="1" x14ac:dyDescent="0.3">
      <c r="A189" s="336" t="s">
        <v>513</v>
      </c>
      <c r="B189" s="276" t="s">
        <v>1341</v>
      </c>
      <c r="C189" s="279" t="s">
        <v>1436</v>
      </c>
      <c r="D189" s="283">
        <v>45909</v>
      </c>
      <c r="E189" s="279" t="s">
        <v>1125</v>
      </c>
      <c r="F189" s="276">
        <v>22</v>
      </c>
      <c r="G189" s="331" t="s">
        <v>1079</v>
      </c>
      <c r="H189" s="283">
        <v>45938</v>
      </c>
      <c r="I189" s="276" t="s">
        <v>1356</v>
      </c>
      <c r="J189" s="276" t="s">
        <v>1345</v>
      </c>
      <c r="K189" s="284" t="s">
        <v>1128</v>
      </c>
      <c r="L189" s="283">
        <v>45979</v>
      </c>
      <c r="M189" s="276" t="s">
        <v>451</v>
      </c>
      <c r="N189" s="337" t="s">
        <v>1460</v>
      </c>
      <c r="O189" s="276"/>
      <c r="P189" s="276"/>
      <c r="Q189" s="276"/>
      <c r="R189" s="276"/>
      <c r="S189" s="276"/>
      <c r="T189" s="276"/>
      <c r="U189" s="276"/>
      <c r="V189" s="276"/>
      <c r="W189" s="276"/>
      <c r="X189" s="276"/>
      <c r="Y189" s="276"/>
      <c r="Z189" s="276"/>
    </row>
    <row r="190" spans="1:26" ht="14.25" customHeight="1" x14ac:dyDescent="0.3">
      <c r="A190" s="336" t="s">
        <v>2107</v>
      </c>
      <c r="B190" s="276" t="s">
        <v>1341</v>
      </c>
      <c r="C190" s="279" t="s">
        <v>1436</v>
      </c>
      <c r="D190" s="283">
        <v>45909</v>
      </c>
      <c r="E190" s="280" t="s">
        <v>1447</v>
      </c>
      <c r="F190" s="276">
        <v>22</v>
      </c>
      <c r="G190" s="331" t="s">
        <v>1079</v>
      </c>
      <c r="H190" s="283">
        <v>45938</v>
      </c>
      <c r="I190" s="276" t="s">
        <v>1356</v>
      </c>
      <c r="J190" s="276" t="s">
        <v>1345</v>
      </c>
      <c r="K190" s="332" t="s">
        <v>1208</v>
      </c>
      <c r="L190" s="283">
        <v>45979</v>
      </c>
      <c r="M190" s="276" t="s">
        <v>451</v>
      </c>
      <c r="N190" s="313" t="s">
        <v>1461</v>
      </c>
      <c r="O190" s="276"/>
      <c r="P190" s="276"/>
      <c r="Q190" s="276"/>
      <c r="R190" s="276"/>
      <c r="S190" s="276"/>
      <c r="T190" s="276"/>
      <c r="U190" s="276"/>
      <c r="V190" s="276"/>
      <c r="W190" s="276"/>
      <c r="X190" s="276"/>
      <c r="Y190" s="276"/>
      <c r="Z190" s="276"/>
    </row>
    <row r="191" spans="1:26" ht="14.25" customHeight="1" x14ac:dyDescent="0.3">
      <c r="A191" s="336" t="s">
        <v>2109</v>
      </c>
      <c r="B191" s="276" t="s">
        <v>1341</v>
      </c>
      <c r="C191" s="279" t="s">
        <v>1436</v>
      </c>
      <c r="D191" s="283">
        <v>45909</v>
      </c>
      <c r="E191" s="280" t="s">
        <v>1447</v>
      </c>
      <c r="F191" s="276">
        <v>22</v>
      </c>
      <c r="G191" s="331" t="s">
        <v>1079</v>
      </c>
      <c r="H191" s="283">
        <v>45938</v>
      </c>
      <c r="I191" s="276" t="s">
        <v>1347</v>
      </c>
      <c r="J191" s="276" t="s">
        <v>1345</v>
      </c>
      <c r="K191" s="326" t="s">
        <v>1142</v>
      </c>
      <c r="L191" s="283">
        <v>45979</v>
      </c>
      <c r="M191" s="291" t="s">
        <v>2716</v>
      </c>
      <c r="N191" s="276"/>
      <c r="O191" s="276"/>
      <c r="P191" s="276"/>
      <c r="Q191" s="276"/>
      <c r="R191" s="276"/>
      <c r="S191" s="276"/>
      <c r="T191" s="276"/>
      <c r="U191" s="276"/>
      <c r="V191" s="276"/>
      <c r="W191" s="276"/>
      <c r="X191" s="276"/>
      <c r="Y191" s="276"/>
      <c r="Z191" s="276"/>
    </row>
    <row r="192" spans="1:26" ht="14.25" customHeight="1" x14ac:dyDescent="0.3">
      <c r="A192" s="336" t="s">
        <v>2151</v>
      </c>
      <c r="B192" s="276" t="s">
        <v>1341</v>
      </c>
      <c r="C192" s="279" t="s">
        <v>1436</v>
      </c>
      <c r="D192" s="283">
        <v>45909</v>
      </c>
      <c r="E192" s="280" t="s">
        <v>1447</v>
      </c>
      <c r="F192" s="276">
        <v>22</v>
      </c>
      <c r="G192" s="331" t="s">
        <v>1079</v>
      </c>
      <c r="H192" s="283">
        <v>45938</v>
      </c>
      <c r="I192" s="276" t="s">
        <v>1356</v>
      </c>
      <c r="J192" s="276" t="s">
        <v>1345</v>
      </c>
      <c r="K192" s="332" t="s">
        <v>1208</v>
      </c>
      <c r="L192" s="283">
        <v>45979</v>
      </c>
      <c r="M192" s="276" t="s">
        <v>451</v>
      </c>
      <c r="N192" s="313" t="s">
        <v>1460</v>
      </c>
      <c r="O192" s="276"/>
      <c r="P192" s="276"/>
      <c r="Q192" s="276"/>
      <c r="R192" s="276"/>
      <c r="S192" s="276"/>
      <c r="T192" s="276"/>
      <c r="U192" s="276"/>
      <c r="V192" s="276"/>
      <c r="W192" s="276"/>
      <c r="X192" s="276"/>
      <c r="Y192" s="276"/>
      <c r="Z192" s="276"/>
    </row>
    <row r="193" spans="1:26" ht="14.25" customHeight="1" x14ac:dyDescent="0.3">
      <c r="A193" s="336" t="s">
        <v>2215</v>
      </c>
      <c r="B193" s="276" t="s">
        <v>1341</v>
      </c>
      <c r="C193" s="279" t="s">
        <v>1436</v>
      </c>
      <c r="D193" s="283">
        <v>45909</v>
      </c>
      <c r="E193" s="280" t="s">
        <v>1447</v>
      </c>
      <c r="F193" s="276">
        <v>22</v>
      </c>
      <c r="G193" s="331" t="s">
        <v>1079</v>
      </c>
      <c r="H193" s="283">
        <v>45938</v>
      </c>
      <c r="I193" s="276" t="s">
        <v>1356</v>
      </c>
      <c r="J193" s="276" t="s">
        <v>1345</v>
      </c>
      <c r="K193" s="332" t="s">
        <v>1208</v>
      </c>
      <c r="L193" s="283">
        <v>45979</v>
      </c>
      <c r="M193" s="276" t="s">
        <v>451</v>
      </c>
      <c r="N193" s="313" t="s">
        <v>1448</v>
      </c>
      <c r="O193" s="276"/>
      <c r="P193" s="276"/>
      <c r="Q193" s="276"/>
      <c r="R193" s="276"/>
      <c r="S193" s="276"/>
      <c r="T193" s="276"/>
      <c r="U193" s="276"/>
      <c r="V193" s="276"/>
      <c r="W193" s="276"/>
      <c r="X193" s="276"/>
      <c r="Y193" s="276"/>
      <c r="Z193" s="276"/>
    </row>
    <row r="194" spans="1:26" ht="14.25" customHeight="1" x14ac:dyDescent="0.3">
      <c r="A194" s="338" t="s">
        <v>674</v>
      </c>
      <c r="B194" s="276" t="s">
        <v>1341</v>
      </c>
      <c r="C194" s="279" t="s">
        <v>1436</v>
      </c>
      <c r="D194" s="283">
        <v>45909</v>
      </c>
      <c r="E194" s="279" t="s">
        <v>1125</v>
      </c>
      <c r="F194" s="276">
        <v>23</v>
      </c>
      <c r="G194" s="339" t="s">
        <v>1088</v>
      </c>
      <c r="H194" s="283">
        <v>45938</v>
      </c>
      <c r="I194" s="276" t="s">
        <v>1356</v>
      </c>
      <c r="J194" s="276" t="s">
        <v>1345</v>
      </c>
      <c r="K194" s="332" t="s">
        <v>1208</v>
      </c>
      <c r="L194" s="283">
        <v>45979</v>
      </c>
      <c r="M194" s="276" t="s">
        <v>451</v>
      </c>
      <c r="N194" s="313" t="s">
        <v>1462</v>
      </c>
      <c r="O194" s="276"/>
      <c r="P194" s="276"/>
      <c r="Q194" s="276"/>
      <c r="R194" s="276"/>
      <c r="S194" s="276"/>
      <c r="T194" s="276"/>
      <c r="U194" s="276"/>
      <c r="V194" s="276"/>
      <c r="W194" s="276"/>
      <c r="X194" s="276"/>
      <c r="Y194" s="276"/>
      <c r="Z194" s="276"/>
    </row>
    <row r="195" spans="1:26" ht="14.25" customHeight="1" x14ac:dyDescent="0.3">
      <c r="A195" s="338" t="s">
        <v>689</v>
      </c>
      <c r="B195" s="276" t="s">
        <v>1341</v>
      </c>
      <c r="C195" s="279" t="s">
        <v>1436</v>
      </c>
      <c r="D195" s="283">
        <v>45909</v>
      </c>
      <c r="E195" s="279" t="s">
        <v>1125</v>
      </c>
      <c r="F195" s="276">
        <v>23</v>
      </c>
      <c r="G195" s="339" t="s">
        <v>1088</v>
      </c>
      <c r="H195" s="283">
        <v>45938</v>
      </c>
      <c r="I195" s="276" t="s">
        <v>1362</v>
      </c>
      <c r="J195" s="276" t="s">
        <v>1345</v>
      </c>
      <c r="K195" s="326" t="s">
        <v>1142</v>
      </c>
      <c r="L195" s="283">
        <v>45979</v>
      </c>
      <c r="M195" s="276" t="s">
        <v>1463</v>
      </c>
      <c r="N195" s="276"/>
      <c r="O195" s="276"/>
      <c r="P195" s="276"/>
      <c r="Q195" s="276"/>
      <c r="R195" s="276"/>
      <c r="S195" s="276"/>
      <c r="T195" s="276"/>
      <c r="U195" s="276"/>
      <c r="V195" s="276"/>
      <c r="W195" s="276"/>
      <c r="X195" s="276"/>
      <c r="Y195" s="276"/>
      <c r="Z195" s="276"/>
    </row>
    <row r="196" spans="1:26" ht="14.25" customHeight="1" x14ac:dyDescent="0.3">
      <c r="A196" s="338" t="s">
        <v>543</v>
      </c>
      <c r="B196" s="276" t="s">
        <v>1341</v>
      </c>
      <c r="C196" s="279" t="s">
        <v>1436</v>
      </c>
      <c r="D196" s="283">
        <v>45909</v>
      </c>
      <c r="E196" s="279" t="s">
        <v>1125</v>
      </c>
      <c r="F196" s="276">
        <v>23</v>
      </c>
      <c r="G196" s="339" t="s">
        <v>1088</v>
      </c>
      <c r="H196" s="283">
        <v>45938</v>
      </c>
      <c r="I196" s="276" t="s">
        <v>1356</v>
      </c>
      <c r="J196" s="276" t="s">
        <v>1345</v>
      </c>
      <c r="K196" s="332" t="s">
        <v>1208</v>
      </c>
      <c r="L196" s="283">
        <v>45979</v>
      </c>
      <c r="M196" s="276" t="s">
        <v>451</v>
      </c>
      <c r="N196" s="313" t="s">
        <v>1464</v>
      </c>
      <c r="O196" s="276"/>
      <c r="P196" s="276"/>
      <c r="Q196" s="276"/>
      <c r="R196" s="276"/>
      <c r="S196" s="276"/>
      <c r="T196" s="276"/>
      <c r="U196" s="276"/>
      <c r="V196" s="276"/>
      <c r="W196" s="276"/>
      <c r="X196" s="276"/>
      <c r="Y196" s="276"/>
      <c r="Z196" s="276"/>
    </row>
    <row r="197" spans="1:26" ht="14.25" customHeight="1" x14ac:dyDescent="0.3">
      <c r="A197" s="338" t="s">
        <v>1145</v>
      </c>
      <c r="B197" s="276" t="s">
        <v>1341</v>
      </c>
      <c r="C197" s="279" t="s">
        <v>1436</v>
      </c>
      <c r="D197" s="283">
        <v>45909</v>
      </c>
      <c r="E197" s="279" t="s">
        <v>1125</v>
      </c>
      <c r="F197" s="276">
        <v>23</v>
      </c>
      <c r="G197" s="339" t="s">
        <v>1088</v>
      </c>
      <c r="H197" s="283">
        <v>45938</v>
      </c>
      <c r="I197" s="276" t="s">
        <v>1356</v>
      </c>
      <c r="J197" s="276" t="s">
        <v>1345</v>
      </c>
      <c r="K197" s="284" t="s">
        <v>1128</v>
      </c>
      <c r="L197" s="283">
        <v>45979</v>
      </c>
      <c r="M197" s="276" t="s">
        <v>451</v>
      </c>
      <c r="N197" s="313" t="s">
        <v>1465</v>
      </c>
      <c r="O197" s="276"/>
      <c r="P197" s="276"/>
      <c r="Q197" s="276"/>
      <c r="R197" s="276"/>
      <c r="S197" s="276"/>
      <c r="T197" s="276"/>
      <c r="U197" s="276"/>
      <c r="V197" s="276"/>
      <c r="W197" s="276"/>
      <c r="X197" s="276"/>
      <c r="Y197" s="276"/>
      <c r="Z197" s="276"/>
    </row>
    <row r="198" spans="1:26" ht="14.25" customHeight="1" x14ac:dyDescent="0.3">
      <c r="A198" s="338" t="s">
        <v>446</v>
      </c>
      <c r="B198" s="276" t="s">
        <v>1341</v>
      </c>
      <c r="C198" s="279" t="s">
        <v>1436</v>
      </c>
      <c r="D198" s="283">
        <v>45909</v>
      </c>
      <c r="E198" s="279" t="s">
        <v>1125</v>
      </c>
      <c r="F198" s="276">
        <v>23</v>
      </c>
      <c r="G198" s="339" t="s">
        <v>1088</v>
      </c>
      <c r="H198" s="283">
        <v>45938</v>
      </c>
      <c r="I198" s="276" t="s">
        <v>1356</v>
      </c>
      <c r="J198" s="276" t="s">
        <v>1345</v>
      </c>
      <c r="K198" s="332" t="s">
        <v>1208</v>
      </c>
      <c r="L198" s="283">
        <v>45979</v>
      </c>
      <c r="M198" s="276" t="s">
        <v>451</v>
      </c>
      <c r="N198" s="313" t="s">
        <v>1448</v>
      </c>
      <c r="O198" s="276"/>
      <c r="P198" s="276"/>
      <c r="Q198" s="276"/>
      <c r="R198" s="276"/>
      <c r="S198" s="276"/>
      <c r="T198" s="276"/>
      <c r="U198" s="276"/>
      <c r="V198" s="276"/>
      <c r="W198" s="276"/>
      <c r="X198" s="276"/>
      <c r="Y198" s="276"/>
      <c r="Z198" s="276"/>
    </row>
    <row r="199" spans="1:26" ht="14.25" customHeight="1" x14ac:dyDescent="0.3">
      <c r="A199" s="338" t="s">
        <v>523</v>
      </c>
      <c r="B199" s="276" t="s">
        <v>1341</v>
      </c>
      <c r="C199" s="279" t="s">
        <v>1436</v>
      </c>
      <c r="D199" s="283">
        <v>45909</v>
      </c>
      <c r="E199" s="279" t="s">
        <v>1125</v>
      </c>
      <c r="F199" s="276">
        <v>23</v>
      </c>
      <c r="G199" s="339" t="s">
        <v>1088</v>
      </c>
      <c r="H199" s="283">
        <v>45938</v>
      </c>
      <c r="I199" s="276" t="s">
        <v>1356</v>
      </c>
      <c r="J199" s="276" t="s">
        <v>1345</v>
      </c>
      <c r="K199" s="332" t="s">
        <v>1208</v>
      </c>
      <c r="L199" s="283">
        <v>45979</v>
      </c>
      <c r="M199" s="313" t="s">
        <v>1466</v>
      </c>
      <c r="N199" s="276"/>
      <c r="O199" s="276"/>
      <c r="P199" s="276"/>
      <c r="Q199" s="276"/>
      <c r="R199" s="276"/>
      <c r="S199" s="276"/>
      <c r="T199" s="276"/>
      <c r="U199" s="276"/>
      <c r="V199" s="276"/>
      <c r="W199" s="276"/>
      <c r="X199" s="276"/>
      <c r="Y199" s="276"/>
      <c r="Z199" s="276"/>
    </row>
    <row r="200" spans="1:26" ht="14.25" customHeight="1" x14ac:dyDescent="0.3">
      <c r="A200" s="338" t="s">
        <v>542</v>
      </c>
      <c r="B200" s="276" t="s">
        <v>1341</v>
      </c>
      <c r="C200" s="279" t="s">
        <v>1436</v>
      </c>
      <c r="D200" s="283">
        <v>45909</v>
      </c>
      <c r="E200" s="279" t="s">
        <v>1125</v>
      </c>
      <c r="F200" s="276">
        <v>23</v>
      </c>
      <c r="G200" s="339" t="s">
        <v>1088</v>
      </c>
      <c r="H200" s="283">
        <v>45938</v>
      </c>
      <c r="I200" s="276" t="s">
        <v>1347</v>
      </c>
      <c r="J200" s="276" t="s">
        <v>1345</v>
      </c>
      <c r="K200" s="326" t="s">
        <v>1142</v>
      </c>
      <c r="L200" s="283">
        <v>45979</v>
      </c>
      <c r="M200" s="291" t="s">
        <v>2654</v>
      </c>
      <c r="N200" s="276"/>
      <c r="O200" s="276"/>
      <c r="P200" s="276"/>
      <c r="Q200" s="276"/>
      <c r="R200" s="276"/>
      <c r="S200" s="276"/>
      <c r="T200" s="276"/>
      <c r="U200" s="276"/>
      <c r="V200" s="276"/>
      <c r="W200" s="276"/>
      <c r="X200" s="276"/>
      <c r="Y200" s="276"/>
      <c r="Z200" s="276"/>
    </row>
    <row r="201" spans="1:26" ht="14.25" customHeight="1" x14ac:dyDescent="0.3">
      <c r="A201" s="338" t="s">
        <v>603</v>
      </c>
      <c r="B201" s="276" t="s">
        <v>1341</v>
      </c>
      <c r="C201" s="279" t="s">
        <v>1436</v>
      </c>
      <c r="D201" s="283">
        <v>45909</v>
      </c>
      <c r="E201" s="279" t="s">
        <v>1125</v>
      </c>
      <c r="F201" s="276">
        <v>23</v>
      </c>
      <c r="G201" s="339" t="s">
        <v>1088</v>
      </c>
      <c r="H201" s="283">
        <v>45938</v>
      </c>
      <c r="I201" s="276" t="s">
        <v>1356</v>
      </c>
      <c r="J201" s="276" t="s">
        <v>1345</v>
      </c>
      <c r="K201" s="284" t="s">
        <v>1128</v>
      </c>
      <c r="L201" s="283">
        <v>45979</v>
      </c>
      <c r="M201" s="276" t="s">
        <v>451</v>
      </c>
      <c r="N201" s="313" t="s">
        <v>1467</v>
      </c>
      <c r="O201" s="276"/>
      <c r="P201" s="276"/>
      <c r="Q201" s="276"/>
      <c r="R201" s="276"/>
      <c r="S201" s="276"/>
      <c r="T201" s="276"/>
      <c r="U201" s="276"/>
      <c r="V201" s="276"/>
      <c r="W201" s="276"/>
      <c r="X201" s="276"/>
      <c r="Y201" s="276"/>
      <c r="Z201" s="276"/>
    </row>
    <row r="202" spans="1:26" ht="14.25" customHeight="1" x14ac:dyDescent="0.3">
      <c r="A202" s="338" t="s">
        <v>605</v>
      </c>
      <c r="B202" s="276" t="s">
        <v>1341</v>
      </c>
      <c r="C202" s="279" t="s">
        <v>1436</v>
      </c>
      <c r="D202" s="283">
        <v>45909</v>
      </c>
      <c r="E202" s="279" t="s">
        <v>1125</v>
      </c>
      <c r="F202" s="276">
        <v>23</v>
      </c>
      <c r="G202" s="339" t="s">
        <v>1088</v>
      </c>
      <c r="H202" s="283">
        <v>45938</v>
      </c>
      <c r="I202" s="276" t="s">
        <v>1356</v>
      </c>
      <c r="J202" s="276" t="s">
        <v>1345</v>
      </c>
      <c r="K202" s="332" t="s">
        <v>1208</v>
      </c>
      <c r="L202" s="283">
        <v>45979</v>
      </c>
      <c r="M202" s="276" t="s">
        <v>451</v>
      </c>
      <c r="N202" s="337" t="s">
        <v>1455</v>
      </c>
      <c r="O202" s="276"/>
      <c r="P202" s="276"/>
      <c r="Q202" s="276"/>
      <c r="R202" s="276"/>
      <c r="S202" s="276"/>
      <c r="T202" s="276"/>
      <c r="U202" s="276"/>
      <c r="V202" s="276"/>
      <c r="W202" s="276"/>
      <c r="X202" s="276"/>
      <c r="Y202" s="276"/>
      <c r="Z202" s="276"/>
    </row>
    <row r="203" spans="1:26" ht="14.25" customHeight="1" x14ac:dyDescent="0.3">
      <c r="A203" s="338" t="s">
        <v>748</v>
      </c>
      <c r="B203" s="276" t="s">
        <v>1341</v>
      </c>
      <c r="C203" s="279" t="s">
        <v>1436</v>
      </c>
      <c r="D203" s="283">
        <v>45909</v>
      </c>
      <c r="E203" s="279" t="s">
        <v>1125</v>
      </c>
      <c r="F203" s="276">
        <v>23</v>
      </c>
      <c r="G203" s="339" t="s">
        <v>1088</v>
      </c>
      <c r="H203" s="283">
        <v>45938</v>
      </c>
      <c r="I203" s="276" t="s">
        <v>1356</v>
      </c>
      <c r="J203" s="276" t="s">
        <v>1345</v>
      </c>
      <c r="K203" s="332" t="s">
        <v>1208</v>
      </c>
      <c r="L203" s="283">
        <v>45979</v>
      </c>
      <c r="M203" s="276" t="s">
        <v>451</v>
      </c>
      <c r="N203" s="313" t="s">
        <v>1468</v>
      </c>
      <c r="O203" s="276"/>
      <c r="P203" s="276"/>
      <c r="Q203" s="276"/>
      <c r="R203" s="276"/>
      <c r="S203" s="276"/>
      <c r="T203" s="276"/>
      <c r="U203" s="276"/>
      <c r="V203" s="276"/>
      <c r="W203" s="276"/>
      <c r="X203" s="276"/>
      <c r="Y203" s="276"/>
      <c r="Z203" s="276"/>
    </row>
    <row r="204" spans="1:26" ht="14.25" customHeight="1" x14ac:dyDescent="0.3">
      <c r="A204" s="338" t="s">
        <v>2202</v>
      </c>
      <c r="B204" s="276" t="s">
        <v>1341</v>
      </c>
      <c r="C204" s="279" t="s">
        <v>1436</v>
      </c>
      <c r="D204" s="283">
        <v>45909</v>
      </c>
      <c r="E204" s="279" t="s">
        <v>24</v>
      </c>
      <c r="F204" s="276">
        <v>23</v>
      </c>
      <c r="G204" s="339" t="s">
        <v>1088</v>
      </c>
      <c r="H204" s="283">
        <v>45938</v>
      </c>
      <c r="I204" s="276" t="s">
        <v>1362</v>
      </c>
      <c r="J204" s="276" t="s">
        <v>1345</v>
      </c>
      <c r="K204" s="326" t="s">
        <v>1142</v>
      </c>
      <c r="L204" s="283">
        <v>45979</v>
      </c>
      <c r="M204" s="276" t="s">
        <v>1469</v>
      </c>
      <c r="N204" s="276"/>
      <c r="O204" s="276"/>
      <c r="P204" s="276"/>
      <c r="Q204" s="276"/>
      <c r="R204" s="276"/>
      <c r="S204" s="276"/>
      <c r="T204" s="276"/>
      <c r="U204" s="276"/>
      <c r="V204" s="276"/>
      <c r="W204" s="276"/>
      <c r="X204" s="276"/>
      <c r="Y204" s="276"/>
      <c r="Z204" s="276"/>
    </row>
    <row r="205" spans="1:26" ht="14.25" customHeight="1" x14ac:dyDescent="0.3">
      <c r="A205" s="340" t="s">
        <v>1049</v>
      </c>
      <c r="B205" s="313" t="s">
        <v>1341</v>
      </c>
      <c r="C205" s="279" t="s">
        <v>1470</v>
      </c>
      <c r="D205" s="283" t="s">
        <v>451</v>
      </c>
      <c r="E205" s="279" t="s">
        <v>1089</v>
      </c>
      <c r="F205" s="311">
        <v>13</v>
      </c>
      <c r="G205" s="281" t="s">
        <v>1088</v>
      </c>
      <c r="H205" s="341">
        <v>45824</v>
      </c>
      <c r="I205" s="276" t="s">
        <v>1347</v>
      </c>
      <c r="J205" s="341" t="s">
        <v>1345</v>
      </c>
      <c r="K205" s="282" t="s">
        <v>1142</v>
      </c>
      <c r="L205" s="276">
        <v>2024</v>
      </c>
      <c r="M205" s="550" t="s">
        <v>2770</v>
      </c>
      <c r="N205" s="341" t="s">
        <v>1471</v>
      </c>
      <c r="O205" s="276" t="s">
        <v>451</v>
      </c>
      <c r="P205" s="276"/>
      <c r="Q205" s="276"/>
      <c r="R205" s="276"/>
      <c r="S205" s="276"/>
      <c r="T205" s="276"/>
      <c r="U205" s="276"/>
      <c r="V205" s="276"/>
      <c r="W205" s="276"/>
      <c r="X205" s="276"/>
      <c r="Y205" s="276"/>
      <c r="Z205" s="276"/>
    </row>
    <row r="206" spans="1:26" ht="14.25" customHeight="1" x14ac:dyDescent="0.3">
      <c r="A206" s="313" t="s">
        <v>1049</v>
      </c>
      <c r="B206" s="313" t="s">
        <v>1341</v>
      </c>
      <c r="C206" s="279" t="s">
        <v>1470</v>
      </c>
      <c r="D206" s="283" t="s">
        <v>451</v>
      </c>
      <c r="E206" s="279" t="s">
        <v>1089</v>
      </c>
      <c r="F206" s="311">
        <v>19</v>
      </c>
      <c r="G206" s="316" t="s">
        <v>1091</v>
      </c>
      <c r="H206" s="283">
        <v>45865</v>
      </c>
      <c r="I206" s="276" t="s">
        <v>1347</v>
      </c>
      <c r="J206" s="341" t="s">
        <v>1345</v>
      </c>
      <c r="K206" s="282" t="s">
        <v>1142</v>
      </c>
      <c r="L206" s="276">
        <v>2024</v>
      </c>
      <c r="M206" s="344" t="s">
        <v>2770</v>
      </c>
      <c r="N206" s="341" t="s">
        <v>1471</v>
      </c>
      <c r="O206" s="313"/>
      <c r="P206" s="276"/>
      <c r="Q206" s="276"/>
      <c r="R206" s="276"/>
      <c r="S206" s="276"/>
      <c r="T206" s="276"/>
      <c r="U206" s="276"/>
      <c r="V206" s="276"/>
      <c r="W206" s="276"/>
      <c r="X206" s="276"/>
      <c r="Y206" s="276"/>
      <c r="Z206" s="276"/>
    </row>
    <row r="207" spans="1:26" ht="14.25" customHeight="1" x14ac:dyDescent="0.3">
      <c r="A207" s="340" t="s">
        <v>1092</v>
      </c>
      <c r="B207" s="313" t="s">
        <v>1341</v>
      </c>
      <c r="C207" s="279" t="s">
        <v>1470</v>
      </c>
      <c r="D207" s="283" t="s">
        <v>451</v>
      </c>
      <c r="E207" s="279" t="s">
        <v>1089</v>
      </c>
      <c r="F207" s="311">
        <v>19</v>
      </c>
      <c r="G207" s="281" t="s">
        <v>1088</v>
      </c>
      <c r="H207" s="283">
        <v>45865</v>
      </c>
      <c r="I207" s="276" t="s">
        <v>1347</v>
      </c>
      <c r="J207" s="341" t="s">
        <v>1345</v>
      </c>
      <c r="K207" s="282" t="s">
        <v>1142</v>
      </c>
      <c r="L207" s="276">
        <v>2024</v>
      </c>
      <c r="M207" s="291" t="s">
        <v>2771</v>
      </c>
      <c r="N207" s="341" t="s">
        <v>1471</v>
      </c>
      <c r="O207" s="276" t="s">
        <v>451</v>
      </c>
      <c r="P207" s="276"/>
      <c r="Q207" s="276"/>
      <c r="R207" s="276"/>
      <c r="S207" s="276"/>
      <c r="T207" s="276"/>
      <c r="U207" s="276"/>
      <c r="V207" s="276"/>
      <c r="W207" s="276"/>
      <c r="X207" s="276"/>
      <c r="Y207" s="276"/>
      <c r="Z207" s="276"/>
    </row>
    <row r="208" spans="1:26" ht="14.25" customHeight="1" x14ac:dyDescent="0.3">
      <c r="A208" s="313" t="s">
        <v>2166</v>
      </c>
      <c r="B208" s="313" t="s">
        <v>1341</v>
      </c>
      <c r="C208" s="279" t="s">
        <v>1470</v>
      </c>
      <c r="D208" s="283" t="s">
        <v>451</v>
      </c>
      <c r="E208" s="279" t="s">
        <v>1089</v>
      </c>
      <c r="F208" s="311">
        <v>19</v>
      </c>
      <c r="G208" s="316" t="s">
        <v>1091</v>
      </c>
      <c r="H208" s="283">
        <v>45865</v>
      </c>
      <c r="I208" s="276" t="s">
        <v>1347</v>
      </c>
      <c r="J208" s="341" t="s">
        <v>1345</v>
      </c>
      <c r="K208" s="282" t="s">
        <v>1142</v>
      </c>
      <c r="L208" s="276">
        <v>2024</v>
      </c>
      <c r="M208" s="344" t="s">
        <v>2772</v>
      </c>
      <c r="N208" s="341" t="s">
        <v>1471</v>
      </c>
      <c r="O208" s="313"/>
      <c r="P208" s="276"/>
      <c r="Q208" s="276"/>
      <c r="R208" s="276"/>
      <c r="S208" s="276"/>
      <c r="T208" s="276"/>
      <c r="U208" s="276"/>
      <c r="V208" s="276"/>
      <c r="W208" s="276"/>
      <c r="X208" s="276"/>
      <c r="Y208" s="276"/>
      <c r="Z208" s="276"/>
    </row>
    <row r="209" spans="1:26" ht="14.25" customHeight="1" x14ac:dyDescent="0.3">
      <c r="A209" s="313" t="s">
        <v>489</v>
      </c>
      <c r="B209" s="313" t="s">
        <v>1341</v>
      </c>
      <c r="C209" s="279" t="s">
        <v>1470</v>
      </c>
      <c r="D209" s="283" t="s">
        <v>451</v>
      </c>
      <c r="E209" s="279" t="s">
        <v>1089</v>
      </c>
      <c r="F209" s="311">
        <v>19</v>
      </c>
      <c r="G209" s="316" t="s">
        <v>1091</v>
      </c>
      <c r="H209" s="283">
        <v>45865</v>
      </c>
      <c r="I209" s="276" t="s">
        <v>1347</v>
      </c>
      <c r="J209" s="341" t="s">
        <v>1345</v>
      </c>
      <c r="K209" s="282" t="s">
        <v>1142</v>
      </c>
      <c r="L209" s="276">
        <v>2024</v>
      </c>
      <c r="M209" s="344" t="s">
        <v>2773</v>
      </c>
      <c r="N209" s="341" t="s">
        <v>1471</v>
      </c>
      <c r="O209" s="324" t="s">
        <v>1102</v>
      </c>
      <c r="P209" s="276"/>
      <c r="Q209" s="276"/>
      <c r="R209" s="276"/>
      <c r="S209" s="276"/>
      <c r="T209" s="276"/>
      <c r="U209" s="276"/>
      <c r="V209" s="276"/>
      <c r="W209" s="276"/>
      <c r="X209" s="276"/>
      <c r="Y209" s="276"/>
      <c r="Z209" s="276"/>
    </row>
    <row r="210" spans="1:26" ht="14.25" customHeight="1" x14ac:dyDescent="0.3">
      <c r="A210" s="342" t="s">
        <v>2255</v>
      </c>
      <c r="B210" s="313" t="s">
        <v>1341</v>
      </c>
      <c r="C210" s="279" t="s">
        <v>1470</v>
      </c>
      <c r="D210" s="283" t="s">
        <v>451</v>
      </c>
      <c r="E210" s="279" t="s">
        <v>1104</v>
      </c>
      <c r="F210" s="309">
        <v>11</v>
      </c>
      <c r="G210" s="343" t="s">
        <v>1086</v>
      </c>
      <c r="H210" s="283">
        <v>45824</v>
      </c>
      <c r="I210" s="276" t="s">
        <v>1347</v>
      </c>
      <c r="J210" s="341" t="s">
        <v>1345</v>
      </c>
      <c r="K210" s="282" t="s">
        <v>1142</v>
      </c>
      <c r="L210" s="276">
        <v>2024</v>
      </c>
      <c r="M210" s="276" t="s">
        <v>1472</v>
      </c>
      <c r="N210" s="341" t="s">
        <v>1471</v>
      </c>
      <c r="O210" s="279"/>
      <c r="P210" s="276"/>
      <c r="Q210" s="276"/>
      <c r="R210" s="276"/>
      <c r="S210" s="276"/>
      <c r="T210" s="276"/>
      <c r="U210" s="276"/>
      <c r="V210" s="276"/>
      <c r="W210" s="276"/>
      <c r="X210" s="276"/>
      <c r="Y210" s="276"/>
      <c r="Z210" s="276"/>
    </row>
    <row r="211" spans="1:26" ht="14.25" customHeight="1" x14ac:dyDescent="0.3">
      <c r="A211" s="344" t="s">
        <v>2256</v>
      </c>
      <c r="B211" s="313" t="s">
        <v>1341</v>
      </c>
      <c r="C211" s="279" t="s">
        <v>1470</v>
      </c>
      <c r="D211" s="283" t="s">
        <v>451</v>
      </c>
      <c r="E211" s="279" t="s">
        <v>1104</v>
      </c>
      <c r="F211" s="309">
        <v>11</v>
      </c>
      <c r="G211" s="343" t="s">
        <v>1086</v>
      </c>
      <c r="H211" s="283">
        <v>45824</v>
      </c>
      <c r="I211" s="276" t="s">
        <v>1347</v>
      </c>
      <c r="J211" s="341" t="s">
        <v>1345</v>
      </c>
      <c r="K211" s="282" t="s">
        <v>1142</v>
      </c>
      <c r="L211" s="276">
        <v>2024</v>
      </c>
      <c r="M211" s="276" t="s">
        <v>1473</v>
      </c>
      <c r="N211" s="341" t="s">
        <v>1471</v>
      </c>
      <c r="O211" s="345"/>
      <c r="P211" s="276"/>
      <c r="Q211" s="276"/>
      <c r="R211" s="276"/>
      <c r="S211" s="276"/>
      <c r="T211" s="276"/>
      <c r="U211" s="276"/>
      <c r="V211" s="276"/>
      <c r="W211" s="276"/>
      <c r="X211" s="276"/>
      <c r="Y211" s="276"/>
      <c r="Z211" s="276"/>
    </row>
    <row r="212" spans="1:26" ht="14.25" customHeight="1" x14ac:dyDescent="0.3">
      <c r="A212" s="313" t="s">
        <v>2168</v>
      </c>
      <c r="B212" s="313" t="s">
        <v>1341</v>
      </c>
      <c r="C212" s="279" t="s">
        <v>1470</v>
      </c>
      <c r="D212" s="283" t="s">
        <v>451</v>
      </c>
      <c r="E212" s="279" t="s">
        <v>1108</v>
      </c>
      <c r="F212" s="311">
        <v>19</v>
      </c>
      <c r="G212" s="316" t="s">
        <v>1091</v>
      </c>
      <c r="H212" s="283">
        <v>45865</v>
      </c>
      <c r="I212" s="276" t="s">
        <v>1347</v>
      </c>
      <c r="J212" s="341" t="s">
        <v>1345</v>
      </c>
      <c r="K212" s="282" t="s">
        <v>1142</v>
      </c>
      <c r="L212" s="276">
        <v>2024</v>
      </c>
      <c r="M212" s="344" t="s">
        <v>2774</v>
      </c>
      <c r="N212" s="341" t="s">
        <v>1471</v>
      </c>
      <c r="O212" s="313"/>
      <c r="P212" s="276"/>
      <c r="Q212" s="276"/>
      <c r="R212" s="276"/>
      <c r="S212" s="276"/>
      <c r="T212" s="276"/>
      <c r="U212" s="276"/>
      <c r="V212" s="276"/>
      <c r="W212" s="276"/>
      <c r="X212" s="276"/>
      <c r="Y212" s="276"/>
      <c r="Z212" s="276"/>
    </row>
    <row r="213" spans="1:26" ht="14.25" customHeight="1" x14ac:dyDescent="0.3">
      <c r="A213" s="313" t="s">
        <v>2169</v>
      </c>
      <c r="B213" s="313" t="s">
        <v>1341</v>
      </c>
      <c r="C213" s="279" t="s">
        <v>1470</v>
      </c>
      <c r="D213" s="283" t="s">
        <v>451</v>
      </c>
      <c r="E213" s="279" t="s">
        <v>1093</v>
      </c>
      <c r="F213" s="311">
        <v>19</v>
      </c>
      <c r="G213" s="316" t="s">
        <v>1091</v>
      </c>
      <c r="H213" s="283">
        <v>45865</v>
      </c>
      <c r="I213" s="276" t="s">
        <v>1347</v>
      </c>
      <c r="J213" s="341" t="s">
        <v>1345</v>
      </c>
      <c r="K213" s="282" t="s">
        <v>1142</v>
      </c>
      <c r="L213" s="276">
        <v>2024</v>
      </c>
      <c r="M213" s="344" t="s">
        <v>2775</v>
      </c>
      <c r="N213" s="341" t="s">
        <v>1471</v>
      </c>
      <c r="O213" s="313" t="s">
        <v>1474</v>
      </c>
      <c r="P213" s="276"/>
      <c r="Q213" s="276"/>
      <c r="R213" s="276"/>
      <c r="S213" s="276"/>
      <c r="T213" s="276"/>
      <c r="U213" s="276"/>
      <c r="V213" s="276"/>
      <c r="W213" s="276"/>
      <c r="X213" s="276"/>
      <c r="Y213" s="276"/>
      <c r="Z213" s="276"/>
    </row>
    <row r="214" spans="1:26" ht="14.25" customHeight="1" x14ac:dyDescent="0.3">
      <c r="A214" s="328" t="s">
        <v>2233</v>
      </c>
      <c r="B214" s="313" t="s">
        <v>1341</v>
      </c>
      <c r="C214" s="279" t="s">
        <v>1470</v>
      </c>
      <c r="D214" s="283" t="s">
        <v>451</v>
      </c>
      <c r="E214" s="279" t="s">
        <v>1089</v>
      </c>
      <c r="F214" s="309">
        <v>18</v>
      </c>
      <c r="G214" s="286" t="s">
        <v>1082</v>
      </c>
      <c r="H214" s="283">
        <v>45835</v>
      </c>
      <c r="I214" s="276" t="s">
        <v>1347</v>
      </c>
      <c r="J214" s="341" t="s">
        <v>1345</v>
      </c>
      <c r="K214" s="282" t="s">
        <v>1142</v>
      </c>
      <c r="L214" s="276">
        <v>2024</v>
      </c>
      <c r="M214" s="312" t="s">
        <v>1475</v>
      </c>
      <c r="N214" s="341" t="s">
        <v>1471</v>
      </c>
      <c r="O214" s="276" t="s">
        <v>451</v>
      </c>
      <c r="P214" s="276"/>
      <c r="Q214" s="276"/>
      <c r="R214" s="276"/>
      <c r="S214" s="276"/>
      <c r="T214" s="276"/>
      <c r="U214" s="276"/>
      <c r="V214" s="276"/>
      <c r="W214" s="276"/>
      <c r="X214" s="276"/>
      <c r="Y214" s="276"/>
      <c r="Z214" s="276"/>
    </row>
    <row r="215" spans="1:26" ht="14.25" customHeight="1" x14ac:dyDescent="0.3">
      <c r="A215" s="346" t="s">
        <v>1054</v>
      </c>
      <c r="B215" s="313" t="s">
        <v>1341</v>
      </c>
      <c r="C215" s="279" t="s">
        <v>1470</v>
      </c>
      <c r="D215" s="283" t="s">
        <v>451</v>
      </c>
      <c r="E215" s="279" t="s">
        <v>1093</v>
      </c>
      <c r="F215" s="309">
        <v>19</v>
      </c>
      <c r="G215" s="276" t="s">
        <v>1109</v>
      </c>
      <c r="H215" s="283">
        <v>45865</v>
      </c>
      <c r="I215" s="276" t="s">
        <v>1347</v>
      </c>
      <c r="J215" s="341" t="s">
        <v>1345</v>
      </c>
      <c r="K215" s="282" t="s">
        <v>1142</v>
      </c>
      <c r="L215" s="276">
        <v>2024</v>
      </c>
      <c r="M215" s="291" t="s">
        <v>2776</v>
      </c>
      <c r="N215" s="341" t="s">
        <v>1471</v>
      </c>
      <c r="O215" s="276" t="s">
        <v>451</v>
      </c>
      <c r="P215" s="276"/>
      <c r="Q215" s="276"/>
      <c r="R215" s="276"/>
      <c r="S215" s="276"/>
      <c r="T215" s="276"/>
      <c r="U215" s="276"/>
      <c r="V215" s="276"/>
      <c r="W215" s="276"/>
      <c r="X215" s="276"/>
      <c r="Y215" s="276"/>
      <c r="Z215" s="276"/>
    </row>
    <row r="216" spans="1:26" ht="14.25" customHeight="1" x14ac:dyDescent="0.3">
      <c r="A216" s="347" t="s">
        <v>538</v>
      </c>
      <c r="B216" s="313" t="s">
        <v>1341</v>
      </c>
      <c r="C216" s="279" t="s">
        <v>1470</v>
      </c>
      <c r="D216" s="283" t="s">
        <v>451</v>
      </c>
      <c r="E216" s="348" t="s">
        <v>1110</v>
      </c>
      <c r="F216" s="309">
        <v>6</v>
      </c>
      <c r="G216" s="349" t="s">
        <v>1088</v>
      </c>
      <c r="H216" s="350">
        <v>45821</v>
      </c>
      <c r="I216" s="276" t="s">
        <v>1347</v>
      </c>
      <c r="J216" s="341" t="s">
        <v>1345</v>
      </c>
      <c r="K216" s="282" t="s">
        <v>1142</v>
      </c>
      <c r="L216" s="276">
        <v>2024</v>
      </c>
      <c r="M216" s="351" t="s">
        <v>2777</v>
      </c>
      <c r="N216" s="341" t="s">
        <v>1471</v>
      </c>
      <c r="O216" s="276" t="s">
        <v>451</v>
      </c>
      <c r="P216" s="276"/>
      <c r="Q216" s="276"/>
      <c r="R216" s="276"/>
      <c r="S216" s="276"/>
      <c r="T216" s="276"/>
      <c r="U216" s="276"/>
      <c r="V216" s="276"/>
      <c r="W216" s="276"/>
      <c r="X216" s="276"/>
      <c r="Y216" s="276"/>
      <c r="Z216" s="276"/>
    </row>
    <row r="217" spans="1:26" ht="14.25" customHeight="1" x14ac:dyDescent="0.3">
      <c r="A217" s="313" t="s">
        <v>2170</v>
      </c>
      <c r="B217" s="313" t="s">
        <v>1341</v>
      </c>
      <c r="C217" s="279" t="s">
        <v>1470</v>
      </c>
      <c r="D217" s="283" t="s">
        <v>451</v>
      </c>
      <c r="E217" s="279" t="s">
        <v>1108</v>
      </c>
      <c r="F217" s="311">
        <v>19</v>
      </c>
      <c r="G217" s="316" t="s">
        <v>1091</v>
      </c>
      <c r="H217" s="283">
        <v>45865</v>
      </c>
      <c r="I217" s="276" t="s">
        <v>1347</v>
      </c>
      <c r="J217" s="341" t="s">
        <v>1345</v>
      </c>
      <c r="K217" s="282" t="s">
        <v>1142</v>
      </c>
      <c r="L217" s="276">
        <v>2024</v>
      </c>
      <c r="M217" s="344" t="s">
        <v>2778</v>
      </c>
      <c r="N217" s="341" t="s">
        <v>1471</v>
      </c>
      <c r="O217" s="313"/>
      <c r="P217" s="276"/>
      <c r="Q217" s="276"/>
      <c r="R217" s="276"/>
      <c r="S217" s="276"/>
      <c r="T217" s="276"/>
      <c r="U217" s="276"/>
      <c r="V217" s="276"/>
      <c r="W217" s="276"/>
      <c r="X217" s="276"/>
      <c r="Y217" s="276"/>
      <c r="Z217" s="276"/>
    </row>
    <row r="218" spans="1:26" ht="14.25" customHeight="1" x14ac:dyDescent="0.3">
      <c r="A218" s="340" t="s">
        <v>1111</v>
      </c>
      <c r="B218" s="313" t="s">
        <v>1341</v>
      </c>
      <c r="C218" s="279" t="s">
        <v>1470</v>
      </c>
      <c r="D218" s="283" t="s">
        <v>451</v>
      </c>
      <c r="E218" s="279" t="s">
        <v>1089</v>
      </c>
      <c r="F218" s="311">
        <v>19</v>
      </c>
      <c r="G218" s="281" t="s">
        <v>1088</v>
      </c>
      <c r="H218" s="283">
        <v>45865</v>
      </c>
      <c r="I218" s="276" t="s">
        <v>1347</v>
      </c>
      <c r="J218" s="341" t="s">
        <v>1345</v>
      </c>
      <c r="K218" s="282" t="s">
        <v>1142</v>
      </c>
      <c r="L218" s="276">
        <v>2024</v>
      </c>
      <c r="M218" s="291" t="s">
        <v>2779</v>
      </c>
      <c r="N218" s="341" t="s">
        <v>1471</v>
      </c>
      <c r="O218" s="276" t="s">
        <v>451</v>
      </c>
      <c r="P218" s="276"/>
      <c r="Q218" s="276"/>
      <c r="R218" s="276"/>
      <c r="S218" s="276"/>
      <c r="T218" s="276"/>
      <c r="U218" s="276"/>
      <c r="V218" s="276"/>
      <c r="W218" s="276"/>
      <c r="X218" s="276"/>
      <c r="Y218" s="276"/>
      <c r="Z218" s="276"/>
    </row>
    <row r="219" spans="1:26" ht="14.25" customHeight="1" x14ac:dyDescent="0.3">
      <c r="A219" s="313" t="s">
        <v>545</v>
      </c>
      <c r="B219" s="313" t="s">
        <v>1341</v>
      </c>
      <c r="C219" s="279" t="s">
        <v>1470</v>
      </c>
      <c r="D219" s="283" t="s">
        <v>451</v>
      </c>
      <c r="E219" s="279" t="s">
        <v>1108</v>
      </c>
      <c r="F219" s="311">
        <v>19</v>
      </c>
      <c r="G219" s="316" t="s">
        <v>1091</v>
      </c>
      <c r="H219" s="283">
        <v>45865</v>
      </c>
      <c r="I219" s="276" t="s">
        <v>1347</v>
      </c>
      <c r="J219" s="341" t="s">
        <v>1345</v>
      </c>
      <c r="K219" s="282" t="s">
        <v>1142</v>
      </c>
      <c r="L219" s="276">
        <v>2024</v>
      </c>
      <c r="M219" s="344" t="s">
        <v>2780</v>
      </c>
      <c r="N219" s="341" t="s">
        <v>1471</v>
      </c>
      <c r="O219" s="313"/>
      <c r="P219" s="276"/>
      <c r="Q219" s="276"/>
      <c r="R219" s="276"/>
      <c r="S219" s="276"/>
      <c r="T219" s="276"/>
      <c r="U219" s="276"/>
      <c r="V219" s="276"/>
      <c r="W219" s="276"/>
      <c r="X219" s="276"/>
      <c r="Y219" s="276"/>
      <c r="Z219" s="276"/>
    </row>
    <row r="220" spans="1:26" ht="14.25" customHeight="1" x14ac:dyDescent="0.3">
      <c r="A220" s="340" t="s">
        <v>1055</v>
      </c>
      <c r="B220" s="313" t="s">
        <v>1341</v>
      </c>
      <c r="C220" s="279" t="s">
        <v>1470</v>
      </c>
      <c r="D220" s="283" t="s">
        <v>451</v>
      </c>
      <c r="E220" s="279" t="s">
        <v>1089</v>
      </c>
      <c r="F220" s="311">
        <v>19</v>
      </c>
      <c r="G220" s="281" t="s">
        <v>1088</v>
      </c>
      <c r="H220" s="283">
        <v>45865</v>
      </c>
      <c r="I220" s="276" t="s">
        <v>1347</v>
      </c>
      <c r="J220" s="341" t="s">
        <v>1345</v>
      </c>
      <c r="K220" s="282" t="s">
        <v>1142</v>
      </c>
      <c r="L220" s="276">
        <v>2024</v>
      </c>
      <c r="M220" s="291" t="s">
        <v>2781</v>
      </c>
      <c r="N220" s="341" t="s">
        <v>1471</v>
      </c>
      <c r="O220" s="276" t="s">
        <v>451</v>
      </c>
      <c r="P220" s="276"/>
      <c r="Q220" s="276"/>
      <c r="R220" s="276"/>
      <c r="S220" s="276"/>
      <c r="T220" s="276"/>
      <c r="U220" s="276"/>
      <c r="V220" s="276"/>
      <c r="W220" s="276"/>
      <c r="X220" s="276"/>
      <c r="Y220" s="276"/>
      <c r="Z220" s="276"/>
    </row>
    <row r="221" spans="1:26" ht="14.25" customHeight="1" x14ac:dyDescent="0.3">
      <c r="A221" s="346" t="s">
        <v>1055</v>
      </c>
      <c r="B221" s="313" t="s">
        <v>1341</v>
      </c>
      <c r="C221" s="279" t="s">
        <v>1470</v>
      </c>
      <c r="D221" s="283" t="s">
        <v>451</v>
      </c>
      <c r="E221" s="279" t="s">
        <v>1093</v>
      </c>
      <c r="F221" s="309">
        <v>19</v>
      </c>
      <c r="G221" s="276" t="s">
        <v>1109</v>
      </c>
      <c r="H221" s="283">
        <v>45865</v>
      </c>
      <c r="I221" s="276" t="s">
        <v>1347</v>
      </c>
      <c r="J221" s="341" t="s">
        <v>1345</v>
      </c>
      <c r="K221" s="282" t="s">
        <v>1142</v>
      </c>
      <c r="L221" s="276">
        <v>2024</v>
      </c>
      <c r="M221" s="302" t="s">
        <v>2781</v>
      </c>
      <c r="N221" s="341" t="s">
        <v>1471</v>
      </c>
      <c r="O221" s="276" t="s">
        <v>451</v>
      </c>
      <c r="P221" s="276"/>
      <c r="Q221" s="276"/>
      <c r="R221" s="276"/>
      <c r="S221" s="276"/>
      <c r="T221" s="276"/>
      <c r="U221" s="276"/>
      <c r="V221" s="276"/>
      <c r="W221" s="276"/>
      <c r="X221" s="276"/>
      <c r="Y221" s="276"/>
      <c r="Z221" s="276"/>
    </row>
    <row r="222" spans="1:26" ht="14.25" customHeight="1" x14ac:dyDescent="0.3">
      <c r="A222" s="313" t="s">
        <v>1064</v>
      </c>
      <c r="B222" s="313" t="s">
        <v>1341</v>
      </c>
      <c r="C222" s="279" t="s">
        <v>1470</v>
      </c>
      <c r="D222" s="283" t="s">
        <v>451</v>
      </c>
      <c r="E222" s="279" t="s">
        <v>1089</v>
      </c>
      <c r="F222" s="309">
        <v>5</v>
      </c>
      <c r="G222" s="281" t="s">
        <v>1088</v>
      </c>
      <c r="H222" s="280">
        <v>45817</v>
      </c>
      <c r="I222" s="276" t="s">
        <v>1347</v>
      </c>
      <c r="J222" s="341" t="s">
        <v>1345</v>
      </c>
      <c r="K222" s="282" t="s">
        <v>1142</v>
      </c>
      <c r="L222" s="276">
        <v>2024</v>
      </c>
      <c r="M222" s="291" t="s">
        <v>2782</v>
      </c>
      <c r="N222" s="341" t="s">
        <v>1471</v>
      </c>
      <c r="O222" s="276" t="s">
        <v>451</v>
      </c>
      <c r="P222" s="276"/>
      <c r="Q222" s="276"/>
      <c r="R222" s="276"/>
      <c r="S222" s="276"/>
      <c r="T222" s="276"/>
      <c r="U222" s="276"/>
      <c r="V222" s="276"/>
      <c r="W222" s="276"/>
      <c r="X222" s="276"/>
      <c r="Y222" s="276"/>
      <c r="Z222" s="276"/>
    </row>
    <row r="223" spans="1:26" ht="14.25" customHeight="1" x14ac:dyDescent="0.3">
      <c r="A223" s="313" t="s">
        <v>562</v>
      </c>
      <c r="B223" s="313" t="s">
        <v>1341</v>
      </c>
      <c r="C223" s="279" t="s">
        <v>1470</v>
      </c>
      <c r="D223" s="283" t="s">
        <v>451</v>
      </c>
      <c r="E223" s="279" t="s">
        <v>1108</v>
      </c>
      <c r="F223" s="311">
        <v>19</v>
      </c>
      <c r="G223" s="316" t="s">
        <v>1091</v>
      </c>
      <c r="H223" s="283">
        <v>45865</v>
      </c>
      <c r="I223" s="276" t="s">
        <v>1347</v>
      </c>
      <c r="J223" s="341" t="s">
        <v>1345</v>
      </c>
      <c r="K223" s="282" t="s">
        <v>1142</v>
      </c>
      <c r="L223" s="276">
        <v>2024</v>
      </c>
      <c r="M223" s="550" t="s">
        <v>2747</v>
      </c>
      <c r="N223" s="341" t="s">
        <v>1471</v>
      </c>
      <c r="O223" s="313"/>
      <c r="P223" s="276"/>
      <c r="Q223" s="276"/>
      <c r="R223" s="276"/>
      <c r="S223" s="276"/>
      <c r="T223" s="276"/>
      <c r="U223" s="276"/>
      <c r="V223" s="276"/>
      <c r="W223" s="276"/>
      <c r="X223" s="276"/>
      <c r="Y223" s="276"/>
      <c r="Z223" s="276"/>
    </row>
    <row r="224" spans="1:26" ht="14.25" customHeight="1" x14ac:dyDescent="0.3">
      <c r="A224" s="313" t="s">
        <v>2235</v>
      </c>
      <c r="B224" s="313" t="s">
        <v>1341</v>
      </c>
      <c r="C224" s="279" t="s">
        <v>1470</v>
      </c>
      <c r="D224" s="283" t="s">
        <v>451</v>
      </c>
      <c r="E224" s="279" t="s">
        <v>1089</v>
      </c>
      <c r="F224" s="309">
        <v>18</v>
      </c>
      <c r="G224" s="286" t="s">
        <v>1082</v>
      </c>
      <c r="H224" s="283">
        <v>45835</v>
      </c>
      <c r="I224" s="276" t="s">
        <v>1347</v>
      </c>
      <c r="J224" s="341" t="s">
        <v>1345</v>
      </c>
      <c r="K224" s="282" t="s">
        <v>1142</v>
      </c>
      <c r="L224" s="276">
        <v>2024</v>
      </c>
      <c r="M224" s="313" t="s">
        <v>1476</v>
      </c>
      <c r="N224" s="341" t="s">
        <v>1471</v>
      </c>
      <c r="O224" s="345"/>
      <c r="P224" s="276"/>
      <c r="Q224" s="276"/>
      <c r="R224" s="276"/>
      <c r="S224" s="276"/>
      <c r="T224" s="276"/>
      <c r="U224" s="276"/>
      <c r="V224" s="276"/>
      <c r="W224" s="276"/>
      <c r="X224" s="276"/>
      <c r="Y224" s="276"/>
      <c r="Z224" s="276"/>
    </row>
    <row r="225" spans="1:26" ht="14.25" customHeight="1" x14ac:dyDescent="0.3">
      <c r="A225" s="313" t="s">
        <v>2173</v>
      </c>
      <c r="B225" s="313" t="s">
        <v>1341</v>
      </c>
      <c r="C225" s="279" t="s">
        <v>1470</v>
      </c>
      <c r="D225" s="283" t="s">
        <v>451</v>
      </c>
      <c r="E225" s="279" t="s">
        <v>1093</v>
      </c>
      <c r="F225" s="311">
        <v>19</v>
      </c>
      <c r="G225" s="316" t="s">
        <v>1091</v>
      </c>
      <c r="H225" s="283">
        <v>45865</v>
      </c>
      <c r="I225" s="276" t="s">
        <v>1347</v>
      </c>
      <c r="J225" s="341" t="s">
        <v>1345</v>
      </c>
      <c r="K225" s="282" t="s">
        <v>1142</v>
      </c>
      <c r="L225" s="276">
        <v>2024</v>
      </c>
      <c r="M225" s="550" t="s">
        <v>2783</v>
      </c>
      <c r="N225" s="341" t="s">
        <v>1471</v>
      </c>
      <c r="O225" s="313"/>
      <c r="P225" s="276"/>
      <c r="Q225" s="276"/>
      <c r="R225" s="276"/>
      <c r="S225" s="276"/>
      <c r="T225" s="276"/>
      <c r="U225" s="276"/>
      <c r="V225" s="276"/>
      <c r="W225" s="276"/>
      <c r="X225" s="276"/>
      <c r="Y225" s="276"/>
      <c r="Z225" s="276"/>
    </row>
    <row r="226" spans="1:26" ht="14.25" customHeight="1" x14ac:dyDescent="0.3">
      <c r="A226" s="313" t="s">
        <v>569</v>
      </c>
      <c r="B226" s="313" t="s">
        <v>1341</v>
      </c>
      <c r="C226" s="279" t="s">
        <v>1470</v>
      </c>
      <c r="D226" s="283" t="s">
        <v>451</v>
      </c>
      <c r="E226" s="279" t="s">
        <v>1089</v>
      </c>
      <c r="F226" s="311">
        <v>13</v>
      </c>
      <c r="G226" s="316" t="s">
        <v>1091</v>
      </c>
      <c r="H226" s="341">
        <v>45824</v>
      </c>
      <c r="I226" s="276" t="s">
        <v>1347</v>
      </c>
      <c r="J226" s="341" t="s">
        <v>1345</v>
      </c>
      <c r="K226" s="282" t="s">
        <v>1142</v>
      </c>
      <c r="L226" s="276">
        <v>2024</v>
      </c>
      <c r="M226" s="550" t="s">
        <v>2784</v>
      </c>
      <c r="N226" s="341" t="s">
        <v>1471</v>
      </c>
      <c r="O226" s="313"/>
      <c r="P226" s="276"/>
      <c r="Q226" s="276"/>
      <c r="R226" s="276"/>
      <c r="S226" s="276"/>
      <c r="T226" s="276"/>
      <c r="U226" s="276"/>
      <c r="V226" s="276"/>
      <c r="W226" s="276"/>
      <c r="X226" s="276"/>
      <c r="Y226" s="276"/>
      <c r="Z226" s="276"/>
    </row>
    <row r="227" spans="1:26" ht="14.25" customHeight="1" x14ac:dyDescent="0.3">
      <c r="A227" s="308" t="s">
        <v>575</v>
      </c>
      <c r="B227" s="313" t="s">
        <v>1341</v>
      </c>
      <c r="C227" s="279" t="s">
        <v>1470</v>
      </c>
      <c r="D227" s="283" t="s">
        <v>451</v>
      </c>
      <c r="E227" s="279" t="s">
        <v>1089</v>
      </c>
      <c r="F227" s="311">
        <v>19</v>
      </c>
      <c r="G227" s="310" t="s">
        <v>1088</v>
      </c>
      <c r="H227" s="283">
        <v>45865</v>
      </c>
      <c r="I227" s="276" t="s">
        <v>1347</v>
      </c>
      <c r="J227" s="341" t="s">
        <v>1345</v>
      </c>
      <c r="K227" s="282" t="s">
        <v>1142</v>
      </c>
      <c r="L227" s="276">
        <v>2024</v>
      </c>
      <c r="M227" s="550" t="s">
        <v>2785</v>
      </c>
      <c r="N227" s="341" t="s">
        <v>1471</v>
      </c>
      <c r="O227" s="313"/>
      <c r="P227" s="276"/>
      <c r="Q227" s="276"/>
      <c r="R227" s="276"/>
      <c r="S227" s="276"/>
      <c r="T227" s="276"/>
      <c r="U227" s="276"/>
      <c r="V227" s="276"/>
      <c r="W227" s="276"/>
      <c r="X227" s="276"/>
      <c r="Y227" s="276"/>
      <c r="Z227" s="276"/>
    </row>
    <row r="228" spans="1:26" ht="14.25" customHeight="1" x14ac:dyDescent="0.3">
      <c r="A228" s="352" t="s">
        <v>1111</v>
      </c>
      <c r="B228" s="313" t="s">
        <v>1341</v>
      </c>
      <c r="C228" s="279" t="s">
        <v>1470</v>
      </c>
      <c r="D228" s="283" t="s">
        <v>451</v>
      </c>
      <c r="E228" s="348" t="s">
        <v>1093</v>
      </c>
      <c r="F228" s="353">
        <v>19</v>
      </c>
      <c r="G228" s="316" t="s">
        <v>1100</v>
      </c>
      <c r="H228" s="354">
        <v>45865</v>
      </c>
      <c r="I228" s="276" t="s">
        <v>1347</v>
      </c>
      <c r="J228" s="341" t="s">
        <v>1345</v>
      </c>
      <c r="K228" s="284" t="s">
        <v>1208</v>
      </c>
      <c r="L228" s="276">
        <v>2024</v>
      </c>
      <c r="M228" s="351" t="s">
        <v>2779</v>
      </c>
      <c r="N228" s="341" t="s">
        <v>1471</v>
      </c>
      <c r="O228" s="309">
        <v>2</v>
      </c>
      <c r="P228" s="276"/>
      <c r="Q228" s="276"/>
      <c r="R228" s="276"/>
      <c r="S228" s="276"/>
      <c r="T228" s="276"/>
      <c r="U228" s="276"/>
      <c r="V228" s="276"/>
      <c r="W228" s="276"/>
      <c r="X228" s="276"/>
      <c r="Y228" s="276"/>
      <c r="Z228" s="276"/>
    </row>
    <row r="229" spans="1:26" ht="14.25" customHeight="1" x14ac:dyDescent="0.3">
      <c r="A229" s="352" t="s">
        <v>577</v>
      </c>
      <c r="B229" s="313" t="s">
        <v>1341</v>
      </c>
      <c r="C229" s="279" t="s">
        <v>1470</v>
      </c>
      <c r="D229" s="283" t="s">
        <v>451</v>
      </c>
      <c r="E229" s="348" t="s">
        <v>1093</v>
      </c>
      <c r="F229" s="353">
        <v>19</v>
      </c>
      <c r="G229" s="316" t="s">
        <v>1100</v>
      </c>
      <c r="H229" s="354">
        <v>45865</v>
      </c>
      <c r="I229" s="276" t="s">
        <v>1347</v>
      </c>
      <c r="J229" s="341" t="s">
        <v>1345</v>
      </c>
      <c r="K229" s="282" t="s">
        <v>1142</v>
      </c>
      <c r="L229" s="276">
        <v>2024</v>
      </c>
      <c r="M229" s="351" t="s">
        <v>2786</v>
      </c>
      <c r="N229" s="341" t="s">
        <v>1471</v>
      </c>
      <c r="O229" s="309">
        <v>2</v>
      </c>
      <c r="P229" s="276"/>
      <c r="Q229" s="276"/>
      <c r="R229" s="276"/>
      <c r="S229" s="276"/>
      <c r="T229" s="276"/>
      <c r="U229" s="276"/>
      <c r="V229" s="276"/>
      <c r="W229" s="276"/>
      <c r="X229" s="276"/>
      <c r="Y229" s="276"/>
      <c r="Z229" s="276"/>
    </row>
    <row r="230" spans="1:26" ht="14.25" customHeight="1" x14ac:dyDescent="0.3">
      <c r="A230" s="313" t="s">
        <v>2175</v>
      </c>
      <c r="B230" s="313" t="s">
        <v>1341</v>
      </c>
      <c r="C230" s="279" t="s">
        <v>1470</v>
      </c>
      <c r="D230" s="283" t="s">
        <v>451</v>
      </c>
      <c r="E230" s="279" t="s">
        <v>1093</v>
      </c>
      <c r="F230" s="311">
        <v>19</v>
      </c>
      <c r="G230" s="316" t="s">
        <v>1091</v>
      </c>
      <c r="H230" s="283">
        <v>45865</v>
      </c>
      <c r="I230" s="276" t="s">
        <v>1347</v>
      </c>
      <c r="J230" s="341" t="s">
        <v>1345</v>
      </c>
      <c r="K230" s="282" t="s">
        <v>1142</v>
      </c>
      <c r="L230" s="276">
        <v>2024</v>
      </c>
      <c r="M230" s="550" t="s">
        <v>2787</v>
      </c>
      <c r="N230" s="341" t="s">
        <v>1471</v>
      </c>
      <c r="O230" s="313"/>
      <c r="P230" s="276"/>
      <c r="Q230" s="276"/>
      <c r="R230" s="276"/>
      <c r="S230" s="276"/>
      <c r="T230" s="276"/>
      <c r="U230" s="276"/>
      <c r="V230" s="276"/>
      <c r="W230" s="276"/>
      <c r="X230" s="276"/>
      <c r="Y230" s="276"/>
      <c r="Z230" s="276"/>
    </row>
    <row r="231" spans="1:26" ht="14.25" customHeight="1" x14ac:dyDescent="0.3">
      <c r="A231" s="313" t="s">
        <v>2176</v>
      </c>
      <c r="B231" s="313" t="s">
        <v>1341</v>
      </c>
      <c r="C231" s="279" t="s">
        <v>1470</v>
      </c>
      <c r="D231" s="283" t="s">
        <v>451</v>
      </c>
      <c r="E231" s="279" t="s">
        <v>1093</v>
      </c>
      <c r="F231" s="311">
        <v>19</v>
      </c>
      <c r="G231" s="316" t="s">
        <v>1091</v>
      </c>
      <c r="H231" s="283">
        <v>45865</v>
      </c>
      <c r="I231" s="276" t="s">
        <v>1347</v>
      </c>
      <c r="J231" s="341" t="s">
        <v>1345</v>
      </c>
      <c r="K231" s="282" t="s">
        <v>1142</v>
      </c>
      <c r="L231" s="276">
        <v>2024</v>
      </c>
      <c r="M231" s="550" t="s">
        <v>2788</v>
      </c>
      <c r="N231" s="341" t="s">
        <v>1471</v>
      </c>
      <c r="O231" s="313"/>
      <c r="P231" s="276"/>
      <c r="Q231" s="276"/>
      <c r="R231" s="276"/>
      <c r="S231" s="276"/>
      <c r="T231" s="276"/>
      <c r="U231" s="276"/>
      <c r="V231" s="276"/>
      <c r="W231" s="276"/>
      <c r="X231" s="276"/>
      <c r="Y231" s="276"/>
      <c r="Z231" s="276"/>
    </row>
    <row r="232" spans="1:26" ht="14.25" customHeight="1" x14ac:dyDescent="0.3">
      <c r="A232" s="313" t="s">
        <v>2177</v>
      </c>
      <c r="B232" s="313" t="s">
        <v>1341</v>
      </c>
      <c r="C232" s="279" t="s">
        <v>1470</v>
      </c>
      <c r="D232" s="283" t="s">
        <v>451</v>
      </c>
      <c r="E232" s="279" t="s">
        <v>1093</v>
      </c>
      <c r="F232" s="311">
        <v>19</v>
      </c>
      <c r="G232" s="316" t="s">
        <v>1091</v>
      </c>
      <c r="H232" s="283">
        <v>45865</v>
      </c>
      <c r="I232" s="276" t="s">
        <v>1347</v>
      </c>
      <c r="J232" s="341" t="s">
        <v>1345</v>
      </c>
      <c r="K232" s="282" t="s">
        <v>1142</v>
      </c>
      <c r="L232" s="276">
        <v>2024</v>
      </c>
      <c r="M232" s="313" t="s">
        <v>1477</v>
      </c>
      <c r="N232" s="341" t="s">
        <v>1471</v>
      </c>
      <c r="O232" s="313"/>
      <c r="P232" s="276"/>
      <c r="Q232" s="276"/>
      <c r="R232" s="276"/>
      <c r="S232" s="276"/>
      <c r="T232" s="276"/>
      <c r="U232" s="276"/>
      <c r="V232" s="276"/>
      <c r="W232" s="276"/>
      <c r="X232" s="276"/>
      <c r="Y232" s="276"/>
      <c r="Z232" s="276"/>
    </row>
    <row r="233" spans="1:26" ht="14.25" customHeight="1" x14ac:dyDescent="0.3">
      <c r="A233" s="313" t="s">
        <v>629</v>
      </c>
      <c r="B233" s="313" t="s">
        <v>1341</v>
      </c>
      <c r="C233" s="279" t="s">
        <v>1470</v>
      </c>
      <c r="D233" s="283" t="s">
        <v>451</v>
      </c>
      <c r="E233" s="279" t="s">
        <v>1089</v>
      </c>
      <c r="F233" s="309">
        <v>5</v>
      </c>
      <c r="G233" s="281" t="s">
        <v>1088</v>
      </c>
      <c r="H233" s="280">
        <v>45817</v>
      </c>
      <c r="I233" s="276" t="s">
        <v>1347</v>
      </c>
      <c r="J233" s="341" t="s">
        <v>1345</v>
      </c>
      <c r="K233" s="282" t="s">
        <v>1142</v>
      </c>
      <c r="L233" s="276">
        <v>2024</v>
      </c>
      <c r="M233" s="291" t="s">
        <v>2789</v>
      </c>
      <c r="N233" s="341" t="s">
        <v>1471</v>
      </c>
      <c r="O233" s="355" t="s">
        <v>451</v>
      </c>
      <c r="P233" s="276"/>
      <c r="Q233" s="276"/>
      <c r="R233" s="276"/>
      <c r="S233" s="276"/>
      <c r="T233" s="276"/>
      <c r="U233" s="276"/>
      <c r="V233" s="276"/>
      <c r="W233" s="276"/>
      <c r="X233" s="276"/>
      <c r="Y233" s="276"/>
      <c r="Z233" s="276"/>
    </row>
    <row r="234" spans="1:26" ht="14.25" customHeight="1" x14ac:dyDescent="0.3">
      <c r="A234" s="313" t="s">
        <v>1123</v>
      </c>
      <c r="B234" s="313" t="s">
        <v>1341</v>
      </c>
      <c r="C234" s="279" t="s">
        <v>1470</v>
      </c>
      <c r="D234" s="283" t="s">
        <v>451</v>
      </c>
      <c r="E234" s="279" t="s">
        <v>1108</v>
      </c>
      <c r="F234" s="309">
        <v>18</v>
      </c>
      <c r="G234" s="286" t="s">
        <v>1088</v>
      </c>
      <c r="H234" s="283">
        <v>45835</v>
      </c>
      <c r="I234" s="276" t="s">
        <v>1347</v>
      </c>
      <c r="J234" s="341" t="s">
        <v>1345</v>
      </c>
      <c r="K234" s="282" t="s">
        <v>1142</v>
      </c>
      <c r="L234" s="276">
        <v>2024</v>
      </c>
      <c r="M234" s="550" t="s">
        <v>2790</v>
      </c>
      <c r="N234" s="341" t="s">
        <v>1471</v>
      </c>
      <c r="O234" s="345" t="s">
        <v>1478</v>
      </c>
      <c r="P234" s="276"/>
      <c r="Q234" s="276"/>
      <c r="R234" s="276"/>
      <c r="S234" s="276"/>
      <c r="T234" s="276"/>
      <c r="U234" s="276"/>
      <c r="V234" s="276"/>
      <c r="W234" s="276"/>
      <c r="X234" s="276"/>
      <c r="Y234" s="276"/>
      <c r="Z234" s="276"/>
    </row>
    <row r="235" spans="1:26" ht="14.25" customHeight="1" x14ac:dyDescent="0.3">
      <c r="A235" s="313" t="s">
        <v>640</v>
      </c>
      <c r="B235" s="313" t="s">
        <v>1341</v>
      </c>
      <c r="C235" s="279" t="s">
        <v>1470</v>
      </c>
      <c r="D235" s="283" t="s">
        <v>451</v>
      </c>
      <c r="E235" s="279" t="s">
        <v>1089</v>
      </c>
      <c r="F235" s="311">
        <v>13</v>
      </c>
      <c r="G235" s="281" t="s">
        <v>1088</v>
      </c>
      <c r="H235" s="341">
        <v>45824</v>
      </c>
      <c r="I235" s="276" t="s">
        <v>1347</v>
      </c>
      <c r="J235" s="341" t="s">
        <v>1345</v>
      </c>
      <c r="K235" s="282" t="s">
        <v>1142</v>
      </c>
      <c r="L235" s="276">
        <v>2024</v>
      </c>
      <c r="M235" s="550" t="s">
        <v>2791</v>
      </c>
      <c r="N235" s="341" t="s">
        <v>1471</v>
      </c>
      <c r="O235" s="276" t="s">
        <v>451</v>
      </c>
      <c r="P235" s="276"/>
      <c r="Q235" s="276"/>
      <c r="R235" s="276"/>
      <c r="S235" s="276"/>
      <c r="T235" s="276"/>
      <c r="U235" s="276"/>
      <c r="V235" s="276"/>
      <c r="W235" s="276"/>
      <c r="X235" s="276"/>
      <c r="Y235" s="276"/>
      <c r="Z235" s="276"/>
    </row>
    <row r="236" spans="1:26" ht="14.25" customHeight="1" x14ac:dyDescent="0.3">
      <c r="A236" s="308" t="s">
        <v>2191</v>
      </c>
      <c r="B236" s="313" t="s">
        <v>1341</v>
      </c>
      <c r="C236" s="279" t="s">
        <v>1470</v>
      </c>
      <c r="D236" s="283" t="s">
        <v>451</v>
      </c>
      <c r="E236" s="279" t="s">
        <v>1089</v>
      </c>
      <c r="F236" s="311">
        <v>8</v>
      </c>
      <c r="G236" s="310" t="s">
        <v>1088</v>
      </c>
      <c r="H236" s="341">
        <v>45824</v>
      </c>
      <c r="I236" s="276" t="s">
        <v>1347</v>
      </c>
      <c r="J236" s="341" t="s">
        <v>1345</v>
      </c>
      <c r="K236" s="282" t="s">
        <v>1142</v>
      </c>
      <c r="L236" s="276">
        <v>2024</v>
      </c>
      <c r="M236" s="344" t="s">
        <v>2792</v>
      </c>
      <c r="N236" s="341" t="s">
        <v>1471</v>
      </c>
      <c r="O236" s="313"/>
      <c r="P236" s="276"/>
      <c r="Q236" s="276"/>
      <c r="R236" s="276"/>
      <c r="S236" s="276"/>
      <c r="T236" s="276"/>
      <c r="U236" s="276"/>
      <c r="V236" s="276"/>
      <c r="W236" s="276"/>
      <c r="X236" s="276"/>
      <c r="Y236" s="276"/>
      <c r="Z236" s="276"/>
    </row>
    <row r="237" spans="1:26" ht="14.25" customHeight="1" x14ac:dyDescent="0.3">
      <c r="A237" s="313" t="s">
        <v>641</v>
      </c>
      <c r="B237" s="313" t="s">
        <v>1341</v>
      </c>
      <c r="C237" s="279" t="s">
        <v>1470</v>
      </c>
      <c r="D237" s="283" t="s">
        <v>451</v>
      </c>
      <c r="E237" s="279" t="s">
        <v>1093</v>
      </c>
      <c r="F237" s="311">
        <v>19</v>
      </c>
      <c r="G237" s="316" t="s">
        <v>1091</v>
      </c>
      <c r="H237" s="283">
        <v>45865</v>
      </c>
      <c r="I237" s="276" t="s">
        <v>1347</v>
      </c>
      <c r="J237" s="341" t="s">
        <v>1345</v>
      </c>
      <c r="K237" s="282" t="s">
        <v>1142</v>
      </c>
      <c r="L237" s="276">
        <v>2024</v>
      </c>
      <c r="M237" s="344" t="s">
        <v>2793</v>
      </c>
      <c r="N237" s="341" t="s">
        <v>1471</v>
      </c>
      <c r="O237" s="313"/>
      <c r="P237" s="276"/>
      <c r="Q237" s="276"/>
      <c r="R237" s="276"/>
      <c r="S237" s="276"/>
      <c r="T237" s="276"/>
      <c r="U237" s="276"/>
      <c r="V237" s="276"/>
      <c r="W237" s="276"/>
      <c r="X237" s="276"/>
      <c r="Y237" s="276"/>
      <c r="Z237" s="276"/>
    </row>
    <row r="238" spans="1:26" ht="14.25" customHeight="1" x14ac:dyDescent="0.3">
      <c r="A238" s="313" t="s">
        <v>650</v>
      </c>
      <c r="B238" s="313" t="s">
        <v>1341</v>
      </c>
      <c r="C238" s="279" t="s">
        <v>1470</v>
      </c>
      <c r="D238" s="283" t="s">
        <v>451</v>
      </c>
      <c r="E238" s="279" t="s">
        <v>1093</v>
      </c>
      <c r="F238" s="311">
        <v>19</v>
      </c>
      <c r="G238" s="316" t="s">
        <v>1091</v>
      </c>
      <c r="H238" s="283">
        <v>45865</v>
      </c>
      <c r="I238" s="276" t="s">
        <v>1347</v>
      </c>
      <c r="J238" s="341" t="s">
        <v>1345</v>
      </c>
      <c r="K238" s="282" t="s">
        <v>1142</v>
      </c>
      <c r="L238" s="276">
        <v>2024</v>
      </c>
      <c r="M238" s="550" t="s">
        <v>2794</v>
      </c>
      <c r="N238" s="341" t="s">
        <v>1471</v>
      </c>
      <c r="O238" s="313"/>
      <c r="P238" s="276"/>
      <c r="Q238" s="276"/>
      <c r="R238" s="276"/>
      <c r="S238" s="276"/>
      <c r="T238" s="276"/>
      <c r="U238" s="276"/>
      <c r="V238" s="276"/>
      <c r="W238" s="276"/>
      <c r="X238" s="276"/>
      <c r="Y238" s="276"/>
      <c r="Z238" s="276"/>
    </row>
    <row r="239" spans="1:26" ht="14.25" customHeight="1" x14ac:dyDescent="0.3">
      <c r="A239" s="313" t="s">
        <v>2178</v>
      </c>
      <c r="B239" s="313" t="s">
        <v>1341</v>
      </c>
      <c r="C239" s="279" t="s">
        <v>1470</v>
      </c>
      <c r="D239" s="283" t="s">
        <v>451</v>
      </c>
      <c r="E239" s="279" t="s">
        <v>1093</v>
      </c>
      <c r="F239" s="311">
        <v>19</v>
      </c>
      <c r="G239" s="316" t="s">
        <v>1091</v>
      </c>
      <c r="H239" s="283">
        <v>45865</v>
      </c>
      <c r="I239" s="276" t="s">
        <v>1347</v>
      </c>
      <c r="J239" s="341" t="s">
        <v>1345</v>
      </c>
      <c r="K239" s="282" t="s">
        <v>1142</v>
      </c>
      <c r="L239" s="276">
        <v>2024</v>
      </c>
      <c r="M239" s="550" t="s">
        <v>2795</v>
      </c>
      <c r="N239" s="341" t="s">
        <v>1471</v>
      </c>
      <c r="O239" s="313"/>
      <c r="P239" s="276"/>
      <c r="Q239" s="276"/>
      <c r="R239" s="276"/>
      <c r="S239" s="276"/>
      <c r="T239" s="276"/>
      <c r="U239" s="276"/>
      <c r="V239" s="276"/>
      <c r="W239" s="276"/>
      <c r="X239" s="276"/>
      <c r="Y239" s="276"/>
      <c r="Z239" s="276"/>
    </row>
    <row r="240" spans="1:26" ht="14.25" customHeight="1" x14ac:dyDescent="0.3">
      <c r="A240" s="313" t="s">
        <v>1065</v>
      </c>
      <c r="B240" s="313" t="s">
        <v>1341</v>
      </c>
      <c r="C240" s="279" t="s">
        <v>1470</v>
      </c>
      <c r="D240" s="283" t="s">
        <v>451</v>
      </c>
      <c r="E240" s="279" t="s">
        <v>1089</v>
      </c>
      <c r="F240" s="309">
        <v>5</v>
      </c>
      <c r="G240" s="281" t="s">
        <v>1088</v>
      </c>
      <c r="H240" s="280">
        <v>45817</v>
      </c>
      <c r="I240" s="276" t="s">
        <v>1347</v>
      </c>
      <c r="J240" s="341" t="s">
        <v>1345</v>
      </c>
      <c r="K240" s="282" t="s">
        <v>1142</v>
      </c>
      <c r="L240" s="276">
        <v>2024</v>
      </c>
      <c r="M240" s="291" t="s">
        <v>2796</v>
      </c>
      <c r="N240" s="341" t="s">
        <v>1471</v>
      </c>
      <c r="O240" s="276" t="s">
        <v>451</v>
      </c>
      <c r="P240" s="276"/>
      <c r="Q240" s="276"/>
      <c r="R240" s="276"/>
      <c r="S240" s="276"/>
      <c r="T240" s="276"/>
      <c r="U240" s="276"/>
      <c r="V240" s="276"/>
      <c r="W240" s="276"/>
      <c r="X240" s="276"/>
      <c r="Y240" s="276"/>
      <c r="Z240" s="276"/>
    </row>
    <row r="241" spans="1:26" ht="14.25" customHeight="1" x14ac:dyDescent="0.3">
      <c r="A241" s="356" t="s">
        <v>2737</v>
      </c>
      <c r="B241" s="313" t="s">
        <v>1341</v>
      </c>
      <c r="C241" s="279" t="s">
        <v>1470</v>
      </c>
      <c r="D241" s="283" t="s">
        <v>451</v>
      </c>
      <c r="E241" s="279" t="s">
        <v>1089</v>
      </c>
      <c r="F241" s="355">
        <v>21</v>
      </c>
      <c r="G241" s="357" t="s">
        <v>1088</v>
      </c>
      <c r="H241" s="283">
        <v>45929</v>
      </c>
      <c r="I241" s="276" t="s">
        <v>1347</v>
      </c>
      <c r="J241" s="341" t="s">
        <v>1345</v>
      </c>
      <c r="K241" s="282" t="s">
        <v>1142</v>
      </c>
      <c r="L241" s="276">
        <v>2024</v>
      </c>
      <c r="M241" s="291" t="s">
        <v>2797</v>
      </c>
      <c r="N241" s="341" t="s">
        <v>1471</v>
      </c>
      <c r="O241" s="355" t="s">
        <v>451</v>
      </c>
      <c r="P241" s="276"/>
      <c r="Q241" s="276"/>
      <c r="R241" s="276"/>
      <c r="S241" s="276"/>
      <c r="T241" s="276"/>
      <c r="U241" s="276"/>
      <c r="V241" s="276"/>
      <c r="W241" s="276"/>
      <c r="X241" s="276"/>
      <c r="Y241" s="276"/>
      <c r="Z241" s="276"/>
    </row>
    <row r="242" spans="1:26" ht="14.25" customHeight="1" x14ac:dyDescent="0.3">
      <c r="A242" s="356" t="s">
        <v>2738</v>
      </c>
      <c r="B242" s="313" t="s">
        <v>1341</v>
      </c>
      <c r="C242" s="279" t="s">
        <v>1470</v>
      </c>
      <c r="D242" s="283" t="s">
        <v>451</v>
      </c>
      <c r="E242" s="279" t="s">
        <v>1089</v>
      </c>
      <c r="F242" s="355">
        <v>21</v>
      </c>
      <c r="G242" s="357" t="s">
        <v>1088</v>
      </c>
      <c r="H242" s="283">
        <v>45929</v>
      </c>
      <c r="I242" s="276" t="s">
        <v>1347</v>
      </c>
      <c r="J242" s="341" t="s">
        <v>1345</v>
      </c>
      <c r="K242" s="282" t="s">
        <v>1142</v>
      </c>
      <c r="L242" s="276">
        <v>2024</v>
      </c>
      <c r="M242" s="291" t="s">
        <v>2798</v>
      </c>
      <c r="N242" s="341" t="s">
        <v>1471</v>
      </c>
      <c r="O242" s="276" t="s">
        <v>451</v>
      </c>
      <c r="P242" s="276"/>
      <c r="Q242" s="276"/>
      <c r="R242" s="276"/>
      <c r="S242" s="276"/>
      <c r="T242" s="276"/>
      <c r="U242" s="276"/>
      <c r="V242" s="276"/>
      <c r="W242" s="276"/>
      <c r="X242" s="276"/>
      <c r="Y242" s="276"/>
      <c r="Z242" s="276"/>
    </row>
    <row r="243" spans="1:26" ht="14.25" customHeight="1" x14ac:dyDescent="0.3">
      <c r="A243" s="313" t="s">
        <v>690</v>
      </c>
      <c r="B243" s="313" t="s">
        <v>1341</v>
      </c>
      <c r="C243" s="279" t="s">
        <v>1470</v>
      </c>
      <c r="D243" s="283" t="s">
        <v>451</v>
      </c>
      <c r="E243" s="279" t="s">
        <v>1089</v>
      </c>
      <c r="F243" s="309">
        <v>5</v>
      </c>
      <c r="G243" s="281" t="s">
        <v>1088</v>
      </c>
      <c r="H243" s="280">
        <v>45817</v>
      </c>
      <c r="I243" s="276" t="s">
        <v>1347</v>
      </c>
      <c r="J243" s="341" t="s">
        <v>1345</v>
      </c>
      <c r="K243" s="282" t="s">
        <v>1142</v>
      </c>
      <c r="L243" s="276">
        <v>2024</v>
      </c>
      <c r="M243" s="291" t="s">
        <v>2799</v>
      </c>
      <c r="N243" s="341" t="s">
        <v>1471</v>
      </c>
      <c r="O243" s="276" t="s">
        <v>451</v>
      </c>
      <c r="P243" s="276"/>
      <c r="Q243" s="276"/>
      <c r="R243" s="276"/>
      <c r="S243" s="276"/>
      <c r="T243" s="276"/>
      <c r="U243" s="276"/>
      <c r="V243" s="276"/>
      <c r="W243" s="276"/>
      <c r="X243" s="276"/>
      <c r="Y243" s="276"/>
      <c r="Z243" s="276"/>
    </row>
    <row r="244" spans="1:26" ht="14.25" customHeight="1" x14ac:dyDescent="0.3">
      <c r="A244" s="313" t="s">
        <v>692</v>
      </c>
      <c r="B244" s="313" t="s">
        <v>1341</v>
      </c>
      <c r="C244" s="279" t="s">
        <v>1470</v>
      </c>
      <c r="D244" s="283" t="s">
        <v>451</v>
      </c>
      <c r="E244" s="279" t="s">
        <v>1089</v>
      </c>
      <c r="F244" s="309">
        <v>5</v>
      </c>
      <c r="G244" s="281" t="s">
        <v>1088</v>
      </c>
      <c r="H244" s="280">
        <v>45817</v>
      </c>
      <c r="I244" s="276" t="s">
        <v>1347</v>
      </c>
      <c r="J244" s="341" t="s">
        <v>1345</v>
      </c>
      <c r="K244" s="282" t="s">
        <v>1142</v>
      </c>
      <c r="L244" s="276">
        <v>2024</v>
      </c>
      <c r="M244" s="551" t="s">
        <v>2800</v>
      </c>
      <c r="N244" s="341" t="s">
        <v>1471</v>
      </c>
      <c r="O244" s="276" t="s">
        <v>451</v>
      </c>
      <c r="P244" s="276"/>
      <c r="Q244" s="276"/>
      <c r="R244" s="276"/>
      <c r="S244" s="276"/>
      <c r="T244" s="276"/>
      <c r="U244" s="276"/>
      <c r="V244" s="276"/>
      <c r="W244" s="276"/>
      <c r="X244" s="276"/>
      <c r="Y244" s="276"/>
      <c r="Z244" s="276"/>
    </row>
    <row r="245" spans="1:26" ht="14.25" customHeight="1" x14ac:dyDescent="0.3">
      <c r="A245" s="313" t="s">
        <v>697</v>
      </c>
      <c r="B245" s="313" t="s">
        <v>1341</v>
      </c>
      <c r="C245" s="279" t="s">
        <v>1470</v>
      </c>
      <c r="D245" s="283" t="s">
        <v>451</v>
      </c>
      <c r="E245" s="279" t="s">
        <v>1089</v>
      </c>
      <c r="F245" s="311">
        <v>13</v>
      </c>
      <c r="G245" s="281" t="s">
        <v>1088</v>
      </c>
      <c r="H245" s="341">
        <v>45824</v>
      </c>
      <c r="I245" s="276" t="s">
        <v>1347</v>
      </c>
      <c r="J245" s="341" t="s">
        <v>1345</v>
      </c>
      <c r="K245" s="282" t="s">
        <v>1142</v>
      </c>
      <c r="L245" s="276">
        <v>2024</v>
      </c>
      <c r="M245" s="550" t="s">
        <v>2801</v>
      </c>
      <c r="N245" s="341" t="s">
        <v>1471</v>
      </c>
      <c r="O245" s="276" t="s">
        <v>451</v>
      </c>
      <c r="P245" s="276"/>
      <c r="Q245" s="276"/>
      <c r="R245" s="276"/>
      <c r="S245" s="276"/>
      <c r="T245" s="276"/>
      <c r="U245" s="276"/>
      <c r="V245" s="276"/>
      <c r="W245" s="276"/>
      <c r="X245" s="276"/>
      <c r="Y245" s="276"/>
      <c r="Z245" s="276"/>
    </row>
    <row r="246" spans="1:26" ht="14.25" customHeight="1" x14ac:dyDescent="0.3">
      <c r="A246" s="356" t="s">
        <v>2739</v>
      </c>
      <c r="B246" s="313" t="s">
        <v>1341</v>
      </c>
      <c r="C246" s="279" t="s">
        <v>1470</v>
      </c>
      <c r="D246" s="283" t="s">
        <v>451</v>
      </c>
      <c r="E246" s="279" t="s">
        <v>1089</v>
      </c>
      <c r="F246" s="355">
        <v>21</v>
      </c>
      <c r="G246" s="357" t="s">
        <v>1088</v>
      </c>
      <c r="H246" s="283">
        <v>45929</v>
      </c>
      <c r="I246" s="276" t="s">
        <v>1347</v>
      </c>
      <c r="J246" s="341" t="s">
        <v>1345</v>
      </c>
      <c r="K246" s="282" t="s">
        <v>1142</v>
      </c>
      <c r="L246" s="276">
        <v>2024</v>
      </c>
      <c r="M246" s="291" t="s">
        <v>2802</v>
      </c>
      <c r="N246" s="341" t="s">
        <v>1471</v>
      </c>
      <c r="O246" s="355" t="s">
        <v>451</v>
      </c>
      <c r="P246" s="276"/>
      <c r="Q246" s="276"/>
      <c r="R246" s="276"/>
      <c r="S246" s="276"/>
      <c r="T246" s="276"/>
      <c r="U246" s="276"/>
      <c r="V246" s="276"/>
      <c r="W246" s="276"/>
      <c r="X246" s="276"/>
      <c r="Y246" s="276"/>
      <c r="Z246" s="276"/>
    </row>
    <row r="247" spans="1:26" ht="14.25" customHeight="1" x14ac:dyDescent="0.3">
      <c r="A247" s="352" t="s">
        <v>2740</v>
      </c>
      <c r="B247" s="313" t="s">
        <v>1341</v>
      </c>
      <c r="C247" s="279" t="s">
        <v>1470</v>
      </c>
      <c r="D247" s="283" t="s">
        <v>451</v>
      </c>
      <c r="E247" s="279" t="s">
        <v>1089</v>
      </c>
      <c r="F247" s="355">
        <v>21</v>
      </c>
      <c r="G247" s="315" t="s">
        <v>1088</v>
      </c>
      <c r="H247" s="283">
        <v>45929</v>
      </c>
      <c r="I247" s="276" t="s">
        <v>1347</v>
      </c>
      <c r="J247" s="341" t="s">
        <v>1345</v>
      </c>
      <c r="K247" s="282" t="s">
        <v>1142</v>
      </c>
      <c r="L247" s="276">
        <v>2024</v>
      </c>
      <c r="M247" s="291" t="s">
        <v>2803</v>
      </c>
      <c r="N247" s="341" t="s">
        <v>1471</v>
      </c>
      <c r="O247" s="313"/>
      <c r="P247" s="276"/>
      <c r="Q247" s="276"/>
      <c r="R247" s="276"/>
      <c r="S247" s="276"/>
      <c r="T247" s="276"/>
      <c r="U247" s="276"/>
      <c r="V247" s="276"/>
      <c r="W247" s="276"/>
      <c r="X247" s="276"/>
      <c r="Y247" s="276"/>
      <c r="Z247" s="276"/>
    </row>
    <row r="248" spans="1:26" ht="14.25" customHeight="1" x14ac:dyDescent="0.3">
      <c r="A248" s="308" t="s">
        <v>2195</v>
      </c>
      <c r="B248" s="313" t="s">
        <v>1341</v>
      </c>
      <c r="C248" s="279" t="s">
        <v>1470</v>
      </c>
      <c r="D248" s="283" t="s">
        <v>451</v>
      </c>
      <c r="E248" s="279" t="s">
        <v>1089</v>
      </c>
      <c r="F248" s="311">
        <v>13</v>
      </c>
      <c r="G248" s="310" t="s">
        <v>1088</v>
      </c>
      <c r="H248" s="341">
        <v>45824</v>
      </c>
      <c r="I248" s="276" t="s">
        <v>1347</v>
      </c>
      <c r="J248" s="341" t="s">
        <v>1345</v>
      </c>
      <c r="K248" s="282" t="s">
        <v>1142</v>
      </c>
      <c r="L248" s="276">
        <v>2024</v>
      </c>
      <c r="M248" s="550" t="s">
        <v>2804</v>
      </c>
      <c r="N248" s="341" t="s">
        <v>1471</v>
      </c>
      <c r="O248" s="313"/>
      <c r="P248" s="276"/>
      <c r="Q248" s="276"/>
      <c r="R248" s="276"/>
      <c r="S248" s="276"/>
      <c r="T248" s="276"/>
      <c r="U248" s="276"/>
      <c r="V248" s="276"/>
      <c r="W248" s="276"/>
      <c r="X248" s="276"/>
      <c r="Y248" s="276"/>
      <c r="Z248" s="276"/>
    </row>
    <row r="249" spans="1:26" ht="14.25" customHeight="1" x14ac:dyDescent="0.3">
      <c r="A249" s="313" t="s">
        <v>1147</v>
      </c>
      <c r="B249" s="313" t="s">
        <v>1341</v>
      </c>
      <c r="C249" s="279" t="s">
        <v>1470</v>
      </c>
      <c r="D249" s="283" t="s">
        <v>451</v>
      </c>
      <c r="E249" s="279" t="s">
        <v>1089</v>
      </c>
      <c r="F249" s="311">
        <v>19</v>
      </c>
      <c r="G249" s="316" t="s">
        <v>1100</v>
      </c>
      <c r="H249" s="283">
        <v>45865</v>
      </c>
      <c r="I249" s="276" t="s">
        <v>1347</v>
      </c>
      <c r="J249" s="341" t="s">
        <v>1345</v>
      </c>
      <c r="K249" s="282" t="s">
        <v>1142</v>
      </c>
      <c r="L249" s="276">
        <v>2024</v>
      </c>
      <c r="M249" s="291" t="s">
        <v>2753</v>
      </c>
      <c r="N249" s="341" t="s">
        <v>1471</v>
      </c>
      <c r="O249" s="313"/>
      <c r="P249" s="276"/>
      <c r="Q249" s="276"/>
      <c r="R249" s="276"/>
      <c r="S249" s="276"/>
      <c r="T249" s="276"/>
      <c r="U249" s="276"/>
      <c r="V249" s="276"/>
      <c r="W249" s="276"/>
      <c r="X249" s="276"/>
      <c r="Y249" s="276"/>
      <c r="Z249" s="276"/>
    </row>
    <row r="250" spans="1:26" ht="14.25" customHeight="1" x14ac:dyDescent="0.3">
      <c r="A250" s="313" t="s">
        <v>738</v>
      </c>
      <c r="B250" s="313" t="s">
        <v>1341</v>
      </c>
      <c r="C250" s="279" t="s">
        <v>1470</v>
      </c>
      <c r="D250" s="283" t="s">
        <v>451</v>
      </c>
      <c r="E250" s="279" t="s">
        <v>1089</v>
      </c>
      <c r="F250" s="309">
        <v>5</v>
      </c>
      <c r="G250" s="281" t="s">
        <v>1088</v>
      </c>
      <c r="H250" s="280">
        <v>45817</v>
      </c>
      <c r="I250" s="276" t="s">
        <v>1347</v>
      </c>
      <c r="J250" s="341" t="s">
        <v>1345</v>
      </c>
      <c r="K250" s="282" t="s">
        <v>1142</v>
      </c>
      <c r="L250" s="276">
        <v>2024</v>
      </c>
      <c r="M250" s="551" t="s">
        <v>2805</v>
      </c>
      <c r="N250" s="341" t="s">
        <v>1471</v>
      </c>
      <c r="O250" s="355" t="s">
        <v>451</v>
      </c>
      <c r="P250" s="276"/>
      <c r="Q250" s="276"/>
      <c r="R250" s="276"/>
      <c r="S250" s="276"/>
      <c r="T250" s="276"/>
      <c r="U250" s="276"/>
      <c r="V250" s="276"/>
      <c r="W250" s="276"/>
      <c r="X250" s="276"/>
      <c r="Y250" s="276"/>
      <c r="Z250" s="276"/>
    </row>
    <row r="251" spans="1:26" ht="14.25" customHeight="1" x14ac:dyDescent="0.3">
      <c r="A251" s="313" t="s">
        <v>750</v>
      </c>
      <c r="B251" s="313" t="s">
        <v>1341</v>
      </c>
      <c r="C251" s="279" t="s">
        <v>1470</v>
      </c>
      <c r="D251" s="283" t="s">
        <v>451</v>
      </c>
      <c r="E251" s="279" t="s">
        <v>1089</v>
      </c>
      <c r="F251" s="309">
        <v>5</v>
      </c>
      <c r="G251" s="281" t="s">
        <v>1088</v>
      </c>
      <c r="H251" s="280">
        <v>45817</v>
      </c>
      <c r="I251" s="276" t="s">
        <v>1347</v>
      </c>
      <c r="J251" s="341" t="s">
        <v>1345</v>
      </c>
      <c r="K251" s="282" t="s">
        <v>1142</v>
      </c>
      <c r="L251" s="276">
        <v>2024</v>
      </c>
      <c r="M251" s="291" t="s">
        <v>2806</v>
      </c>
      <c r="N251" s="341" t="s">
        <v>1471</v>
      </c>
      <c r="O251" s="276" t="s">
        <v>451</v>
      </c>
      <c r="P251" s="276"/>
      <c r="Q251" s="276"/>
      <c r="R251" s="276"/>
      <c r="S251" s="276"/>
      <c r="T251" s="276"/>
      <c r="U251" s="276"/>
      <c r="V251" s="276"/>
      <c r="W251" s="276"/>
      <c r="X251" s="276"/>
      <c r="Y251" s="276"/>
      <c r="Z251" s="276"/>
    </row>
    <row r="252" spans="1:26" ht="14.25" customHeight="1" x14ac:dyDescent="0.3">
      <c r="A252" s="352" t="s">
        <v>765</v>
      </c>
      <c r="B252" s="313" t="s">
        <v>1341</v>
      </c>
      <c r="C252" s="279" t="s">
        <v>1470</v>
      </c>
      <c r="D252" s="283" t="s">
        <v>451</v>
      </c>
      <c r="E252" s="279" t="s">
        <v>1089</v>
      </c>
      <c r="F252" s="355">
        <v>23</v>
      </c>
      <c r="G252" s="339" t="s">
        <v>1088</v>
      </c>
      <c r="H252" s="283">
        <v>45938</v>
      </c>
      <c r="I252" s="276" t="s">
        <v>1347</v>
      </c>
      <c r="J252" s="341" t="s">
        <v>1345</v>
      </c>
      <c r="K252" s="282" t="s">
        <v>1142</v>
      </c>
      <c r="L252" s="276">
        <v>2024</v>
      </c>
      <c r="M252" s="291" t="s">
        <v>2807</v>
      </c>
      <c r="N252" s="341" t="s">
        <v>1471</v>
      </c>
      <c r="O252" s="313"/>
      <c r="P252" s="276"/>
      <c r="Q252" s="276"/>
      <c r="R252" s="276"/>
      <c r="S252" s="276"/>
      <c r="T252" s="276"/>
      <c r="U252" s="276"/>
      <c r="V252" s="276"/>
      <c r="W252" s="276"/>
      <c r="X252" s="276"/>
      <c r="Y252" s="276"/>
      <c r="Z252" s="276"/>
    </row>
    <row r="253" spans="1:26" ht="14.25" customHeight="1" x14ac:dyDescent="0.3">
      <c r="A253" s="308" t="s">
        <v>769</v>
      </c>
      <c r="B253" s="313" t="s">
        <v>1341</v>
      </c>
      <c r="C253" s="279" t="s">
        <v>1470</v>
      </c>
      <c r="D253" s="283" t="s">
        <v>451</v>
      </c>
      <c r="E253" s="279" t="s">
        <v>1089</v>
      </c>
      <c r="F253" s="311">
        <v>13</v>
      </c>
      <c r="G253" s="310" t="s">
        <v>1088</v>
      </c>
      <c r="H253" s="341">
        <v>45824</v>
      </c>
      <c r="I253" s="276" t="s">
        <v>1347</v>
      </c>
      <c r="J253" s="341" t="s">
        <v>1345</v>
      </c>
      <c r="K253" s="282" t="s">
        <v>1142</v>
      </c>
      <c r="L253" s="276">
        <v>2024</v>
      </c>
      <c r="M253" s="291" t="s">
        <v>2808</v>
      </c>
      <c r="N253" s="341" t="s">
        <v>1471</v>
      </c>
      <c r="O253" s="313"/>
      <c r="P253" s="276"/>
      <c r="Q253" s="276"/>
      <c r="R253" s="276"/>
      <c r="S253" s="276"/>
      <c r="T253" s="276"/>
      <c r="U253" s="276"/>
      <c r="V253" s="276"/>
      <c r="W253" s="276"/>
      <c r="X253" s="276"/>
      <c r="Y253" s="276"/>
      <c r="Z253" s="276"/>
    </row>
    <row r="254" spans="1:26" ht="14.25" customHeight="1" x14ac:dyDescent="0.3">
      <c r="A254" s="352" t="s">
        <v>2741</v>
      </c>
      <c r="B254" s="313" t="s">
        <v>1341</v>
      </c>
      <c r="C254" s="279" t="s">
        <v>1470</v>
      </c>
      <c r="D254" s="283" t="s">
        <v>451</v>
      </c>
      <c r="E254" s="279" t="s">
        <v>1089</v>
      </c>
      <c r="F254" s="276">
        <v>21</v>
      </c>
      <c r="G254" s="315" t="s">
        <v>1088</v>
      </c>
      <c r="H254" s="283">
        <v>45929</v>
      </c>
      <c r="I254" s="276" t="s">
        <v>1347</v>
      </c>
      <c r="J254" s="341" t="s">
        <v>1345</v>
      </c>
      <c r="K254" s="282" t="s">
        <v>1142</v>
      </c>
      <c r="L254" s="276">
        <v>2024</v>
      </c>
      <c r="M254" s="291" t="s">
        <v>2809</v>
      </c>
      <c r="N254" s="341" t="s">
        <v>1471</v>
      </c>
      <c r="O254" s="313"/>
      <c r="P254" s="276"/>
      <c r="Q254" s="276"/>
      <c r="R254" s="276"/>
      <c r="S254" s="276"/>
      <c r="T254" s="276"/>
      <c r="U254" s="276"/>
      <c r="V254" s="276"/>
      <c r="W254" s="276"/>
      <c r="X254" s="276"/>
      <c r="Y254" s="276"/>
      <c r="Z254" s="276"/>
    </row>
    <row r="255" spans="1:26" ht="14.25" customHeight="1" x14ac:dyDescent="0.3">
      <c r="A255" s="352" t="s">
        <v>2742</v>
      </c>
      <c r="B255" s="313" t="s">
        <v>1341</v>
      </c>
      <c r="C255" s="279" t="s">
        <v>1470</v>
      </c>
      <c r="D255" s="283" t="s">
        <v>451</v>
      </c>
      <c r="E255" s="279" t="s">
        <v>1089</v>
      </c>
      <c r="F255" s="355">
        <v>21</v>
      </c>
      <c r="G255" s="315" t="s">
        <v>1088</v>
      </c>
      <c r="H255" s="283">
        <v>45929</v>
      </c>
      <c r="I255" s="276" t="s">
        <v>1347</v>
      </c>
      <c r="J255" s="341" t="s">
        <v>1345</v>
      </c>
      <c r="K255" s="282" t="s">
        <v>1142</v>
      </c>
      <c r="L255" s="276">
        <v>2024</v>
      </c>
      <c r="M255" s="291" t="s">
        <v>2810</v>
      </c>
      <c r="N255" s="341" t="s">
        <v>1471</v>
      </c>
      <c r="O255" s="313"/>
      <c r="P255" s="276"/>
      <c r="Q255" s="276"/>
      <c r="R255" s="276"/>
      <c r="S255" s="276"/>
      <c r="T255" s="276"/>
      <c r="U255" s="276"/>
      <c r="V255" s="276"/>
      <c r="W255" s="276"/>
      <c r="X255" s="276"/>
      <c r="Y255" s="276"/>
      <c r="Z255" s="276"/>
    </row>
    <row r="256" spans="1:26" ht="14.25" customHeight="1" x14ac:dyDescent="0.3">
      <c r="A256" s="358" t="s">
        <v>801</v>
      </c>
      <c r="B256" s="313" t="s">
        <v>1341</v>
      </c>
      <c r="C256" s="279" t="s">
        <v>1470</v>
      </c>
      <c r="D256" s="283" t="s">
        <v>451</v>
      </c>
      <c r="E256" s="359" t="s">
        <v>1089</v>
      </c>
      <c r="F256" s="311">
        <v>8</v>
      </c>
      <c r="G256" s="281" t="s">
        <v>1088</v>
      </c>
      <c r="H256" s="341">
        <v>45824</v>
      </c>
      <c r="I256" s="276" t="s">
        <v>1347</v>
      </c>
      <c r="J256" s="341" t="s">
        <v>1345</v>
      </c>
      <c r="K256" s="282" t="s">
        <v>1142</v>
      </c>
      <c r="L256" s="276">
        <v>2024</v>
      </c>
      <c r="M256" s="291" t="s">
        <v>2811</v>
      </c>
      <c r="N256" s="341" t="s">
        <v>1471</v>
      </c>
      <c r="O256" s="276" t="s">
        <v>451</v>
      </c>
      <c r="P256" s="276"/>
      <c r="Q256" s="276"/>
      <c r="R256" s="276"/>
      <c r="S256" s="276"/>
      <c r="T256" s="276"/>
      <c r="U256" s="276"/>
      <c r="V256" s="276"/>
      <c r="W256" s="276"/>
      <c r="X256" s="276"/>
      <c r="Y256" s="276"/>
      <c r="Z256" s="276"/>
    </row>
    <row r="257" spans="1:26" ht="14.25" customHeight="1" x14ac:dyDescent="0.3">
      <c r="A257" s="313" t="s">
        <v>802</v>
      </c>
      <c r="B257" s="313" t="s">
        <v>1341</v>
      </c>
      <c r="C257" s="279" t="s">
        <v>1470</v>
      </c>
      <c r="D257" s="283" t="s">
        <v>451</v>
      </c>
      <c r="E257" s="279" t="s">
        <v>1089</v>
      </c>
      <c r="F257" s="324">
        <v>20</v>
      </c>
      <c r="G257" s="343" t="s">
        <v>1086</v>
      </c>
      <c r="H257" s="283">
        <v>45912</v>
      </c>
      <c r="I257" s="276" t="s">
        <v>1347</v>
      </c>
      <c r="J257" s="341" t="s">
        <v>1345</v>
      </c>
      <c r="K257" s="282" t="s">
        <v>1142</v>
      </c>
      <c r="L257" s="276">
        <v>2024</v>
      </c>
      <c r="M257" s="276" t="s">
        <v>1479</v>
      </c>
      <c r="N257" s="341" t="s">
        <v>1471</v>
      </c>
      <c r="O257" s="313"/>
      <c r="P257" s="276"/>
      <c r="Q257" s="276"/>
      <c r="R257" s="276"/>
      <c r="S257" s="276"/>
      <c r="T257" s="276"/>
      <c r="U257" s="276"/>
      <c r="V257" s="276"/>
      <c r="W257" s="276"/>
      <c r="X257" s="276"/>
      <c r="Y257" s="276"/>
      <c r="Z257" s="276"/>
    </row>
    <row r="258" spans="1:26" ht="14.25" customHeight="1" x14ac:dyDescent="0.3">
      <c r="A258" s="313" t="s">
        <v>805</v>
      </c>
      <c r="B258" s="313" t="s">
        <v>1341</v>
      </c>
      <c r="C258" s="279" t="s">
        <v>1470</v>
      </c>
      <c r="D258" s="283" t="s">
        <v>451</v>
      </c>
      <c r="E258" s="279" t="s">
        <v>1089</v>
      </c>
      <c r="F258" s="324">
        <v>20</v>
      </c>
      <c r="G258" s="343" t="s">
        <v>1086</v>
      </c>
      <c r="H258" s="283">
        <v>45912</v>
      </c>
      <c r="I258" s="276" t="s">
        <v>1347</v>
      </c>
      <c r="J258" s="341" t="s">
        <v>1345</v>
      </c>
      <c r="K258" s="282" t="s">
        <v>1142</v>
      </c>
      <c r="L258" s="276">
        <v>2024</v>
      </c>
      <c r="M258" s="276" t="s">
        <v>1480</v>
      </c>
      <c r="N258" s="341" t="s">
        <v>1471</v>
      </c>
      <c r="O258" s="313"/>
      <c r="P258" s="276"/>
      <c r="Q258" s="276"/>
      <c r="R258" s="276"/>
      <c r="S258" s="276"/>
      <c r="T258" s="276"/>
      <c r="U258" s="276"/>
      <c r="V258" s="276"/>
      <c r="W258" s="276"/>
      <c r="X258" s="276"/>
      <c r="Y258" s="276"/>
      <c r="Z258" s="276"/>
    </row>
    <row r="259" spans="1:26" ht="14.25" customHeight="1" x14ac:dyDescent="0.3">
      <c r="A259" s="340" t="s">
        <v>823</v>
      </c>
      <c r="B259" s="313" t="s">
        <v>1341</v>
      </c>
      <c r="C259" s="279" t="s">
        <v>1470</v>
      </c>
      <c r="D259" s="283" t="s">
        <v>451</v>
      </c>
      <c r="E259" s="279" t="s">
        <v>1089</v>
      </c>
      <c r="F259" s="311">
        <v>8</v>
      </c>
      <c r="G259" s="281" t="s">
        <v>1088</v>
      </c>
      <c r="H259" s="341">
        <v>45824</v>
      </c>
      <c r="I259" s="276" t="s">
        <v>1347</v>
      </c>
      <c r="J259" s="341" t="s">
        <v>1345</v>
      </c>
      <c r="K259" s="282" t="s">
        <v>1142</v>
      </c>
      <c r="L259" s="276">
        <v>2024</v>
      </c>
      <c r="M259" s="291" t="s">
        <v>2812</v>
      </c>
      <c r="N259" s="341" t="s">
        <v>1471</v>
      </c>
      <c r="O259" s="276" t="s">
        <v>451</v>
      </c>
      <c r="P259" s="276"/>
      <c r="Q259" s="276"/>
      <c r="R259" s="276"/>
      <c r="S259" s="276"/>
      <c r="T259" s="276"/>
      <c r="U259" s="276"/>
      <c r="V259" s="276"/>
      <c r="W259" s="276"/>
      <c r="X259" s="276"/>
      <c r="Y259" s="276"/>
      <c r="Z259" s="276"/>
    </row>
    <row r="260" spans="1:26" ht="14.25" customHeight="1" x14ac:dyDescent="0.3">
      <c r="A260" s="313" t="s">
        <v>826</v>
      </c>
      <c r="B260" s="313" t="s">
        <v>1341</v>
      </c>
      <c r="C260" s="279" t="s">
        <v>1470</v>
      </c>
      <c r="D260" s="283" t="s">
        <v>451</v>
      </c>
      <c r="E260" s="279" t="s">
        <v>1089</v>
      </c>
      <c r="F260" s="324">
        <v>20</v>
      </c>
      <c r="G260" s="343" t="s">
        <v>1086</v>
      </c>
      <c r="H260" s="283">
        <v>45912</v>
      </c>
      <c r="I260" s="276" t="s">
        <v>1347</v>
      </c>
      <c r="J260" s="341" t="s">
        <v>1345</v>
      </c>
      <c r="K260" s="282" t="s">
        <v>1142</v>
      </c>
      <c r="L260" s="276">
        <v>2024</v>
      </c>
      <c r="M260" s="276" t="s">
        <v>1481</v>
      </c>
      <c r="N260" s="341" t="s">
        <v>1471</v>
      </c>
      <c r="O260" s="313"/>
      <c r="P260" s="276"/>
      <c r="Q260" s="276"/>
      <c r="R260" s="276"/>
      <c r="S260" s="276"/>
      <c r="T260" s="276"/>
      <c r="U260" s="276"/>
      <c r="V260" s="276"/>
      <c r="W260" s="276"/>
      <c r="X260" s="276"/>
      <c r="Y260" s="276"/>
      <c r="Z260" s="276"/>
    </row>
    <row r="261" spans="1:26" ht="14.25" customHeight="1" x14ac:dyDescent="0.3">
      <c r="A261" s="313" t="s">
        <v>832</v>
      </c>
      <c r="B261" s="313" t="s">
        <v>1341</v>
      </c>
      <c r="C261" s="279" t="s">
        <v>1470</v>
      </c>
      <c r="D261" s="283" t="s">
        <v>451</v>
      </c>
      <c r="E261" s="279" t="s">
        <v>1089</v>
      </c>
      <c r="F261" s="324">
        <v>20</v>
      </c>
      <c r="G261" s="343" t="s">
        <v>1086</v>
      </c>
      <c r="H261" s="283">
        <v>45912</v>
      </c>
      <c r="I261" s="276" t="s">
        <v>1347</v>
      </c>
      <c r="J261" s="341" t="s">
        <v>1345</v>
      </c>
      <c r="K261" s="282" t="s">
        <v>1142</v>
      </c>
      <c r="L261" s="276">
        <v>2024</v>
      </c>
      <c r="M261" s="276" t="s">
        <v>1482</v>
      </c>
      <c r="N261" s="341" t="s">
        <v>1471</v>
      </c>
      <c r="O261" s="345"/>
      <c r="P261" s="276"/>
      <c r="Q261" s="276"/>
      <c r="R261" s="276"/>
      <c r="S261" s="276"/>
      <c r="T261" s="276"/>
      <c r="U261" s="276"/>
      <c r="V261" s="276"/>
      <c r="W261" s="276"/>
      <c r="X261" s="276"/>
      <c r="Y261" s="276"/>
      <c r="Z261" s="276"/>
    </row>
    <row r="262" spans="1:26" ht="14.25" customHeight="1" x14ac:dyDescent="0.3">
      <c r="A262" s="313" t="s">
        <v>1056</v>
      </c>
      <c r="B262" s="313" t="s">
        <v>1341</v>
      </c>
      <c r="C262" s="279" t="s">
        <v>1470</v>
      </c>
      <c r="D262" s="283" t="s">
        <v>451</v>
      </c>
      <c r="E262" s="279" t="s">
        <v>1089</v>
      </c>
      <c r="F262" s="311">
        <v>13</v>
      </c>
      <c r="G262" s="281" t="s">
        <v>1088</v>
      </c>
      <c r="H262" s="341">
        <v>45824</v>
      </c>
      <c r="I262" s="276" t="s">
        <v>1347</v>
      </c>
      <c r="J262" s="341" t="s">
        <v>1345</v>
      </c>
      <c r="K262" s="282" t="s">
        <v>1142</v>
      </c>
      <c r="L262" s="276">
        <v>2024</v>
      </c>
      <c r="M262" s="552" t="s">
        <v>2813</v>
      </c>
      <c r="N262" s="341" t="s">
        <v>1471</v>
      </c>
      <c r="O262" s="276" t="s">
        <v>451</v>
      </c>
      <c r="P262" s="276"/>
      <c r="Q262" s="276"/>
      <c r="R262" s="276"/>
      <c r="S262" s="276"/>
      <c r="T262" s="276"/>
      <c r="U262" s="276"/>
      <c r="V262" s="276"/>
      <c r="W262" s="276"/>
      <c r="X262" s="276"/>
      <c r="Y262" s="276"/>
      <c r="Z262" s="276"/>
    </row>
    <row r="263" spans="1:26" ht="14.25" customHeight="1" x14ac:dyDescent="0.3">
      <c r="A263" s="313" t="s">
        <v>848</v>
      </c>
      <c r="B263" s="313" t="s">
        <v>1341</v>
      </c>
      <c r="C263" s="279" t="s">
        <v>1470</v>
      </c>
      <c r="D263" s="283" t="s">
        <v>451</v>
      </c>
      <c r="E263" s="279" t="s">
        <v>1089</v>
      </c>
      <c r="F263" s="324">
        <v>20</v>
      </c>
      <c r="G263" s="343" t="s">
        <v>1086</v>
      </c>
      <c r="H263" s="283">
        <v>45912</v>
      </c>
      <c r="I263" s="276" t="s">
        <v>1347</v>
      </c>
      <c r="J263" s="341" t="s">
        <v>1345</v>
      </c>
      <c r="K263" s="282" t="s">
        <v>1142</v>
      </c>
      <c r="L263" s="276">
        <v>2024</v>
      </c>
      <c r="M263" s="276" t="s">
        <v>1483</v>
      </c>
      <c r="N263" s="341" t="s">
        <v>1471</v>
      </c>
      <c r="O263" s="313"/>
      <c r="P263" s="276"/>
      <c r="Q263" s="276"/>
      <c r="R263" s="276"/>
      <c r="S263" s="276"/>
      <c r="T263" s="276"/>
      <c r="U263" s="276"/>
      <c r="V263" s="276"/>
      <c r="W263" s="276"/>
      <c r="X263" s="276"/>
      <c r="Y263" s="276"/>
      <c r="Z263" s="276"/>
    </row>
    <row r="264" spans="1:26" ht="14.25" customHeight="1" x14ac:dyDescent="0.3">
      <c r="A264" s="308" t="s">
        <v>1153</v>
      </c>
      <c r="B264" s="313" t="s">
        <v>1341</v>
      </c>
      <c r="C264" s="279" t="s">
        <v>1470</v>
      </c>
      <c r="D264" s="283" t="s">
        <v>451</v>
      </c>
      <c r="E264" s="279" t="s">
        <v>1089</v>
      </c>
      <c r="F264" s="355">
        <v>21</v>
      </c>
      <c r="G264" s="343" t="s">
        <v>1086</v>
      </c>
      <c r="H264" s="283">
        <v>45929</v>
      </c>
      <c r="I264" s="276" t="s">
        <v>1347</v>
      </c>
      <c r="J264" s="341" t="s">
        <v>1345</v>
      </c>
      <c r="K264" s="282" t="s">
        <v>1142</v>
      </c>
      <c r="L264" s="276">
        <v>2024</v>
      </c>
      <c r="M264" s="276" t="s">
        <v>1484</v>
      </c>
      <c r="N264" s="341" t="s">
        <v>1471</v>
      </c>
      <c r="O264" s="313"/>
      <c r="P264" s="276"/>
      <c r="Q264" s="276"/>
      <c r="R264" s="276"/>
      <c r="S264" s="276"/>
      <c r="T264" s="276"/>
      <c r="U264" s="276"/>
      <c r="V264" s="276"/>
      <c r="W264" s="276"/>
      <c r="X264" s="276"/>
      <c r="Y264" s="276"/>
      <c r="Z264" s="276"/>
    </row>
    <row r="265" spans="1:26" ht="14.25" customHeight="1" x14ac:dyDescent="0.3">
      <c r="A265" s="360" t="s">
        <v>1051</v>
      </c>
      <c r="B265" s="313" t="s">
        <v>1341</v>
      </c>
      <c r="C265" s="279" t="s">
        <v>1470</v>
      </c>
      <c r="D265" s="283" t="s">
        <v>451</v>
      </c>
      <c r="E265" s="279" t="s">
        <v>1089</v>
      </c>
      <c r="F265" s="324">
        <v>20</v>
      </c>
      <c r="G265" s="304" t="s">
        <v>1926</v>
      </c>
      <c r="H265" s="283">
        <v>45912</v>
      </c>
      <c r="I265" s="276" t="s">
        <v>1347</v>
      </c>
      <c r="J265" s="341" t="s">
        <v>1345</v>
      </c>
      <c r="K265" s="282" t="s">
        <v>1142</v>
      </c>
      <c r="L265" s="276">
        <v>2024</v>
      </c>
      <c r="M265" s="276" t="s">
        <v>1485</v>
      </c>
      <c r="N265" s="341" t="s">
        <v>1471</v>
      </c>
      <c r="O265" s="276" t="s">
        <v>451</v>
      </c>
      <c r="P265" s="276"/>
      <c r="Q265" s="276"/>
      <c r="R265" s="276"/>
      <c r="S265" s="276"/>
      <c r="T265" s="276"/>
      <c r="U265" s="276"/>
      <c r="V265" s="276"/>
      <c r="W265" s="276"/>
      <c r="X265" s="276"/>
      <c r="Y265" s="276"/>
      <c r="Z265" s="276"/>
    </row>
    <row r="266" spans="1:26" ht="14.25" customHeight="1" x14ac:dyDescent="0.3">
      <c r="A266" s="360" t="s">
        <v>895</v>
      </c>
      <c r="B266" s="313" t="s">
        <v>1341</v>
      </c>
      <c r="C266" s="279" t="s">
        <v>1470</v>
      </c>
      <c r="D266" s="283" t="s">
        <v>451</v>
      </c>
      <c r="E266" s="279" t="s">
        <v>1089</v>
      </c>
      <c r="F266" s="324">
        <v>20</v>
      </c>
      <c r="G266" s="304" t="s">
        <v>1926</v>
      </c>
      <c r="H266" s="283">
        <v>45912</v>
      </c>
      <c r="I266" s="276" t="s">
        <v>1347</v>
      </c>
      <c r="J266" s="341" t="s">
        <v>1345</v>
      </c>
      <c r="K266" s="282" t="s">
        <v>1142</v>
      </c>
      <c r="L266" s="276">
        <v>2024</v>
      </c>
      <c r="M266" s="276" t="s">
        <v>1486</v>
      </c>
      <c r="N266" s="341" t="s">
        <v>1471</v>
      </c>
      <c r="O266" s="276" t="s">
        <v>451</v>
      </c>
      <c r="P266" s="276"/>
      <c r="Q266" s="276"/>
      <c r="R266" s="276"/>
      <c r="S266" s="276"/>
      <c r="T266" s="276"/>
      <c r="U266" s="276"/>
      <c r="V266" s="276"/>
      <c r="W266" s="276"/>
      <c r="X266" s="276"/>
      <c r="Y266" s="276"/>
      <c r="Z266" s="276"/>
    </row>
    <row r="267" spans="1:26" ht="14.25" customHeight="1" x14ac:dyDescent="0.3">
      <c r="A267" s="352" t="s">
        <v>895</v>
      </c>
      <c r="B267" s="313" t="s">
        <v>1341</v>
      </c>
      <c r="C267" s="279" t="s">
        <v>1470</v>
      </c>
      <c r="D267" s="283" t="s">
        <v>451</v>
      </c>
      <c r="E267" s="279" t="s">
        <v>1343</v>
      </c>
      <c r="F267" s="276">
        <v>21</v>
      </c>
      <c r="G267" s="315" t="s">
        <v>1155</v>
      </c>
      <c r="H267" s="283">
        <v>45929</v>
      </c>
      <c r="I267" s="276" t="s">
        <v>1347</v>
      </c>
      <c r="J267" s="341" t="s">
        <v>1345</v>
      </c>
      <c r="K267" s="282" t="s">
        <v>1142</v>
      </c>
      <c r="L267" s="276">
        <v>2024</v>
      </c>
      <c r="M267" s="276" t="s">
        <v>1487</v>
      </c>
      <c r="N267" s="341" t="s">
        <v>1471</v>
      </c>
      <c r="O267" s="276"/>
      <c r="P267" s="276"/>
      <c r="Q267" s="276"/>
      <c r="R267" s="276"/>
      <c r="S267" s="276"/>
      <c r="T267" s="276"/>
      <c r="U267" s="276"/>
      <c r="V267" s="276"/>
      <c r="W267" s="276"/>
      <c r="X267" s="276"/>
      <c r="Y267" s="276"/>
      <c r="Z267" s="276"/>
    </row>
    <row r="268" spans="1:26" ht="14.25" customHeight="1" x14ac:dyDescent="0.3">
      <c r="A268" s="352" t="s">
        <v>898</v>
      </c>
      <c r="B268" s="313" t="s">
        <v>1341</v>
      </c>
      <c r="C268" s="279" t="s">
        <v>1470</v>
      </c>
      <c r="D268" s="283" t="s">
        <v>451</v>
      </c>
      <c r="E268" s="279" t="s">
        <v>1343</v>
      </c>
      <c r="F268" s="355">
        <v>21</v>
      </c>
      <c r="G268" s="315" t="s">
        <v>1155</v>
      </c>
      <c r="H268" s="283">
        <v>45929</v>
      </c>
      <c r="I268" s="276" t="s">
        <v>1347</v>
      </c>
      <c r="J268" s="341" t="s">
        <v>1345</v>
      </c>
      <c r="K268" s="282" t="s">
        <v>1142</v>
      </c>
      <c r="L268" s="276">
        <v>2024</v>
      </c>
      <c r="M268" s="276" t="s">
        <v>1488</v>
      </c>
      <c r="N268" s="341" t="s">
        <v>1471</v>
      </c>
      <c r="O268" s="313"/>
      <c r="P268" s="276"/>
      <c r="Q268" s="276"/>
      <c r="R268" s="276"/>
      <c r="S268" s="276"/>
      <c r="T268" s="276"/>
      <c r="U268" s="276"/>
      <c r="V268" s="276"/>
      <c r="W268" s="276"/>
      <c r="X268" s="276"/>
      <c r="Y268" s="276"/>
      <c r="Z268" s="276"/>
    </row>
    <row r="269" spans="1:26" ht="14.25" customHeight="1" x14ac:dyDescent="0.3">
      <c r="A269" s="340" t="s">
        <v>914</v>
      </c>
      <c r="B269" s="313" t="s">
        <v>1341</v>
      </c>
      <c r="C269" s="279" t="s">
        <v>1470</v>
      </c>
      <c r="D269" s="283" t="s">
        <v>451</v>
      </c>
      <c r="E269" s="279" t="s">
        <v>1089</v>
      </c>
      <c r="F269" s="311">
        <v>8</v>
      </c>
      <c r="G269" s="281" t="s">
        <v>1088</v>
      </c>
      <c r="H269" s="341">
        <v>45824</v>
      </c>
      <c r="I269" s="276" t="s">
        <v>1347</v>
      </c>
      <c r="J269" s="341" t="s">
        <v>1345</v>
      </c>
      <c r="K269" s="282" t="s">
        <v>1142</v>
      </c>
      <c r="L269" s="276">
        <v>2024</v>
      </c>
      <c r="M269" s="291" t="s">
        <v>2814</v>
      </c>
      <c r="N269" s="341" t="s">
        <v>1471</v>
      </c>
      <c r="O269" s="276" t="s">
        <v>451</v>
      </c>
      <c r="P269" s="276"/>
      <c r="Q269" s="276"/>
      <c r="R269" s="276"/>
      <c r="S269" s="276"/>
      <c r="T269" s="276"/>
      <c r="U269" s="276"/>
      <c r="V269" s="276"/>
      <c r="W269" s="276"/>
      <c r="X269" s="276"/>
      <c r="Y269" s="276"/>
      <c r="Z269" s="276"/>
    </row>
    <row r="270" spans="1:26" ht="14.25" customHeight="1" x14ac:dyDescent="0.3">
      <c r="A270" s="340" t="s">
        <v>926</v>
      </c>
      <c r="B270" s="313" t="s">
        <v>1341</v>
      </c>
      <c r="C270" s="279" t="s">
        <v>1470</v>
      </c>
      <c r="D270" s="283" t="s">
        <v>451</v>
      </c>
      <c r="E270" s="279" t="s">
        <v>1089</v>
      </c>
      <c r="F270" s="311">
        <v>8</v>
      </c>
      <c r="G270" s="281" t="s">
        <v>1088</v>
      </c>
      <c r="H270" s="341">
        <v>45824</v>
      </c>
      <c r="I270" s="276" t="s">
        <v>1347</v>
      </c>
      <c r="J270" s="341" t="s">
        <v>1345</v>
      </c>
      <c r="K270" s="282" t="s">
        <v>1142</v>
      </c>
      <c r="L270" s="276">
        <v>2024</v>
      </c>
      <c r="M270" s="291" t="s">
        <v>2815</v>
      </c>
      <c r="N270" s="341" t="s">
        <v>1471</v>
      </c>
      <c r="O270" s="276" t="s">
        <v>451</v>
      </c>
      <c r="P270" s="276"/>
      <c r="Q270" s="276"/>
      <c r="R270" s="276"/>
      <c r="S270" s="276"/>
      <c r="T270" s="276"/>
      <c r="U270" s="276"/>
      <c r="V270" s="276"/>
      <c r="W270" s="276"/>
      <c r="X270" s="276"/>
      <c r="Y270" s="276"/>
      <c r="Z270" s="276"/>
    </row>
    <row r="271" spans="1:26" ht="14.25" customHeight="1" x14ac:dyDescent="0.3">
      <c r="A271" s="340" t="s">
        <v>1163</v>
      </c>
      <c r="B271" s="313" t="s">
        <v>1341</v>
      </c>
      <c r="C271" s="279" t="s">
        <v>1470</v>
      </c>
      <c r="D271" s="283" t="s">
        <v>451</v>
      </c>
      <c r="E271" s="279" t="s">
        <v>1104</v>
      </c>
      <c r="F271" s="309">
        <v>11</v>
      </c>
      <c r="G271" s="279" t="s">
        <v>1926</v>
      </c>
      <c r="H271" s="283">
        <v>45824</v>
      </c>
      <c r="I271" s="276" t="s">
        <v>1347</v>
      </c>
      <c r="J271" s="341" t="s">
        <v>1345</v>
      </c>
      <c r="K271" s="282" t="s">
        <v>1142</v>
      </c>
      <c r="L271" s="276">
        <v>2024</v>
      </c>
      <c r="M271" s="276" t="s">
        <v>1489</v>
      </c>
      <c r="N271" s="341" t="s">
        <v>1471</v>
      </c>
      <c r="O271" s="276" t="s">
        <v>451</v>
      </c>
      <c r="P271" s="276"/>
      <c r="Q271" s="276"/>
      <c r="R271" s="276"/>
      <c r="S271" s="276"/>
      <c r="T271" s="276"/>
      <c r="U271" s="276"/>
      <c r="V271" s="276"/>
      <c r="W271" s="276"/>
      <c r="X271" s="276"/>
      <c r="Y271" s="276"/>
      <c r="Z271" s="276"/>
    </row>
    <row r="272" spans="1:26" ht="14.25" customHeight="1" x14ac:dyDescent="0.3">
      <c r="A272" s="313" t="s">
        <v>927</v>
      </c>
      <c r="B272" s="313" t="s">
        <v>1341</v>
      </c>
      <c r="C272" s="279" t="s">
        <v>1470</v>
      </c>
      <c r="D272" s="283" t="s">
        <v>451</v>
      </c>
      <c r="E272" s="279" t="s">
        <v>1093</v>
      </c>
      <c r="F272" s="311">
        <v>19</v>
      </c>
      <c r="G272" s="316" t="s">
        <v>1091</v>
      </c>
      <c r="H272" s="283">
        <v>45865</v>
      </c>
      <c r="I272" s="276" t="s">
        <v>1347</v>
      </c>
      <c r="J272" s="341" t="s">
        <v>1345</v>
      </c>
      <c r="K272" s="282" t="s">
        <v>1142</v>
      </c>
      <c r="L272" s="276">
        <v>2024</v>
      </c>
      <c r="M272" s="291" t="s">
        <v>2816</v>
      </c>
      <c r="N272" s="341" t="s">
        <v>1471</v>
      </c>
      <c r="O272" s="324" t="s">
        <v>1200</v>
      </c>
      <c r="P272" s="276"/>
      <c r="Q272" s="276"/>
      <c r="R272" s="276"/>
      <c r="S272" s="276"/>
      <c r="T272" s="276"/>
      <c r="U272" s="276"/>
      <c r="V272" s="276"/>
      <c r="W272" s="276"/>
      <c r="X272" s="276"/>
      <c r="Y272" s="276"/>
      <c r="Z272" s="276"/>
    </row>
    <row r="273" spans="1:26" ht="14.25" customHeight="1" x14ac:dyDescent="0.3">
      <c r="A273" s="313" t="s">
        <v>489</v>
      </c>
      <c r="B273" s="313" t="s">
        <v>1341</v>
      </c>
      <c r="C273" s="279" t="s">
        <v>1470</v>
      </c>
      <c r="D273" s="283" t="s">
        <v>451</v>
      </c>
      <c r="E273" s="279" t="s">
        <v>1089</v>
      </c>
      <c r="F273" s="311">
        <v>19</v>
      </c>
      <c r="G273" s="316" t="s">
        <v>1091</v>
      </c>
      <c r="H273" s="283">
        <v>45865</v>
      </c>
      <c r="I273" s="276" t="s">
        <v>1347</v>
      </c>
      <c r="J273" s="341" t="s">
        <v>1345</v>
      </c>
      <c r="K273" s="282" t="s">
        <v>1142</v>
      </c>
      <c r="L273" s="276">
        <v>2024</v>
      </c>
      <c r="M273" s="344" t="s">
        <v>2773</v>
      </c>
      <c r="N273" s="341" t="s">
        <v>1471</v>
      </c>
      <c r="O273" s="324" t="s">
        <v>1102</v>
      </c>
      <c r="P273" s="276"/>
      <c r="Q273" s="276"/>
      <c r="R273" s="276"/>
      <c r="S273" s="276"/>
      <c r="T273" s="276"/>
      <c r="U273" s="276"/>
      <c r="V273" s="276"/>
      <c r="W273" s="276"/>
      <c r="X273" s="276"/>
      <c r="Y273" s="276"/>
      <c r="Z273" s="276"/>
    </row>
    <row r="274" spans="1:26" ht="14.25" customHeight="1" x14ac:dyDescent="0.3">
      <c r="A274" s="361" t="s">
        <v>2159</v>
      </c>
      <c r="B274" s="313" t="s">
        <v>1341</v>
      </c>
      <c r="C274" s="276" t="s">
        <v>1490</v>
      </c>
      <c r="D274" s="283">
        <v>45961</v>
      </c>
      <c r="E274" s="279" t="s">
        <v>1343</v>
      </c>
      <c r="F274" s="276">
        <v>26</v>
      </c>
      <c r="G274" s="343" t="s">
        <v>1086</v>
      </c>
      <c r="H274" s="362">
        <v>45958</v>
      </c>
      <c r="I274" s="276" t="s">
        <v>1356</v>
      </c>
      <c r="J274" s="276" t="s">
        <v>1345</v>
      </c>
      <c r="K274" s="284" t="s">
        <v>1208</v>
      </c>
      <c r="L274" s="283">
        <v>45979</v>
      </c>
      <c r="M274" s="276" t="s">
        <v>451</v>
      </c>
      <c r="N274" s="276"/>
      <c r="O274" s="276"/>
      <c r="P274" s="276"/>
      <c r="Q274" s="276"/>
      <c r="R274" s="276"/>
      <c r="S274" s="276"/>
      <c r="T274" s="276"/>
      <c r="U274" s="276"/>
      <c r="V274" s="276"/>
      <c r="W274" s="276"/>
      <c r="X274" s="276"/>
      <c r="Y274" s="276"/>
      <c r="Z274" s="276"/>
    </row>
    <row r="275" spans="1:26" ht="14.25" customHeight="1" x14ac:dyDescent="0.3">
      <c r="A275" s="361" t="s">
        <v>2121</v>
      </c>
      <c r="B275" s="313" t="s">
        <v>1341</v>
      </c>
      <c r="C275" s="276" t="s">
        <v>1490</v>
      </c>
      <c r="D275" s="283">
        <v>45961</v>
      </c>
      <c r="E275" s="279" t="s">
        <v>1343</v>
      </c>
      <c r="F275" s="276">
        <v>26</v>
      </c>
      <c r="G275" s="343" t="s">
        <v>1086</v>
      </c>
      <c r="H275" s="362">
        <v>45958</v>
      </c>
      <c r="I275" s="276" t="s">
        <v>1347</v>
      </c>
      <c r="J275" s="276" t="s">
        <v>1491</v>
      </c>
      <c r="K275" s="282" t="s">
        <v>1081</v>
      </c>
      <c r="L275" s="283">
        <v>45980</v>
      </c>
      <c r="M275" s="291" t="s">
        <v>1492</v>
      </c>
      <c r="N275" s="276"/>
      <c r="O275" s="276"/>
      <c r="P275" s="276"/>
      <c r="Q275" s="276"/>
      <c r="R275" s="276"/>
      <c r="S275" s="276"/>
      <c r="T275" s="276"/>
      <c r="U275" s="276"/>
      <c r="V275" s="276"/>
      <c r="W275" s="276"/>
      <c r="X275" s="276"/>
      <c r="Y275" s="276"/>
      <c r="Z275" s="276"/>
    </row>
    <row r="276" spans="1:26" ht="14.25" customHeight="1" x14ac:dyDescent="0.3">
      <c r="A276" s="361" t="s">
        <v>2126</v>
      </c>
      <c r="B276" s="313" t="s">
        <v>1341</v>
      </c>
      <c r="C276" s="276" t="s">
        <v>1490</v>
      </c>
      <c r="D276" s="283">
        <v>45961</v>
      </c>
      <c r="E276" s="279" t="s">
        <v>1343</v>
      </c>
      <c r="F276" s="276">
        <v>26</v>
      </c>
      <c r="G276" s="343" t="s">
        <v>1086</v>
      </c>
      <c r="H276" s="362">
        <v>45958</v>
      </c>
      <c r="I276" s="276" t="s">
        <v>1362</v>
      </c>
      <c r="J276" s="276" t="s">
        <v>1493</v>
      </c>
      <c r="K276" s="290" t="s">
        <v>1208</v>
      </c>
      <c r="L276" s="283">
        <v>45979</v>
      </c>
      <c r="M276" s="291" t="s">
        <v>1494</v>
      </c>
      <c r="N276" s="276"/>
      <c r="O276" s="276"/>
      <c r="P276" s="276"/>
      <c r="Q276" s="276"/>
      <c r="R276" s="276"/>
      <c r="S276" s="276"/>
      <c r="T276" s="276"/>
      <c r="U276" s="276"/>
      <c r="V276" s="276"/>
      <c r="W276" s="276"/>
      <c r="X276" s="276"/>
      <c r="Y276" s="276"/>
      <c r="Z276" s="276"/>
    </row>
    <row r="277" spans="1:26" ht="14.25" customHeight="1" x14ac:dyDescent="0.3">
      <c r="A277" s="363" t="s">
        <v>2128</v>
      </c>
      <c r="B277" s="313" t="s">
        <v>1341</v>
      </c>
      <c r="C277" s="276" t="s">
        <v>1490</v>
      </c>
      <c r="D277" s="283">
        <v>45961</v>
      </c>
      <c r="E277" s="279" t="s">
        <v>1343</v>
      </c>
      <c r="F277" s="276">
        <v>26</v>
      </c>
      <c r="G277" s="343" t="s">
        <v>1086</v>
      </c>
      <c r="H277" s="362">
        <v>45958</v>
      </c>
      <c r="I277" s="276" t="s">
        <v>1347</v>
      </c>
      <c r="J277" s="276" t="s">
        <v>1493</v>
      </c>
      <c r="K277" s="282" t="s">
        <v>1081</v>
      </c>
      <c r="L277" s="283">
        <v>45979</v>
      </c>
      <c r="M277" s="291" t="s">
        <v>1495</v>
      </c>
      <c r="N277" s="276"/>
      <c r="O277" s="276"/>
      <c r="P277" s="276"/>
      <c r="Q277" s="276"/>
      <c r="R277" s="276"/>
      <c r="S277" s="276"/>
      <c r="T277" s="276"/>
      <c r="U277" s="276"/>
      <c r="V277" s="276"/>
      <c r="W277" s="276"/>
      <c r="X277" s="276"/>
      <c r="Y277" s="276"/>
      <c r="Z277" s="276"/>
    </row>
    <row r="278" spans="1:26" ht="14.25" customHeight="1" x14ac:dyDescent="0.3">
      <c r="A278" s="364" t="s">
        <v>2130</v>
      </c>
      <c r="B278" s="313" t="s">
        <v>1341</v>
      </c>
      <c r="C278" s="276" t="s">
        <v>1490</v>
      </c>
      <c r="D278" s="283">
        <v>45961</v>
      </c>
      <c r="E278" s="279" t="s">
        <v>1343</v>
      </c>
      <c r="F278" s="276">
        <v>26</v>
      </c>
      <c r="G278" s="343" t="s">
        <v>1086</v>
      </c>
      <c r="H278" s="362">
        <v>45958</v>
      </c>
      <c r="I278" s="276" t="s">
        <v>1347</v>
      </c>
      <c r="J278" s="276" t="s">
        <v>1493</v>
      </c>
      <c r="K278" s="282" t="s">
        <v>1081</v>
      </c>
      <c r="L278" s="283">
        <v>45979</v>
      </c>
      <c r="M278" s="291" t="s">
        <v>1496</v>
      </c>
      <c r="N278" s="276"/>
      <c r="O278" s="276"/>
      <c r="P278" s="276"/>
      <c r="Q278" s="276"/>
      <c r="R278" s="276"/>
      <c r="S278" s="276"/>
      <c r="T278" s="276"/>
      <c r="U278" s="276"/>
      <c r="V278" s="276"/>
      <c r="W278" s="276"/>
      <c r="X278" s="276"/>
      <c r="Y278" s="276"/>
      <c r="Z278" s="276"/>
    </row>
    <row r="279" spans="1:26" ht="14.25" customHeight="1" x14ac:dyDescent="0.3">
      <c r="A279" s="364" t="s">
        <v>2131</v>
      </c>
      <c r="B279" s="313" t="s">
        <v>1341</v>
      </c>
      <c r="C279" s="276" t="s">
        <v>1490</v>
      </c>
      <c r="D279" s="283">
        <v>45961</v>
      </c>
      <c r="E279" s="279" t="s">
        <v>1343</v>
      </c>
      <c r="F279" s="276">
        <v>26</v>
      </c>
      <c r="G279" s="343" t="s">
        <v>1086</v>
      </c>
      <c r="H279" s="362">
        <v>45958</v>
      </c>
      <c r="I279" s="276" t="s">
        <v>1344</v>
      </c>
      <c r="J279" s="276" t="s">
        <v>1497</v>
      </c>
      <c r="K279" s="282" t="s">
        <v>1081</v>
      </c>
      <c r="L279" s="283">
        <v>45979</v>
      </c>
      <c r="M279" s="291" t="s">
        <v>1498</v>
      </c>
      <c r="N279" s="276"/>
      <c r="O279" s="276"/>
      <c r="P279" s="276"/>
      <c r="Q279" s="276"/>
      <c r="R279" s="276"/>
      <c r="S279" s="276"/>
      <c r="T279" s="276"/>
      <c r="U279" s="276"/>
      <c r="V279" s="276"/>
      <c r="W279" s="276"/>
      <c r="X279" s="276"/>
      <c r="Y279" s="276"/>
      <c r="Z279" s="276"/>
    </row>
    <row r="280" spans="1:26" ht="14.25" customHeight="1" x14ac:dyDescent="0.3">
      <c r="A280" s="365" t="s">
        <v>2822</v>
      </c>
      <c r="B280" s="313" t="s">
        <v>1341</v>
      </c>
      <c r="C280" s="276" t="s">
        <v>1490</v>
      </c>
      <c r="D280" s="283">
        <v>45961</v>
      </c>
      <c r="E280" s="279" t="s">
        <v>1343</v>
      </c>
      <c r="F280" s="276">
        <v>24</v>
      </c>
      <c r="G280" s="366" t="s">
        <v>1499</v>
      </c>
      <c r="H280" s="362">
        <v>45951</v>
      </c>
      <c r="I280" s="276" t="s">
        <v>1356</v>
      </c>
      <c r="J280" s="276" t="s">
        <v>1345</v>
      </c>
      <c r="K280" s="284" t="s">
        <v>1208</v>
      </c>
      <c r="L280" s="283">
        <v>45979</v>
      </c>
      <c r="M280" s="276" t="s">
        <v>451</v>
      </c>
      <c r="N280" s="276"/>
      <c r="O280" s="276"/>
      <c r="P280" s="276"/>
      <c r="Q280" s="276"/>
      <c r="R280" s="276"/>
      <c r="S280" s="276"/>
      <c r="T280" s="276"/>
      <c r="U280" s="276"/>
      <c r="V280" s="276"/>
      <c r="W280" s="276"/>
      <c r="X280" s="276"/>
      <c r="Y280" s="276"/>
      <c r="Z280" s="276"/>
    </row>
    <row r="281" spans="1:26" ht="14.25" customHeight="1" x14ac:dyDescent="0.3">
      <c r="A281" s="365" t="s">
        <v>2823</v>
      </c>
      <c r="B281" s="313" t="s">
        <v>1341</v>
      </c>
      <c r="C281" s="276" t="s">
        <v>1490</v>
      </c>
      <c r="D281" s="283">
        <v>45961</v>
      </c>
      <c r="E281" s="279" t="s">
        <v>1343</v>
      </c>
      <c r="F281" s="276">
        <v>24</v>
      </c>
      <c r="G281" s="366" t="s">
        <v>1499</v>
      </c>
      <c r="H281" s="362">
        <v>45951</v>
      </c>
      <c r="I281" s="276" t="s">
        <v>1344</v>
      </c>
      <c r="J281" s="276" t="s">
        <v>1387</v>
      </c>
      <c r="K281" s="290" t="s">
        <v>1208</v>
      </c>
      <c r="L281" s="283">
        <v>45979</v>
      </c>
      <c r="M281" s="276" t="s">
        <v>1500</v>
      </c>
      <c r="N281" s="276"/>
      <c r="O281" s="276"/>
      <c r="P281" s="276"/>
      <c r="Q281" s="276"/>
      <c r="R281" s="276"/>
      <c r="S281" s="276"/>
      <c r="T281" s="276"/>
      <c r="U281" s="276"/>
      <c r="V281" s="276"/>
      <c r="W281" s="276"/>
      <c r="X281" s="276"/>
      <c r="Y281" s="276"/>
      <c r="Z281" s="276"/>
    </row>
    <row r="282" spans="1:26" ht="14.25" customHeight="1" x14ac:dyDescent="0.3">
      <c r="A282" s="365" t="s">
        <v>2824</v>
      </c>
      <c r="B282" s="313" t="s">
        <v>1341</v>
      </c>
      <c r="C282" s="276" t="s">
        <v>1490</v>
      </c>
      <c r="D282" s="283">
        <v>45961</v>
      </c>
      <c r="E282" s="279" t="s">
        <v>1343</v>
      </c>
      <c r="F282" s="276">
        <v>24</v>
      </c>
      <c r="G282" s="366" t="s">
        <v>1499</v>
      </c>
      <c r="H282" s="362">
        <v>45951</v>
      </c>
      <c r="I282" s="276" t="s">
        <v>1347</v>
      </c>
      <c r="J282" s="276" t="s">
        <v>1345</v>
      </c>
      <c r="K282" s="282" t="s">
        <v>1081</v>
      </c>
      <c r="L282" s="283">
        <v>45980</v>
      </c>
      <c r="M282" s="276" t="s">
        <v>1501</v>
      </c>
      <c r="N282" s="276"/>
      <c r="O282" s="276"/>
      <c r="P282" s="276"/>
      <c r="Q282" s="276"/>
      <c r="R282" s="276"/>
      <c r="S282" s="276"/>
      <c r="T282" s="276"/>
      <c r="U282" s="276"/>
      <c r="V282" s="276"/>
      <c r="W282" s="276"/>
      <c r="X282" s="276"/>
      <c r="Y282" s="276"/>
      <c r="Z282" s="276"/>
    </row>
    <row r="283" spans="1:26" ht="14.25" customHeight="1" x14ac:dyDescent="0.3">
      <c r="A283" s="365" t="s">
        <v>2825</v>
      </c>
      <c r="B283" s="313" t="s">
        <v>1341</v>
      </c>
      <c r="C283" s="276" t="s">
        <v>1490</v>
      </c>
      <c r="D283" s="283">
        <v>45961</v>
      </c>
      <c r="E283" s="279" t="s">
        <v>1343</v>
      </c>
      <c r="F283" s="276">
        <v>24</v>
      </c>
      <c r="G283" s="366" t="s">
        <v>1499</v>
      </c>
      <c r="H283" s="362">
        <v>45951</v>
      </c>
      <c r="I283" s="276" t="s">
        <v>1347</v>
      </c>
      <c r="J283" s="276" t="s">
        <v>1345</v>
      </c>
      <c r="K283" s="282" t="s">
        <v>1081</v>
      </c>
      <c r="L283" s="283">
        <v>45980</v>
      </c>
      <c r="M283" s="276" t="s">
        <v>1502</v>
      </c>
      <c r="N283" s="276"/>
      <c r="O283" s="276"/>
      <c r="P283" s="276"/>
      <c r="Q283" s="276"/>
      <c r="R283" s="276"/>
      <c r="S283" s="276"/>
      <c r="T283" s="276"/>
      <c r="U283" s="276"/>
      <c r="V283" s="276"/>
      <c r="W283" s="276"/>
      <c r="X283" s="276"/>
      <c r="Y283" s="276"/>
      <c r="Z283" s="276"/>
    </row>
    <row r="284" spans="1:26" ht="14.25" customHeight="1" x14ac:dyDescent="0.3">
      <c r="A284" s="365" t="s">
        <v>2826</v>
      </c>
      <c r="B284" s="313" t="s">
        <v>1341</v>
      </c>
      <c r="C284" s="276" t="s">
        <v>1490</v>
      </c>
      <c r="D284" s="283">
        <v>45961</v>
      </c>
      <c r="E284" s="279" t="s">
        <v>1343</v>
      </c>
      <c r="F284" s="276">
        <v>24</v>
      </c>
      <c r="G284" s="366" t="s">
        <v>1499</v>
      </c>
      <c r="H284" s="362">
        <v>45951</v>
      </c>
      <c r="I284" s="276" t="s">
        <v>1347</v>
      </c>
      <c r="J284" s="276" t="s">
        <v>1345</v>
      </c>
      <c r="K284" s="282" t="s">
        <v>1081</v>
      </c>
      <c r="L284" s="283">
        <v>45980</v>
      </c>
      <c r="M284" s="276" t="s">
        <v>1503</v>
      </c>
      <c r="N284" s="276"/>
      <c r="O284" s="276"/>
      <c r="P284" s="276"/>
      <c r="Q284" s="276"/>
      <c r="R284" s="276"/>
      <c r="S284" s="276"/>
      <c r="T284" s="276"/>
      <c r="U284" s="276"/>
      <c r="V284" s="276"/>
      <c r="W284" s="276"/>
      <c r="X284" s="276"/>
      <c r="Y284" s="276"/>
      <c r="Z284" s="276"/>
    </row>
    <row r="285" spans="1:26" ht="14.25" customHeight="1" x14ac:dyDescent="0.3">
      <c r="A285" s="365" t="s">
        <v>2118</v>
      </c>
      <c r="B285" s="313" t="s">
        <v>1341</v>
      </c>
      <c r="C285" s="276" t="s">
        <v>1490</v>
      </c>
      <c r="D285" s="283">
        <v>45961</v>
      </c>
      <c r="E285" s="279" t="s">
        <v>1343</v>
      </c>
      <c r="F285" s="276">
        <v>24</v>
      </c>
      <c r="G285" s="366" t="s">
        <v>1499</v>
      </c>
      <c r="H285" s="362">
        <v>45951</v>
      </c>
      <c r="I285" s="276" t="s">
        <v>1347</v>
      </c>
      <c r="J285" s="276" t="s">
        <v>1345</v>
      </c>
      <c r="K285" s="282" t="s">
        <v>1081</v>
      </c>
      <c r="L285" s="283">
        <v>45980</v>
      </c>
      <c r="M285" s="276" t="s">
        <v>1504</v>
      </c>
      <c r="N285" s="276"/>
      <c r="O285" s="276"/>
      <c r="P285" s="276"/>
      <c r="Q285" s="276"/>
      <c r="R285" s="276"/>
      <c r="S285" s="276"/>
      <c r="T285" s="276"/>
      <c r="U285" s="276"/>
      <c r="V285" s="276"/>
      <c r="W285" s="276"/>
      <c r="X285" s="276"/>
      <c r="Y285" s="276"/>
      <c r="Z285" s="276"/>
    </row>
    <row r="286" spans="1:26" ht="14.25" customHeight="1" x14ac:dyDescent="0.3">
      <c r="A286" s="365" t="s">
        <v>2121</v>
      </c>
      <c r="B286" s="313" t="s">
        <v>1341</v>
      </c>
      <c r="C286" s="276" t="s">
        <v>1490</v>
      </c>
      <c r="D286" s="283">
        <v>45961</v>
      </c>
      <c r="E286" s="279" t="s">
        <v>1343</v>
      </c>
      <c r="F286" s="276">
        <v>24</v>
      </c>
      <c r="G286" s="366" t="s">
        <v>1499</v>
      </c>
      <c r="H286" s="362">
        <v>45951</v>
      </c>
      <c r="I286" s="276" t="s">
        <v>1347</v>
      </c>
      <c r="J286" s="276" t="s">
        <v>1345</v>
      </c>
      <c r="K286" s="282" t="s">
        <v>1081</v>
      </c>
      <c r="L286" s="283">
        <v>45980</v>
      </c>
      <c r="M286" s="276" t="s">
        <v>1505</v>
      </c>
      <c r="N286" s="276"/>
      <c r="O286" s="276"/>
      <c r="P286" s="276"/>
      <c r="Q286" s="276"/>
      <c r="R286" s="276"/>
      <c r="S286" s="276"/>
      <c r="T286" s="276"/>
      <c r="U286" s="276"/>
      <c r="V286" s="276"/>
      <c r="W286" s="276"/>
      <c r="X286" s="276"/>
      <c r="Y286" s="276"/>
      <c r="Z286" s="276"/>
    </row>
    <row r="287" spans="1:26" ht="14.25" customHeight="1" x14ac:dyDescent="0.3">
      <c r="A287" s="365" t="s">
        <v>2125</v>
      </c>
      <c r="B287" s="313" t="s">
        <v>1341</v>
      </c>
      <c r="C287" s="276" t="s">
        <v>1490</v>
      </c>
      <c r="D287" s="283">
        <v>45961</v>
      </c>
      <c r="E287" s="279" t="s">
        <v>1343</v>
      </c>
      <c r="F287" s="276">
        <v>24</v>
      </c>
      <c r="G287" s="366" t="s">
        <v>1499</v>
      </c>
      <c r="H287" s="362">
        <v>45951</v>
      </c>
      <c r="I287" s="276" t="s">
        <v>1347</v>
      </c>
      <c r="J287" s="276" t="s">
        <v>1345</v>
      </c>
      <c r="K287" s="282" t="s">
        <v>1081</v>
      </c>
      <c r="L287" s="283">
        <v>45980</v>
      </c>
      <c r="M287" s="276" t="s">
        <v>1506</v>
      </c>
      <c r="N287" s="276"/>
      <c r="O287" s="276"/>
      <c r="P287" s="276"/>
      <c r="Q287" s="276"/>
      <c r="R287" s="276"/>
      <c r="S287" s="276"/>
      <c r="T287" s="276"/>
      <c r="U287" s="276"/>
      <c r="V287" s="276"/>
      <c r="W287" s="276"/>
      <c r="X287" s="276"/>
      <c r="Y287" s="276"/>
      <c r="Z287" s="276"/>
    </row>
    <row r="288" spans="1:26" ht="14.25" customHeight="1" x14ac:dyDescent="0.3">
      <c r="A288" s="365" t="s">
        <v>2124</v>
      </c>
      <c r="B288" s="313" t="s">
        <v>1341</v>
      </c>
      <c r="C288" s="276" t="s">
        <v>1490</v>
      </c>
      <c r="D288" s="283">
        <v>45961</v>
      </c>
      <c r="E288" s="279" t="s">
        <v>1343</v>
      </c>
      <c r="F288" s="276">
        <v>24</v>
      </c>
      <c r="G288" s="366" t="s">
        <v>1499</v>
      </c>
      <c r="H288" s="362">
        <v>45951</v>
      </c>
      <c r="I288" s="276" t="s">
        <v>1362</v>
      </c>
      <c r="J288" s="276" t="s">
        <v>1493</v>
      </c>
      <c r="K288" s="290" t="s">
        <v>1208</v>
      </c>
      <c r="L288" s="283">
        <v>45979</v>
      </c>
      <c r="M288" s="276" t="s">
        <v>1507</v>
      </c>
      <c r="N288" s="276"/>
      <c r="O288" s="276"/>
      <c r="P288" s="276"/>
      <c r="Q288" s="276"/>
      <c r="R288" s="276"/>
      <c r="S288" s="276"/>
      <c r="T288" s="276"/>
      <c r="U288" s="276"/>
      <c r="V288" s="276"/>
      <c r="W288" s="276"/>
      <c r="X288" s="276"/>
      <c r="Y288" s="276"/>
      <c r="Z288" s="276"/>
    </row>
    <row r="289" spans="1:26" ht="14.25" customHeight="1" x14ac:dyDescent="0.3">
      <c r="A289" s="365" t="s">
        <v>2126</v>
      </c>
      <c r="B289" s="313" t="s">
        <v>1341</v>
      </c>
      <c r="C289" s="276" t="s">
        <v>1490</v>
      </c>
      <c r="D289" s="283">
        <v>45961</v>
      </c>
      <c r="E289" s="279" t="s">
        <v>1343</v>
      </c>
      <c r="F289" s="276">
        <v>24</v>
      </c>
      <c r="G289" s="366" t="s">
        <v>1499</v>
      </c>
      <c r="H289" s="362">
        <v>45951</v>
      </c>
      <c r="I289" s="276" t="s">
        <v>1347</v>
      </c>
      <c r="J289" s="276" t="s">
        <v>1345</v>
      </c>
      <c r="K289" s="282" t="s">
        <v>1081</v>
      </c>
      <c r="L289" s="283">
        <v>45979</v>
      </c>
      <c r="M289" s="276" t="s">
        <v>1508</v>
      </c>
      <c r="N289" s="276"/>
      <c r="O289" s="276"/>
      <c r="P289" s="276"/>
      <c r="Q289" s="276"/>
      <c r="R289" s="276"/>
      <c r="S289" s="276"/>
      <c r="T289" s="276"/>
      <c r="U289" s="276"/>
      <c r="V289" s="276"/>
      <c r="W289" s="276"/>
      <c r="X289" s="276"/>
      <c r="Y289" s="276"/>
      <c r="Z289" s="276"/>
    </row>
    <row r="290" spans="1:26" ht="14.25" customHeight="1" x14ac:dyDescent="0.3">
      <c r="A290" s="365" t="s">
        <v>2128</v>
      </c>
      <c r="B290" s="313" t="s">
        <v>1341</v>
      </c>
      <c r="C290" s="276" t="s">
        <v>1490</v>
      </c>
      <c r="D290" s="283">
        <v>45961</v>
      </c>
      <c r="E290" s="279" t="s">
        <v>1343</v>
      </c>
      <c r="F290" s="276">
        <v>24</v>
      </c>
      <c r="G290" s="366" t="s">
        <v>1499</v>
      </c>
      <c r="H290" s="362">
        <v>45951</v>
      </c>
      <c r="I290" s="276" t="s">
        <v>1347</v>
      </c>
      <c r="J290" s="276" t="s">
        <v>1345</v>
      </c>
      <c r="K290" s="282" t="s">
        <v>1081</v>
      </c>
      <c r="L290" s="283">
        <v>45979</v>
      </c>
      <c r="M290" s="276" t="s">
        <v>1509</v>
      </c>
      <c r="N290" s="276"/>
      <c r="O290" s="276"/>
      <c r="P290" s="276"/>
      <c r="Q290" s="276"/>
      <c r="R290" s="276"/>
      <c r="S290" s="276"/>
      <c r="T290" s="276"/>
      <c r="U290" s="276"/>
      <c r="V290" s="276"/>
      <c r="W290" s="276"/>
      <c r="X290" s="276"/>
      <c r="Y290" s="276"/>
      <c r="Z290" s="276"/>
    </row>
    <row r="291" spans="1:26" ht="14.25" customHeight="1" x14ac:dyDescent="0.3">
      <c r="A291" s="365" t="s">
        <v>2131</v>
      </c>
      <c r="B291" s="313" t="s">
        <v>1341</v>
      </c>
      <c r="C291" s="276" t="s">
        <v>1490</v>
      </c>
      <c r="D291" s="283">
        <v>45961</v>
      </c>
      <c r="E291" s="279" t="s">
        <v>1343</v>
      </c>
      <c r="F291" s="276">
        <v>24</v>
      </c>
      <c r="G291" s="366" t="s">
        <v>1499</v>
      </c>
      <c r="H291" s="362">
        <v>45951</v>
      </c>
      <c r="I291" s="276" t="s">
        <v>1347</v>
      </c>
      <c r="J291" s="276" t="s">
        <v>1345</v>
      </c>
      <c r="K291" s="282" t="s">
        <v>1081</v>
      </c>
      <c r="L291" s="283">
        <v>45979</v>
      </c>
      <c r="M291" s="276" t="s">
        <v>1510</v>
      </c>
      <c r="N291" s="276"/>
      <c r="O291" s="276"/>
      <c r="P291" s="276"/>
      <c r="Q291" s="276"/>
      <c r="R291" s="276"/>
      <c r="S291" s="276"/>
      <c r="T291" s="276"/>
      <c r="U291" s="276"/>
      <c r="V291" s="276"/>
      <c r="W291" s="276"/>
      <c r="X291" s="276"/>
      <c r="Y291" s="276"/>
      <c r="Z291" s="276"/>
    </row>
    <row r="292" spans="1:26" ht="14.25" customHeight="1" x14ac:dyDescent="0.3">
      <c r="A292" s="367" t="s">
        <v>2818</v>
      </c>
      <c r="B292" s="313" t="s">
        <v>1341</v>
      </c>
      <c r="C292" s="276" t="s">
        <v>1490</v>
      </c>
      <c r="D292" s="283">
        <v>45961</v>
      </c>
      <c r="E292" s="279" t="s">
        <v>1343</v>
      </c>
      <c r="F292" s="276" t="s">
        <v>1511</v>
      </c>
      <c r="G292" s="368" t="s">
        <v>1512</v>
      </c>
      <c r="H292" s="362">
        <v>45958</v>
      </c>
      <c r="I292" s="276" t="s">
        <v>1362</v>
      </c>
      <c r="J292" s="276" t="s">
        <v>1345</v>
      </c>
      <c r="K292" s="290" t="s">
        <v>1208</v>
      </c>
      <c r="L292" s="283">
        <v>45979</v>
      </c>
      <c r="M292" s="276" t="s">
        <v>1513</v>
      </c>
      <c r="N292" s="276"/>
      <c r="O292" s="276"/>
      <c r="P292" s="276"/>
      <c r="Q292" s="276"/>
      <c r="R292" s="276"/>
      <c r="S292" s="276"/>
      <c r="T292" s="276"/>
      <c r="U292" s="276"/>
      <c r="V292" s="276"/>
      <c r="W292" s="276"/>
      <c r="X292" s="276"/>
      <c r="Y292" s="276"/>
      <c r="Z292" s="276"/>
    </row>
    <row r="293" spans="1:26" ht="14.25" customHeight="1" x14ac:dyDescent="0.3">
      <c r="A293" s="369" t="s">
        <v>1220</v>
      </c>
      <c r="B293" s="313" t="s">
        <v>1341</v>
      </c>
      <c r="C293" s="276" t="s">
        <v>1490</v>
      </c>
      <c r="D293" s="283">
        <v>45961</v>
      </c>
      <c r="E293" s="279" t="s">
        <v>1343</v>
      </c>
      <c r="F293" s="276" t="s">
        <v>1511</v>
      </c>
      <c r="G293" s="368" t="s">
        <v>1512</v>
      </c>
      <c r="H293" s="362">
        <v>45958</v>
      </c>
      <c r="I293" s="276" t="s">
        <v>1514</v>
      </c>
      <c r="J293" s="276" t="s">
        <v>1515</v>
      </c>
      <c r="K293" s="290" t="s">
        <v>1107</v>
      </c>
      <c r="L293" s="283">
        <v>45980</v>
      </c>
      <c r="M293" s="291" t="s">
        <v>451</v>
      </c>
      <c r="N293" s="291" t="s">
        <v>1516</v>
      </c>
      <c r="O293" s="276"/>
      <c r="P293" s="276"/>
      <c r="Q293" s="276"/>
      <c r="R293" s="276"/>
      <c r="S293" s="276"/>
      <c r="T293" s="276"/>
      <c r="U293" s="276"/>
      <c r="V293" s="276"/>
      <c r="W293" s="276"/>
      <c r="X293" s="276"/>
      <c r="Y293" s="276"/>
      <c r="Z293" s="276"/>
    </row>
    <row r="294" spans="1:26" ht="14.25" customHeight="1" x14ac:dyDescent="0.3">
      <c r="A294" s="370" t="s">
        <v>2819</v>
      </c>
      <c r="B294" s="313" t="s">
        <v>1341</v>
      </c>
      <c r="C294" s="276" t="s">
        <v>1490</v>
      </c>
      <c r="D294" s="283">
        <v>45961</v>
      </c>
      <c r="E294" s="279" t="s">
        <v>1343</v>
      </c>
      <c r="F294" s="276" t="s">
        <v>1511</v>
      </c>
      <c r="G294" s="368" t="s">
        <v>1512</v>
      </c>
      <c r="H294" s="362">
        <v>45958</v>
      </c>
      <c r="I294" s="276" t="s">
        <v>1356</v>
      </c>
      <c r="J294" s="276" t="s">
        <v>1345</v>
      </c>
      <c r="K294" s="284" t="s">
        <v>1208</v>
      </c>
      <c r="L294" s="283">
        <v>45980</v>
      </c>
      <c r="M294" s="276" t="s">
        <v>451</v>
      </c>
      <c r="N294" s="276"/>
      <c r="O294" s="276"/>
      <c r="P294" s="276"/>
      <c r="Q294" s="276"/>
      <c r="R294" s="276"/>
      <c r="S294" s="276"/>
      <c r="T294" s="276"/>
      <c r="U294" s="276"/>
      <c r="V294" s="276"/>
      <c r="W294" s="276"/>
      <c r="X294" s="276"/>
      <c r="Y294" s="276"/>
      <c r="Z294" s="276"/>
    </row>
    <row r="295" spans="1:26" ht="14.25" customHeight="1" x14ac:dyDescent="0.3">
      <c r="A295" s="370" t="s">
        <v>2820</v>
      </c>
      <c r="B295" s="313" t="s">
        <v>1341</v>
      </c>
      <c r="C295" s="276" t="s">
        <v>1490</v>
      </c>
      <c r="D295" s="283">
        <v>45961</v>
      </c>
      <c r="E295" s="279" t="s">
        <v>1343</v>
      </c>
      <c r="F295" s="276" t="s">
        <v>1511</v>
      </c>
      <c r="G295" s="368" t="s">
        <v>1512</v>
      </c>
      <c r="H295" s="362">
        <v>45958</v>
      </c>
      <c r="I295" s="276" t="s">
        <v>1356</v>
      </c>
      <c r="J295" s="276" t="s">
        <v>1345</v>
      </c>
      <c r="K295" s="284" t="s">
        <v>1208</v>
      </c>
      <c r="L295" s="283">
        <v>45980</v>
      </c>
      <c r="M295" s="276" t="s">
        <v>451</v>
      </c>
      <c r="N295" s="276"/>
      <c r="O295" s="276"/>
      <c r="P295" s="276"/>
      <c r="Q295" s="276"/>
      <c r="R295" s="276"/>
      <c r="S295" s="276"/>
      <c r="T295" s="276"/>
      <c r="U295" s="276"/>
      <c r="V295" s="276"/>
      <c r="W295" s="276"/>
      <c r="X295" s="276"/>
      <c r="Y295" s="276"/>
      <c r="Z295" s="276"/>
    </row>
    <row r="296" spans="1:26" ht="14.25" customHeight="1" x14ac:dyDescent="0.3">
      <c r="A296" s="276" t="s">
        <v>1224</v>
      </c>
      <c r="B296" s="313" t="s">
        <v>1341</v>
      </c>
      <c r="C296" s="276" t="s">
        <v>1490</v>
      </c>
      <c r="D296" s="283">
        <v>45961</v>
      </c>
      <c r="E296" s="279" t="s">
        <v>1343</v>
      </c>
      <c r="F296" s="276" t="s">
        <v>1511</v>
      </c>
      <c r="G296" s="368" t="s">
        <v>1512</v>
      </c>
      <c r="H296" s="362">
        <v>45958</v>
      </c>
      <c r="I296" s="276" t="s">
        <v>1356</v>
      </c>
      <c r="J296" s="276" t="s">
        <v>1345</v>
      </c>
      <c r="K296" s="284" t="s">
        <v>1208</v>
      </c>
      <c r="L296" s="283">
        <v>45980</v>
      </c>
      <c r="M296" s="276" t="s">
        <v>451</v>
      </c>
      <c r="N296" s="276"/>
      <c r="O296" s="276"/>
      <c r="P296" s="276"/>
      <c r="Q296" s="276"/>
      <c r="R296" s="276"/>
      <c r="S296" s="276"/>
      <c r="T296" s="276"/>
      <c r="U296" s="276"/>
      <c r="V296" s="276"/>
      <c r="W296" s="276"/>
      <c r="X296" s="276"/>
      <c r="Y296" s="276"/>
      <c r="Z296" s="276"/>
    </row>
    <row r="297" spans="1:26" ht="14.25" customHeight="1" x14ac:dyDescent="0.3">
      <c r="A297" s="367" t="s">
        <v>1517</v>
      </c>
      <c r="B297" s="313" t="s">
        <v>1341</v>
      </c>
      <c r="C297" s="276" t="s">
        <v>1490</v>
      </c>
      <c r="D297" s="283">
        <v>45961</v>
      </c>
      <c r="E297" s="279" t="s">
        <v>1343</v>
      </c>
      <c r="F297" s="276" t="s">
        <v>1511</v>
      </c>
      <c r="G297" s="368" t="s">
        <v>1512</v>
      </c>
      <c r="H297" s="362">
        <v>45958</v>
      </c>
      <c r="I297" s="276" t="s">
        <v>1356</v>
      </c>
      <c r="J297" s="276" t="s">
        <v>1345</v>
      </c>
      <c r="K297" s="284" t="s">
        <v>1208</v>
      </c>
      <c r="L297" s="283">
        <v>45980</v>
      </c>
      <c r="M297" s="276" t="s">
        <v>451</v>
      </c>
      <c r="N297" s="276"/>
      <c r="O297" s="276"/>
      <c r="P297" s="276"/>
      <c r="Q297" s="276"/>
      <c r="R297" s="276"/>
      <c r="S297" s="276"/>
      <c r="T297" s="276"/>
      <c r="U297" s="276"/>
      <c r="V297" s="276"/>
      <c r="W297" s="276"/>
      <c r="X297" s="276"/>
      <c r="Y297" s="276"/>
      <c r="Z297" s="276"/>
    </row>
    <row r="298" spans="1:26" ht="14.25" customHeight="1" x14ac:dyDescent="0.3">
      <c r="A298" s="371" t="s">
        <v>2096</v>
      </c>
      <c r="B298" s="313" t="s">
        <v>1341</v>
      </c>
      <c r="C298" s="276" t="s">
        <v>1490</v>
      </c>
      <c r="D298" s="283">
        <v>45961</v>
      </c>
      <c r="E298" s="279" t="s">
        <v>1343</v>
      </c>
      <c r="F298" s="276" t="s">
        <v>1511</v>
      </c>
      <c r="G298" s="368" t="s">
        <v>1512</v>
      </c>
      <c r="H298" s="362">
        <v>45958</v>
      </c>
      <c r="I298" s="276" t="s">
        <v>1514</v>
      </c>
      <c r="J298" s="276" t="s">
        <v>1345</v>
      </c>
      <c r="K298" s="290" t="s">
        <v>1142</v>
      </c>
      <c r="L298" s="283">
        <v>45979</v>
      </c>
      <c r="M298" s="276" t="s">
        <v>1518</v>
      </c>
      <c r="N298" s="276"/>
      <c r="O298" s="276"/>
      <c r="P298" s="276"/>
      <c r="Q298" s="276"/>
      <c r="R298" s="276"/>
      <c r="S298" s="276"/>
      <c r="T298" s="276"/>
      <c r="U298" s="276"/>
      <c r="V298" s="276"/>
      <c r="W298" s="276"/>
      <c r="X298" s="276"/>
      <c r="Y298" s="276"/>
      <c r="Z298" s="276"/>
    </row>
    <row r="299" spans="1:26" ht="14.25" customHeight="1" x14ac:dyDescent="0.3">
      <c r="A299" s="371" t="s">
        <v>2093</v>
      </c>
      <c r="B299" s="313" t="s">
        <v>1341</v>
      </c>
      <c r="C299" s="276" t="s">
        <v>1490</v>
      </c>
      <c r="D299" s="283">
        <v>45961</v>
      </c>
      <c r="E299" s="279" t="s">
        <v>1343</v>
      </c>
      <c r="F299" s="276" t="s">
        <v>1511</v>
      </c>
      <c r="G299" s="368" t="s">
        <v>1512</v>
      </c>
      <c r="H299" s="362">
        <v>45958</v>
      </c>
      <c r="I299" s="276" t="s">
        <v>1356</v>
      </c>
      <c r="J299" s="276" t="s">
        <v>1345</v>
      </c>
      <c r="K299" s="284" t="s">
        <v>1208</v>
      </c>
      <c r="L299" s="283">
        <v>45980</v>
      </c>
      <c r="M299" s="276" t="s">
        <v>451</v>
      </c>
      <c r="N299" s="276"/>
      <c r="O299" s="276"/>
      <c r="P299" s="276"/>
      <c r="Q299" s="276"/>
      <c r="R299" s="276"/>
      <c r="S299" s="276"/>
      <c r="T299" s="276"/>
      <c r="U299" s="276"/>
      <c r="V299" s="276"/>
      <c r="W299" s="276"/>
      <c r="X299" s="276"/>
      <c r="Y299" s="276"/>
      <c r="Z299" s="276"/>
    </row>
    <row r="300" spans="1:26" ht="14.25" customHeight="1" x14ac:dyDescent="0.3">
      <c r="A300" s="367" t="s">
        <v>2118</v>
      </c>
      <c r="B300" s="313" t="s">
        <v>1341</v>
      </c>
      <c r="C300" s="276" t="s">
        <v>1490</v>
      </c>
      <c r="D300" s="283">
        <v>45961</v>
      </c>
      <c r="E300" s="279" t="s">
        <v>1343</v>
      </c>
      <c r="F300" s="276" t="s">
        <v>1511</v>
      </c>
      <c r="G300" s="368" t="s">
        <v>1512</v>
      </c>
      <c r="H300" s="362">
        <v>45958</v>
      </c>
      <c r="I300" s="276" t="s">
        <v>1347</v>
      </c>
      <c r="J300" s="276" t="s">
        <v>1345</v>
      </c>
      <c r="K300" s="282" t="s">
        <v>1081</v>
      </c>
      <c r="L300" s="283">
        <v>45980</v>
      </c>
      <c r="M300" s="276" t="s">
        <v>1519</v>
      </c>
      <c r="N300" s="276"/>
      <c r="O300" s="276"/>
      <c r="P300" s="276"/>
      <c r="Q300" s="276"/>
      <c r="R300" s="276"/>
      <c r="S300" s="276"/>
      <c r="T300" s="276"/>
      <c r="U300" s="276"/>
      <c r="V300" s="276"/>
      <c r="W300" s="276"/>
      <c r="X300" s="276"/>
      <c r="Y300" s="276"/>
      <c r="Z300" s="276"/>
    </row>
    <row r="301" spans="1:26" ht="14.25" customHeight="1" x14ac:dyDescent="0.3">
      <c r="A301" s="367" t="s">
        <v>2119</v>
      </c>
      <c r="B301" s="313" t="s">
        <v>1341</v>
      </c>
      <c r="C301" s="276" t="s">
        <v>1490</v>
      </c>
      <c r="D301" s="283">
        <v>45961</v>
      </c>
      <c r="E301" s="279" t="s">
        <v>1343</v>
      </c>
      <c r="F301" s="276" t="s">
        <v>1511</v>
      </c>
      <c r="G301" s="368" t="s">
        <v>1512</v>
      </c>
      <c r="H301" s="362">
        <v>45958</v>
      </c>
      <c r="I301" s="276" t="s">
        <v>1347</v>
      </c>
      <c r="J301" s="276" t="s">
        <v>1345</v>
      </c>
      <c r="K301" s="282" t="s">
        <v>1081</v>
      </c>
      <c r="L301" s="283">
        <v>45980</v>
      </c>
      <c r="M301" s="276" t="s">
        <v>1520</v>
      </c>
      <c r="N301" s="276"/>
      <c r="O301" s="276"/>
      <c r="P301" s="276"/>
      <c r="Q301" s="276"/>
      <c r="R301" s="276"/>
      <c r="S301" s="276"/>
      <c r="T301" s="276"/>
      <c r="U301" s="276"/>
      <c r="V301" s="276"/>
      <c r="W301" s="276"/>
      <c r="X301" s="276"/>
      <c r="Y301" s="276"/>
      <c r="Z301" s="276"/>
    </row>
    <row r="302" spans="1:26" ht="14.25" customHeight="1" x14ac:dyDescent="0.3">
      <c r="A302" s="372" t="s">
        <v>2821</v>
      </c>
      <c r="B302" s="313" t="s">
        <v>1341</v>
      </c>
      <c r="C302" s="276" t="s">
        <v>1490</v>
      </c>
      <c r="D302" s="283">
        <v>45961</v>
      </c>
      <c r="E302" s="279" t="s">
        <v>1343</v>
      </c>
      <c r="F302" s="276" t="s">
        <v>1511</v>
      </c>
      <c r="G302" s="368" t="s">
        <v>1512</v>
      </c>
      <c r="H302" s="362">
        <v>45958</v>
      </c>
      <c r="I302" s="276" t="s">
        <v>1356</v>
      </c>
      <c r="J302" s="276" t="s">
        <v>1345</v>
      </c>
      <c r="K302" s="284" t="s">
        <v>1208</v>
      </c>
      <c r="L302" s="283">
        <v>45979</v>
      </c>
      <c r="M302" s="276" t="s">
        <v>451</v>
      </c>
      <c r="N302" s="276"/>
      <c r="O302" s="276"/>
      <c r="P302" s="276"/>
      <c r="Q302" s="276"/>
      <c r="R302" s="276"/>
      <c r="S302" s="276"/>
      <c r="T302" s="276"/>
      <c r="U302" s="276"/>
      <c r="V302" s="276"/>
      <c r="W302" s="276"/>
      <c r="X302" s="276"/>
      <c r="Y302" s="276"/>
      <c r="Z302" s="276"/>
    </row>
    <row r="303" spans="1:26" ht="14.25" customHeight="1" x14ac:dyDescent="0.3">
      <c r="A303" s="371" t="s">
        <v>2121</v>
      </c>
      <c r="B303" s="313" t="s">
        <v>1341</v>
      </c>
      <c r="C303" s="276" t="s">
        <v>1490</v>
      </c>
      <c r="D303" s="283">
        <v>45961</v>
      </c>
      <c r="E303" s="279" t="s">
        <v>1343</v>
      </c>
      <c r="F303" s="276" t="s">
        <v>1511</v>
      </c>
      <c r="G303" s="368" t="s">
        <v>1512</v>
      </c>
      <c r="H303" s="362">
        <v>45958</v>
      </c>
      <c r="I303" s="276" t="s">
        <v>1356</v>
      </c>
      <c r="J303" s="276" t="s">
        <v>1345</v>
      </c>
      <c r="K303" s="284" t="s">
        <v>1208</v>
      </c>
      <c r="L303" s="283">
        <v>45980</v>
      </c>
      <c r="M303" s="276" t="s">
        <v>451</v>
      </c>
      <c r="N303" s="276"/>
      <c r="O303" s="276"/>
      <c r="P303" s="276"/>
      <c r="Q303" s="276"/>
      <c r="R303" s="276"/>
      <c r="S303" s="276"/>
      <c r="T303" s="276"/>
      <c r="U303" s="276"/>
      <c r="V303" s="276"/>
      <c r="W303" s="276"/>
      <c r="X303" s="276"/>
      <c r="Y303" s="276"/>
      <c r="Z303" s="276"/>
    </row>
    <row r="304" spans="1:26" ht="14.25" customHeight="1" x14ac:dyDescent="0.3">
      <c r="A304" s="371" t="s">
        <v>2125</v>
      </c>
      <c r="B304" s="313" t="s">
        <v>1341</v>
      </c>
      <c r="C304" s="276" t="s">
        <v>1490</v>
      </c>
      <c r="D304" s="283">
        <v>45961</v>
      </c>
      <c r="E304" s="279" t="s">
        <v>1343</v>
      </c>
      <c r="F304" s="276" t="s">
        <v>1511</v>
      </c>
      <c r="G304" s="368" t="s">
        <v>1512</v>
      </c>
      <c r="H304" s="362">
        <v>45958</v>
      </c>
      <c r="I304" s="276" t="s">
        <v>1344</v>
      </c>
      <c r="J304" s="276" t="s">
        <v>1387</v>
      </c>
      <c r="K304" s="290" t="s">
        <v>1208</v>
      </c>
      <c r="L304" s="283">
        <v>45980</v>
      </c>
      <c r="M304" s="276" t="s">
        <v>1521</v>
      </c>
      <c r="N304" s="276"/>
      <c r="O304" s="276"/>
      <c r="P304" s="276"/>
      <c r="Q304" s="276"/>
      <c r="R304" s="276"/>
      <c r="S304" s="276"/>
      <c r="T304" s="276"/>
      <c r="U304" s="276"/>
      <c r="V304" s="276"/>
      <c r="W304" s="276"/>
      <c r="X304" s="276"/>
      <c r="Y304" s="276"/>
      <c r="Z304" s="276"/>
    </row>
    <row r="305" spans="1:26" ht="14.25" customHeight="1" x14ac:dyDescent="0.3">
      <c r="A305" s="367" t="s">
        <v>2124</v>
      </c>
      <c r="B305" s="313" t="s">
        <v>1341</v>
      </c>
      <c r="C305" s="276" t="s">
        <v>1490</v>
      </c>
      <c r="D305" s="283">
        <v>45961</v>
      </c>
      <c r="E305" s="279" t="s">
        <v>1343</v>
      </c>
      <c r="F305" s="276" t="s">
        <v>1511</v>
      </c>
      <c r="G305" s="368" t="s">
        <v>1512</v>
      </c>
      <c r="H305" s="362">
        <v>45958</v>
      </c>
      <c r="I305" s="276" t="s">
        <v>1356</v>
      </c>
      <c r="J305" s="276" t="s">
        <v>1345</v>
      </c>
      <c r="K305" s="284" t="s">
        <v>1208</v>
      </c>
      <c r="L305" s="283">
        <v>45980</v>
      </c>
      <c r="M305" s="276" t="s">
        <v>451</v>
      </c>
      <c r="N305" s="276"/>
      <c r="O305" s="276"/>
      <c r="P305" s="276"/>
      <c r="Q305" s="276"/>
      <c r="R305" s="276"/>
      <c r="S305" s="276"/>
      <c r="T305" s="276"/>
      <c r="U305" s="276"/>
      <c r="V305" s="276"/>
      <c r="W305" s="276"/>
      <c r="X305" s="276"/>
      <c r="Y305" s="276"/>
      <c r="Z305" s="276"/>
    </row>
    <row r="306" spans="1:26" ht="14.25" customHeight="1" x14ac:dyDescent="0.3">
      <c r="A306" s="372" t="s">
        <v>2126</v>
      </c>
      <c r="B306" s="313" t="s">
        <v>1341</v>
      </c>
      <c r="C306" s="276" t="s">
        <v>1490</v>
      </c>
      <c r="D306" s="283">
        <v>45961</v>
      </c>
      <c r="E306" s="279" t="s">
        <v>1343</v>
      </c>
      <c r="F306" s="276" t="s">
        <v>1511</v>
      </c>
      <c r="G306" s="368" t="s">
        <v>1512</v>
      </c>
      <c r="H306" s="362">
        <v>45958</v>
      </c>
      <c r="I306" s="276" t="s">
        <v>1347</v>
      </c>
      <c r="J306" s="276" t="s">
        <v>1345</v>
      </c>
      <c r="K306" s="282" t="s">
        <v>1208</v>
      </c>
      <c r="L306" s="283">
        <v>45979</v>
      </c>
      <c r="M306" s="276" t="s">
        <v>1522</v>
      </c>
      <c r="N306" s="276"/>
      <c r="O306" s="276"/>
      <c r="P306" s="276"/>
      <c r="Q306" s="276"/>
      <c r="R306" s="276"/>
      <c r="S306" s="276"/>
      <c r="T306" s="276"/>
      <c r="U306" s="276"/>
      <c r="V306" s="276"/>
      <c r="W306" s="276"/>
      <c r="X306" s="276"/>
      <c r="Y306" s="276"/>
      <c r="Z306" s="276"/>
    </row>
    <row r="307" spans="1:26" ht="14.25" customHeight="1" x14ac:dyDescent="0.3">
      <c r="A307" s="371" t="s">
        <v>2127</v>
      </c>
      <c r="B307" s="313" t="s">
        <v>1341</v>
      </c>
      <c r="C307" s="276" t="s">
        <v>1490</v>
      </c>
      <c r="D307" s="283">
        <v>45961</v>
      </c>
      <c r="E307" s="279" t="s">
        <v>1343</v>
      </c>
      <c r="F307" s="276" t="s">
        <v>1511</v>
      </c>
      <c r="G307" s="368" t="s">
        <v>1512</v>
      </c>
      <c r="H307" s="362">
        <v>45958</v>
      </c>
      <c r="I307" s="276" t="s">
        <v>1347</v>
      </c>
      <c r="J307" s="276" t="s">
        <v>1345</v>
      </c>
      <c r="K307" s="282" t="s">
        <v>1208</v>
      </c>
      <c r="L307" s="283">
        <v>45979</v>
      </c>
      <c r="M307" s="276" t="s">
        <v>1523</v>
      </c>
      <c r="N307" s="276"/>
      <c r="O307" s="276"/>
      <c r="P307" s="276"/>
      <c r="Q307" s="276"/>
      <c r="R307" s="276"/>
      <c r="S307" s="276"/>
      <c r="T307" s="276"/>
      <c r="U307" s="276"/>
      <c r="V307" s="276"/>
      <c r="W307" s="276"/>
      <c r="X307" s="276"/>
      <c r="Y307" s="276"/>
      <c r="Z307" s="276"/>
    </row>
    <row r="308" spans="1:26" ht="14.25" customHeight="1" x14ac:dyDescent="0.3">
      <c r="A308" s="373" t="s">
        <v>2128</v>
      </c>
      <c r="B308" s="313" t="s">
        <v>1341</v>
      </c>
      <c r="C308" s="276" t="s">
        <v>1490</v>
      </c>
      <c r="D308" s="283">
        <v>45961</v>
      </c>
      <c r="E308" s="279" t="s">
        <v>1343</v>
      </c>
      <c r="F308" s="276" t="s">
        <v>1511</v>
      </c>
      <c r="G308" s="368" t="s">
        <v>1512</v>
      </c>
      <c r="H308" s="362">
        <v>45958</v>
      </c>
      <c r="I308" s="276" t="s">
        <v>1514</v>
      </c>
      <c r="J308" s="276" t="s">
        <v>1515</v>
      </c>
      <c r="K308" s="290" t="s">
        <v>1208</v>
      </c>
      <c r="L308" s="283">
        <v>45979</v>
      </c>
      <c r="M308" s="276" t="s">
        <v>1524</v>
      </c>
      <c r="N308" s="276"/>
      <c r="O308" s="276"/>
      <c r="P308" s="276"/>
      <c r="Q308" s="276"/>
      <c r="R308" s="276"/>
      <c r="S308" s="276"/>
      <c r="T308" s="276"/>
      <c r="U308" s="276"/>
      <c r="V308" s="276"/>
      <c r="W308" s="276"/>
      <c r="X308" s="276"/>
      <c r="Y308" s="276"/>
      <c r="Z308" s="276"/>
    </row>
    <row r="309" spans="1:26" ht="14.25" customHeight="1" x14ac:dyDescent="0.3">
      <c r="A309" s="373" t="s">
        <v>2130</v>
      </c>
      <c r="B309" s="313" t="s">
        <v>1341</v>
      </c>
      <c r="C309" s="276" t="s">
        <v>1490</v>
      </c>
      <c r="D309" s="283">
        <v>45961</v>
      </c>
      <c r="E309" s="279" t="s">
        <v>1343</v>
      </c>
      <c r="F309" s="276" t="s">
        <v>1511</v>
      </c>
      <c r="G309" s="368" t="s">
        <v>1512</v>
      </c>
      <c r="H309" s="362">
        <v>45958</v>
      </c>
      <c r="I309" s="276" t="s">
        <v>1514</v>
      </c>
      <c r="J309" s="276" t="s">
        <v>1515</v>
      </c>
      <c r="K309" s="290" t="s">
        <v>1208</v>
      </c>
      <c r="L309" s="283">
        <v>45979</v>
      </c>
      <c r="M309" s="291" t="s">
        <v>1525</v>
      </c>
      <c r="N309" s="276"/>
      <c r="O309" s="276"/>
      <c r="P309" s="276"/>
      <c r="Q309" s="276"/>
      <c r="R309" s="276"/>
      <c r="S309" s="276"/>
      <c r="T309" s="276"/>
      <c r="U309" s="276"/>
      <c r="V309" s="276"/>
      <c r="W309" s="276"/>
      <c r="X309" s="276"/>
      <c r="Y309" s="276"/>
      <c r="Z309" s="276"/>
    </row>
    <row r="310" spans="1:26" ht="14.25" customHeight="1" x14ac:dyDescent="0.3">
      <c r="A310" s="373" t="s">
        <v>2131</v>
      </c>
      <c r="B310" s="313" t="s">
        <v>1341</v>
      </c>
      <c r="C310" s="276" t="s">
        <v>1490</v>
      </c>
      <c r="D310" s="283">
        <v>45961</v>
      </c>
      <c r="E310" s="279" t="s">
        <v>1343</v>
      </c>
      <c r="F310" s="276" t="s">
        <v>1511</v>
      </c>
      <c r="G310" s="368" t="s">
        <v>1512</v>
      </c>
      <c r="H310" s="362">
        <v>45958</v>
      </c>
      <c r="I310" s="276" t="s">
        <v>1356</v>
      </c>
      <c r="J310" s="276" t="s">
        <v>1345</v>
      </c>
      <c r="K310" s="284" t="s">
        <v>1208</v>
      </c>
      <c r="L310" s="283">
        <v>45979</v>
      </c>
      <c r="M310" s="276" t="s">
        <v>451</v>
      </c>
      <c r="N310" s="276" t="s">
        <v>1461</v>
      </c>
      <c r="O310" s="276"/>
      <c r="P310" s="276"/>
      <c r="Q310" s="276"/>
      <c r="R310" s="276"/>
      <c r="S310" s="276"/>
      <c r="T310" s="276"/>
      <c r="U310" s="276"/>
      <c r="V310" s="276"/>
      <c r="W310" s="276"/>
      <c r="X310" s="276"/>
      <c r="Y310" s="276"/>
      <c r="Z310" s="276"/>
    </row>
    <row r="311" spans="1:26" ht="14.25" customHeight="1" x14ac:dyDescent="0.3">
      <c r="A311" s="374" t="s">
        <v>489</v>
      </c>
      <c r="B311" s="313" t="s">
        <v>1341</v>
      </c>
      <c r="C311" s="276" t="s">
        <v>1490</v>
      </c>
      <c r="D311" s="283">
        <v>45961</v>
      </c>
      <c r="E311" s="279" t="s">
        <v>1089</v>
      </c>
      <c r="F311" s="276">
        <v>28</v>
      </c>
      <c r="G311" s="375" t="s">
        <v>1091</v>
      </c>
      <c r="H311" s="362">
        <v>45958</v>
      </c>
      <c r="I311" s="276" t="s">
        <v>1362</v>
      </c>
      <c r="J311" s="276" t="s">
        <v>1526</v>
      </c>
      <c r="K311" s="290" t="s">
        <v>1142</v>
      </c>
      <c r="L311" s="283">
        <v>45980</v>
      </c>
      <c r="M311" s="291" t="s">
        <v>2817</v>
      </c>
      <c r="N311" s="276"/>
      <c r="O311" s="276"/>
      <c r="P311" s="276"/>
      <c r="Q311" s="276"/>
      <c r="R311" s="276"/>
      <c r="S311" s="276"/>
      <c r="T311" s="276"/>
      <c r="U311" s="276"/>
      <c r="V311" s="276"/>
      <c r="W311" s="276"/>
      <c r="X311" s="276"/>
      <c r="Y311" s="276"/>
      <c r="Z311" s="276"/>
    </row>
    <row r="312" spans="1:26" ht="14.25" customHeight="1" x14ac:dyDescent="0.3">
      <c r="A312" s="374" t="s">
        <v>465</v>
      </c>
      <c r="B312" s="313" t="s">
        <v>1341</v>
      </c>
      <c r="C312" s="276" t="s">
        <v>1490</v>
      </c>
      <c r="D312" s="283">
        <v>45961</v>
      </c>
      <c r="E312" s="279" t="s">
        <v>1089</v>
      </c>
      <c r="F312" s="276">
        <v>28</v>
      </c>
      <c r="G312" s="375" t="s">
        <v>1091</v>
      </c>
      <c r="H312" s="362">
        <v>45958</v>
      </c>
      <c r="I312" s="276" t="s">
        <v>1347</v>
      </c>
      <c r="J312" s="276" t="s">
        <v>1345</v>
      </c>
      <c r="K312" s="282" t="s">
        <v>1081</v>
      </c>
      <c r="L312" s="283">
        <v>45980</v>
      </c>
      <c r="M312" s="291" t="s">
        <v>2678</v>
      </c>
      <c r="N312" s="276"/>
      <c r="O312" s="276"/>
      <c r="P312" s="276"/>
      <c r="Q312" s="276"/>
      <c r="R312" s="276"/>
      <c r="S312" s="276"/>
      <c r="T312" s="276"/>
      <c r="U312" s="276"/>
      <c r="V312" s="276"/>
      <c r="W312" s="276"/>
      <c r="X312" s="276"/>
      <c r="Y312" s="276"/>
      <c r="Z312" s="276"/>
    </row>
    <row r="313" spans="1:26" ht="14.25" customHeight="1" x14ac:dyDescent="0.3">
      <c r="A313" s="374" t="s">
        <v>499</v>
      </c>
      <c r="B313" s="313" t="s">
        <v>1341</v>
      </c>
      <c r="C313" s="276" t="s">
        <v>1490</v>
      </c>
      <c r="D313" s="283">
        <v>45961</v>
      </c>
      <c r="E313" s="279" t="s">
        <v>1089</v>
      </c>
      <c r="F313" s="276">
        <v>28</v>
      </c>
      <c r="G313" s="375" t="s">
        <v>1091</v>
      </c>
      <c r="H313" s="362">
        <v>45958</v>
      </c>
      <c r="I313" s="276" t="s">
        <v>1362</v>
      </c>
      <c r="J313" s="276" t="s">
        <v>1526</v>
      </c>
      <c r="K313" s="290" t="s">
        <v>1142</v>
      </c>
      <c r="L313" s="283">
        <v>45980</v>
      </c>
      <c r="M313" s="291" t="s">
        <v>2679</v>
      </c>
      <c r="N313" s="276"/>
      <c r="O313" s="276"/>
      <c r="P313" s="276"/>
      <c r="Q313" s="276"/>
      <c r="R313" s="276"/>
      <c r="S313" s="276"/>
      <c r="T313" s="276"/>
      <c r="U313" s="276"/>
      <c r="V313" s="276"/>
      <c r="W313" s="276"/>
      <c r="X313" s="276"/>
      <c r="Y313" s="276"/>
      <c r="Z313" s="276"/>
    </row>
    <row r="314" spans="1:26" ht="14.25" customHeight="1" x14ac:dyDescent="0.3">
      <c r="A314" s="374" t="s">
        <v>2170</v>
      </c>
      <c r="B314" s="313" t="s">
        <v>1341</v>
      </c>
      <c r="C314" s="276" t="s">
        <v>1490</v>
      </c>
      <c r="D314" s="283">
        <v>45961</v>
      </c>
      <c r="E314" s="279" t="s">
        <v>1089</v>
      </c>
      <c r="F314" s="276">
        <v>28</v>
      </c>
      <c r="G314" s="375" t="s">
        <v>1091</v>
      </c>
      <c r="H314" s="362">
        <v>45958</v>
      </c>
      <c r="I314" s="276" t="s">
        <v>1362</v>
      </c>
      <c r="J314" s="276" t="s">
        <v>1526</v>
      </c>
      <c r="K314" s="290" t="s">
        <v>1142</v>
      </c>
      <c r="L314" s="283">
        <v>45980</v>
      </c>
      <c r="M314" s="291" t="s">
        <v>2680</v>
      </c>
      <c r="N314" s="276"/>
      <c r="O314" s="276"/>
      <c r="P314" s="276"/>
      <c r="Q314" s="276"/>
      <c r="R314" s="276"/>
      <c r="S314" s="276"/>
      <c r="T314" s="276"/>
      <c r="U314" s="276"/>
      <c r="V314" s="276"/>
      <c r="W314" s="276"/>
      <c r="X314" s="276"/>
      <c r="Y314" s="276"/>
      <c r="Z314" s="276"/>
    </row>
    <row r="315" spans="1:26" ht="14.25" customHeight="1" x14ac:dyDescent="0.3">
      <c r="A315" s="374" t="s">
        <v>2171</v>
      </c>
      <c r="B315" s="313" t="s">
        <v>1341</v>
      </c>
      <c r="C315" s="276" t="s">
        <v>1490</v>
      </c>
      <c r="D315" s="283">
        <v>45961</v>
      </c>
      <c r="E315" s="279" t="s">
        <v>1089</v>
      </c>
      <c r="F315" s="276">
        <v>28</v>
      </c>
      <c r="G315" s="375" t="s">
        <v>1091</v>
      </c>
      <c r="H315" s="362">
        <v>45958</v>
      </c>
      <c r="I315" s="276" t="s">
        <v>1362</v>
      </c>
      <c r="J315" s="276" t="s">
        <v>1526</v>
      </c>
      <c r="K315" s="290" t="s">
        <v>1142</v>
      </c>
      <c r="L315" s="283">
        <v>45980</v>
      </c>
      <c r="M315" s="291" t="s">
        <v>2681</v>
      </c>
      <c r="N315" s="276"/>
      <c r="O315" s="276"/>
      <c r="P315" s="276"/>
      <c r="Q315" s="276"/>
      <c r="R315" s="276"/>
      <c r="S315" s="276"/>
      <c r="T315" s="276"/>
      <c r="U315" s="276"/>
      <c r="V315" s="276"/>
      <c r="W315" s="276"/>
      <c r="X315" s="276"/>
      <c r="Y315" s="276"/>
      <c r="Z315" s="276"/>
    </row>
    <row r="316" spans="1:26" ht="14.25" customHeight="1" x14ac:dyDescent="0.3">
      <c r="A316" s="374" t="s">
        <v>545</v>
      </c>
      <c r="B316" s="313" t="s">
        <v>1341</v>
      </c>
      <c r="C316" s="276" t="s">
        <v>1490</v>
      </c>
      <c r="D316" s="283">
        <v>45961</v>
      </c>
      <c r="E316" s="279" t="s">
        <v>1089</v>
      </c>
      <c r="F316" s="276">
        <v>28</v>
      </c>
      <c r="G316" s="375" t="s">
        <v>1091</v>
      </c>
      <c r="H316" s="362">
        <v>45958</v>
      </c>
      <c r="I316" s="276" t="s">
        <v>1362</v>
      </c>
      <c r="J316" s="276" t="s">
        <v>1345</v>
      </c>
      <c r="K316" s="290" t="s">
        <v>1142</v>
      </c>
      <c r="L316" s="283">
        <v>45980</v>
      </c>
      <c r="M316" s="291" t="s">
        <v>2682</v>
      </c>
      <c r="N316" s="276"/>
      <c r="O316" s="276"/>
      <c r="P316" s="276"/>
      <c r="Q316" s="276"/>
      <c r="R316" s="276"/>
      <c r="S316" s="276"/>
      <c r="T316" s="276"/>
      <c r="U316" s="276"/>
      <c r="V316" s="276"/>
      <c r="W316" s="276"/>
      <c r="X316" s="276"/>
      <c r="Y316" s="276"/>
      <c r="Z316" s="276"/>
    </row>
    <row r="317" spans="1:26" ht="14.25" customHeight="1" x14ac:dyDescent="0.3">
      <c r="A317" s="374" t="s">
        <v>2176</v>
      </c>
      <c r="B317" s="313" t="s">
        <v>1341</v>
      </c>
      <c r="C317" s="276" t="s">
        <v>1490</v>
      </c>
      <c r="D317" s="283">
        <v>45961</v>
      </c>
      <c r="E317" s="279" t="s">
        <v>1089</v>
      </c>
      <c r="F317" s="276">
        <v>28</v>
      </c>
      <c r="G317" s="375" t="s">
        <v>1091</v>
      </c>
      <c r="H317" s="362">
        <v>45958</v>
      </c>
      <c r="I317" s="276" t="s">
        <v>1362</v>
      </c>
      <c r="J317" s="276" t="s">
        <v>1526</v>
      </c>
      <c r="K317" s="290" t="s">
        <v>1142</v>
      </c>
      <c r="L317" s="283">
        <v>45980</v>
      </c>
      <c r="M317" s="291" t="s">
        <v>2683</v>
      </c>
      <c r="N317" s="276"/>
      <c r="O317" s="276"/>
      <c r="P317" s="276"/>
      <c r="Q317" s="276"/>
      <c r="R317" s="276"/>
      <c r="S317" s="276"/>
      <c r="T317" s="276"/>
      <c r="U317" s="276"/>
      <c r="V317" s="276"/>
      <c r="W317" s="276"/>
      <c r="X317" s="276"/>
      <c r="Y317" s="276"/>
      <c r="Z317" s="276"/>
    </row>
    <row r="318" spans="1:26" ht="14.25" customHeight="1" x14ac:dyDescent="0.3">
      <c r="A318" s="374" t="s">
        <v>641</v>
      </c>
      <c r="B318" s="313" t="s">
        <v>1341</v>
      </c>
      <c r="C318" s="276" t="s">
        <v>1490</v>
      </c>
      <c r="D318" s="283">
        <v>45961</v>
      </c>
      <c r="E318" s="279" t="s">
        <v>1089</v>
      </c>
      <c r="F318" s="276">
        <v>28</v>
      </c>
      <c r="G318" s="375" t="s">
        <v>1091</v>
      </c>
      <c r="H318" s="362">
        <v>45958</v>
      </c>
      <c r="I318" s="276" t="s">
        <v>1362</v>
      </c>
      <c r="J318" s="276" t="s">
        <v>1526</v>
      </c>
      <c r="K318" s="290" t="s">
        <v>1142</v>
      </c>
      <c r="L318" s="283">
        <v>45980</v>
      </c>
      <c r="M318" s="291" t="s">
        <v>2684</v>
      </c>
      <c r="N318" s="276"/>
      <c r="O318" s="276"/>
      <c r="P318" s="276"/>
      <c r="Q318" s="276"/>
      <c r="R318" s="276"/>
      <c r="S318" s="276"/>
      <c r="T318" s="276"/>
      <c r="U318" s="276"/>
      <c r="V318" s="276"/>
      <c r="W318" s="276"/>
      <c r="X318" s="276"/>
      <c r="Y318" s="276"/>
      <c r="Z318" s="276"/>
    </row>
    <row r="319" spans="1:26" ht="14.25" customHeight="1" x14ac:dyDescent="0.3">
      <c r="A319" s="374" t="s">
        <v>650</v>
      </c>
      <c r="B319" s="313" t="s">
        <v>1341</v>
      </c>
      <c r="C319" s="276" t="s">
        <v>1490</v>
      </c>
      <c r="D319" s="283">
        <v>45961</v>
      </c>
      <c r="E319" s="279" t="s">
        <v>1089</v>
      </c>
      <c r="F319" s="276">
        <v>28</v>
      </c>
      <c r="G319" s="375" t="s">
        <v>1091</v>
      </c>
      <c r="H319" s="362">
        <v>45958</v>
      </c>
      <c r="I319" s="276" t="s">
        <v>1344</v>
      </c>
      <c r="J319" s="276" t="s">
        <v>1345</v>
      </c>
      <c r="K319" s="290" t="s">
        <v>1107</v>
      </c>
      <c r="L319" s="283">
        <v>45980</v>
      </c>
      <c r="M319" s="276" t="s">
        <v>451</v>
      </c>
      <c r="N319" s="276"/>
      <c r="O319" s="276"/>
      <c r="P319" s="276"/>
      <c r="Q319" s="276"/>
      <c r="R319" s="276"/>
      <c r="S319" s="276"/>
      <c r="T319" s="276"/>
      <c r="U319" s="276"/>
      <c r="V319" s="276"/>
      <c r="W319" s="276"/>
      <c r="X319" s="276"/>
      <c r="Y319" s="276"/>
      <c r="Z319" s="276"/>
    </row>
    <row r="320" spans="1:26" ht="14.25" customHeight="1" x14ac:dyDescent="0.3">
      <c r="A320" s="376" t="s">
        <v>2181</v>
      </c>
      <c r="B320" s="313" t="s">
        <v>1341</v>
      </c>
      <c r="C320" s="276" t="s">
        <v>1490</v>
      </c>
      <c r="D320" s="283">
        <v>45961</v>
      </c>
      <c r="E320" s="279" t="s">
        <v>1343</v>
      </c>
      <c r="F320" s="276">
        <v>28</v>
      </c>
      <c r="G320" s="375" t="s">
        <v>1091</v>
      </c>
      <c r="H320" s="362">
        <v>45958</v>
      </c>
      <c r="I320" s="276" t="s">
        <v>1362</v>
      </c>
      <c r="J320" s="276" t="s">
        <v>1526</v>
      </c>
      <c r="K320" s="290" t="s">
        <v>1208</v>
      </c>
      <c r="L320" s="283">
        <v>45980</v>
      </c>
      <c r="M320" s="291" t="s">
        <v>2685</v>
      </c>
      <c r="N320" s="276"/>
      <c r="O320" s="276"/>
      <c r="P320" s="276"/>
      <c r="Q320" s="276"/>
      <c r="R320" s="276"/>
      <c r="S320" s="276"/>
      <c r="T320" s="276"/>
      <c r="U320" s="276"/>
      <c r="V320" s="276"/>
      <c r="W320" s="276"/>
      <c r="X320" s="276"/>
      <c r="Y320" s="276"/>
      <c r="Z320" s="276"/>
    </row>
    <row r="321" spans="1:26" ht="14.25" customHeight="1" x14ac:dyDescent="0.3">
      <c r="A321" s="376" t="s">
        <v>2182</v>
      </c>
      <c r="B321" s="313" t="s">
        <v>1341</v>
      </c>
      <c r="C321" s="276" t="s">
        <v>1490</v>
      </c>
      <c r="D321" s="283">
        <v>45961</v>
      </c>
      <c r="E321" s="279" t="s">
        <v>1343</v>
      </c>
      <c r="F321" s="276">
        <v>28</v>
      </c>
      <c r="G321" s="375" t="s">
        <v>1091</v>
      </c>
      <c r="H321" s="362">
        <v>45958</v>
      </c>
      <c r="I321" s="276" t="s">
        <v>1362</v>
      </c>
      <c r="J321" s="276" t="s">
        <v>1526</v>
      </c>
      <c r="K321" s="290" t="s">
        <v>1208</v>
      </c>
      <c r="L321" s="283">
        <v>45980</v>
      </c>
      <c r="M321" s="291" t="s">
        <v>2686</v>
      </c>
      <c r="N321" s="276"/>
      <c r="O321" s="276"/>
      <c r="P321" s="276"/>
      <c r="Q321" s="276"/>
      <c r="R321" s="276"/>
      <c r="S321" s="276"/>
      <c r="T321" s="276"/>
      <c r="U321" s="276"/>
      <c r="V321" s="276"/>
      <c r="W321" s="276"/>
      <c r="X321" s="276"/>
      <c r="Y321" s="276"/>
      <c r="Z321" s="276"/>
    </row>
    <row r="322" spans="1:26" ht="14.25" customHeight="1" x14ac:dyDescent="0.3">
      <c r="A322" s="307" t="s">
        <v>890</v>
      </c>
      <c r="B322" s="276" t="s">
        <v>1341</v>
      </c>
      <c r="C322" s="279" t="s">
        <v>1436</v>
      </c>
      <c r="D322" s="283">
        <v>45909</v>
      </c>
      <c r="E322" s="280" t="s">
        <v>1447</v>
      </c>
      <c r="F322" s="276">
        <v>22</v>
      </c>
      <c r="G322" s="331" t="s">
        <v>1079</v>
      </c>
      <c r="H322" s="283">
        <v>45938</v>
      </c>
      <c r="I322" s="276" t="s">
        <v>1347</v>
      </c>
      <c r="J322" s="276" t="s">
        <v>1345</v>
      </c>
      <c r="K322" s="326" t="s">
        <v>1142</v>
      </c>
      <c r="L322" s="283">
        <v>45979</v>
      </c>
      <c r="M322" s="291" t="s">
        <v>2717</v>
      </c>
      <c r="N322" s="276"/>
      <c r="O322" s="276"/>
      <c r="P322" s="276"/>
      <c r="Q322" s="276"/>
      <c r="R322" s="276"/>
      <c r="S322" s="276"/>
      <c r="T322" s="276"/>
      <c r="U322" s="276"/>
      <c r="V322" s="276"/>
      <c r="W322" s="276"/>
      <c r="X322" s="276"/>
      <c r="Y322" s="276"/>
      <c r="Z322" s="276"/>
    </row>
    <row r="323" spans="1:26" ht="14.25" customHeight="1" x14ac:dyDescent="0.3">
      <c r="A323" s="307" t="s">
        <v>533</v>
      </c>
      <c r="B323" s="313" t="s">
        <v>1341</v>
      </c>
      <c r="C323" s="276" t="s">
        <v>1490</v>
      </c>
      <c r="D323" s="283">
        <v>45961</v>
      </c>
      <c r="E323" s="279" t="s">
        <v>1089</v>
      </c>
      <c r="F323" s="276">
        <v>28</v>
      </c>
      <c r="G323" s="375" t="s">
        <v>1091</v>
      </c>
      <c r="H323" s="362">
        <v>45958</v>
      </c>
      <c r="I323" s="276" t="s">
        <v>1362</v>
      </c>
      <c r="J323" s="276" t="s">
        <v>1526</v>
      </c>
      <c r="K323" s="276" t="s">
        <v>1142</v>
      </c>
      <c r="L323" s="283">
        <v>45980</v>
      </c>
      <c r="M323" s="291" t="s">
        <v>2687</v>
      </c>
      <c r="N323" s="276"/>
      <c r="O323" s="276"/>
      <c r="P323" s="276"/>
      <c r="Q323" s="276"/>
      <c r="R323" s="276"/>
      <c r="S323" s="276"/>
      <c r="T323" s="276"/>
      <c r="U323" s="276"/>
      <c r="V323" s="276"/>
      <c r="W323" s="276"/>
      <c r="X323" s="276"/>
      <c r="Y323" s="276"/>
      <c r="Z323" s="276"/>
    </row>
    <row r="324" spans="1:26" ht="14.25" customHeight="1" x14ac:dyDescent="0.3">
      <c r="A324" s="377" t="s">
        <v>2104</v>
      </c>
      <c r="B324" s="272" t="s">
        <v>1527</v>
      </c>
      <c r="C324" s="258">
        <v>6</v>
      </c>
      <c r="E324" s="279" t="s">
        <v>1076</v>
      </c>
      <c r="F324" s="258">
        <v>31</v>
      </c>
      <c r="G324" s="258" t="s">
        <v>1082</v>
      </c>
      <c r="H324" s="260">
        <v>45986</v>
      </c>
      <c r="I324" s="276" t="s">
        <v>1347</v>
      </c>
      <c r="J324" s="258" t="s">
        <v>1345</v>
      </c>
      <c r="K324" s="276" t="s">
        <v>1142</v>
      </c>
      <c r="L324" s="378">
        <v>46006</v>
      </c>
      <c r="M324" s="291" t="s">
        <v>1528</v>
      </c>
      <c r="N324" s="276"/>
      <c r="O324" s="276"/>
      <c r="P324" s="276"/>
      <c r="Q324" s="276"/>
      <c r="R324" s="276"/>
      <c r="S324" s="276"/>
      <c r="T324" s="276"/>
      <c r="U324" s="276"/>
      <c r="V324" s="276"/>
      <c r="W324" s="276"/>
      <c r="X324" s="276"/>
      <c r="Y324" s="276"/>
      <c r="Z324" s="276"/>
    </row>
    <row r="325" spans="1:26" ht="14.25" customHeight="1" x14ac:dyDescent="0.3">
      <c r="A325" s="262" t="s">
        <v>2216</v>
      </c>
      <c r="B325" s="272" t="s">
        <v>1527</v>
      </c>
      <c r="C325" s="258">
        <v>6</v>
      </c>
      <c r="E325" s="258" t="s">
        <v>1144</v>
      </c>
      <c r="F325" s="258">
        <v>34</v>
      </c>
      <c r="G325" s="263" t="s">
        <v>1231</v>
      </c>
      <c r="H325" s="260">
        <v>45992</v>
      </c>
      <c r="I325" s="276" t="s">
        <v>1347</v>
      </c>
      <c r="J325" s="258" t="s">
        <v>1345</v>
      </c>
      <c r="K325" s="326" t="s">
        <v>1142</v>
      </c>
      <c r="L325" s="378">
        <v>46006</v>
      </c>
      <c r="M325" s="291" t="s">
        <v>1529</v>
      </c>
      <c r="N325" s="277" t="s">
        <v>1530</v>
      </c>
      <c r="O325" s="276"/>
      <c r="P325" s="276"/>
      <c r="Q325" s="276"/>
      <c r="R325" s="276"/>
      <c r="S325" s="276"/>
      <c r="T325" s="276"/>
      <c r="U325" s="276"/>
      <c r="V325" s="276"/>
      <c r="W325" s="276"/>
      <c r="X325" s="276"/>
      <c r="Y325" s="276"/>
      <c r="Z325" s="276"/>
    </row>
    <row r="326" spans="1:26" ht="14.25" customHeight="1" x14ac:dyDescent="0.3">
      <c r="A326" s="262" t="s">
        <v>446</v>
      </c>
      <c r="B326" s="272" t="s">
        <v>1527</v>
      </c>
      <c r="C326" s="258">
        <v>6</v>
      </c>
      <c r="E326" s="258" t="s">
        <v>1144</v>
      </c>
      <c r="F326" s="258">
        <v>34</v>
      </c>
      <c r="G326" s="263" t="s">
        <v>1231</v>
      </c>
      <c r="H326" s="260">
        <v>45992</v>
      </c>
      <c r="I326" s="276" t="s">
        <v>1347</v>
      </c>
      <c r="J326" s="258" t="s">
        <v>1345</v>
      </c>
      <c r="K326" s="326" t="s">
        <v>1142</v>
      </c>
      <c r="L326" s="378">
        <v>46006</v>
      </c>
      <c r="M326" s="379" t="s">
        <v>1531</v>
      </c>
      <c r="O326" s="276"/>
      <c r="P326" s="276"/>
      <c r="Q326" s="276"/>
      <c r="R326" s="276"/>
      <c r="S326" s="276"/>
      <c r="T326" s="276"/>
      <c r="U326" s="276"/>
      <c r="V326" s="276"/>
      <c r="W326" s="276"/>
      <c r="X326" s="276"/>
      <c r="Y326" s="276"/>
      <c r="Z326" s="276"/>
    </row>
    <row r="327" spans="1:26" ht="14.25" customHeight="1" x14ac:dyDescent="0.3">
      <c r="A327" s="262" t="s">
        <v>2188</v>
      </c>
      <c r="B327" s="272" t="s">
        <v>1527</v>
      </c>
      <c r="C327" s="258">
        <v>6</v>
      </c>
      <c r="E327" s="258" t="s">
        <v>1144</v>
      </c>
      <c r="F327" s="258">
        <v>34</v>
      </c>
      <c r="G327" s="263" t="s">
        <v>1231</v>
      </c>
      <c r="H327" s="260">
        <v>45992</v>
      </c>
      <c r="I327" s="276" t="s">
        <v>1347</v>
      </c>
      <c r="J327" s="258" t="s">
        <v>1345</v>
      </c>
      <c r="K327" s="326" t="s">
        <v>1142</v>
      </c>
      <c r="L327" s="378">
        <v>46006</v>
      </c>
      <c r="M327" s="291" t="s">
        <v>1532</v>
      </c>
      <c r="N327" s="277" t="s">
        <v>1533</v>
      </c>
      <c r="O327" s="276"/>
      <c r="P327" s="276"/>
      <c r="Q327" s="276"/>
      <c r="R327" s="276"/>
      <c r="S327" s="276"/>
      <c r="T327" s="276"/>
      <c r="U327" s="276"/>
      <c r="V327" s="276"/>
      <c r="W327" s="276"/>
      <c r="X327" s="276"/>
      <c r="Y327" s="276"/>
      <c r="Z327" s="276"/>
    </row>
    <row r="328" spans="1:26" ht="14.25" customHeight="1" x14ac:dyDescent="0.3">
      <c r="A328" s="261" t="s">
        <v>523</v>
      </c>
      <c r="B328" s="272" t="s">
        <v>1527</v>
      </c>
      <c r="C328" s="258">
        <v>6</v>
      </c>
      <c r="E328" s="258" t="s">
        <v>1144</v>
      </c>
      <c r="F328" s="258">
        <v>32</v>
      </c>
      <c r="G328" s="263" t="s">
        <v>1231</v>
      </c>
      <c r="H328" s="260">
        <v>45987</v>
      </c>
      <c r="I328" s="276" t="s">
        <v>1347</v>
      </c>
      <c r="J328" s="258" t="s">
        <v>1345</v>
      </c>
      <c r="K328" s="326" t="s">
        <v>1142</v>
      </c>
      <c r="L328" s="378">
        <v>46006</v>
      </c>
      <c r="M328" s="291" t="s">
        <v>1534</v>
      </c>
      <c r="O328" s="276"/>
      <c r="P328" s="276"/>
      <c r="Q328" s="276"/>
      <c r="R328" s="276"/>
      <c r="S328" s="276"/>
      <c r="T328" s="276"/>
      <c r="U328" s="276"/>
      <c r="V328" s="276"/>
      <c r="W328" s="276"/>
      <c r="X328" s="276"/>
      <c r="Y328" s="276"/>
      <c r="Z328" s="276"/>
    </row>
    <row r="329" spans="1:26" ht="14.25" customHeight="1" x14ac:dyDescent="0.3">
      <c r="A329" s="262" t="s">
        <v>529</v>
      </c>
      <c r="B329" s="272" t="s">
        <v>1527</v>
      </c>
      <c r="C329" s="258">
        <v>6</v>
      </c>
      <c r="E329" s="258" t="s">
        <v>1144</v>
      </c>
      <c r="F329" s="258">
        <v>34</v>
      </c>
      <c r="G329" s="263" t="s">
        <v>1231</v>
      </c>
      <c r="H329" s="260">
        <v>45992</v>
      </c>
      <c r="I329" s="276" t="s">
        <v>1535</v>
      </c>
      <c r="J329" s="258" t="s">
        <v>1345</v>
      </c>
      <c r="K329" s="284" t="s">
        <v>1128</v>
      </c>
      <c r="L329" s="378">
        <v>46006</v>
      </c>
      <c r="M329" s="277" t="s">
        <v>451</v>
      </c>
      <c r="N329" s="276" t="s">
        <v>1536</v>
      </c>
      <c r="O329" s="276"/>
      <c r="P329" s="276"/>
      <c r="Q329" s="276"/>
      <c r="R329" s="276"/>
      <c r="S329" s="276"/>
      <c r="T329" s="276"/>
      <c r="U329" s="276"/>
      <c r="V329" s="276"/>
      <c r="W329" s="276"/>
      <c r="X329" s="276"/>
      <c r="Y329" s="276"/>
      <c r="Z329" s="276"/>
    </row>
    <row r="330" spans="1:26" ht="14.25" customHeight="1" x14ac:dyDescent="0.3">
      <c r="A330" s="261" t="s">
        <v>1810</v>
      </c>
      <c r="B330" s="272" t="s">
        <v>1527</v>
      </c>
      <c r="C330" s="258">
        <v>6</v>
      </c>
      <c r="E330" s="258" t="s">
        <v>1144</v>
      </c>
      <c r="F330" s="258">
        <v>32</v>
      </c>
      <c r="G330" s="263" t="s">
        <v>1231</v>
      </c>
      <c r="H330" s="260">
        <v>45987</v>
      </c>
      <c r="I330" s="276" t="s">
        <v>1347</v>
      </c>
      <c r="J330" s="258" t="s">
        <v>1345</v>
      </c>
      <c r="K330" s="326" t="s">
        <v>1142</v>
      </c>
      <c r="L330" s="378">
        <v>46006</v>
      </c>
      <c r="M330" s="291" t="s">
        <v>1537</v>
      </c>
      <c r="O330" s="276"/>
      <c r="P330" s="276"/>
      <c r="Q330" s="276"/>
      <c r="R330" s="276"/>
      <c r="S330" s="276"/>
      <c r="T330" s="276"/>
      <c r="U330" s="276"/>
      <c r="V330" s="276"/>
      <c r="W330" s="276"/>
      <c r="X330" s="276"/>
      <c r="Y330" s="276"/>
      <c r="Z330" s="276"/>
    </row>
    <row r="331" spans="1:26" ht="14.25" customHeight="1" x14ac:dyDescent="0.3">
      <c r="A331" s="262" t="s">
        <v>543</v>
      </c>
      <c r="B331" s="272" t="s">
        <v>1527</v>
      </c>
      <c r="C331" s="258">
        <v>6</v>
      </c>
      <c r="E331" s="258" t="s">
        <v>1144</v>
      </c>
      <c r="F331" s="258">
        <v>34</v>
      </c>
      <c r="G331" s="263" t="s">
        <v>1231</v>
      </c>
      <c r="H331" s="260">
        <v>45992</v>
      </c>
      <c r="I331" s="276" t="s">
        <v>1347</v>
      </c>
      <c r="J331" s="258" t="s">
        <v>1345</v>
      </c>
      <c r="K331" s="326" t="s">
        <v>1142</v>
      </c>
      <c r="L331" s="378">
        <v>46006</v>
      </c>
      <c r="M331" s="291" t="s">
        <v>1538</v>
      </c>
      <c r="O331" s="276"/>
      <c r="P331" s="276"/>
      <c r="Q331" s="276"/>
      <c r="R331" s="276"/>
      <c r="S331" s="276"/>
      <c r="T331" s="276"/>
      <c r="U331" s="276"/>
      <c r="V331" s="276"/>
      <c r="W331" s="276"/>
      <c r="X331" s="276"/>
      <c r="Y331" s="276"/>
      <c r="Z331" s="276"/>
    </row>
    <row r="332" spans="1:26" ht="14.25" customHeight="1" x14ac:dyDescent="0.3">
      <c r="A332" s="262" t="s">
        <v>2217</v>
      </c>
      <c r="B332" s="272" t="s">
        <v>1527</v>
      </c>
      <c r="C332" s="258">
        <v>6</v>
      </c>
      <c r="E332" s="258" t="s">
        <v>1144</v>
      </c>
      <c r="F332" s="258">
        <v>34</v>
      </c>
      <c r="G332" s="263" t="s">
        <v>1231</v>
      </c>
      <c r="H332" s="260">
        <v>45992</v>
      </c>
      <c r="I332" s="276" t="s">
        <v>1347</v>
      </c>
      <c r="J332" s="258" t="s">
        <v>1345</v>
      </c>
      <c r="K332" s="326" t="s">
        <v>1142</v>
      </c>
      <c r="L332" s="378">
        <v>46006</v>
      </c>
      <c r="M332" s="291" t="s">
        <v>1539</v>
      </c>
      <c r="O332" s="276"/>
      <c r="P332" s="276"/>
      <c r="Q332" s="276"/>
      <c r="R332" s="276"/>
      <c r="S332" s="276"/>
      <c r="T332" s="276"/>
      <c r="U332" s="276"/>
      <c r="V332" s="276"/>
      <c r="W332" s="276"/>
      <c r="X332" s="276"/>
      <c r="Y332" s="276"/>
      <c r="Z332" s="276"/>
    </row>
    <row r="333" spans="1:26" ht="14.25" customHeight="1" x14ac:dyDescent="0.3">
      <c r="A333" s="262" t="s">
        <v>2171</v>
      </c>
      <c r="B333" s="272" t="s">
        <v>1527</v>
      </c>
      <c r="C333" s="258">
        <v>6</v>
      </c>
      <c r="E333" s="258" t="s">
        <v>1144</v>
      </c>
      <c r="F333" s="258">
        <v>34</v>
      </c>
      <c r="G333" s="263" t="s">
        <v>1231</v>
      </c>
      <c r="H333" s="260">
        <v>45992</v>
      </c>
      <c r="I333" s="276" t="s">
        <v>1347</v>
      </c>
      <c r="J333" s="258" t="s">
        <v>1345</v>
      </c>
      <c r="K333" s="326" t="s">
        <v>1142</v>
      </c>
      <c r="L333" s="378">
        <v>46006</v>
      </c>
      <c r="M333" s="291" t="s">
        <v>1540</v>
      </c>
      <c r="O333" s="276"/>
      <c r="P333" s="276"/>
      <c r="Q333" s="276"/>
      <c r="R333" s="276"/>
      <c r="S333" s="276"/>
      <c r="T333" s="276"/>
      <c r="U333" s="276"/>
      <c r="V333" s="276"/>
      <c r="W333" s="276"/>
      <c r="X333" s="276"/>
      <c r="Y333" s="276"/>
      <c r="Z333" s="276"/>
    </row>
    <row r="334" spans="1:26" ht="14.25" customHeight="1" x14ac:dyDescent="0.3">
      <c r="A334" s="262" t="s">
        <v>2218</v>
      </c>
      <c r="B334" s="272" t="s">
        <v>1527</v>
      </c>
      <c r="C334" s="258">
        <v>6</v>
      </c>
      <c r="E334" s="258" t="s">
        <v>1144</v>
      </c>
      <c r="F334" s="258">
        <v>34</v>
      </c>
      <c r="G334" s="263" t="s">
        <v>1231</v>
      </c>
      <c r="H334" s="260">
        <v>45992</v>
      </c>
      <c r="I334" s="276" t="s">
        <v>1347</v>
      </c>
      <c r="J334" s="258" t="s">
        <v>1345</v>
      </c>
      <c r="K334" s="326" t="s">
        <v>1142</v>
      </c>
      <c r="L334" s="378">
        <v>46006</v>
      </c>
      <c r="M334" s="291" t="s">
        <v>1541</v>
      </c>
      <c r="O334" s="276"/>
      <c r="P334" s="276"/>
      <c r="Q334" s="276"/>
      <c r="R334" s="276"/>
      <c r="S334" s="276"/>
      <c r="T334" s="276"/>
      <c r="U334" s="276"/>
      <c r="V334" s="276"/>
      <c r="W334" s="276"/>
      <c r="X334" s="276"/>
      <c r="Y334" s="276"/>
      <c r="Z334" s="276"/>
    </row>
    <row r="335" spans="1:26" ht="14.25" customHeight="1" x14ac:dyDescent="0.3">
      <c r="A335" s="262" t="s">
        <v>579</v>
      </c>
      <c r="B335" s="272" t="s">
        <v>1527</v>
      </c>
      <c r="C335" s="258">
        <v>6</v>
      </c>
      <c r="E335" s="258" t="s">
        <v>1144</v>
      </c>
      <c r="F335" s="258">
        <v>34</v>
      </c>
      <c r="G335" s="263" t="s">
        <v>1231</v>
      </c>
      <c r="H335" s="260">
        <v>45992</v>
      </c>
      <c r="I335" s="276" t="s">
        <v>1347</v>
      </c>
      <c r="J335" s="258" t="s">
        <v>1345</v>
      </c>
      <c r="K335" s="326" t="s">
        <v>1142</v>
      </c>
      <c r="L335" s="378">
        <v>46006</v>
      </c>
      <c r="M335" s="291" t="s">
        <v>1542</v>
      </c>
      <c r="O335" s="276"/>
      <c r="P335" s="276"/>
      <c r="Q335" s="276"/>
      <c r="R335" s="276"/>
      <c r="S335" s="276"/>
      <c r="T335" s="276"/>
      <c r="U335" s="276"/>
      <c r="V335" s="276"/>
      <c r="W335" s="276"/>
      <c r="X335" s="276"/>
      <c r="Y335" s="276"/>
      <c r="Z335" s="276"/>
    </row>
    <row r="336" spans="1:26" ht="14.25" customHeight="1" x14ac:dyDescent="0.3">
      <c r="A336" s="264" t="s">
        <v>2174</v>
      </c>
      <c r="B336" s="272" t="s">
        <v>1527</v>
      </c>
      <c r="C336" s="258">
        <v>6</v>
      </c>
      <c r="E336" s="258" t="s">
        <v>1144</v>
      </c>
      <c r="F336" s="258">
        <v>34</v>
      </c>
      <c r="G336" s="263" t="s">
        <v>1231</v>
      </c>
      <c r="H336" s="260">
        <v>45992</v>
      </c>
      <c r="I336" s="276" t="s">
        <v>1347</v>
      </c>
      <c r="J336" s="258" t="s">
        <v>1345</v>
      </c>
      <c r="K336" s="326" t="s">
        <v>1142</v>
      </c>
      <c r="L336" s="378">
        <v>46006</v>
      </c>
      <c r="M336" s="291" t="s">
        <v>1543</v>
      </c>
      <c r="O336" s="276"/>
      <c r="P336" s="276"/>
      <c r="Q336" s="276"/>
      <c r="R336" s="276"/>
      <c r="S336" s="276"/>
      <c r="T336" s="276"/>
      <c r="U336" s="276"/>
      <c r="V336" s="276"/>
      <c r="W336" s="276"/>
      <c r="X336" s="276"/>
      <c r="Y336" s="276"/>
      <c r="Z336" s="276"/>
    </row>
    <row r="337" spans="1:26" ht="14.25" customHeight="1" x14ac:dyDescent="0.3">
      <c r="A337" s="264" t="s">
        <v>2219</v>
      </c>
      <c r="B337" s="272" t="s">
        <v>1527</v>
      </c>
      <c r="C337" s="258">
        <v>6</v>
      </c>
      <c r="E337" s="258" t="s">
        <v>1144</v>
      </c>
      <c r="F337" s="258">
        <v>34</v>
      </c>
      <c r="G337" s="263" t="s">
        <v>1231</v>
      </c>
      <c r="H337" s="260">
        <v>45992</v>
      </c>
      <c r="I337" s="276" t="s">
        <v>1347</v>
      </c>
      <c r="J337" s="258" t="s">
        <v>1345</v>
      </c>
      <c r="K337" s="326" t="s">
        <v>1142</v>
      </c>
      <c r="L337" s="378">
        <v>46006</v>
      </c>
      <c r="M337" s="291" t="s">
        <v>1544</v>
      </c>
      <c r="O337" s="276"/>
      <c r="P337" s="276"/>
      <c r="Q337" s="276"/>
      <c r="R337" s="276"/>
      <c r="S337" s="276"/>
      <c r="T337" s="276"/>
      <c r="U337" s="276"/>
      <c r="V337" s="276"/>
      <c r="W337" s="276"/>
      <c r="X337" s="276"/>
      <c r="Y337" s="276"/>
      <c r="Z337" s="276"/>
    </row>
    <row r="338" spans="1:26" ht="14.25" customHeight="1" x14ac:dyDescent="0.3">
      <c r="A338" s="264" t="s">
        <v>2220</v>
      </c>
      <c r="B338" s="272" t="s">
        <v>1527</v>
      </c>
      <c r="C338" s="258">
        <v>6</v>
      </c>
      <c r="E338" s="258" t="s">
        <v>1144</v>
      </c>
      <c r="F338" s="258">
        <v>34</v>
      </c>
      <c r="G338" s="263" t="s">
        <v>1231</v>
      </c>
      <c r="H338" s="260">
        <v>45992</v>
      </c>
      <c r="I338" s="276" t="s">
        <v>1450</v>
      </c>
      <c r="J338" s="258" t="s">
        <v>1345</v>
      </c>
      <c r="K338" s="284" t="s">
        <v>1128</v>
      </c>
      <c r="L338" s="378">
        <v>46006</v>
      </c>
      <c r="M338" s="276" t="s">
        <v>1545</v>
      </c>
      <c r="O338" s="276"/>
      <c r="P338" s="276"/>
      <c r="Q338" s="276"/>
      <c r="R338" s="276"/>
      <c r="S338" s="276"/>
      <c r="T338" s="276"/>
      <c r="U338" s="276"/>
      <c r="V338" s="276"/>
      <c r="W338" s="276"/>
      <c r="X338" s="276"/>
      <c r="Y338" s="276"/>
      <c r="Z338" s="276"/>
    </row>
    <row r="339" spans="1:26" ht="14.25" customHeight="1" x14ac:dyDescent="0.3">
      <c r="A339" s="269" t="s">
        <v>1057</v>
      </c>
      <c r="B339" s="272" t="s">
        <v>1527</v>
      </c>
      <c r="C339" s="258">
        <v>6</v>
      </c>
      <c r="E339" s="258" t="s">
        <v>1144</v>
      </c>
      <c r="F339" s="258">
        <v>32</v>
      </c>
      <c r="G339" s="258" t="s">
        <v>1235</v>
      </c>
      <c r="H339" s="260">
        <v>45987</v>
      </c>
      <c r="I339" s="258" t="s">
        <v>1450</v>
      </c>
      <c r="J339" s="258" t="s">
        <v>1345</v>
      </c>
      <c r="K339" s="284" t="s">
        <v>1128</v>
      </c>
      <c r="L339" s="378">
        <v>46006</v>
      </c>
      <c r="M339" s="276" t="s">
        <v>1546</v>
      </c>
      <c r="O339" s="276"/>
      <c r="P339" s="276"/>
      <c r="Q339" s="276"/>
      <c r="R339" s="276"/>
      <c r="S339" s="276"/>
      <c r="T339" s="276"/>
      <c r="U339" s="276"/>
      <c r="V339" s="276"/>
      <c r="W339" s="276"/>
      <c r="X339" s="276"/>
      <c r="Y339" s="276"/>
      <c r="Z339" s="276"/>
    </row>
    <row r="340" spans="1:26" ht="14.25" customHeight="1" x14ac:dyDescent="0.3">
      <c r="A340" s="264" t="s">
        <v>2221</v>
      </c>
      <c r="B340" s="272" t="s">
        <v>1527</v>
      </c>
      <c r="C340" s="258">
        <v>6</v>
      </c>
      <c r="E340" s="258" t="s">
        <v>1144</v>
      </c>
      <c r="F340" s="258">
        <v>34</v>
      </c>
      <c r="G340" s="263" t="s">
        <v>1231</v>
      </c>
      <c r="H340" s="260">
        <v>45992</v>
      </c>
      <c r="I340" s="277" t="s">
        <v>1547</v>
      </c>
      <c r="J340" s="258" t="s">
        <v>1345</v>
      </c>
      <c r="K340" s="326" t="s">
        <v>1081</v>
      </c>
      <c r="L340" s="378">
        <v>46006</v>
      </c>
      <c r="M340" s="291" t="s">
        <v>1548</v>
      </c>
      <c r="O340" s="276"/>
      <c r="P340" s="276"/>
      <c r="Q340" s="276"/>
      <c r="R340" s="276"/>
      <c r="S340" s="276"/>
      <c r="T340" s="276"/>
      <c r="U340" s="276"/>
      <c r="V340" s="276"/>
      <c r="W340" s="276"/>
      <c r="X340" s="276"/>
      <c r="Y340" s="276"/>
      <c r="Z340" s="276"/>
    </row>
    <row r="341" spans="1:26" ht="14.25" customHeight="1" x14ac:dyDescent="0.3">
      <c r="A341" s="264" t="s">
        <v>1135</v>
      </c>
      <c r="B341" s="272" t="s">
        <v>1527</v>
      </c>
      <c r="C341" s="258">
        <v>6</v>
      </c>
      <c r="E341" s="258" t="s">
        <v>1144</v>
      </c>
      <c r="F341" s="258">
        <v>34</v>
      </c>
      <c r="G341" s="263" t="s">
        <v>1231</v>
      </c>
      <c r="H341" s="260">
        <v>45992</v>
      </c>
      <c r="I341" s="276" t="s">
        <v>1347</v>
      </c>
      <c r="J341" s="258" t="s">
        <v>1345</v>
      </c>
      <c r="K341" s="326" t="s">
        <v>1142</v>
      </c>
      <c r="L341" s="378">
        <v>46006</v>
      </c>
      <c r="M341" s="291" t="s">
        <v>1549</v>
      </c>
      <c r="O341" s="276"/>
      <c r="P341" s="276"/>
      <c r="Q341" s="276"/>
      <c r="R341" s="276"/>
      <c r="S341" s="276"/>
      <c r="T341" s="276"/>
      <c r="U341" s="276"/>
      <c r="V341" s="276"/>
      <c r="W341" s="276"/>
      <c r="X341" s="276"/>
      <c r="Y341" s="276"/>
      <c r="Z341" s="276"/>
    </row>
    <row r="342" spans="1:26" ht="14.25" customHeight="1" x14ac:dyDescent="0.3">
      <c r="A342" s="264" t="s">
        <v>671</v>
      </c>
      <c r="B342" s="272" t="s">
        <v>1527</v>
      </c>
      <c r="C342" s="258">
        <v>6</v>
      </c>
      <c r="E342" s="258" t="s">
        <v>1144</v>
      </c>
      <c r="F342" s="258">
        <v>34</v>
      </c>
      <c r="G342" s="263" t="s">
        <v>1231</v>
      </c>
      <c r="H342" s="260">
        <v>45992</v>
      </c>
      <c r="I342" s="276" t="s">
        <v>1347</v>
      </c>
      <c r="J342" s="258" t="s">
        <v>1345</v>
      </c>
      <c r="K342" s="326" t="s">
        <v>1142</v>
      </c>
      <c r="L342" s="378">
        <v>46006</v>
      </c>
      <c r="M342" s="291" t="s">
        <v>1550</v>
      </c>
      <c r="O342" s="276"/>
      <c r="P342" s="276"/>
      <c r="Q342" s="276"/>
      <c r="R342" s="276"/>
      <c r="S342" s="276"/>
      <c r="T342" s="276"/>
      <c r="U342" s="276"/>
      <c r="V342" s="276"/>
      <c r="W342" s="276"/>
      <c r="X342" s="276"/>
      <c r="Y342" s="276"/>
      <c r="Z342" s="276"/>
    </row>
    <row r="343" spans="1:26" ht="14.25" customHeight="1" x14ac:dyDescent="0.3">
      <c r="A343" s="264" t="s">
        <v>1614</v>
      </c>
      <c r="B343" s="272" t="s">
        <v>1527</v>
      </c>
      <c r="C343" s="258">
        <v>6</v>
      </c>
      <c r="E343" s="258" t="s">
        <v>1144</v>
      </c>
      <c r="F343" s="258">
        <v>34</v>
      </c>
      <c r="G343" s="263" t="s">
        <v>1231</v>
      </c>
      <c r="H343" s="260">
        <v>45992</v>
      </c>
      <c r="I343" s="276" t="s">
        <v>1347</v>
      </c>
      <c r="J343" s="258" t="s">
        <v>1345</v>
      </c>
      <c r="K343" s="326" t="s">
        <v>1142</v>
      </c>
      <c r="L343" s="378">
        <v>46006</v>
      </c>
      <c r="M343" s="291" t="s">
        <v>1551</v>
      </c>
      <c r="O343" s="276"/>
      <c r="P343" s="276"/>
      <c r="Q343" s="276"/>
      <c r="R343" s="276"/>
      <c r="S343" s="276"/>
      <c r="T343" s="276"/>
      <c r="U343" s="276"/>
      <c r="V343" s="276"/>
      <c r="W343" s="276"/>
      <c r="X343" s="276"/>
      <c r="Y343" s="276"/>
      <c r="Z343" s="276"/>
    </row>
    <row r="344" spans="1:26" ht="14.25" customHeight="1" x14ac:dyDescent="0.3">
      <c r="A344" s="264" t="s">
        <v>674</v>
      </c>
      <c r="B344" s="272" t="s">
        <v>1527</v>
      </c>
      <c r="C344" s="258">
        <v>6</v>
      </c>
      <c r="E344" s="258" t="s">
        <v>1144</v>
      </c>
      <c r="F344" s="258">
        <v>34</v>
      </c>
      <c r="G344" s="263" t="s">
        <v>1231</v>
      </c>
      <c r="H344" s="260">
        <v>45992</v>
      </c>
      <c r="I344" s="276" t="s">
        <v>1347</v>
      </c>
      <c r="J344" s="258" t="s">
        <v>1345</v>
      </c>
      <c r="K344" s="326" t="s">
        <v>1142</v>
      </c>
      <c r="L344" s="378">
        <v>46006</v>
      </c>
      <c r="M344" s="291" t="s">
        <v>1552</v>
      </c>
      <c r="O344" s="276"/>
      <c r="P344" s="276"/>
      <c r="Q344" s="276"/>
      <c r="R344" s="276"/>
      <c r="S344" s="276"/>
      <c r="T344" s="276"/>
      <c r="U344" s="276"/>
      <c r="V344" s="276"/>
      <c r="W344" s="276"/>
      <c r="X344" s="276"/>
      <c r="Y344" s="276"/>
      <c r="Z344" s="276"/>
    </row>
    <row r="345" spans="1:26" ht="14.25" customHeight="1" x14ac:dyDescent="0.3">
      <c r="A345" s="264" t="s">
        <v>2192</v>
      </c>
      <c r="B345" s="272" t="s">
        <v>1527</v>
      </c>
      <c r="C345" s="258">
        <v>6</v>
      </c>
      <c r="E345" s="258" t="s">
        <v>1144</v>
      </c>
      <c r="F345" s="258">
        <v>34</v>
      </c>
      <c r="G345" s="263" t="s">
        <v>1231</v>
      </c>
      <c r="H345" s="260">
        <v>45992</v>
      </c>
      <c r="I345" s="276" t="s">
        <v>1347</v>
      </c>
      <c r="J345" s="258" t="s">
        <v>1345</v>
      </c>
      <c r="K345" s="326" t="s">
        <v>1142</v>
      </c>
      <c r="L345" s="378">
        <v>46006</v>
      </c>
      <c r="M345" s="291" t="s">
        <v>1553</v>
      </c>
      <c r="O345" s="276"/>
      <c r="P345" s="276"/>
      <c r="Q345" s="276"/>
      <c r="R345" s="276"/>
      <c r="S345" s="276"/>
      <c r="T345" s="276"/>
      <c r="U345" s="276"/>
      <c r="V345" s="276"/>
      <c r="W345" s="276"/>
      <c r="X345" s="276"/>
      <c r="Y345" s="276"/>
      <c r="Z345" s="276"/>
    </row>
    <row r="346" spans="1:26" ht="14.25" customHeight="1" x14ac:dyDescent="0.3">
      <c r="A346" s="264" t="s">
        <v>2222</v>
      </c>
      <c r="B346" s="272" t="s">
        <v>1527</v>
      </c>
      <c r="C346" s="258">
        <v>6</v>
      </c>
      <c r="E346" s="258" t="s">
        <v>1144</v>
      </c>
      <c r="F346" s="258">
        <v>34</v>
      </c>
      <c r="G346" s="263" t="s">
        <v>1231</v>
      </c>
      <c r="H346" s="260">
        <v>45992</v>
      </c>
      <c r="I346" s="276" t="s">
        <v>1347</v>
      </c>
      <c r="J346" s="258" t="s">
        <v>1345</v>
      </c>
      <c r="K346" s="326" t="s">
        <v>1142</v>
      </c>
      <c r="L346" s="378">
        <v>46006</v>
      </c>
      <c r="M346" s="291" t="s">
        <v>1554</v>
      </c>
      <c r="O346" s="276"/>
      <c r="P346" s="276"/>
      <c r="Q346" s="276"/>
      <c r="R346" s="276"/>
      <c r="S346" s="276"/>
      <c r="T346" s="276"/>
      <c r="U346" s="276"/>
      <c r="V346" s="276"/>
      <c r="W346" s="276"/>
      <c r="X346" s="276"/>
      <c r="Y346" s="276"/>
      <c r="Z346" s="276"/>
    </row>
    <row r="347" spans="1:26" ht="14.25" customHeight="1" x14ac:dyDescent="0.3">
      <c r="A347" s="264" t="s">
        <v>2223</v>
      </c>
      <c r="B347" s="272" t="s">
        <v>1527</v>
      </c>
      <c r="C347" s="258">
        <v>6</v>
      </c>
      <c r="E347" s="258" t="s">
        <v>1144</v>
      </c>
      <c r="F347" s="258">
        <v>34</v>
      </c>
      <c r="G347" s="263" t="s">
        <v>1231</v>
      </c>
      <c r="H347" s="260">
        <v>45992</v>
      </c>
      <c r="I347" s="258" t="s">
        <v>1450</v>
      </c>
      <c r="J347" s="258" t="s">
        <v>1345</v>
      </c>
      <c r="K347" s="284" t="s">
        <v>1128</v>
      </c>
      <c r="L347" s="378">
        <v>46006</v>
      </c>
      <c r="M347" s="276" t="s">
        <v>1555</v>
      </c>
      <c r="O347" s="276"/>
      <c r="P347" s="276"/>
      <c r="Q347" s="276"/>
      <c r="R347" s="276"/>
      <c r="S347" s="276"/>
      <c r="T347" s="276"/>
      <c r="U347" s="276"/>
      <c r="V347" s="276"/>
      <c r="W347" s="276"/>
      <c r="X347" s="276"/>
      <c r="Y347" s="276"/>
      <c r="Z347" s="276"/>
    </row>
    <row r="348" spans="1:26" ht="14.25" customHeight="1" x14ac:dyDescent="0.3">
      <c r="A348" s="380" t="s">
        <v>693</v>
      </c>
      <c r="B348" s="272" t="s">
        <v>1527</v>
      </c>
      <c r="C348" s="258">
        <v>6</v>
      </c>
      <c r="E348" s="258" t="s">
        <v>1144</v>
      </c>
      <c r="F348" s="258">
        <v>34</v>
      </c>
      <c r="G348" s="263" t="s">
        <v>1231</v>
      </c>
      <c r="H348" s="260">
        <v>45992</v>
      </c>
      <c r="I348" s="276" t="s">
        <v>1347</v>
      </c>
      <c r="J348" s="258" t="s">
        <v>1345</v>
      </c>
      <c r="K348" s="326" t="s">
        <v>1142</v>
      </c>
      <c r="L348" s="378">
        <v>46006</v>
      </c>
      <c r="M348" s="291" t="s">
        <v>1556</v>
      </c>
      <c r="O348" s="276"/>
      <c r="P348" s="276"/>
      <c r="Q348" s="276"/>
      <c r="R348" s="276"/>
      <c r="S348" s="276"/>
      <c r="T348" s="276"/>
      <c r="U348" s="276"/>
      <c r="V348" s="276"/>
      <c r="W348" s="276"/>
      <c r="X348" s="276"/>
      <c r="Y348" s="276"/>
      <c r="Z348" s="276"/>
    </row>
    <row r="349" spans="1:26" ht="14.25" customHeight="1" x14ac:dyDescent="0.3">
      <c r="A349" s="264" t="s">
        <v>697</v>
      </c>
      <c r="B349" s="272" t="s">
        <v>1527</v>
      </c>
      <c r="C349" s="258">
        <v>6</v>
      </c>
      <c r="E349" s="258" t="s">
        <v>1144</v>
      </c>
      <c r="F349" s="258">
        <v>32</v>
      </c>
      <c r="G349" s="263" t="s">
        <v>1231</v>
      </c>
      <c r="H349" s="260">
        <v>45987</v>
      </c>
      <c r="I349" s="276" t="s">
        <v>1347</v>
      </c>
      <c r="J349" s="258" t="s">
        <v>1345</v>
      </c>
      <c r="K349" s="326" t="s">
        <v>1142</v>
      </c>
      <c r="L349" s="378">
        <v>46006</v>
      </c>
      <c r="M349" s="291" t="s">
        <v>1557</v>
      </c>
      <c r="O349" s="276"/>
      <c r="P349" s="276"/>
      <c r="Q349" s="276"/>
      <c r="R349" s="276"/>
      <c r="S349" s="276"/>
      <c r="T349" s="276"/>
      <c r="U349" s="276"/>
      <c r="V349" s="276"/>
      <c r="W349" s="276"/>
      <c r="X349" s="276"/>
      <c r="Y349" s="276"/>
      <c r="Z349" s="276"/>
    </row>
    <row r="350" spans="1:26" ht="14.25" customHeight="1" x14ac:dyDescent="0.3">
      <c r="A350" s="264" t="s">
        <v>1812</v>
      </c>
      <c r="B350" s="272" t="s">
        <v>1527</v>
      </c>
      <c r="C350" s="258">
        <v>6</v>
      </c>
      <c r="E350" s="258" t="s">
        <v>1144</v>
      </c>
      <c r="F350" s="258">
        <v>34</v>
      </c>
      <c r="G350" s="263" t="s">
        <v>1231</v>
      </c>
      <c r="H350" s="260">
        <v>45992</v>
      </c>
      <c r="I350" s="276" t="s">
        <v>1347</v>
      </c>
      <c r="J350" s="258" t="s">
        <v>1345</v>
      </c>
      <c r="K350" s="326" t="s">
        <v>1142</v>
      </c>
      <c r="L350" s="378">
        <v>46006</v>
      </c>
      <c r="M350" s="291" t="s">
        <v>1558</v>
      </c>
      <c r="O350" s="276"/>
      <c r="P350" s="276"/>
      <c r="Q350" s="276"/>
      <c r="R350" s="276"/>
      <c r="S350" s="276"/>
      <c r="T350" s="276"/>
      <c r="U350" s="276"/>
      <c r="V350" s="276"/>
      <c r="W350" s="276"/>
      <c r="X350" s="276"/>
      <c r="Y350" s="276"/>
      <c r="Z350" s="276"/>
    </row>
    <row r="351" spans="1:26" ht="14.25" customHeight="1" x14ac:dyDescent="0.3">
      <c r="A351" s="264" t="s">
        <v>2194</v>
      </c>
      <c r="B351" s="272" t="s">
        <v>1527</v>
      </c>
      <c r="C351" s="258">
        <v>6</v>
      </c>
      <c r="E351" s="258" t="s">
        <v>1144</v>
      </c>
      <c r="F351" s="258">
        <v>34</v>
      </c>
      <c r="G351" s="263" t="s">
        <v>1231</v>
      </c>
      <c r="H351" s="260">
        <v>45992</v>
      </c>
      <c r="I351" s="258" t="s">
        <v>1450</v>
      </c>
      <c r="J351" s="258" t="s">
        <v>1345</v>
      </c>
      <c r="K351" s="284" t="s">
        <v>1128</v>
      </c>
      <c r="L351" s="378">
        <v>46006</v>
      </c>
      <c r="M351" s="276" t="s">
        <v>1559</v>
      </c>
      <c r="O351" s="276"/>
      <c r="P351" s="276"/>
      <c r="Q351" s="276"/>
      <c r="R351" s="276"/>
      <c r="S351" s="276"/>
      <c r="T351" s="276"/>
      <c r="U351" s="276"/>
      <c r="V351" s="276"/>
      <c r="W351" s="276"/>
      <c r="X351" s="276"/>
      <c r="Y351" s="276"/>
      <c r="Z351" s="276"/>
    </row>
    <row r="352" spans="1:26" ht="14.25" customHeight="1" x14ac:dyDescent="0.3">
      <c r="A352" s="264" t="s">
        <v>2224</v>
      </c>
      <c r="B352" s="272" t="s">
        <v>1527</v>
      </c>
      <c r="C352" s="258">
        <v>6</v>
      </c>
      <c r="E352" s="258" t="s">
        <v>1144</v>
      </c>
      <c r="F352" s="258">
        <v>36</v>
      </c>
      <c r="G352" s="263" t="s">
        <v>1231</v>
      </c>
      <c r="H352" s="260">
        <v>45994</v>
      </c>
      <c r="I352" s="276" t="s">
        <v>1347</v>
      </c>
      <c r="J352" s="258" t="s">
        <v>1345</v>
      </c>
      <c r="K352" s="326" t="s">
        <v>1142</v>
      </c>
      <c r="L352" s="378">
        <v>46006</v>
      </c>
      <c r="M352" s="291" t="s">
        <v>1560</v>
      </c>
      <c r="O352" s="276"/>
      <c r="P352" s="276"/>
      <c r="Q352" s="276"/>
      <c r="R352" s="276"/>
      <c r="S352" s="276"/>
      <c r="T352" s="276"/>
      <c r="U352" s="276"/>
      <c r="V352" s="276"/>
      <c r="W352" s="276"/>
      <c r="X352" s="276"/>
      <c r="Y352" s="276"/>
      <c r="Z352" s="276"/>
    </row>
    <row r="353" spans="1:26" ht="14.25" customHeight="1" x14ac:dyDescent="0.3">
      <c r="A353" s="264" t="s">
        <v>2225</v>
      </c>
      <c r="B353" s="272" t="s">
        <v>1527</v>
      </c>
      <c r="C353" s="258">
        <v>6</v>
      </c>
      <c r="E353" s="258" t="s">
        <v>1144</v>
      </c>
      <c r="F353" s="258">
        <v>36</v>
      </c>
      <c r="G353" s="263" t="s">
        <v>1231</v>
      </c>
      <c r="H353" s="260">
        <v>45994</v>
      </c>
      <c r="I353" s="276" t="s">
        <v>1347</v>
      </c>
      <c r="J353" s="258" t="s">
        <v>1345</v>
      </c>
      <c r="K353" s="326" t="s">
        <v>1142</v>
      </c>
      <c r="L353" s="378">
        <v>46006</v>
      </c>
      <c r="M353" s="291" t="s">
        <v>1561</v>
      </c>
      <c r="O353" s="276"/>
      <c r="P353" s="276"/>
      <c r="Q353" s="276"/>
      <c r="R353" s="276"/>
      <c r="S353" s="276"/>
      <c r="T353" s="276"/>
      <c r="U353" s="276"/>
      <c r="V353" s="276"/>
      <c r="W353" s="276"/>
      <c r="X353" s="276"/>
      <c r="Y353" s="276"/>
      <c r="Z353" s="276"/>
    </row>
    <row r="354" spans="1:26" ht="14.25" customHeight="1" x14ac:dyDescent="0.3">
      <c r="A354" s="264" t="s">
        <v>2165</v>
      </c>
      <c r="B354" s="272" t="s">
        <v>1527</v>
      </c>
      <c r="C354" s="258">
        <v>6</v>
      </c>
      <c r="E354" s="258" t="s">
        <v>1144</v>
      </c>
      <c r="F354" s="258">
        <v>36</v>
      </c>
      <c r="G354" s="263" t="s">
        <v>1231</v>
      </c>
      <c r="H354" s="260">
        <v>45994</v>
      </c>
      <c r="I354" s="276" t="s">
        <v>1347</v>
      </c>
      <c r="J354" s="258" t="s">
        <v>1345</v>
      </c>
      <c r="K354" s="326" t="s">
        <v>1142</v>
      </c>
      <c r="L354" s="378">
        <v>46006</v>
      </c>
      <c r="M354" s="291" t="s">
        <v>1562</v>
      </c>
      <c r="O354" s="276"/>
      <c r="P354" s="276"/>
      <c r="Q354" s="276"/>
      <c r="R354" s="276"/>
      <c r="S354" s="276"/>
      <c r="T354" s="276"/>
      <c r="U354" s="276"/>
      <c r="V354" s="276"/>
      <c r="W354" s="276"/>
      <c r="X354" s="276"/>
      <c r="Y354" s="276"/>
      <c r="Z354" s="276"/>
    </row>
    <row r="355" spans="1:26" ht="14.25" customHeight="1" x14ac:dyDescent="0.3">
      <c r="A355" s="264" t="s">
        <v>2226</v>
      </c>
      <c r="B355" s="272" t="s">
        <v>1527</v>
      </c>
      <c r="C355" s="258">
        <v>6</v>
      </c>
      <c r="E355" s="258" t="s">
        <v>1144</v>
      </c>
      <c r="F355" s="258">
        <v>36</v>
      </c>
      <c r="G355" s="263" t="s">
        <v>1231</v>
      </c>
      <c r="H355" s="260">
        <v>45994</v>
      </c>
      <c r="I355" s="258" t="s">
        <v>1450</v>
      </c>
      <c r="J355" s="258" t="s">
        <v>1345</v>
      </c>
      <c r="K355" s="284" t="s">
        <v>1128</v>
      </c>
      <c r="L355" s="378">
        <v>46006</v>
      </c>
      <c r="M355" s="276" t="s">
        <v>1559</v>
      </c>
      <c r="O355" s="276"/>
      <c r="P355" s="276"/>
      <c r="Q355" s="276"/>
      <c r="R355" s="276"/>
      <c r="S355" s="276"/>
      <c r="T355" s="276"/>
      <c r="U355" s="276"/>
      <c r="V355" s="276"/>
      <c r="W355" s="276"/>
      <c r="X355" s="276"/>
      <c r="Y355" s="276"/>
      <c r="Z355" s="276"/>
    </row>
    <row r="356" spans="1:26" ht="14.25" customHeight="1" x14ac:dyDescent="0.3">
      <c r="A356" s="264" t="s">
        <v>2227</v>
      </c>
      <c r="B356" s="272" t="s">
        <v>1527</v>
      </c>
      <c r="C356" s="258">
        <v>6</v>
      </c>
      <c r="E356" s="258" t="s">
        <v>1144</v>
      </c>
      <c r="F356" s="258">
        <v>36</v>
      </c>
      <c r="G356" s="263" t="s">
        <v>1231</v>
      </c>
      <c r="H356" s="260">
        <v>45994</v>
      </c>
      <c r="I356" s="258" t="s">
        <v>1450</v>
      </c>
      <c r="J356" s="258" t="s">
        <v>1345</v>
      </c>
      <c r="K356" s="284" t="s">
        <v>1128</v>
      </c>
      <c r="L356" s="378">
        <v>46006</v>
      </c>
      <c r="M356" s="276" t="s">
        <v>1559</v>
      </c>
      <c r="O356" s="276"/>
      <c r="P356" s="276"/>
      <c r="Q356" s="276"/>
      <c r="R356" s="276"/>
      <c r="S356" s="276"/>
      <c r="T356" s="276"/>
      <c r="U356" s="276"/>
      <c r="V356" s="276"/>
      <c r="W356" s="276"/>
      <c r="X356" s="276"/>
      <c r="Y356" s="276"/>
      <c r="Z356" s="276"/>
    </row>
    <row r="357" spans="1:26" ht="14.25" customHeight="1" x14ac:dyDescent="0.3">
      <c r="A357" s="352" t="s">
        <v>1067</v>
      </c>
      <c r="B357" s="272" t="s">
        <v>1527</v>
      </c>
      <c r="C357" s="258">
        <v>6</v>
      </c>
      <c r="E357" s="258" t="s">
        <v>1144</v>
      </c>
      <c r="F357" s="258">
        <v>36</v>
      </c>
      <c r="G357" s="339" t="s">
        <v>1088</v>
      </c>
      <c r="H357" s="260">
        <v>45994</v>
      </c>
      <c r="I357" s="258" t="s">
        <v>1450</v>
      </c>
      <c r="J357" s="258" t="s">
        <v>1345</v>
      </c>
      <c r="K357" s="290" t="s">
        <v>1107</v>
      </c>
      <c r="L357" s="378">
        <v>46006</v>
      </c>
      <c r="M357" s="291" t="s">
        <v>2655</v>
      </c>
      <c r="O357" s="276"/>
      <c r="P357" s="276"/>
      <c r="Q357" s="276"/>
      <c r="R357" s="276"/>
      <c r="S357" s="276"/>
      <c r="T357" s="276"/>
      <c r="U357" s="276"/>
      <c r="V357" s="276"/>
      <c r="W357" s="276"/>
      <c r="X357" s="276"/>
      <c r="Y357" s="276"/>
      <c r="Z357" s="276"/>
    </row>
    <row r="358" spans="1:26" ht="14.25" customHeight="1" x14ac:dyDescent="0.3">
      <c r="A358" s="264" t="s">
        <v>2228</v>
      </c>
      <c r="B358" s="272" t="s">
        <v>1527</v>
      </c>
      <c r="C358" s="313">
        <v>6</v>
      </c>
      <c r="E358" s="279" t="s">
        <v>1089</v>
      </c>
      <c r="F358" s="381">
        <v>23</v>
      </c>
      <c r="G358" s="263" t="s">
        <v>1231</v>
      </c>
      <c r="H358" s="283">
        <v>45938</v>
      </c>
      <c r="I358" s="258" t="s">
        <v>1450</v>
      </c>
      <c r="J358" s="258" t="s">
        <v>1345</v>
      </c>
      <c r="K358" s="284" t="s">
        <v>1128</v>
      </c>
      <c r="L358" s="378">
        <v>46006</v>
      </c>
      <c r="M358" s="291" t="s">
        <v>1563</v>
      </c>
      <c r="O358" s="276"/>
      <c r="P358" s="276"/>
      <c r="Q358" s="276"/>
      <c r="R358" s="276"/>
      <c r="S358" s="276"/>
      <c r="T358" s="276"/>
      <c r="U358" s="276"/>
      <c r="V358" s="276"/>
      <c r="W358" s="276"/>
      <c r="X358" s="276"/>
      <c r="Y358" s="276"/>
      <c r="Z358" s="276"/>
    </row>
    <row r="359" spans="1:26" ht="14.25" customHeight="1" x14ac:dyDescent="0.3">
      <c r="A359" s="264" t="s">
        <v>1147</v>
      </c>
      <c r="B359" s="272" t="s">
        <v>1527</v>
      </c>
      <c r="C359" s="258">
        <v>6</v>
      </c>
      <c r="E359" s="258" t="s">
        <v>1144</v>
      </c>
      <c r="F359" s="258">
        <v>36</v>
      </c>
      <c r="G359" s="263" t="s">
        <v>1231</v>
      </c>
      <c r="H359" s="260">
        <v>45994</v>
      </c>
      <c r="I359" s="276" t="s">
        <v>1347</v>
      </c>
      <c r="J359" s="258" t="s">
        <v>1345</v>
      </c>
      <c r="K359" s="326" t="s">
        <v>1142</v>
      </c>
      <c r="L359" s="378">
        <v>46006</v>
      </c>
      <c r="M359" s="291" t="s">
        <v>1564</v>
      </c>
      <c r="O359" s="276"/>
      <c r="P359" s="276"/>
      <c r="Q359" s="276"/>
      <c r="R359" s="276"/>
      <c r="S359" s="276"/>
      <c r="T359" s="276"/>
      <c r="U359" s="276"/>
      <c r="V359" s="276"/>
      <c r="W359" s="276"/>
      <c r="X359" s="276"/>
      <c r="Y359" s="276"/>
      <c r="Z359" s="276"/>
    </row>
    <row r="360" spans="1:26" ht="14.25" customHeight="1" x14ac:dyDescent="0.3">
      <c r="A360" s="264" t="s">
        <v>1149</v>
      </c>
      <c r="B360" s="272" t="s">
        <v>1527</v>
      </c>
      <c r="C360" s="258">
        <v>6</v>
      </c>
      <c r="E360" s="258" t="s">
        <v>1144</v>
      </c>
      <c r="F360" s="258">
        <v>36</v>
      </c>
      <c r="G360" s="263" t="s">
        <v>1231</v>
      </c>
      <c r="H360" s="260">
        <v>45994</v>
      </c>
      <c r="I360" s="258" t="s">
        <v>1450</v>
      </c>
      <c r="J360" s="258" t="s">
        <v>1345</v>
      </c>
      <c r="K360" s="284" t="s">
        <v>1128</v>
      </c>
      <c r="L360" s="378">
        <v>46006</v>
      </c>
      <c r="M360" s="276" t="s">
        <v>1565</v>
      </c>
      <c r="O360" s="276"/>
      <c r="P360" s="276"/>
      <c r="Q360" s="276"/>
      <c r="R360" s="276"/>
      <c r="S360" s="276"/>
      <c r="T360" s="276"/>
      <c r="U360" s="276"/>
      <c r="V360" s="276"/>
      <c r="W360" s="276"/>
      <c r="X360" s="276"/>
      <c r="Y360" s="276"/>
      <c r="Z360" s="276"/>
    </row>
    <row r="361" spans="1:26" ht="14.25" customHeight="1" x14ac:dyDescent="0.3">
      <c r="A361" s="264" t="s">
        <v>2229</v>
      </c>
      <c r="B361" s="272" t="s">
        <v>1527</v>
      </c>
      <c r="C361" s="258">
        <v>6</v>
      </c>
      <c r="E361" s="258" t="s">
        <v>1144</v>
      </c>
      <c r="F361" s="258">
        <v>36</v>
      </c>
      <c r="G361" s="263" t="s">
        <v>1231</v>
      </c>
      <c r="H361" s="260">
        <v>45994</v>
      </c>
      <c r="I361" s="276" t="s">
        <v>1347</v>
      </c>
      <c r="J361" s="258" t="s">
        <v>1345</v>
      </c>
      <c r="K361" s="326" t="s">
        <v>1142</v>
      </c>
      <c r="L361" s="378">
        <v>46006</v>
      </c>
      <c r="M361" s="291" t="s">
        <v>1566</v>
      </c>
      <c r="O361" s="276"/>
      <c r="P361" s="276"/>
      <c r="Q361" s="276"/>
      <c r="R361" s="276"/>
      <c r="S361" s="276"/>
      <c r="T361" s="276"/>
      <c r="U361" s="276"/>
      <c r="V361" s="276"/>
      <c r="W361" s="276"/>
      <c r="X361" s="276"/>
      <c r="Y361" s="276"/>
      <c r="Z361" s="276"/>
    </row>
    <row r="362" spans="1:26" ht="14.25" customHeight="1" x14ac:dyDescent="0.3">
      <c r="A362" s="264" t="s">
        <v>748</v>
      </c>
      <c r="B362" s="272" t="s">
        <v>1527</v>
      </c>
      <c r="C362" s="258">
        <v>6</v>
      </c>
      <c r="E362" s="258" t="s">
        <v>1144</v>
      </c>
      <c r="F362" s="258">
        <v>36</v>
      </c>
      <c r="G362" s="263" t="s">
        <v>1231</v>
      </c>
      <c r="H362" s="260">
        <v>45994</v>
      </c>
      <c r="I362" s="276" t="s">
        <v>1347</v>
      </c>
      <c r="J362" s="258" t="s">
        <v>1345</v>
      </c>
      <c r="K362" s="326" t="s">
        <v>1142</v>
      </c>
      <c r="L362" s="378">
        <v>46006</v>
      </c>
      <c r="M362" s="291" t="s">
        <v>1567</v>
      </c>
      <c r="O362" s="276"/>
      <c r="P362" s="276"/>
      <c r="Q362" s="276"/>
      <c r="R362" s="276"/>
      <c r="S362" s="276"/>
      <c r="T362" s="276"/>
      <c r="U362" s="276"/>
      <c r="V362" s="276"/>
      <c r="W362" s="276"/>
      <c r="X362" s="276"/>
      <c r="Y362" s="276"/>
      <c r="Z362" s="276"/>
    </row>
    <row r="363" spans="1:26" ht="14.25" customHeight="1" x14ac:dyDescent="0.3">
      <c r="A363" s="264" t="s">
        <v>755</v>
      </c>
      <c r="B363" s="272" t="s">
        <v>1527</v>
      </c>
      <c r="C363" s="258">
        <v>6</v>
      </c>
      <c r="E363" s="258" t="s">
        <v>1144</v>
      </c>
      <c r="F363" s="258">
        <v>36</v>
      </c>
      <c r="G363" s="263" t="s">
        <v>1231</v>
      </c>
      <c r="H363" s="260">
        <v>45994</v>
      </c>
      <c r="I363" s="258" t="s">
        <v>1450</v>
      </c>
      <c r="J363" s="258" t="s">
        <v>1345</v>
      </c>
      <c r="K363" s="284" t="s">
        <v>1128</v>
      </c>
      <c r="L363" s="378">
        <v>46006</v>
      </c>
      <c r="M363" s="276" t="s">
        <v>1568</v>
      </c>
      <c r="O363" s="276"/>
      <c r="P363" s="276"/>
      <c r="Q363" s="276"/>
      <c r="R363" s="276"/>
      <c r="S363" s="276"/>
      <c r="T363" s="276"/>
      <c r="U363" s="276"/>
      <c r="V363" s="276"/>
      <c r="W363" s="276"/>
      <c r="X363" s="276"/>
      <c r="Y363" s="276"/>
      <c r="Z363" s="276"/>
    </row>
    <row r="364" spans="1:26" ht="14.25" customHeight="1" x14ac:dyDescent="0.3">
      <c r="A364" s="264" t="s">
        <v>2230</v>
      </c>
      <c r="B364" s="272" t="s">
        <v>1527</v>
      </c>
      <c r="C364" s="258">
        <v>6</v>
      </c>
      <c r="E364" s="258" t="s">
        <v>1144</v>
      </c>
      <c r="F364" s="258">
        <v>36</v>
      </c>
      <c r="G364" s="263" t="s">
        <v>1231</v>
      </c>
      <c r="H364" s="260">
        <v>45994</v>
      </c>
      <c r="I364" s="276" t="s">
        <v>1347</v>
      </c>
      <c r="J364" s="258" t="s">
        <v>1345</v>
      </c>
      <c r="K364" s="326" t="s">
        <v>1142</v>
      </c>
      <c r="L364" s="378">
        <v>46006</v>
      </c>
      <c r="M364" s="291" t="s">
        <v>1569</v>
      </c>
      <c r="O364" s="276"/>
      <c r="P364" s="276"/>
      <c r="Q364" s="276"/>
      <c r="R364" s="276"/>
      <c r="S364" s="276"/>
      <c r="T364" s="276"/>
      <c r="U364" s="276"/>
      <c r="V364" s="276"/>
      <c r="W364" s="276"/>
      <c r="X364" s="276"/>
      <c r="Y364" s="276"/>
      <c r="Z364" s="276"/>
    </row>
    <row r="365" spans="1:26" ht="14.25" customHeight="1" x14ac:dyDescent="0.3">
      <c r="A365" s="264" t="s">
        <v>778</v>
      </c>
      <c r="B365" s="272" t="s">
        <v>1527</v>
      </c>
      <c r="C365" s="258">
        <v>6</v>
      </c>
      <c r="E365" s="258" t="s">
        <v>1144</v>
      </c>
      <c r="F365" s="258">
        <v>36</v>
      </c>
      <c r="G365" s="263" t="s">
        <v>1231</v>
      </c>
      <c r="H365" s="260">
        <v>45994</v>
      </c>
      <c r="I365" s="276" t="s">
        <v>1347</v>
      </c>
      <c r="J365" s="258" t="s">
        <v>1345</v>
      </c>
      <c r="K365" s="326" t="s">
        <v>1142</v>
      </c>
      <c r="L365" s="378">
        <v>46006</v>
      </c>
      <c r="M365" s="291" t="s">
        <v>1570</v>
      </c>
      <c r="O365" s="276"/>
      <c r="P365" s="276"/>
      <c r="Q365" s="276"/>
      <c r="R365" s="276"/>
      <c r="S365" s="276"/>
      <c r="T365" s="276"/>
      <c r="U365" s="276"/>
      <c r="V365" s="276"/>
      <c r="W365" s="276"/>
      <c r="X365" s="276"/>
      <c r="Y365" s="276"/>
      <c r="Z365" s="276"/>
    </row>
    <row r="366" spans="1:26" ht="14.25" customHeight="1" x14ac:dyDescent="0.3">
      <c r="A366" s="264" t="s">
        <v>2231</v>
      </c>
      <c r="B366" s="272" t="s">
        <v>1527</v>
      </c>
      <c r="C366" s="258">
        <v>6</v>
      </c>
      <c r="E366" s="258" t="s">
        <v>1144</v>
      </c>
      <c r="F366" s="258">
        <v>36</v>
      </c>
      <c r="G366" s="263" t="s">
        <v>1231</v>
      </c>
      <c r="H366" s="260">
        <v>45994</v>
      </c>
      <c r="I366" s="276" t="s">
        <v>1347</v>
      </c>
      <c r="J366" s="258" t="s">
        <v>1345</v>
      </c>
      <c r="K366" s="326" t="s">
        <v>1142</v>
      </c>
      <c r="L366" s="378">
        <v>46006</v>
      </c>
      <c r="M366" s="291" t="s">
        <v>1571</v>
      </c>
      <c r="O366" s="276"/>
      <c r="P366" s="276"/>
      <c r="Q366" s="276"/>
      <c r="R366" s="276"/>
      <c r="S366" s="276"/>
      <c r="T366" s="276"/>
      <c r="U366" s="276"/>
      <c r="V366" s="276"/>
      <c r="W366" s="276"/>
      <c r="X366" s="276"/>
      <c r="Y366" s="276"/>
      <c r="Z366" s="276"/>
    </row>
    <row r="367" spans="1:26" ht="14.25" customHeight="1" x14ac:dyDescent="0.3">
      <c r="A367" s="264" t="s">
        <v>786</v>
      </c>
      <c r="B367" s="272" t="s">
        <v>1527</v>
      </c>
      <c r="C367" s="258">
        <v>6</v>
      </c>
      <c r="E367" s="258" t="s">
        <v>1144</v>
      </c>
      <c r="F367" s="258">
        <v>36</v>
      </c>
      <c r="G367" s="263" t="s">
        <v>1231</v>
      </c>
      <c r="H367" s="260">
        <v>45994</v>
      </c>
      <c r="I367" s="276" t="s">
        <v>1347</v>
      </c>
      <c r="J367" s="258" t="s">
        <v>1345</v>
      </c>
      <c r="K367" s="326" t="s">
        <v>1142</v>
      </c>
      <c r="L367" s="378">
        <v>46006</v>
      </c>
      <c r="M367" s="291" t="s">
        <v>1572</v>
      </c>
      <c r="O367" s="276"/>
      <c r="P367" s="276"/>
      <c r="Q367" s="276"/>
      <c r="R367" s="276"/>
      <c r="S367" s="276"/>
      <c r="T367" s="276"/>
      <c r="U367" s="276"/>
      <c r="V367" s="276"/>
      <c r="W367" s="276"/>
      <c r="X367" s="276"/>
      <c r="Y367" s="276"/>
      <c r="Z367" s="276"/>
    </row>
    <row r="368" spans="1:26" ht="14.25" customHeight="1" x14ac:dyDescent="0.3">
      <c r="A368" s="264" t="s">
        <v>836</v>
      </c>
      <c r="B368" s="272" t="s">
        <v>1527</v>
      </c>
      <c r="C368" s="258">
        <v>6</v>
      </c>
      <c r="E368" s="258" t="s">
        <v>1144</v>
      </c>
      <c r="F368" s="258">
        <v>36</v>
      </c>
      <c r="G368" s="263" t="s">
        <v>1231</v>
      </c>
      <c r="H368" s="260">
        <v>45994</v>
      </c>
      <c r="I368" s="258" t="s">
        <v>1450</v>
      </c>
      <c r="J368" s="258" t="s">
        <v>1345</v>
      </c>
      <c r="K368" s="284" t="s">
        <v>1128</v>
      </c>
      <c r="L368" s="378">
        <v>46006</v>
      </c>
      <c r="M368" s="276" t="s">
        <v>1568</v>
      </c>
      <c r="O368" s="276"/>
      <c r="P368" s="276"/>
      <c r="Q368" s="276"/>
      <c r="R368" s="276"/>
      <c r="S368" s="276"/>
      <c r="T368" s="276"/>
      <c r="U368" s="276"/>
      <c r="V368" s="276"/>
      <c r="W368" s="276"/>
      <c r="X368" s="276"/>
      <c r="Y368" s="276"/>
      <c r="Z368" s="276"/>
    </row>
    <row r="369" spans="1:26" ht="14.25" customHeight="1" x14ac:dyDescent="0.3">
      <c r="A369" s="264" t="s">
        <v>1056</v>
      </c>
      <c r="B369" s="272" t="s">
        <v>1527</v>
      </c>
      <c r="C369" s="258">
        <v>6</v>
      </c>
      <c r="E369" s="258" t="s">
        <v>1144</v>
      </c>
      <c r="F369" s="258">
        <v>36</v>
      </c>
      <c r="G369" s="263" t="s">
        <v>1231</v>
      </c>
      <c r="H369" s="260">
        <v>45994</v>
      </c>
      <c r="I369" s="276" t="s">
        <v>1347</v>
      </c>
      <c r="J369" s="258" t="s">
        <v>1345</v>
      </c>
      <c r="K369" s="326" t="s">
        <v>1142</v>
      </c>
      <c r="L369" s="378">
        <v>46006</v>
      </c>
      <c r="M369" s="291" t="s">
        <v>2656</v>
      </c>
      <c r="O369" s="276"/>
      <c r="P369" s="276"/>
      <c r="Q369" s="276"/>
      <c r="R369" s="276"/>
      <c r="S369" s="276"/>
      <c r="T369" s="276"/>
      <c r="U369" s="276"/>
      <c r="V369" s="276"/>
      <c r="W369" s="276"/>
      <c r="X369" s="276"/>
      <c r="Y369" s="276"/>
      <c r="Z369" s="276"/>
    </row>
    <row r="370" spans="1:26" ht="12" customHeight="1" x14ac:dyDescent="0.3">
      <c r="A370" s="382" t="s">
        <v>2232</v>
      </c>
      <c r="B370" s="272" t="s">
        <v>1527</v>
      </c>
      <c r="C370" s="258">
        <v>6</v>
      </c>
      <c r="E370" s="258" t="s">
        <v>1144</v>
      </c>
      <c r="F370" s="258">
        <v>36</v>
      </c>
      <c r="G370" s="263" t="s">
        <v>1231</v>
      </c>
      <c r="H370" s="260">
        <v>45994</v>
      </c>
      <c r="I370" s="276" t="s">
        <v>1347</v>
      </c>
      <c r="J370" s="258" t="s">
        <v>1345</v>
      </c>
      <c r="K370" s="326" t="s">
        <v>1142</v>
      </c>
      <c r="L370" s="378">
        <v>46006</v>
      </c>
      <c r="M370" s="291" t="s">
        <v>1573</v>
      </c>
      <c r="O370" s="276"/>
      <c r="P370" s="276"/>
      <c r="Q370" s="276"/>
      <c r="R370" s="276"/>
      <c r="S370" s="276"/>
      <c r="T370" s="276"/>
      <c r="U370" s="276"/>
      <c r="V370" s="276"/>
      <c r="W370" s="276"/>
      <c r="X370" s="276"/>
      <c r="Y370" s="276"/>
      <c r="Z370" s="276"/>
    </row>
    <row r="371" spans="1:26" ht="14.25" customHeight="1" x14ac:dyDescent="0.3">
      <c r="A371" s="269" t="s">
        <v>2182</v>
      </c>
      <c r="B371" s="272" t="s">
        <v>1527</v>
      </c>
      <c r="C371" s="258">
        <v>6</v>
      </c>
      <c r="E371" s="279" t="s">
        <v>1076</v>
      </c>
      <c r="F371" s="258">
        <v>32</v>
      </c>
      <c r="G371" s="263" t="s">
        <v>1231</v>
      </c>
      <c r="H371" s="260">
        <v>45987</v>
      </c>
      <c r="I371" s="276" t="s">
        <v>1347</v>
      </c>
      <c r="J371" s="258" t="s">
        <v>1345</v>
      </c>
      <c r="K371" s="326" t="s">
        <v>1142</v>
      </c>
      <c r="L371" s="378">
        <v>46006</v>
      </c>
      <c r="M371" s="291" t="s">
        <v>2657</v>
      </c>
      <c r="O371" s="276"/>
      <c r="P371" s="276"/>
      <c r="Q371" s="276"/>
      <c r="R371" s="276"/>
      <c r="S371" s="276"/>
      <c r="T371" s="276"/>
      <c r="U371" s="276"/>
      <c r="V371" s="276"/>
      <c r="W371" s="276"/>
      <c r="X371" s="276"/>
      <c r="Y371" s="276"/>
      <c r="Z371" s="276"/>
    </row>
    <row r="372" spans="1:26" ht="14.25" customHeight="1" x14ac:dyDescent="0.3">
      <c r="A372" s="383" t="s">
        <v>2104</v>
      </c>
      <c r="B372" s="272" t="s">
        <v>1527</v>
      </c>
      <c r="C372" s="259">
        <v>7</v>
      </c>
      <c r="E372" s="279" t="s">
        <v>1076</v>
      </c>
      <c r="F372" s="259">
        <v>35</v>
      </c>
      <c r="G372" s="259" t="s">
        <v>1138</v>
      </c>
      <c r="H372" s="384">
        <v>45994</v>
      </c>
      <c r="I372" s="276" t="s">
        <v>1347</v>
      </c>
      <c r="J372" s="258" t="s">
        <v>1345</v>
      </c>
      <c r="K372" s="326" t="s">
        <v>1142</v>
      </c>
      <c r="L372" s="378">
        <v>46006</v>
      </c>
      <c r="M372" s="291" t="s">
        <v>1574</v>
      </c>
      <c r="O372" s="276"/>
      <c r="P372" s="276"/>
      <c r="Q372" s="276"/>
      <c r="R372" s="276"/>
      <c r="S372" s="276"/>
      <c r="T372" s="276"/>
      <c r="U372" s="276"/>
      <c r="V372" s="276"/>
      <c r="W372" s="276"/>
      <c r="X372" s="276"/>
      <c r="Y372" s="276"/>
      <c r="Z372" s="276"/>
    </row>
    <row r="373" spans="1:26" ht="14.25" customHeight="1" x14ac:dyDescent="0.3">
      <c r="A373" s="383" t="s">
        <v>2104</v>
      </c>
      <c r="B373" s="272" t="s">
        <v>1527</v>
      </c>
      <c r="C373" s="259">
        <v>7</v>
      </c>
      <c r="E373" s="279" t="s">
        <v>1076</v>
      </c>
      <c r="F373" s="259" t="s">
        <v>1140</v>
      </c>
      <c r="G373" s="259" t="s">
        <v>1082</v>
      </c>
      <c r="H373" s="384">
        <v>45989</v>
      </c>
      <c r="I373" s="276" t="s">
        <v>1347</v>
      </c>
      <c r="J373" s="258" t="s">
        <v>1345</v>
      </c>
      <c r="K373" s="326" t="s">
        <v>1142</v>
      </c>
      <c r="L373" s="385">
        <v>46007</v>
      </c>
      <c r="M373" s="291" t="s">
        <v>1575</v>
      </c>
      <c r="O373" s="276"/>
      <c r="P373" s="276"/>
      <c r="Q373" s="276"/>
      <c r="R373" s="276"/>
      <c r="S373" s="276"/>
      <c r="T373" s="276"/>
      <c r="U373" s="276"/>
      <c r="V373" s="276"/>
      <c r="W373" s="276"/>
      <c r="X373" s="276"/>
      <c r="Y373" s="276"/>
      <c r="Z373" s="276"/>
    </row>
    <row r="374" spans="1:26" ht="14.25" customHeight="1" x14ac:dyDescent="0.3">
      <c r="A374" s="386" t="s">
        <v>2172</v>
      </c>
      <c r="B374" s="272" t="s">
        <v>1527</v>
      </c>
      <c r="C374" s="257">
        <v>7</v>
      </c>
      <c r="E374" s="257" t="s">
        <v>1144</v>
      </c>
      <c r="F374" s="257">
        <v>28</v>
      </c>
      <c r="G374" s="257" t="s">
        <v>1091</v>
      </c>
      <c r="H374" s="387">
        <v>45958</v>
      </c>
      <c r="I374" s="276" t="s">
        <v>1347</v>
      </c>
      <c r="J374" s="258" t="s">
        <v>1345</v>
      </c>
      <c r="K374" s="326" t="s">
        <v>1142</v>
      </c>
      <c r="L374" s="385">
        <v>46007</v>
      </c>
      <c r="M374" s="291" t="s">
        <v>2665</v>
      </c>
      <c r="O374" s="276"/>
      <c r="P374" s="276"/>
      <c r="Q374" s="276"/>
      <c r="R374" s="276"/>
      <c r="S374" s="276"/>
      <c r="T374" s="276"/>
      <c r="U374" s="276"/>
      <c r="V374" s="276"/>
      <c r="W374" s="276"/>
      <c r="X374" s="276"/>
      <c r="Y374" s="276"/>
      <c r="Z374" s="276"/>
    </row>
    <row r="375" spans="1:26" ht="14.25" customHeight="1" x14ac:dyDescent="0.3">
      <c r="A375" s="386" t="s">
        <v>1113</v>
      </c>
      <c r="B375" s="272" t="s">
        <v>1527</v>
      </c>
      <c r="C375" s="257">
        <v>7</v>
      </c>
      <c r="E375" s="257" t="s">
        <v>1144</v>
      </c>
      <c r="F375" s="257">
        <v>28</v>
      </c>
      <c r="G375" s="257" t="s">
        <v>1091</v>
      </c>
      <c r="H375" s="387">
        <v>45958</v>
      </c>
      <c r="I375" s="276" t="s">
        <v>1347</v>
      </c>
      <c r="J375" s="258" t="s">
        <v>1345</v>
      </c>
      <c r="K375" s="326" t="s">
        <v>1142</v>
      </c>
      <c r="L375" s="385">
        <v>46007</v>
      </c>
      <c r="M375" s="291" t="s">
        <v>2688</v>
      </c>
      <c r="O375" s="276"/>
      <c r="P375" s="276"/>
      <c r="Q375" s="276"/>
      <c r="R375" s="276"/>
      <c r="S375" s="276"/>
      <c r="T375" s="276"/>
      <c r="U375" s="276"/>
      <c r="V375" s="276"/>
      <c r="W375" s="276"/>
      <c r="X375" s="276"/>
      <c r="Y375" s="276"/>
      <c r="Z375" s="276"/>
    </row>
    <row r="376" spans="1:26" ht="14.25" customHeight="1" x14ac:dyDescent="0.3">
      <c r="A376" s="388" t="s">
        <v>2174</v>
      </c>
      <c r="B376" s="272" t="s">
        <v>1527</v>
      </c>
      <c r="C376" s="257">
        <v>7</v>
      </c>
      <c r="E376" s="257" t="s">
        <v>1144</v>
      </c>
      <c r="F376" s="257">
        <v>28</v>
      </c>
      <c r="G376" s="257" t="s">
        <v>1091</v>
      </c>
      <c r="H376" s="387">
        <v>45958</v>
      </c>
      <c r="I376" s="276" t="s">
        <v>1347</v>
      </c>
      <c r="J376" s="258" t="s">
        <v>1345</v>
      </c>
      <c r="K376" s="326" t="s">
        <v>1142</v>
      </c>
      <c r="L376" s="385">
        <v>46007</v>
      </c>
      <c r="M376" s="291" t="s">
        <v>2689</v>
      </c>
      <c r="O376" s="276"/>
      <c r="P376" s="276"/>
      <c r="Q376" s="276"/>
      <c r="R376" s="276"/>
      <c r="S376" s="276"/>
      <c r="T376" s="276"/>
      <c r="U376" s="276"/>
      <c r="V376" s="276"/>
      <c r="W376" s="276"/>
      <c r="X376" s="276"/>
      <c r="Y376" s="276"/>
      <c r="Z376" s="276"/>
    </row>
    <row r="377" spans="1:26" ht="14.25" customHeight="1" x14ac:dyDescent="0.3">
      <c r="A377" s="388" t="s">
        <v>1120</v>
      </c>
      <c r="B377" s="272" t="s">
        <v>1527</v>
      </c>
      <c r="C377" s="257">
        <v>7</v>
      </c>
      <c r="E377" s="257" t="s">
        <v>1144</v>
      </c>
      <c r="F377" s="257">
        <v>28</v>
      </c>
      <c r="G377" s="257" t="s">
        <v>1091</v>
      </c>
      <c r="H377" s="387">
        <v>45958</v>
      </c>
      <c r="I377" s="276" t="s">
        <v>1347</v>
      </c>
      <c r="J377" s="258" t="s">
        <v>1345</v>
      </c>
      <c r="K377" s="326" t="s">
        <v>1142</v>
      </c>
      <c r="L377" s="385">
        <v>46007</v>
      </c>
      <c r="M377" s="291" t="s">
        <v>2690</v>
      </c>
      <c r="O377" s="276"/>
      <c r="P377" s="276"/>
      <c r="Q377" s="276"/>
      <c r="R377" s="276"/>
      <c r="S377" s="276"/>
      <c r="T377" s="276"/>
      <c r="U377" s="276"/>
      <c r="V377" s="276"/>
      <c r="W377" s="276"/>
      <c r="X377" s="276"/>
      <c r="Y377" s="276"/>
      <c r="Z377" s="276"/>
    </row>
    <row r="378" spans="1:26" ht="14.25" customHeight="1" x14ac:dyDescent="0.3">
      <c r="A378" s="389" t="s">
        <v>629</v>
      </c>
      <c r="B378" s="272" t="s">
        <v>1527</v>
      </c>
      <c r="C378" s="257">
        <v>7</v>
      </c>
      <c r="E378" s="257" t="s">
        <v>1144</v>
      </c>
      <c r="F378" s="257">
        <v>28</v>
      </c>
      <c r="G378" s="257" t="s">
        <v>1091</v>
      </c>
      <c r="H378" s="387">
        <v>45958</v>
      </c>
      <c r="I378" s="276" t="s">
        <v>1347</v>
      </c>
      <c r="J378" s="258" t="s">
        <v>1345</v>
      </c>
      <c r="K378" s="326" t="s">
        <v>1142</v>
      </c>
      <c r="L378" s="385">
        <v>46007</v>
      </c>
      <c r="M378" s="291" t="s">
        <v>2691</v>
      </c>
      <c r="O378" s="276"/>
      <c r="P378" s="276"/>
      <c r="Q378" s="276"/>
      <c r="R378" s="276"/>
      <c r="S378" s="276"/>
      <c r="T378" s="276"/>
      <c r="U378" s="276"/>
      <c r="V378" s="276"/>
      <c r="W378" s="276"/>
      <c r="X378" s="276"/>
      <c r="Y378" s="276"/>
      <c r="Z378" s="276"/>
    </row>
    <row r="379" spans="1:26" ht="14.25" customHeight="1" x14ac:dyDescent="0.3">
      <c r="A379" s="389" t="s">
        <v>1135</v>
      </c>
      <c r="B379" s="272" t="s">
        <v>1527</v>
      </c>
      <c r="C379" s="257">
        <v>7</v>
      </c>
      <c r="E379" s="257" t="s">
        <v>1144</v>
      </c>
      <c r="F379" s="257">
        <v>28</v>
      </c>
      <c r="G379" s="257" t="s">
        <v>1091</v>
      </c>
      <c r="H379" s="387">
        <v>45958</v>
      </c>
      <c r="I379" s="276" t="s">
        <v>1347</v>
      </c>
      <c r="J379" s="258" t="s">
        <v>1345</v>
      </c>
      <c r="K379" s="326" t="s">
        <v>1142</v>
      </c>
      <c r="L379" s="385">
        <v>46007</v>
      </c>
      <c r="M379" s="291" t="s">
        <v>2692</v>
      </c>
      <c r="O379" s="276"/>
      <c r="P379" s="276"/>
      <c r="Q379" s="276"/>
      <c r="R379" s="276"/>
      <c r="S379" s="276"/>
      <c r="T379" s="276"/>
      <c r="U379" s="276"/>
      <c r="V379" s="276"/>
      <c r="W379" s="276"/>
      <c r="X379" s="276"/>
      <c r="Y379" s="276"/>
      <c r="Z379" s="276"/>
    </row>
    <row r="380" spans="1:26" ht="14.25" customHeight="1" x14ac:dyDescent="0.3">
      <c r="A380" s="389" t="s">
        <v>671</v>
      </c>
      <c r="B380" s="272" t="s">
        <v>1527</v>
      </c>
      <c r="C380" s="257">
        <v>7</v>
      </c>
      <c r="E380" s="257" t="s">
        <v>1144</v>
      </c>
      <c r="F380" s="257">
        <v>28</v>
      </c>
      <c r="G380" s="257" t="s">
        <v>1091</v>
      </c>
      <c r="H380" s="387">
        <v>45958</v>
      </c>
      <c r="I380" s="277" t="s">
        <v>1576</v>
      </c>
      <c r="J380" s="258" t="s">
        <v>1345</v>
      </c>
      <c r="K380" s="326" t="s">
        <v>1142</v>
      </c>
      <c r="L380" s="385">
        <v>46007</v>
      </c>
      <c r="M380" s="291" t="s">
        <v>2666</v>
      </c>
      <c r="O380" s="276"/>
      <c r="P380" s="276"/>
      <c r="Q380" s="276"/>
      <c r="R380" s="276"/>
      <c r="S380" s="276"/>
      <c r="T380" s="276"/>
      <c r="U380" s="276"/>
      <c r="V380" s="276"/>
      <c r="W380" s="276"/>
      <c r="X380" s="276"/>
      <c r="Y380" s="276"/>
      <c r="Z380" s="276"/>
    </row>
    <row r="381" spans="1:26" ht="14.25" customHeight="1" x14ac:dyDescent="0.3">
      <c r="A381" s="389" t="s">
        <v>675</v>
      </c>
      <c r="B381" s="272" t="s">
        <v>1527</v>
      </c>
      <c r="C381" s="257">
        <v>7</v>
      </c>
      <c r="E381" s="257" t="s">
        <v>1144</v>
      </c>
      <c r="F381" s="257">
        <v>28</v>
      </c>
      <c r="G381" s="257" t="s">
        <v>1091</v>
      </c>
      <c r="H381" s="387">
        <v>45958</v>
      </c>
      <c r="I381" s="276" t="s">
        <v>1347</v>
      </c>
      <c r="J381" s="258" t="s">
        <v>1345</v>
      </c>
      <c r="K381" s="326" t="s">
        <v>1142</v>
      </c>
      <c r="L381" s="385">
        <v>46007</v>
      </c>
      <c r="M381" s="291" t="s">
        <v>2667</v>
      </c>
      <c r="O381" s="276"/>
      <c r="P381" s="276"/>
      <c r="Q381" s="276"/>
      <c r="R381" s="276"/>
      <c r="S381" s="276"/>
      <c r="T381" s="276"/>
      <c r="U381" s="276"/>
      <c r="V381" s="276"/>
      <c r="W381" s="276"/>
      <c r="X381" s="276"/>
      <c r="Y381" s="276"/>
      <c r="Z381" s="276"/>
    </row>
    <row r="382" spans="1:26" ht="14.25" customHeight="1" x14ac:dyDescent="0.3">
      <c r="A382" s="390" t="s">
        <v>1137</v>
      </c>
      <c r="B382" s="272" t="s">
        <v>1527</v>
      </c>
      <c r="C382" s="257">
        <v>7</v>
      </c>
      <c r="E382" s="391" t="s">
        <v>1089</v>
      </c>
      <c r="F382" s="392">
        <v>23</v>
      </c>
      <c r="G382" s="393" t="s">
        <v>1088</v>
      </c>
      <c r="H382" s="394">
        <v>45938</v>
      </c>
      <c r="I382" s="277" t="s">
        <v>1576</v>
      </c>
      <c r="J382" s="258" t="s">
        <v>1345</v>
      </c>
      <c r="K382" s="284" t="s">
        <v>1128</v>
      </c>
      <c r="L382" s="385">
        <v>46007</v>
      </c>
      <c r="M382" s="276" t="s">
        <v>1577</v>
      </c>
      <c r="O382" s="276"/>
      <c r="P382" s="276"/>
      <c r="Q382" s="276"/>
      <c r="R382" s="276"/>
      <c r="S382" s="276"/>
      <c r="T382" s="276"/>
      <c r="U382" s="276"/>
      <c r="V382" s="276"/>
      <c r="W382" s="276"/>
      <c r="X382" s="276"/>
      <c r="Y382" s="276"/>
      <c r="Z382" s="276"/>
    </row>
    <row r="383" spans="1:26" ht="14.25" customHeight="1" x14ac:dyDescent="0.3">
      <c r="A383" s="390" t="s">
        <v>699</v>
      </c>
      <c r="B383" s="272" t="s">
        <v>1527</v>
      </c>
      <c r="C383" s="257">
        <v>7</v>
      </c>
      <c r="E383" s="391" t="s">
        <v>1089</v>
      </c>
      <c r="F383" s="392">
        <v>23</v>
      </c>
      <c r="G383" s="393" t="s">
        <v>1088</v>
      </c>
      <c r="H383" s="394">
        <v>45938</v>
      </c>
      <c r="I383" s="276" t="s">
        <v>1347</v>
      </c>
      <c r="J383" s="258" t="s">
        <v>1345</v>
      </c>
      <c r="K383" s="326" t="s">
        <v>1142</v>
      </c>
      <c r="L383" s="385">
        <v>46007</v>
      </c>
      <c r="M383" s="291" t="s">
        <v>2658</v>
      </c>
      <c r="O383" s="276"/>
      <c r="P383" s="276"/>
      <c r="Q383" s="276"/>
      <c r="R383" s="276"/>
      <c r="S383" s="276"/>
      <c r="T383" s="276"/>
      <c r="U383" s="276"/>
      <c r="V383" s="276"/>
      <c r="W383" s="276"/>
      <c r="X383" s="276"/>
      <c r="Y383" s="276"/>
      <c r="Z383" s="276"/>
    </row>
    <row r="384" spans="1:26" ht="14.25" customHeight="1" x14ac:dyDescent="0.3">
      <c r="A384" s="390" t="s">
        <v>1058</v>
      </c>
      <c r="B384" s="272" t="s">
        <v>1527</v>
      </c>
      <c r="C384" s="257">
        <v>7</v>
      </c>
      <c r="E384" s="391" t="s">
        <v>1089</v>
      </c>
      <c r="F384" s="392">
        <v>23</v>
      </c>
      <c r="G384" s="393" t="s">
        <v>1088</v>
      </c>
      <c r="H384" s="394">
        <v>45938</v>
      </c>
      <c r="I384" s="277" t="s">
        <v>1576</v>
      </c>
      <c r="J384" s="258" t="s">
        <v>1345</v>
      </c>
      <c r="K384" s="284" t="s">
        <v>1128</v>
      </c>
      <c r="L384" s="385">
        <v>46007</v>
      </c>
      <c r="M384" s="276" t="s">
        <v>1577</v>
      </c>
      <c r="O384" s="276"/>
      <c r="P384" s="276"/>
      <c r="Q384" s="276"/>
      <c r="R384" s="276"/>
      <c r="S384" s="276"/>
      <c r="T384" s="276"/>
      <c r="U384" s="276"/>
      <c r="V384" s="276"/>
      <c r="W384" s="276"/>
      <c r="X384" s="276"/>
      <c r="Y384" s="276"/>
      <c r="Z384" s="276"/>
    </row>
    <row r="385" spans="1:26" ht="14.25" customHeight="1" x14ac:dyDescent="0.3">
      <c r="A385" s="389" t="s">
        <v>2179</v>
      </c>
      <c r="B385" s="272" t="s">
        <v>1527</v>
      </c>
      <c r="C385" s="257">
        <v>7</v>
      </c>
      <c r="E385" s="257" t="s">
        <v>1144</v>
      </c>
      <c r="F385" s="257">
        <v>28</v>
      </c>
      <c r="G385" s="257" t="s">
        <v>1091</v>
      </c>
      <c r="H385" s="387">
        <v>45958</v>
      </c>
      <c r="I385" s="276" t="s">
        <v>1347</v>
      </c>
      <c r="J385" s="258" t="s">
        <v>1345</v>
      </c>
      <c r="K385" s="326" t="s">
        <v>1142</v>
      </c>
      <c r="L385" s="385">
        <v>46007</v>
      </c>
      <c r="M385" s="291" t="s">
        <v>2693</v>
      </c>
      <c r="O385" s="276"/>
      <c r="P385" s="276"/>
      <c r="Q385" s="276"/>
      <c r="R385" s="276"/>
      <c r="S385" s="276"/>
      <c r="T385" s="276"/>
      <c r="U385" s="276"/>
      <c r="V385" s="276"/>
      <c r="W385" s="276"/>
      <c r="X385" s="276"/>
      <c r="Y385" s="276"/>
      <c r="Z385" s="276"/>
    </row>
    <row r="386" spans="1:26" ht="14.25" customHeight="1" x14ac:dyDescent="0.3">
      <c r="A386" s="386" t="s">
        <v>1996</v>
      </c>
      <c r="B386" s="272" t="s">
        <v>1527</v>
      </c>
      <c r="C386" s="257">
        <v>7</v>
      </c>
      <c r="E386" s="279" t="s">
        <v>1076</v>
      </c>
      <c r="F386" s="257">
        <v>26</v>
      </c>
      <c r="G386" s="343" t="s">
        <v>1086</v>
      </c>
      <c r="H386" s="387">
        <v>45958</v>
      </c>
      <c r="I386" s="276" t="s">
        <v>1347</v>
      </c>
      <c r="J386" s="258" t="s">
        <v>1345</v>
      </c>
      <c r="K386" s="326" t="s">
        <v>1142</v>
      </c>
      <c r="L386" s="385">
        <v>46007</v>
      </c>
      <c r="M386" s="291" t="s">
        <v>1578</v>
      </c>
      <c r="O386" s="276"/>
      <c r="P386" s="276"/>
      <c r="Q386" s="276"/>
      <c r="R386" s="276"/>
      <c r="S386" s="276"/>
      <c r="T386" s="276"/>
      <c r="U386" s="276"/>
      <c r="V386" s="276"/>
      <c r="W386" s="276"/>
      <c r="X386" s="276"/>
      <c r="Y386" s="276"/>
      <c r="Z386" s="276"/>
    </row>
    <row r="387" spans="1:26" ht="14.25" customHeight="1" x14ac:dyDescent="0.3">
      <c r="A387" s="271" t="s">
        <v>760</v>
      </c>
      <c r="B387" s="272" t="s">
        <v>1527</v>
      </c>
      <c r="C387" s="259">
        <v>7</v>
      </c>
      <c r="E387" s="259" t="s">
        <v>1144</v>
      </c>
      <c r="F387" s="259">
        <v>35</v>
      </c>
      <c r="G387" s="259" t="s">
        <v>1138</v>
      </c>
      <c r="H387" s="384">
        <v>45994</v>
      </c>
      <c r="I387" s="276" t="s">
        <v>1347</v>
      </c>
      <c r="J387" s="258" t="s">
        <v>1345</v>
      </c>
      <c r="K387" s="326" t="s">
        <v>1142</v>
      </c>
      <c r="L387" s="385">
        <v>46007</v>
      </c>
      <c r="M387" s="291" t="s">
        <v>1579</v>
      </c>
      <c r="O387" s="276"/>
      <c r="P387" s="276"/>
      <c r="Q387" s="276"/>
      <c r="R387" s="276"/>
      <c r="S387" s="276"/>
      <c r="T387" s="276"/>
      <c r="U387" s="276"/>
      <c r="V387" s="276"/>
      <c r="W387" s="276"/>
      <c r="X387" s="276"/>
      <c r="Y387" s="276"/>
      <c r="Z387" s="276"/>
    </row>
    <row r="388" spans="1:26" ht="14.25" customHeight="1" x14ac:dyDescent="0.3">
      <c r="A388" s="395" t="s">
        <v>776</v>
      </c>
      <c r="B388" s="272" t="s">
        <v>1527</v>
      </c>
      <c r="C388" s="257">
        <v>7</v>
      </c>
      <c r="E388" s="257" t="s">
        <v>1144</v>
      </c>
      <c r="F388" s="257">
        <v>28</v>
      </c>
      <c r="G388" s="257" t="s">
        <v>1091</v>
      </c>
      <c r="H388" s="387">
        <v>45958</v>
      </c>
      <c r="I388" s="276" t="s">
        <v>1347</v>
      </c>
      <c r="J388" s="258" t="s">
        <v>1345</v>
      </c>
      <c r="K388" s="326" t="s">
        <v>1142</v>
      </c>
      <c r="L388" s="385">
        <v>46007</v>
      </c>
      <c r="M388" s="291" t="s">
        <v>2694</v>
      </c>
      <c r="O388" s="276"/>
      <c r="P388" s="276"/>
      <c r="Q388" s="276"/>
      <c r="R388" s="276"/>
      <c r="S388" s="276"/>
      <c r="T388" s="276"/>
      <c r="U388" s="276"/>
      <c r="V388" s="276"/>
      <c r="W388" s="276"/>
      <c r="X388" s="276"/>
      <c r="Y388" s="276"/>
      <c r="Z388" s="276"/>
    </row>
    <row r="389" spans="1:26" ht="14.25" customHeight="1" x14ac:dyDescent="0.3">
      <c r="A389" s="386" t="s">
        <v>1151</v>
      </c>
      <c r="B389" s="272" t="s">
        <v>1527</v>
      </c>
      <c r="C389" s="257">
        <v>7</v>
      </c>
      <c r="E389" s="257" t="s">
        <v>1144</v>
      </c>
      <c r="F389" s="257">
        <v>28</v>
      </c>
      <c r="G389" s="257" t="s">
        <v>1091</v>
      </c>
      <c r="H389" s="387">
        <v>45958</v>
      </c>
      <c r="I389" s="276" t="s">
        <v>1347</v>
      </c>
      <c r="J389" s="258" t="s">
        <v>1345</v>
      </c>
      <c r="K389" s="326" t="s">
        <v>1142</v>
      </c>
      <c r="L389" s="385">
        <v>46007</v>
      </c>
      <c r="M389" s="291" t="s">
        <v>2695</v>
      </c>
      <c r="O389" s="276"/>
      <c r="P389" s="276"/>
      <c r="Q389" s="276"/>
      <c r="R389" s="276"/>
      <c r="S389" s="276"/>
      <c r="T389" s="276"/>
      <c r="U389" s="276"/>
      <c r="V389" s="276"/>
      <c r="W389" s="276"/>
      <c r="X389" s="276"/>
      <c r="Y389" s="276"/>
      <c r="Z389" s="276"/>
    </row>
    <row r="390" spans="1:26" ht="14.25" customHeight="1" x14ac:dyDescent="0.3">
      <c r="A390" s="266" t="s">
        <v>2180</v>
      </c>
      <c r="B390" s="272" t="s">
        <v>1527</v>
      </c>
      <c r="C390" s="257">
        <v>7</v>
      </c>
      <c r="E390" s="257" t="s">
        <v>1144</v>
      </c>
      <c r="F390" s="257">
        <v>28</v>
      </c>
      <c r="G390" s="257" t="s">
        <v>1091</v>
      </c>
      <c r="H390" s="387">
        <v>45958</v>
      </c>
      <c r="I390" s="276" t="s">
        <v>1347</v>
      </c>
      <c r="J390" s="258" t="s">
        <v>1345</v>
      </c>
      <c r="K390" s="326" t="s">
        <v>1142</v>
      </c>
      <c r="L390" s="385">
        <v>46007</v>
      </c>
      <c r="M390" s="291" t="s">
        <v>2668</v>
      </c>
      <c r="O390" s="276"/>
      <c r="P390" s="276"/>
      <c r="Q390" s="276"/>
      <c r="R390" s="276"/>
      <c r="S390" s="276"/>
      <c r="T390" s="276"/>
      <c r="U390" s="276"/>
      <c r="V390" s="276"/>
      <c r="W390" s="276"/>
      <c r="X390" s="276"/>
      <c r="Y390" s="276"/>
      <c r="Z390" s="276"/>
    </row>
    <row r="391" spans="1:26" ht="14.25" customHeight="1" x14ac:dyDescent="0.3">
      <c r="A391" s="271" t="s">
        <v>834</v>
      </c>
      <c r="B391" s="272" t="s">
        <v>1527</v>
      </c>
      <c r="C391" s="259">
        <v>7</v>
      </c>
      <c r="E391" s="259" t="s">
        <v>1144</v>
      </c>
      <c r="F391" s="259">
        <v>35</v>
      </c>
      <c r="G391" s="259" t="s">
        <v>1138</v>
      </c>
      <c r="H391" s="384">
        <v>45994</v>
      </c>
      <c r="I391" s="277" t="s">
        <v>1576</v>
      </c>
      <c r="J391" s="258" t="s">
        <v>1345</v>
      </c>
      <c r="K391" s="290" t="s">
        <v>1107</v>
      </c>
      <c r="L391" s="385">
        <v>46007</v>
      </c>
      <c r="M391" s="291" t="s">
        <v>1580</v>
      </c>
      <c r="O391" s="276"/>
      <c r="P391" s="276"/>
      <c r="Q391" s="276"/>
      <c r="R391" s="276"/>
      <c r="S391" s="276"/>
      <c r="T391" s="276"/>
      <c r="U391" s="276"/>
      <c r="V391" s="276"/>
      <c r="W391" s="276"/>
      <c r="X391" s="276"/>
      <c r="Y391" s="276"/>
      <c r="Z391" s="276"/>
    </row>
    <row r="392" spans="1:26" ht="14.25" customHeight="1" x14ac:dyDescent="0.3">
      <c r="A392" s="266" t="s">
        <v>1993</v>
      </c>
      <c r="B392" s="272" t="s">
        <v>1527</v>
      </c>
      <c r="C392" s="257">
        <v>7</v>
      </c>
      <c r="E392" s="279" t="s">
        <v>1076</v>
      </c>
      <c r="F392" s="257">
        <v>26</v>
      </c>
      <c r="G392" s="343" t="s">
        <v>1086</v>
      </c>
      <c r="H392" s="387">
        <v>45958</v>
      </c>
      <c r="I392" s="276" t="s">
        <v>1347</v>
      </c>
      <c r="J392" s="258" t="s">
        <v>1345</v>
      </c>
      <c r="K392" s="277" t="s">
        <v>1142</v>
      </c>
      <c r="L392" s="385">
        <v>46007</v>
      </c>
      <c r="M392" s="291" t="s">
        <v>1581</v>
      </c>
      <c r="O392" s="276"/>
      <c r="P392" s="276"/>
      <c r="Q392" s="276"/>
      <c r="R392" s="276"/>
      <c r="S392" s="276"/>
      <c r="T392" s="276"/>
      <c r="U392" s="276"/>
      <c r="V392" s="276"/>
      <c r="W392" s="276"/>
      <c r="X392" s="276"/>
      <c r="Y392" s="276"/>
      <c r="Z392" s="276"/>
    </row>
    <row r="393" spans="1:26" ht="14.25" customHeight="1" x14ac:dyDescent="0.3">
      <c r="A393" s="266" t="s">
        <v>1995</v>
      </c>
      <c r="B393" s="272" t="s">
        <v>1527</v>
      </c>
      <c r="C393" s="257">
        <v>7</v>
      </c>
      <c r="E393" s="279" t="s">
        <v>1076</v>
      </c>
      <c r="F393" s="257">
        <v>26</v>
      </c>
      <c r="G393" s="343" t="s">
        <v>1086</v>
      </c>
      <c r="H393" s="387">
        <v>45958</v>
      </c>
      <c r="I393" s="276" t="s">
        <v>1347</v>
      </c>
      <c r="J393" s="258" t="s">
        <v>1345</v>
      </c>
      <c r="K393" s="277" t="s">
        <v>1142</v>
      </c>
      <c r="L393" s="385">
        <v>46008</v>
      </c>
      <c r="M393" s="291" t="s">
        <v>1582</v>
      </c>
      <c r="O393" s="276"/>
      <c r="P393" s="276"/>
      <c r="Q393" s="276"/>
      <c r="R393" s="276"/>
      <c r="S393" s="276"/>
      <c r="T393" s="276"/>
      <c r="U393" s="276"/>
      <c r="V393" s="276"/>
      <c r="W393" s="276"/>
      <c r="X393" s="276"/>
      <c r="Y393" s="276"/>
      <c r="Z393" s="276"/>
    </row>
    <row r="394" spans="1:26" ht="14.25" customHeight="1" x14ac:dyDescent="0.3">
      <c r="A394" s="396" t="s">
        <v>2269</v>
      </c>
      <c r="B394" s="272" t="s">
        <v>1527</v>
      </c>
      <c r="C394" s="257">
        <v>7</v>
      </c>
      <c r="E394" s="257" t="s">
        <v>1089</v>
      </c>
      <c r="F394" s="257">
        <v>25</v>
      </c>
      <c r="G394" s="257" t="s">
        <v>1080</v>
      </c>
      <c r="H394" s="387">
        <v>45953</v>
      </c>
      <c r="I394" s="277" t="s">
        <v>1576</v>
      </c>
      <c r="J394" s="258" t="s">
        <v>1345</v>
      </c>
      <c r="K394" s="284" t="s">
        <v>1128</v>
      </c>
      <c r="L394" s="385">
        <v>46008</v>
      </c>
      <c r="M394" s="291" t="s">
        <v>1583</v>
      </c>
      <c r="O394" s="276"/>
      <c r="P394" s="276"/>
      <c r="Q394" s="276"/>
      <c r="R394" s="276"/>
      <c r="S394" s="276"/>
      <c r="T394" s="276"/>
      <c r="U394" s="276"/>
      <c r="V394" s="276"/>
      <c r="W394" s="276"/>
      <c r="X394" s="276"/>
      <c r="Y394" s="276"/>
      <c r="Z394" s="276"/>
    </row>
    <row r="395" spans="1:26" ht="14.25" customHeight="1" x14ac:dyDescent="0.3">
      <c r="A395" s="271" t="s">
        <v>1156</v>
      </c>
      <c r="B395" s="272" t="s">
        <v>1527</v>
      </c>
      <c r="C395" s="259">
        <v>7</v>
      </c>
      <c r="E395" s="259" t="s">
        <v>1144</v>
      </c>
      <c r="F395" s="259">
        <v>35</v>
      </c>
      <c r="G395" s="259" t="s">
        <v>1138</v>
      </c>
      <c r="H395" s="384">
        <v>45994</v>
      </c>
      <c r="I395" s="276" t="s">
        <v>1347</v>
      </c>
      <c r="J395" s="258" t="s">
        <v>1345</v>
      </c>
      <c r="K395" s="326" t="s">
        <v>1142</v>
      </c>
      <c r="L395" s="385">
        <v>46008</v>
      </c>
      <c r="M395" s="291" t="s">
        <v>1584</v>
      </c>
      <c r="O395" s="276"/>
      <c r="P395" s="276"/>
      <c r="Q395" s="276"/>
      <c r="R395" s="276"/>
      <c r="S395" s="276"/>
      <c r="T395" s="276"/>
      <c r="U395" s="276"/>
      <c r="V395" s="276"/>
      <c r="W395" s="276"/>
      <c r="X395" s="276"/>
      <c r="Y395" s="276"/>
      <c r="Z395" s="276"/>
    </row>
    <row r="396" spans="1:26" ht="14.25" customHeight="1" x14ac:dyDescent="0.3">
      <c r="A396" s="271" t="s">
        <v>904</v>
      </c>
      <c r="B396" s="272" t="s">
        <v>1527</v>
      </c>
      <c r="C396" s="259">
        <v>7</v>
      </c>
      <c r="E396" s="259" t="s">
        <v>1144</v>
      </c>
      <c r="F396" s="259">
        <v>35</v>
      </c>
      <c r="G396" s="259" t="s">
        <v>1138</v>
      </c>
      <c r="H396" s="384">
        <v>45994</v>
      </c>
      <c r="I396" s="276" t="s">
        <v>1347</v>
      </c>
      <c r="J396" s="258" t="s">
        <v>1345</v>
      </c>
      <c r="K396" s="326" t="s">
        <v>1142</v>
      </c>
      <c r="L396" s="385">
        <v>46008</v>
      </c>
      <c r="M396" s="291" t="s">
        <v>1585</v>
      </c>
      <c r="O396" s="276"/>
      <c r="P396" s="276"/>
      <c r="Q396" s="276"/>
      <c r="R396" s="276"/>
      <c r="S396" s="276"/>
      <c r="T396" s="276"/>
      <c r="U396" s="276"/>
      <c r="V396" s="276"/>
      <c r="W396" s="276"/>
      <c r="X396" s="276"/>
      <c r="Y396" s="276"/>
      <c r="Z396" s="276"/>
    </row>
    <row r="397" spans="1:26" ht="14.25" customHeight="1" x14ac:dyDescent="0.3">
      <c r="A397" s="271" t="s">
        <v>1052</v>
      </c>
      <c r="B397" s="272" t="s">
        <v>1527</v>
      </c>
      <c r="C397" s="259">
        <v>7</v>
      </c>
      <c r="E397" s="259" t="s">
        <v>1144</v>
      </c>
      <c r="F397" s="259">
        <v>35</v>
      </c>
      <c r="G397" s="259" t="s">
        <v>1138</v>
      </c>
      <c r="H397" s="384">
        <v>45994</v>
      </c>
      <c r="I397" s="276" t="s">
        <v>1347</v>
      </c>
      <c r="J397" s="258" t="s">
        <v>1345</v>
      </c>
      <c r="K397" s="326" t="s">
        <v>1200</v>
      </c>
      <c r="L397" s="385">
        <v>46008</v>
      </c>
      <c r="M397" s="291" t="s">
        <v>1586</v>
      </c>
      <c r="O397" s="276"/>
      <c r="P397" s="276"/>
      <c r="Q397" s="276"/>
      <c r="R397" s="276"/>
      <c r="S397" s="276"/>
      <c r="T397" s="276"/>
      <c r="U397" s="276"/>
      <c r="V397" s="276"/>
      <c r="W397" s="276"/>
      <c r="X397" s="276"/>
      <c r="Y397" s="276"/>
      <c r="Z397" s="276"/>
    </row>
    <row r="398" spans="1:26" ht="14.25" customHeight="1" x14ac:dyDescent="0.3">
      <c r="A398" s="271" t="s">
        <v>913</v>
      </c>
      <c r="B398" s="272" t="s">
        <v>1527</v>
      </c>
      <c r="C398" s="259">
        <v>7</v>
      </c>
      <c r="E398" s="259" t="s">
        <v>1144</v>
      </c>
      <c r="F398" s="259">
        <v>35</v>
      </c>
      <c r="G398" s="259" t="s">
        <v>1138</v>
      </c>
      <c r="H398" s="384">
        <v>45994</v>
      </c>
      <c r="I398" s="276" t="s">
        <v>1347</v>
      </c>
      <c r="J398" s="258" t="s">
        <v>1345</v>
      </c>
      <c r="K398" s="326" t="s">
        <v>1200</v>
      </c>
      <c r="L398" s="385">
        <v>46008</v>
      </c>
      <c r="M398" s="291" t="s">
        <v>1587</v>
      </c>
      <c r="O398" s="276"/>
      <c r="P398" s="276"/>
      <c r="Q398" s="276"/>
      <c r="R398" s="276"/>
      <c r="S398" s="276"/>
      <c r="T398" s="276"/>
      <c r="U398" s="276"/>
      <c r="V398" s="276"/>
      <c r="W398" s="276"/>
      <c r="X398" s="276"/>
      <c r="Y398" s="276"/>
      <c r="Z398" s="276"/>
    </row>
    <row r="399" spans="1:26" ht="14.25" customHeight="1" x14ac:dyDescent="0.3">
      <c r="A399" s="397" t="s">
        <v>1053</v>
      </c>
      <c r="B399" s="272" t="s">
        <v>1527</v>
      </c>
      <c r="C399" s="257">
        <v>7</v>
      </c>
      <c r="E399" s="257" t="s">
        <v>1144</v>
      </c>
      <c r="F399" s="257">
        <v>28</v>
      </c>
      <c r="G399" s="257" t="s">
        <v>1091</v>
      </c>
      <c r="H399" s="387">
        <v>45958</v>
      </c>
      <c r="I399" s="276" t="s">
        <v>1347</v>
      </c>
      <c r="J399" s="258" t="s">
        <v>1345</v>
      </c>
      <c r="K399" s="326" t="s">
        <v>1142</v>
      </c>
      <c r="L399" s="385">
        <v>46008</v>
      </c>
      <c r="M399" s="291" t="s">
        <v>2669</v>
      </c>
      <c r="O399" s="276"/>
      <c r="P399" s="276"/>
      <c r="Q399" s="276"/>
      <c r="R399" s="276"/>
      <c r="S399" s="276"/>
      <c r="T399" s="276"/>
      <c r="U399" s="276"/>
      <c r="V399" s="276"/>
      <c r="W399" s="276"/>
      <c r="X399" s="276"/>
      <c r="Y399" s="276"/>
      <c r="Z399" s="276"/>
    </row>
    <row r="400" spans="1:26" ht="14.25" customHeight="1" x14ac:dyDescent="0.3">
      <c r="A400" s="271" t="s">
        <v>921</v>
      </c>
      <c r="B400" s="272" t="s">
        <v>1527</v>
      </c>
      <c r="C400" s="259">
        <v>7</v>
      </c>
      <c r="E400" s="259" t="s">
        <v>1144</v>
      </c>
      <c r="F400" s="259">
        <v>35</v>
      </c>
      <c r="G400" s="259" t="s">
        <v>1138</v>
      </c>
      <c r="H400" s="384">
        <v>45994</v>
      </c>
      <c r="I400" s="277" t="s">
        <v>1576</v>
      </c>
      <c r="J400" s="258" t="s">
        <v>1345</v>
      </c>
      <c r="K400" s="290" t="s">
        <v>1107</v>
      </c>
      <c r="L400" s="385">
        <v>46008</v>
      </c>
      <c r="M400" s="291" t="s">
        <v>1588</v>
      </c>
      <c r="O400" s="276"/>
      <c r="P400" s="276"/>
      <c r="Q400" s="276"/>
      <c r="R400" s="276"/>
      <c r="S400" s="276"/>
      <c r="T400" s="276"/>
      <c r="U400" s="276"/>
      <c r="V400" s="276"/>
      <c r="W400" s="276"/>
      <c r="X400" s="276"/>
      <c r="Y400" s="276"/>
      <c r="Z400" s="276"/>
    </row>
    <row r="401" spans="1:26" ht="14.25" customHeight="1" x14ac:dyDescent="0.3">
      <c r="A401" s="397" t="s">
        <v>1163</v>
      </c>
      <c r="B401" s="272" t="s">
        <v>1527</v>
      </c>
      <c r="C401" s="257">
        <v>7</v>
      </c>
      <c r="E401" s="257" t="s">
        <v>1144</v>
      </c>
      <c r="F401" s="257">
        <v>28</v>
      </c>
      <c r="G401" s="257" t="s">
        <v>1091</v>
      </c>
      <c r="H401" s="387">
        <v>45958</v>
      </c>
      <c r="I401" s="276" t="s">
        <v>1347</v>
      </c>
      <c r="J401" s="258" t="s">
        <v>1345</v>
      </c>
      <c r="K401" s="326" t="s">
        <v>1142</v>
      </c>
      <c r="L401" s="385">
        <v>46008</v>
      </c>
      <c r="M401" s="291" t="s">
        <v>2696</v>
      </c>
      <c r="O401" s="276"/>
      <c r="P401" s="276"/>
      <c r="Q401" s="276"/>
      <c r="R401" s="276"/>
      <c r="S401" s="276"/>
      <c r="T401" s="276"/>
      <c r="U401" s="276"/>
      <c r="V401" s="276"/>
      <c r="W401" s="276"/>
      <c r="X401" s="276"/>
      <c r="Y401" s="276"/>
      <c r="Z401" s="276"/>
    </row>
    <row r="402" spans="1:26" ht="14.25" customHeight="1" x14ac:dyDescent="0.3">
      <c r="A402" s="271" t="s">
        <v>938</v>
      </c>
      <c r="B402" s="272" t="s">
        <v>1527</v>
      </c>
      <c r="C402" s="259">
        <v>7</v>
      </c>
      <c r="E402" s="259" t="s">
        <v>1144</v>
      </c>
      <c r="F402" s="259">
        <v>35</v>
      </c>
      <c r="G402" s="259" t="s">
        <v>1138</v>
      </c>
      <c r="H402" s="384">
        <v>45994</v>
      </c>
      <c r="I402" s="259" t="s">
        <v>1362</v>
      </c>
      <c r="J402" s="259" t="s">
        <v>1345</v>
      </c>
      <c r="K402" s="326" t="s">
        <v>1200</v>
      </c>
      <c r="L402" s="385">
        <v>46008</v>
      </c>
      <c r="M402" s="291" t="s">
        <v>1589</v>
      </c>
      <c r="O402" s="277" t="s">
        <v>1590</v>
      </c>
      <c r="P402" s="276"/>
      <c r="Q402" s="276"/>
      <c r="R402" s="276"/>
      <c r="S402" s="276"/>
      <c r="T402" s="276"/>
      <c r="U402" s="276"/>
      <c r="V402" s="276"/>
      <c r="W402" s="276"/>
      <c r="X402" s="276"/>
      <c r="Y402" s="276"/>
      <c r="Z402" s="276"/>
    </row>
    <row r="403" spans="1:26" ht="14.25" customHeight="1" x14ac:dyDescent="0.3">
      <c r="A403" s="265" t="s">
        <v>941</v>
      </c>
      <c r="B403" s="272" t="s">
        <v>1527</v>
      </c>
      <c r="C403" s="259">
        <v>7</v>
      </c>
      <c r="E403" s="279" t="s">
        <v>1076</v>
      </c>
      <c r="F403" s="259" t="s">
        <v>1140</v>
      </c>
      <c r="G403" s="259" t="s">
        <v>1132</v>
      </c>
      <c r="H403" s="384">
        <v>45989</v>
      </c>
      <c r="I403" s="276" t="s">
        <v>1347</v>
      </c>
      <c r="J403" s="258" t="s">
        <v>1345</v>
      </c>
      <c r="K403" s="326" t="s">
        <v>1142</v>
      </c>
      <c r="L403" s="385">
        <v>46008</v>
      </c>
      <c r="M403" s="398" t="s">
        <v>1591</v>
      </c>
      <c r="O403" s="276"/>
      <c r="P403" s="276"/>
      <c r="Q403" s="276"/>
      <c r="R403" s="276"/>
      <c r="S403" s="276"/>
      <c r="T403" s="276"/>
      <c r="U403" s="276"/>
      <c r="V403" s="276"/>
      <c r="W403" s="276"/>
      <c r="X403" s="276"/>
      <c r="Y403" s="276"/>
      <c r="Z403" s="276"/>
    </row>
    <row r="404" spans="1:26" ht="14.25" customHeight="1" x14ac:dyDescent="0.3">
      <c r="A404" s="266" t="s">
        <v>1997</v>
      </c>
      <c r="B404" s="272" t="s">
        <v>1527</v>
      </c>
      <c r="C404" s="257">
        <v>7</v>
      </c>
      <c r="E404" s="257" t="s">
        <v>1144</v>
      </c>
      <c r="F404" s="257">
        <v>26</v>
      </c>
      <c r="G404" s="257" t="s">
        <v>1086</v>
      </c>
      <c r="H404" s="387">
        <v>45958</v>
      </c>
      <c r="I404" s="276" t="s">
        <v>1347</v>
      </c>
      <c r="J404" s="258" t="s">
        <v>1345</v>
      </c>
      <c r="K404" s="326" t="s">
        <v>1142</v>
      </c>
      <c r="L404" s="385">
        <v>46008</v>
      </c>
      <c r="M404" s="291" t="s">
        <v>1592</v>
      </c>
      <c r="O404" s="276"/>
      <c r="P404" s="276"/>
      <c r="Q404" s="276"/>
      <c r="R404" s="276"/>
      <c r="S404" s="276"/>
      <c r="T404" s="276"/>
      <c r="U404" s="276"/>
      <c r="V404" s="276"/>
      <c r="W404" s="276"/>
      <c r="X404" s="276"/>
      <c r="Y404" s="276"/>
      <c r="Z404" s="276"/>
    </row>
    <row r="405" spans="1:26" ht="14.25" customHeight="1" x14ac:dyDescent="0.3">
      <c r="A405" s="267" t="s">
        <v>952</v>
      </c>
      <c r="B405" s="272" t="s">
        <v>1527</v>
      </c>
      <c r="C405" s="257">
        <v>7</v>
      </c>
      <c r="E405" s="391" t="s">
        <v>1089</v>
      </c>
      <c r="F405" s="399">
        <v>13</v>
      </c>
      <c r="G405" s="400" t="s">
        <v>1088</v>
      </c>
      <c r="H405" s="401">
        <v>45824</v>
      </c>
      <c r="I405" s="394"/>
      <c r="J405" s="277" t="s">
        <v>1593</v>
      </c>
      <c r="K405" s="290" t="s">
        <v>1107</v>
      </c>
      <c r="L405" s="385">
        <v>46008</v>
      </c>
      <c r="M405" s="276"/>
      <c r="O405" s="276"/>
      <c r="P405" s="276"/>
      <c r="Q405" s="276"/>
      <c r="R405" s="276"/>
      <c r="S405" s="276"/>
      <c r="T405" s="276"/>
      <c r="U405" s="276"/>
      <c r="V405" s="276"/>
      <c r="W405" s="276"/>
      <c r="X405" s="276"/>
      <c r="Y405" s="276"/>
      <c r="Z405" s="276"/>
    </row>
    <row r="406" spans="1:26" ht="14.25" customHeight="1" x14ac:dyDescent="0.3">
      <c r="A406" s="402" t="s">
        <v>954</v>
      </c>
      <c r="B406" s="272" t="s">
        <v>1527</v>
      </c>
      <c r="C406" s="257">
        <v>7</v>
      </c>
      <c r="E406" s="257" t="s">
        <v>1144</v>
      </c>
      <c r="F406" s="257">
        <v>28</v>
      </c>
      <c r="G406" s="257" t="s">
        <v>1091</v>
      </c>
      <c r="H406" s="387">
        <v>45958</v>
      </c>
      <c r="I406" s="276" t="s">
        <v>1347</v>
      </c>
      <c r="J406" s="259" t="s">
        <v>1345</v>
      </c>
      <c r="K406" s="326" t="s">
        <v>1142</v>
      </c>
      <c r="L406" s="385">
        <v>46008</v>
      </c>
      <c r="M406" s="291" t="s">
        <v>2697</v>
      </c>
      <c r="O406" s="276"/>
      <c r="P406" s="276"/>
      <c r="Q406" s="276"/>
      <c r="R406" s="276"/>
      <c r="S406" s="276"/>
      <c r="T406" s="276"/>
      <c r="U406" s="276"/>
      <c r="V406" s="276"/>
      <c r="W406" s="276"/>
      <c r="X406" s="276"/>
      <c r="Y406" s="276"/>
      <c r="Z406" s="276"/>
    </row>
    <row r="407" spans="1:26" ht="14.25" customHeight="1" x14ac:dyDescent="0.3">
      <c r="A407" s="267" t="s">
        <v>2198</v>
      </c>
      <c r="B407" s="272" t="s">
        <v>1527</v>
      </c>
      <c r="C407" s="257">
        <v>7</v>
      </c>
      <c r="E407" s="391" t="s">
        <v>1089</v>
      </c>
      <c r="F407" s="399">
        <v>13</v>
      </c>
      <c r="G407" s="400" t="s">
        <v>1088</v>
      </c>
      <c r="H407" s="401">
        <v>45824</v>
      </c>
      <c r="I407" s="276" t="s">
        <v>1347</v>
      </c>
      <c r="J407" s="259" t="s">
        <v>1345</v>
      </c>
      <c r="K407" s="326" t="s">
        <v>1142</v>
      </c>
      <c r="L407" s="385">
        <v>46008</v>
      </c>
      <c r="M407" s="291" t="s">
        <v>2659</v>
      </c>
      <c r="O407" s="276"/>
      <c r="P407" s="276"/>
      <c r="Q407" s="276"/>
      <c r="R407" s="276"/>
      <c r="S407" s="276"/>
      <c r="T407" s="276"/>
      <c r="U407" s="276"/>
      <c r="V407" s="276"/>
      <c r="W407" s="276"/>
      <c r="X407" s="276"/>
      <c r="Y407" s="276"/>
      <c r="Z407" s="276"/>
    </row>
    <row r="408" spans="1:26" ht="14.25" customHeight="1" x14ac:dyDescent="0.3">
      <c r="A408" s="267" t="s">
        <v>2199</v>
      </c>
      <c r="B408" s="272" t="s">
        <v>1527</v>
      </c>
      <c r="C408" s="257">
        <v>7</v>
      </c>
      <c r="E408" s="391" t="s">
        <v>1089</v>
      </c>
      <c r="F408" s="399">
        <v>13</v>
      </c>
      <c r="G408" s="400" t="s">
        <v>1088</v>
      </c>
      <c r="H408" s="401">
        <v>45824</v>
      </c>
      <c r="I408" s="276" t="s">
        <v>1347</v>
      </c>
      <c r="J408" s="259" t="s">
        <v>1345</v>
      </c>
      <c r="K408" s="326" t="s">
        <v>1142</v>
      </c>
      <c r="L408" s="385">
        <v>46008</v>
      </c>
      <c r="M408" s="291" t="s">
        <v>2660</v>
      </c>
      <c r="O408" s="276"/>
      <c r="P408" s="276"/>
      <c r="Q408" s="276"/>
      <c r="R408" s="276"/>
      <c r="S408" s="276"/>
      <c r="T408" s="276"/>
      <c r="U408" s="276"/>
      <c r="V408" s="276"/>
      <c r="W408" s="276"/>
      <c r="X408" s="276"/>
      <c r="Y408" s="276"/>
      <c r="Z408" s="276"/>
    </row>
    <row r="409" spans="1:26" ht="14.25" customHeight="1" x14ac:dyDescent="0.3">
      <c r="A409" s="267" t="s">
        <v>2200</v>
      </c>
      <c r="B409" s="272" t="s">
        <v>1527</v>
      </c>
      <c r="C409" s="257">
        <v>7</v>
      </c>
      <c r="E409" s="391" t="s">
        <v>1089</v>
      </c>
      <c r="F409" s="399">
        <v>13</v>
      </c>
      <c r="G409" s="400" t="s">
        <v>1088</v>
      </c>
      <c r="H409" s="401">
        <v>45824</v>
      </c>
      <c r="I409" s="394">
        <v>45905</v>
      </c>
      <c r="J409" s="259" t="s">
        <v>1345</v>
      </c>
      <c r="K409" s="290" t="s">
        <v>1107</v>
      </c>
      <c r="L409" s="385">
        <v>46008</v>
      </c>
      <c r="M409" s="277" t="s">
        <v>451</v>
      </c>
      <c r="N409" s="276" t="s">
        <v>1577</v>
      </c>
      <c r="O409" s="276"/>
      <c r="P409" s="276"/>
      <c r="Q409" s="276"/>
      <c r="R409" s="276"/>
      <c r="S409" s="276"/>
      <c r="T409" s="276"/>
      <c r="U409" s="276"/>
      <c r="V409" s="276"/>
      <c r="W409" s="276"/>
      <c r="X409" s="276"/>
      <c r="Y409" s="276"/>
      <c r="Z409" s="276"/>
    </row>
    <row r="410" spans="1:26" ht="14.25" customHeight="1" x14ac:dyDescent="0.3">
      <c r="A410" s="403" t="s">
        <v>2259</v>
      </c>
      <c r="B410" s="272" t="s">
        <v>1527</v>
      </c>
      <c r="C410" s="259">
        <v>7</v>
      </c>
      <c r="E410" s="279" t="s">
        <v>1076</v>
      </c>
      <c r="F410" s="259" t="s">
        <v>1140</v>
      </c>
      <c r="G410" s="259" t="s">
        <v>1132</v>
      </c>
      <c r="H410" s="384">
        <v>45989</v>
      </c>
      <c r="I410" s="259" t="s">
        <v>1594</v>
      </c>
      <c r="J410" s="259" t="s">
        <v>1345</v>
      </c>
      <c r="K410" s="277" t="s">
        <v>1107</v>
      </c>
      <c r="L410" s="385">
        <v>46008</v>
      </c>
      <c r="M410" s="291" t="s">
        <v>451</v>
      </c>
      <c r="N410" s="291" t="s">
        <v>1595</v>
      </c>
      <c r="O410" s="276"/>
      <c r="P410" s="276"/>
      <c r="Q410" s="276"/>
      <c r="R410" s="276"/>
      <c r="S410" s="276"/>
      <c r="T410" s="276"/>
      <c r="U410" s="276"/>
      <c r="V410" s="276"/>
      <c r="W410" s="276"/>
      <c r="X410" s="276"/>
      <c r="Y410" s="276"/>
      <c r="Z410" s="276"/>
    </row>
    <row r="411" spans="1:26" ht="14.25" customHeight="1" x14ac:dyDescent="0.3">
      <c r="A411" s="270" t="s">
        <v>2260</v>
      </c>
      <c r="B411" s="272" t="s">
        <v>1527</v>
      </c>
      <c r="C411" s="259">
        <v>7</v>
      </c>
      <c r="E411" s="279" t="s">
        <v>1076</v>
      </c>
      <c r="F411" s="259">
        <v>29</v>
      </c>
      <c r="G411" s="343" t="s">
        <v>1086</v>
      </c>
      <c r="H411" s="384">
        <v>45986</v>
      </c>
      <c r="I411" s="276" t="s">
        <v>1347</v>
      </c>
      <c r="J411" s="259" t="s">
        <v>1345</v>
      </c>
      <c r="K411" s="326" t="s">
        <v>1142</v>
      </c>
      <c r="L411" s="385">
        <v>46008</v>
      </c>
      <c r="M411" s="291" t="s">
        <v>1596</v>
      </c>
      <c r="N411" s="276"/>
      <c r="O411" s="276"/>
      <c r="P411" s="276"/>
      <c r="Q411" s="276"/>
      <c r="R411" s="276"/>
      <c r="S411" s="276"/>
      <c r="T411" s="276"/>
      <c r="U411" s="276"/>
      <c r="V411" s="276"/>
      <c r="W411" s="276"/>
      <c r="X411" s="276"/>
      <c r="Y411" s="276"/>
      <c r="Z411" s="276"/>
    </row>
    <row r="412" spans="1:26" ht="14.25" customHeight="1" x14ac:dyDescent="0.3">
      <c r="A412" s="271" t="s">
        <v>2112</v>
      </c>
      <c r="B412" s="272" t="s">
        <v>1527</v>
      </c>
      <c r="C412" s="259">
        <v>7</v>
      </c>
      <c r="E412" s="279" t="s">
        <v>1076</v>
      </c>
      <c r="F412" s="259">
        <v>35</v>
      </c>
      <c r="G412" s="259" t="s">
        <v>1138</v>
      </c>
      <c r="H412" s="384">
        <v>45994</v>
      </c>
      <c r="I412" s="276" t="s">
        <v>1347</v>
      </c>
      <c r="J412" s="259" t="s">
        <v>1345</v>
      </c>
      <c r="K412" s="326" t="s">
        <v>1142</v>
      </c>
      <c r="L412" s="385">
        <v>46008</v>
      </c>
      <c r="M412" s="291" t="s">
        <v>1597</v>
      </c>
      <c r="N412" s="276"/>
      <c r="O412" s="276"/>
      <c r="P412" s="276"/>
      <c r="Q412" s="276"/>
      <c r="R412" s="276"/>
      <c r="S412" s="276"/>
      <c r="T412" s="276"/>
      <c r="U412" s="276"/>
      <c r="V412" s="276"/>
      <c r="W412" s="276"/>
      <c r="X412" s="276"/>
      <c r="Y412" s="276"/>
      <c r="Z412" s="276"/>
    </row>
    <row r="413" spans="1:26" ht="14.25" customHeight="1" x14ac:dyDescent="0.3">
      <c r="A413" s="271" t="s">
        <v>2261</v>
      </c>
      <c r="B413" s="272" t="s">
        <v>1527</v>
      </c>
      <c r="C413" s="259">
        <v>7</v>
      </c>
      <c r="E413" s="279" t="s">
        <v>1076</v>
      </c>
      <c r="F413" s="259" t="s">
        <v>1140</v>
      </c>
      <c r="G413" s="259" t="s">
        <v>1132</v>
      </c>
      <c r="H413" s="384">
        <v>45989</v>
      </c>
      <c r="I413" s="259" t="s">
        <v>1598</v>
      </c>
      <c r="J413" s="259" t="s">
        <v>1345</v>
      </c>
      <c r="K413" s="290" t="s">
        <v>1107</v>
      </c>
      <c r="L413" s="385">
        <v>46008</v>
      </c>
      <c r="M413" s="276" t="s">
        <v>451</v>
      </c>
      <c r="N413" s="276"/>
      <c r="O413" s="276"/>
      <c r="P413" s="276"/>
      <c r="Q413" s="276"/>
      <c r="R413" s="276"/>
      <c r="S413" s="276"/>
      <c r="T413" s="276"/>
      <c r="U413" s="276"/>
      <c r="V413" s="276"/>
      <c r="W413" s="276"/>
      <c r="X413" s="276"/>
      <c r="Y413" s="276"/>
      <c r="Z413" s="276"/>
    </row>
    <row r="414" spans="1:26" ht="14.25" customHeight="1" x14ac:dyDescent="0.3">
      <c r="A414" s="270" t="s">
        <v>2262</v>
      </c>
      <c r="B414" s="272" t="s">
        <v>1527</v>
      </c>
      <c r="C414" s="259">
        <v>7</v>
      </c>
      <c r="E414" s="279" t="s">
        <v>1076</v>
      </c>
      <c r="F414" s="259">
        <v>29</v>
      </c>
      <c r="G414" s="343" t="s">
        <v>1086</v>
      </c>
      <c r="H414" s="384">
        <v>45986</v>
      </c>
      <c r="I414" s="276" t="s">
        <v>1347</v>
      </c>
      <c r="J414" s="259" t="s">
        <v>1345</v>
      </c>
      <c r="K414" s="326" t="s">
        <v>1142</v>
      </c>
      <c r="L414" s="385">
        <v>46008</v>
      </c>
      <c r="M414" s="291" t="s">
        <v>1599</v>
      </c>
      <c r="N414" s="276"/>
      <c r="O414" s="276"/>
      <c r="P414" s="276"/>
      <c r="Q414" s="276"/>
      <c r="R414" s="276"/>
      <c r="S414" s="276"/>
      <c r="T414" s="276"/>
      <c r="U414" s="276"/>
      <c r="V414" s="276"/>
      <c r="W414" s="276"/>
      <c r="X414" s="276"/>
      <c r="Y414" s="276"/>
      <c r="Z414" s="276"/>
    </row>
    <row r="415" spans="1:26" ht="14.25" customHeight="1" x14ac:dyDescent="0.3">
      <c r="A415" s="271" t="s">
        <v>2262</v>
      </c>
      <c r="B415" s="272" t="s">
        <v>1527</v>
      </c>
      <c r="C415" s="259">
        <v>7</v>
      </c>
      <c r="E415" s="279" t="s">
        <v>1076</v>
      </c>
      <c r="F415" s="259" t="s">
        <v>1140</v>
      </c>
      <c r="G415" s="259" t="s">
        <v>1132</v>
      </c>
      <c r="H415" s="384">
        <v>45989</v>
      </c>
      <c r="I415" s="276" t="s">
        <v>1347</v>
      </c>
      <c r="J415" s="259" t="s">
        <v>1345</v>
      </c>
      <c r="K415" s="326" t="s">
        <v>1142</v>
      </c>
      <c r="L415" s="385">
        <v>46008</v>
      </c>
      <c r="M415" s="291" t="s">
        <v>1600</v>
      </c>
      <c r="N415" s="276"/>
      <c r="O415" s="276"/>
      <c r="P415" s="276"/>
      <c r="Q415" s="276"/>
      <c r="R415" s="276"/>
      <c r="S415" s="276"/>
      <c r="T415" s="276"/>
      <c r="U415" s="276"/>
      <c r="V415" s="276"/>
      <c r="W415" s="276"/>
      <c r="X415" s="276"/>
      <c r="Y415" s="276"/>
      <c r="Z415" s="276"/>
    </row>
    <row r="416" spans="1:26" ht="15" customHeight="1" x14ac:dyDescent="0.3">
      <c r="A416" s="271" t="s">
        <v>2264</v>
      </c>
      <c r="B416" s="272" t="s">
        <v>1527</v>
      </c>
      <c r="C416" s="259">
        <v>7</v>
      </c>
      <c r="E416" s="279" t="s">
        <v>1076</v>
      </c>
      <c r="F416" s="259" t="s">
        <v>1140</v>
      </c>
      <c r="G416" s="259" t="s">
        <v>1132</v>
      </c>
      <c r="H416" s="384">
        <v>45989</v>
      </c>
      <c r="I416" s="276" t="s">
        <v>1347</v>
      </c>
      <c r="J416" s="259" t="s">
        <v>1345</v>
      </c>
      <c r="K416" s="326" t="s">
        <v>1142</v>
      </c>
      <c r="L416" s="385">
        <v>46008</v>
      </c>
      <c r="M416" s="291" t="s">
        <v>1601</v>
      </c>
      <c r="N416" s="276"/>
      <c r="O416" s="276"/>
      <c r="P416" s="276"/>
      <c r="Q416" s="276"/>
      <c r="R416" s="276"/>
      <c r="S416" s="276"/>
      <c r="T416" s="276"/>
      <c r="U416" s="276"/>
      <c r="V416" s="276"/>
      <c r="W416" s="276"/>
      <c r="X416" s="276"/>
      <c r="Y416" s="276"/>
      <c r="Z416" s="276"/>
    </row>
    <row r="417" spans="1:26" ht="14.25" customHeight="1" x14ac:dyDescent="0.3">
      <c r="A417" s="271" t="s">
        <v>2109</v>
      </c>
      <c r="B417" s="272" t="s">
        <v>1527</v>
      </c>
      <c r="C417" s="259">
        <v>7</v>
      </c>
      <c r="E417" s="279" t="s">
        <v>1076</v>
      </c>
      <c r="F417" s="259" t="s">
        <v>1140</v>
      </c>
      <c r="G417" s="259" t="s">
        <v>1082</v>
      </c>
      <c r="H417" s="384">
        <v>45989</v>
      </c>
      <c r="I417" s="276" t="s">
        <v>1347</v>
      </c>
      <c r="J417" s="259" t="s">
        <v>1345</v>
      </c>
      <c r="K417" s="326" t="s">
        <v>1142</v>
      </c>
      <c r="L417" s="385">
        <v>46008</v>
      </c>
      <c r="M417" s="291" t="s">
        <v>451</v>
      </c>
      <c r="N417" s="291" t="s">
        <v>2734</v>
      </c>
      <c r="O417" s="276"/>
      <c r="P417" s="276"/>
      <c r="Q417" s="276"/>
      <c r="R417" s="276"/>
      <c r="S417" s="276"/>
      <c r="T417" s="276"/>
      <c r="U417" s="276"/>
      <c r="V417" s="276"/>
      <c r="W417" s="276"/>
      <c r="X417" s="276"/>
      <c r="Y417" s="276"/>
      <c r="Z417" s="276"/>
    </row>
    <row r="418" spans="1:26" ht="14.25" customHeight="1" x14ac:dyDescent="0.3">
      <c r="A418" s="270" t="s">
        <v>2265</v>
      </c>
      <c r="B418" s="272" t="s">
        <v>1527</v>
      </c>
      <c r="C418" s="259">
        <v>7</v>
      </c>
      <c r="E418" s="279" t="s">
        <v>1076</v>
      </c>
      <c r="F418" s="259">
        <v>29</v>
      </c>
      <c r="G418" s="343" t="s">
        <v>1086</v>
      </c>
      <c r="H418" s="384">
        <v>45986</v>
      </c>
      <c r="I418" s="276" t="s">
        <v>1347</v>
      </c>
      <c r="J418" s="259" t="s">
        <v>1345</v>
      </c>
      <c r="K418" s="326" t="s">
        <v>1142</v>
      </c>
      <c r="L418" s="385">
        <v>46008</v>
      </c>
      <c r="M418" s="291" t="s">
        <v>1602</v>
      </c>
      <c r="N418" s="276"/>
      <c r="O418" s="276"/>
      <c r="P418" s="276"/>
      <c r="Q418" s="276"/>
      <c r="R418" s="276"/>
      <c r="S418" s="276"/>
      <c r="T418" s="276"/>
      <c r="U418" s="276"/>
      <c r="V418" s="276"/>
      <c r="W418" s="276"/>
      <c r="X418" s="276"/>
      <c r="Y418" s="276"/>
      <c r="Z418" s="276"/>
    </row>
    <row r="419" spans="1:26" ht="14.25" customHeight="1" x14ac:dyDescent="0.3">
      <c r="A419" s="271" t="s">
        <v>1302</v>
      </c>
      <c r="B419" s="272" t="s">
        <v>1527</v>
      </c>
      <c r="C419" s="259">
        <v>7</v>
      </c>
      <c r="E419" s="279" t="s">
        <v>1076</v>
      </c>
      <c r="F419" s="259" t="s">
        <v>1140</v>
      </c>
      <c r="G419" s="259" t="s">
        <v>1082</v>
      </c>
      <c r="H419" s="384">
        <v>45989</v>
      </c>
      <c r="I419" s="276"/>
      <c r="J419" s="259" t="s">
        <v>1345</v>
      </c>
      <c r="K419" s="326" t="s">
        <v>1142</v>
      </c>
      <c r="L419" s="385">
        <v>46008</v>
      </c>
      <c r="M419" s="276" t="s">
        <v>451</v>
      </c>
      <c r="N419" s="276" t="s">
        <v>1603</v>
      </c>
      <c r="O419" s="276"/>
      <c r="P419" s="276"/>
      <c r="Q419" s="276"/>
      <c r="R419" s="276"/>
      <c r="S419" s="276"/>
      <c r="T419" s="276"/>
      <c r="U419" s="276"/>
      <c r="V419" s="276"/>
      <c r="W419" s="276"/>
      <c r="X419" s="276"/>
      <c r="Y419" s="276"/>
      <c r="Z419" s="276"/>
    </row>
    <row r="420" spans="1:26" ht="14.25" customHeight="1" x14ac:dyDescent="0.3">
      <c r="A420" s="271" t="s">
        <v>2133</v>
      </c>
      <c r="B420" s="272" t="s">
        <v>1527</v>
      </c>
      <c r="C420" s="259">
        <v>7</v>
      </c>
      <c r="E420" s="279" t="s">
        <v>1076</v>
      </c>
      <c r="F420" s="259" t="s">
        <v>1140</v>
      </c>
      <c r="G420" s="259" t="s">
        <v>1082</v>
      </c>
      <c r="H420" s="384">
        <v>45989</v>
      </c>
      <c r="I420" s="276" t="s">
        <v>1450</v>
      </c>
      <c r="J420" s="259" t="s">
        <v>1345</v>
      </c>
      <c r="K420" s="326" t="s">
        <v>1200</v>
      </c>
      <c r="L420" s="385">
        <v>46008</v>
      </c>
      <c r="M420" s="276" t="s">
        <v>451</v>
      </c>
      <c r="N420" s="276" t="s">
        <v>1604</v>
      </c>
      <c r="O420" s="276"/>
      <c r="P420" s="276"/>
      <c r="Q420" s="276"/>
      <c r="R420" s="276"/>
      <c r="S420" s="276"/>
      <c r="T420" s="276"/>
      <c r="U420" s="276"/>
      <c r="V420" s="276"/>
      <c r="W420" s="276"/>
      <c r="X420" s="276"/>
      <c r="Y420" s="276"/>
      <c r="Z420" s="276"/>
    </row>
    <row r="421" spans="1:26" ht="14.25" customHeight="1" x14ac:dyDescent="0.3">
      <c r="A421" s="271" t="s">
        <v>2105</v>
      </c>
      <c r="B421" s="272" t="s">
        <v>1527</v>
      </c>
      <c r="C421" s="259">
        <v>7</v>
      </c>
      <c r="E421" s="279" t="s">
        <v>1076</v>
      </c>
      <c r="F421" s="259">
        <v>35</v>
      </c>
      <c r="G421" s="259" t="s">
        <v>1138</v>
      </c>
      <c r="H421" s="384">
        <v>45994</v>
      </c>
      <c r="I421" s="276" t="s">
        <v>1347</v>
      </c>
      <c r="J421" s="259" t="s">
        <v>1345</v>
      </c>
      <c r="K421" s="326" t="s">
        <v>1142</v>
      </c>
      <c r="L421" s="385">
        <v>46008</v>
      </c>
      <c r="M421" s="291" t="s">
        <v>1605</v>
      </c>
      <c r="N421" s="276"/>
      <c r="O421" s="276"/>
      <c r="P421" s="276"/>
      <c r="Q421" s="276"/>
      <c r="R421" s="276"/>
      <c r="S421" s="276"/>
      <c r="T421" s="276"/>
      <c r="U421" s="276"/>
      <c r="V421" s="276"/>
      <c r="W421" s="276"/>
      <c r="X421" s="276"/>
      <c r="Y421" s="276"/>
      <c r="Z421" s="276"/>
    </row>
    <row r="422" spans="1:26" ht="14.25" customHeight="1" x14ac:dyDescent="0.3">
      <c r="A422" s="403" t="s">
        <v>2106</v>
      </c>
      <c r="B422" s="272" t="s">
        <v>1527</v>
      </c>
      <c r="C422" s="259">
        <v>7</v>
      </c>
      <c r="E422" s="279" t="s">
        <v>1076</v>
      </c>
      <c r="F422" s="259">
        <v>35</v>
      </c>
      <c r="G422" s="259" t="s">
        <v>1138</v>
      </c>
      <c r="H422" s="384">
        <v>45994</v>
      </c>
      <c r="I422" s="276"/>
      <c r="J422" s="259" t="s">
        <v>1345</v>
      </c>
      <c r="K422" s="326" t="s">
        <v>1200</v>
      </c>
      <c r="L422" s="385">
        <v>46008</v>
      </c>
      <c r="M422" s="276" t="s">
        <v>451</v>
      </c>
      <c r="N422" s="276" t="s">
        <v>1606</v>
      </c>
      <c r="O422" s="276"/>
      <c r="P422" s="276"/>
      <c r="Q422" s="276"/>
      <c r="R422" s="276"/>
      <c r="S422" s="276"/>
      <c r="T422" s="276"/>
      <c r="U422" s="276"/>
      <c r="V422" s="276"/>
      <c r="W422" s="276"/>
      <c r="X422" s="276"/>
      <c r="Y422" s="276"/>
      <c r="Z422" s="276"/>
    </row>
    <row r="423" spans="1:26" ht="14.25" customHeight="1" x14ac:dyDescent="0.3">
      <c r="A423" s="404" t="s">
        <v>2266</v>
      </c>
      <c r="B423" s="272" t="s">
        <v>1527</v>
      </c>
      <c r="C423" s="259">
        <v>7</v>
      </c>
      <c r="E423" s="279" t="s">
        <v>1076</v>
      </c>
      <c r="F423" s="259">
        <v>29</v>
      </c>
      <c r="G423" s="343" t="s">
        <v>1086</v>
      </c>
      <c r="H423" s="384">
        <v>45986</v>
      </c>
      <c r="I423" s="276" t="s">
        <v>1347</v>
      </c>
      <c r="J423" s="259" t="s">
        <v>1345</v>
      </c>
      <c r="K423" s="326" t="s">
        <v>1142</v>
      </c>
      <c r="L423" s="385">
        <v>46008</v>
      </c>
      <c r="M423" s="276" t="s">
        <v>1607</v>
      </c>
      <c r="N423" s="276"/>
      <c r="O423" s="276"/>
      <c r="P423" s="276"/>
      <c r="Q423" s="276"/>
      <c r="R423" s="276"/>
      <c r="S423" s="276"/>
      <c r="T423" s="276"/>
      <c r="U423" s="276"/>
      <c r="V423" s="276"/>
      <c r="W423" s="276"/>
      <c r="X423" s="276"/>
      <c r="Y423" s="276"/>
      <c r="Z423" s="276"/>
    </row>
    <row r="424" spans="1:26" ht="14.25" customHeight="1" x14ac:dyDescent="0.3">
      <c r="A424" s="404" t="s">
        <v>2267</v>
      </c>
      <c r="B424" s="272" t="s">
        <v>1527</v>
      </c>
      <c r="C424" s="259">
        <v>7</v>
      </c>
      <c r="E424" s="279" t="s">
        <v>1076</v>
      </c>
      <c r="F424" s="259">
        <v>29</v>
      </c>
      <c r="G424" s="343" t="s">
        <v>1086</v>
      </c>
      <c r="H424" s="384">
        <v>45986</v>
      </c>
      <c r="I424" s="276" t="s">
        <v>1347</v>
      </c>
      <c r="J424" s="259" t="s">
        <v>1345</v>
      </c>
      <c r="K424" s="326" t="s">
        <v>1142</v>
      </c>
      <c r="L424" s="385">
        <v>46008</v>
      </c>
      <c r="M424" s="291" t="s">
        <v>2735</v>
      </c>
      <c r="N424" s="276"/>
      <c r="O424" s="276"/>
      <c r="P424" s="276"/>
      <c r="Q424" s="276"/>
      <c r="R424" s="276"/>
      <c r="S424" s="276"/>
      <c r="T424" s="276"/>
      <c r="U424" s="276"/>
      <c r="V424" s="276"/>
      <c r="W424" s="276"/>
      <c r="X424" s="276"/>
      <c r="Y424" s="276"/>
      <c r="Z424" s="276"/>
    </row>
    <row r="425" spans="1:26" ht="14.25" customHeight="1" x14ac:dyDescent="0.3">
      <c r="A425" s="403" t="s">
        <v>1320</v>
      </c>
      <c r="B425" s="272" t="s">
        <v>1527</v>
      </c>
      <c r="C425" s="259">
        <v>7</v>
      </c>
      <c r="E425" s="279" t="s">
        <v>1076</v>
      </c>
      <c r="F425" s="259" t="s">
        <v>1140</v>
      </c>
      <c r="G425" s="259" t="s">
        <v>1082</v>
      </c>
      <c r="H425" s="384">
        <v>45989</v>
      </c>
      <c r="I425" s="276"/>
      <c r="J425" s="259" t="s">
        <v>1345</v>
      </c>
      <c r="K425" s="326" t="s">
        <v>1200</v>
      </c>
      <c r="L425" s="385">
        <v>46008</v>
      </c>
      <c r="M425" s="276" t="s">
        <v>451</v>
      </c>
      <c r="N425" s="276" t="s">
        <v>1606</v>
      </c>
      <c r="O425" s="276"/>
      <c r="P425" s="276"/>
      <c r="Q425" s="276"/>
      <c r="R425" s="276"/>
      <c r="S425" s="276"/>
      <c r="T425" s="276"/>
      <c r="U425" s="276"/>
      <c r="V425" s="276"/>
      <c r="W425" s="276"/>
      <c r="X425" s="276"/>
      <c r="Y425" s="276"/>
      <c r="Z425" s="276"/>
    </row>
    <row r="426" spans="1:26" ht="14.25" customHeight="1" x14ac:dyDescent="0.3">
      <c r="A426" s="405" t="s">
        <v>2268</v>
      </c>
      <c r="B426" s="272" t="s">
        <v>1527</v>
      </c>
      <c r="C426" s="259">
        <v>7</v>
      </c>
      <c r="E426" s="279" t="s">
        <v>1076</v>
      </c>
      <c r="F426" s="259" t="s">
        <v>1140</v>
      </c>
      <c r="G426" s="259" t="s">
        <v>1132</v>
      </c>
      <c r="H426" s="384">
        <v>45989</v>
      </c>
      <c r="I426" s="276" t="s">
        <v>1347</v>
      </c>
      <c r="J426" s="259" t="s">
        <v>1345</v>
      </c>
      <c r="K426" s="326" t="s">
        <v>1142</v>
      </c>
      <c r="L426" s="385">
        <v>46008</v>
      </c>
      <c r="M426" s="291" t="s">
        <v>1608</v>
      </c>
      <c r="N426" s="276"/>
      <c r="O426" s="276"/>
      <c r="P426" s="276"/>
      <c r="Q426" s="276"/>
      <c r="R426" s="276"/>
      <c r="S426" s="276"/>
      <c r="T426" s="276"/>
      <c r="U426" s="276"/>
      <c r="V426" s="276"/>
      <c r="W426" s="276"/>
      <c r="X426" s="276"/>
      <c r="Y426" s="276"/>
      <c r="Z426" s="276"/>
    </row>
    <row r="427" spans="1:26" ht="14.25" customHeight="1" x14ac:dyDescent="0.3">
      <c r="A427" s="405" t="s">
        <v>1332</v>
      </c>
      <c r="B427" s="272" t="s">
        <v>1527</v>
      </c>
      <c r="C427" s="259">
        <v>7</v>
      </c>
      <c r="E427" s="279" t="s">
        <v>1076</v>
      </c>
      <c r="F427" s="259">
        <v>35</v>
      </c>
      <c r="G427" s="259" t="s">
        <v>1254</v>
      </c>
      <c r="H427" s="384">
        <v>45994</v>
      </c>
      <c r="I427" s="259"/>
      <c r="J427" s="259" t="s">
        <v>1345</v>
      </c>
      <c r="K427" s="290" t="s">
        <v>1107</v>
      </c>
      <c r="L427" s="385">
        <v>46008</v>
      </c>
      <c r="M427" s="276" t="s">
        <v>451</v>
      </c>
      <c r="N427" s="276" t="s">
        <v>1356</v>
      </c>
      <c r="O427" s="276"/>
      <c r="P427" s="276"/>
      <c r="Q427" s="276"/>
      <c r="R427" s="276"/>
      <c r="S427" s="276"/>
      <c r="T427" s="276"/>
      <c r="U427" s="276"/>
      <c r="V427" s="276"/>
      <c r="W427" s="276"/>
      <c r="X427" s="276"/>
      <c r="Y427" s="276"/>
      <c r="Z427" s="276"/>
    </row>
    <row r="428" spans="1:26" ht="14.25" customHeight="1" x14ac:dyDescent="0.3">
      <c r="A428" s="307"/>
      <c r="B428" s="276"/>
      <c r="C428" s="276"/>
      <c r="D428" s="276"/>
      <c r="E428" s="276"/>
      <c r="F428" s="276"/>
      <c r="G428" s="276"/>
      <c r="H428" s="276"/>
      <c r="I428" s="276"/>
      <c r="J428" s="276"/>
      <c r="K428" s="276"/>
      <c r="L428" s="276"/>
      <c r="M428" s="276"/>
      <c r="N428" s="276"/>
      <c r="O428" s="276"/>
      <c r="P428" s="276"/>
      <c r="Q428" s="276"/>
      <c r="R428" s="276"/>
      <c r="S428" s="276"/>
      <c r="T428" s="276"/>
      <c r="U428" s="276"/>
      <c r="V428" s="276"/>
      <c r="W428" s="276"/>
      <c r="X428" s="276"/>
      <c r="Y428" s="276"/>
      <c r="Z428" s="276"/>
    </row>
    <row r="429" spans="1:26" ht="14.25" customHeight="1" x14ac:dyDescent="0.3">
      <c r="A429" s="307"/>
      <c r="B429" s="276"/>
      <c r="C429" s="276"/>
      <c r="D429" s="276"/>
      <c r="E429" s="276"/>
      <c r="F429" s="276"/>
      <c r="G429" s="276"/>
      <c r="H429" s="276"/>
      <c r="I429" s="276"/>
      <c r="J429" s="276"/>
      <c r="K429" s="276"/>
      <c r="L429" s="276"/>
      <c r="M429" s="276"/>
      <c r="N429" s="276"/>
      <c r="O429" s="276"/>
      <c r="P429" s="276"/>
      <c r="Q429" s="276"/>
      <c r="R429" s="276"/>
      <c r="S429" s="276"/>
      <c r="T429" s="276"/>
      <c r="U429" s="276"/>
      <c r="V429" s="276"/>
      <c r="W429" s="276"/>
      <c r="X429" s="276"/>
      <c r="Y429" s="276"/>
      <c r="Z429" s="276"/>
    </row>
    <row r="430" spans="1:26" ht="14.25" customHeight="1" x14ac:dyDescent="0.3">
      <c r="A430" s="307"/>
      <c r="B430" s="276"/>
      <c r="C430" s="276"/>
      <c r="D430" s="276"/>
      <c r="E430" s="276"/>
      <c r="F430" s="276"/>
      <c r="G430" s="276"/>
      <c r="H430" s="276"/>
      <c r="I430" s="276"/>
      <c r="J430" s="276"/>
      <c r="K430" s="276"/>
      <c r="L430" s="276"/>
      <c r="M430" s="276"/>
      <c r="N430" s="276"/>
      <c r="O430" s="276"/>
      <c r="P430" s="276"/>
      <c r="Q430" s="276"/>
      <c r="R430" s="276"/>
      <c r="S430" s="276"/>
      <c r="T430" s="276"/>
      <c r="U430" s="276"/>
      <c r="V430" s="276"/>
      <c r="W430" s="276"/>
      <c r="X430" s="276"/>
      <c r="Y430" s="276"/>
      <c r="Z430" s="276"/>
    </row>
    <row r="431" spans="1:26" ht="14.25" customHeight="1" x14ac:dyDescent="0.3">
      <c r="A431" s="307"/>
      <c r="B431" s="276"/>
      <c r="C431" s="276"/>
      <c r="D431" s="276"/>
      <c r="E431" s="276"/>
      <c r="F431" s="276"/>
      <c r="G431" s="276"/>
      <c r="H431" s="276"/>
      <c r="I431" s="276"/>
      <c r="J431" s="276"/>
      <c r="K431" s="276"/>
      <c r="L431" s="276"/>
      <c r="M431" s="276"/>
      <c r="N431" s="276"/>
      <c r="O431" s="276"/>
      <c r="P431" s="276"/>
      <c r="Q431" s="276"/>
      <c r="R431" s="276"/>
      <c r="S431" s="276"/>
      <c r="T431" s="276"/>
      <c r="U431" s="276"/>
      <c r="V431" s="276"/>
      <c r="W431" s="276"/>
      <c r="X431" s="276"/>
      <c r="Y431" s="276"/>
      <c r="Z431" s="276"/>
    </row>
    <row r="432" spans="1:26" ht="14.25" customHeight="1" x14ac:dyDescent="0.3">
      <c r="A432" s="307"/>
      <c r="B432" s="276"/>
      <c r="C432" s="276"/>
      <c r="D432" s="276"/>
      <c r="E432" s="276"/>
      <c r="F432" s="276"/>
      <c r="G432" s="276"/>
      <c r="H432" s="276"/>
      <c r="I432" s="276"/>
      <c r="J432" s="276"/>
      <c r="K432" s="276"/>
      <c r="L432" s="276"/>
      <c r="M432" s="276"/>
      <c r="N432" s="276"/>
      <c r="O432" s="276"/>
      <c r="P432" s="276"/>
      <c r="Q432" s="276"/>
      <c r="R432" s="276"/>
      <c r="S432" s="276"/>
      <c r="T432" s="276"/>
      <c r="U432" s="276"/>
      <c r="V432" s="276"/>
      <c r="W432" s="276"/>
      <c r="X432" s="276"/>
      <c r="Y432" s="276"/>
      <c r="Z432" s="276"/>
    </row>
    <row r="433" spans="1:26" ht="14.25" customHeight="1" x14ac:dyDescent="0.3">
      <c r="A433" s="307"/>
      <c r="B433" s="276"/>
      <c r="C433" s="276"/>
      <c r="D433" s="276"/>
      <c r="E433" s="276"/>
      <c r="F433" s="276"/>
      <c r="G433" s="276"/>
      <c r="H433" s="276"/>
      <c r="I433" s="276"/>
      <c r="J433" s="276"/>
      <c r="K433" s="276"/>
      <c r="L433" s="276"/>
      <c r="M433" s="276"/>
      <c r="N433" s="276"/>
      <c r="O433" s="276"/>
      <c r="P433" s="276"/>
      <c r="Q433" s="276"/>
      <c r="R433" s="276"/>
      <c r="S433" s="276"/>
      <c r="T433" s="276"/>
      <c r="U433" s="276"/>
      <c r="V433" s="276"/>
      <c r="W433" s="276"/>
      <c r="X433" s="276"/>
      <c r="Y433" s="276"/>
      <c r="Z433" s="276"/>
    </row>
    <row r="434" spans="1:26" ht="14.25" customHeight="1" x14ac:dyDescent="0.3">
      <c r="A434" s="307"/>
      <c r="B434" s="276"/>
      <c r="C434" s="276"/>
      <c r="D434" s="276"/>
      <c r="E434" s="276"/>
      <c r="F434" s="276"/>
      <c r="G434" s="276"/>
      <c r="H434" s="276"/>
      <c r="I434" s="276"/>
      <c r="J434" s="276"/>
      <c r="K434" s="276"/>
      <c r="L434" s="276"/>
      <c r="M434" s="276"/>
      <c r="N434" s="276"/>
      <c r="O434" s="276"/>
      <c r="P434" s="276"/>
      <c r="Q434" s="276"/>
      <c r="R434" s="276"/>
      <c r="S434" s="276"/>
      <c r="T434" s="276"/>
      <c r="U434" s="276"/>
      <c r="V434" s="276"/>
      <c r="W434" s="276"/>
      <c r="X434" s="276"/>
      <c r="Y434" s="276"/>
      <c r="Z434" s="276"/>
    </row>
    <row r="435" spans="1:26" ht="14.25" customHeight="1" x14ac:dyDescent="0.3">
      <c r="A435" s="307"/>
      <c r="B435" s="276"/>
      <c r="C435" s="276"/>
      <c r="D435" s="276"/>
      <c r="E435" s="276"/>
      <c r="F435" s="276"/>
      <c r="G435" s="276"/>
      <c r="H435" s="276"/>
      <c r="I435" s="276"/>
      <c r="J435" s="276"/>
      <c r="K435" s="276"/>
      <c r="L435" s="276"/>
      <c r="M435" s="276"/>
      <c r="N435" s="276"/>
      <c r="O435" s="276"/>
      <c r="P435" s="276"/>
      <c r="Q435" s="276"/>
      <c r="R435" s="276"/>
      <c r="S435" s="276"/>
      <c r="T435" s="276"/>
      <c r="U435" s="276"/>
      <c r="V435" s="276"/>
      <c r="W435" s="276"/>
      <c r="X435" s="276"/>
      <c r="Y435" s="276"/>
      <c r="Z435" s="276"/>
    </row>
    <row r="436" spans="1:26" ht="14.25" customHeight="1" x14ac:dyDescent="0.3">
      <c r="A436" s="307"/>
      <c r="B436" s="276"/>
      <c r="C436" s="276"/>
      <c r="D436" s="276"/>
      <c r="E436" s="276"/>
      <c r="F436" s="276"/>
      <c r="G436" s="276"/>
      <c r="H436" s="276"/>
      <c r="I436" s="276"/>
      <c r="J436" s="276"/>
      <c r="K436" s="276"/>
      <c r="L436" s="276"/>
      <c r="M436" s="276"/>
      <c r="N436" s="276"/>
      <c r="O436" s="276"/>
      <c r="P436" s="276"/>
      <c r="Q436" s="276"/>
      <c r="R436" s="276"/>
      <c r="S436" s="276"/>
      <c r="T436" s="276"/>
      <c r="U436" s="276"/>
      <c r="V436" s="276"/>
      <c r="W436" s="276"/>
      <c r="X436" s="276"/>
      <c r="Y436" s="276"/>
      <c r="Z436" s="276"/>
    </row>
    <row r="437" spans="1:26" ht="14.25" customHeight="1" x14ac:dyDescent="0.3">
      <c r="A437" s="307"/>
      <c r="B437" s="276"/>
      <c r="C437" s="276"/>
      <c r="D437" s="276"/>
      <c r="E437" s="276"/>
      <c r="F437" s="276"/>
      <c r="G437" s="276"/>
      <c r="H437" s="276"/>
      <c r="I437" s="276"/>
      <c r="J437" s="276"/>
      <c r="K437" s="276"/>
      <c r="L437" s="276"/>
      <c r="M437" s="276"/>
      <c r="N437" s="276"/>
      <c r="O437" s="276"/>
      <c r="P437" s="276"/>
      <c r="Q437" s="276"/>
      <c r="R437" s="276"/>
      <c r="S437" s="276"/>
      <c r="T437" s="276"/>
      <c r="U437" s="276"/>
      <c r="V437" s="276"/>
      <c r="W437" s="276"/>
      <c r="X437" s="276"/>
      <c r="Y437" s="276"/>
      <c r="Z437" s="276"/>
    </row>
    <row r="438" spans="1:26" ht="14.25" customHeight="1" x14ac:dyDescent="0.3">
      <c r="A438" s="307"/>
      <c r="B438" s="276"/>
      <c r="C438" s="276"/>
      <c r="D438" s="276"/>
      <c r="E438" s="276"/>
      <c r="F438" s="276"/>
      <c r="G438" s="276"/>
      <c r="H438" s="276"/>
      <c r="I438" s="276"/>
      <c r="J438" s="276"/>
      <c r="K438" s="276"/>
      <c r="L438" s="276"/>
      <c r="M438" s="276"/>
      <c r="N438" s="276"/>
      <c r="O438" s="276"/>
      <c r="P438" s="276"/>
      <c r="Q438" s="276"/>
      <c r="R438" s="276"/>
      <c r="S438" s="276"/>
      <c r="T438" s="276"/>
      <c r="U438" s="276"/>
      <c r="V438" s="276"/>
      <c r="W438" s="276"/>
      <c r="X438" s="276"/>
      <c r="Y438" s="276"/>
      <c r="Z438" s="276"/>
    </row>
    <row r="439" spans="1:26" ht="14.25" customHeight="1" x14ac:dyDescent="0.3">
      <c r="A439" s="307"/>
      <c r="B439" s="276"/>
      <c r="C439" s="276"/>
      <c r="D439" s="276"/>
      <c r="E439" s="276"/>
      <c r="F439" s="276"/>
      <c r="G439" s="276"/>
      <c r="H439" s="276"/>
      <c r="I439" s="276"/>
      <c r="J439" s="276"/>
      <c r="K439" s="276"/>
      <c r="L439" s="276"/>
      <c r="M439" s="276"/>
      <c r="N439" s="276"/>
      <c r="O439" s="276"/>
      <c r="P439" s="276"/>
      <c r="Q439" s="276"/>
      <c r="R439" s="276"/>
      <c r="S439" s="276"/>
      <c r="T439" s="276"/>
      <c r="U439" s="276"/>
      <c r="V439" s="276"/>
      <c r="W439" s="276"/>
      <c r="X439" s="276"/>
      <c r="Y439" s="276"/>
      <c r="Z439" s="276"/>
    </row>
    <row r="440" spans="1:26" ht="14.25" customHeight="1" x14ac:dyDescent="0.3">
      <c r="A440" s="307"/>
      <c r="B440" s="276"/>
      <c r="C440" s="276"/>
      <c r="D440" s="276"/>
      <c r="E440" s="276"/>
      <c r="F440" s="276"/>
      <c r="G440" s="276"/>
      <c r="H440" s="276"/>
      <c r="I440" s="276"/>
      <c r="J440" s="276"/>
      <c r="K440" s="276"/>
      <c r="L440" s="276"/>
      <c r="M440" s="276"/>
      <c r="N440" s="276"/>
      <c r="O440" s="276"/>
      <c r="P440" s="276"/>
      <c r="Q440" s="276"/>
      <c r="R440" s="276"/>
      <c r="S440" s="276"/>
      <c r="T440" s="276"/>
      <c r="U440" s="276"/>
      <c r="V440" s="276"/>
      <c r="W440" s="276"/>
      <c r="X440" s="276"/>
      <c r="Y440" s="276"/>
      <c r="Z440" s="276"/>
    </row>
    <row r="441" spans="1:26" ht="14.25" customHeight="1" x14ac:dyDescent="0.3">
      <c r="A441" s="307"/>
      <c r="B441" s="276"/>
      <c r="C441" s="276"/>
      <c r="D441" s="276"/>
      <c r="E441" s="276"/>
      <c r="F441" s="276"/>
      <c r="G441" s="276"/>
      <c r="H441" s="276"/>
      <c r="I441" s="276"/>
      <c r="J441" s="276"/>
      <c r="K441" s="276"/>
      <c r="L441" s="276"/>
      <c r="M441" s="276"/>
      <c r="N441" s="276"/>
      <c r="O441" s="276"/>
      <c r="P441" s="276"/>
      <c r="Q441" s="276"/>
      <c r="R441" s="276"/>
      <c r="S441" s="276"/>
      <c r="T441" s="276"/>
      <c r="U441" s="276"/>
      <c r="V441" s="276"/>
      <c r="W441" s="276"/>
      <c r="X441" s="276"/>
      <c r="Y441" s="276"/>
      <c r="Z441" s="276"/>
    </row>
    <row r="442" spans="1:26" ht="14.25" customHeight="1" x14ac:dyDescent="0.3">
      <c r="A442" s="307"/>
      <c r="B442" s="276"/>
      <c r="C442" s="276"/>
      <c r="D442" s="276"/>
      <c r="E442" s="276"/>
      <c r="F442" s="276"/>
      <c r="G442" s="276"/>
      <c r="H442" s="276"/>
      <c r="I442" s="276"/>
      <c r="J442" s="276"/>
      <c r="K442" s="276"/>
      <c r="L442" s="276"/>
      <c r="M442" s="276"/>
      <c r="N442" s="276"/>
      <c r="O442" s="276"/>
      <c r="P442" s="276"/>
      <c r="Q442" s="276"/>
      <c r="R442" s="276"/>
      <c r="S442" s="276"/>
      <c r="T442" s="276"/>
      <c r="U442" s="276"/>
      <c r="V442" s="276"/>
      <c r="W442" s="276"/>
      <c r="X442" s="276"/>
      <c r="Y442" s="276"/>
      <c r="Z442" s="276"/>
    </row>
    <row r="443" spans="1:26" ht="14.25" customHeight="1" x14ac:dyDescent="0.3">
      <c r="A443" s="307"/>
      <c r="B443" s="276"/>
      <c r="C443" s="276"/>
      <c r="D443" s="276"/>
      <c r="E443" s="276"/>
      <c r="F443" s="276"/>
      <c r="G443" s="276"/>
      <c r="H443" s="276"/>
      <c r="I443" s="276"/>
      <c r="J443" s="276"/>
      <c r="K443" s="276"/>
      <c r="L443" s="276"/>
      <c r="M443" s="276"/>
      <c r="N443" s="276"/>
      <c r="O443" s="276"/>
      <c r="P443" s="276"/>
      <c r="Q443" s="276"/>
      <c r="R443" s="276"/>
      <c r="S443" s="276"/>
      <c r="T443" s="276"/>
      <c r="U443" s="276"/>
      <c r="V443" s="276"/>
      <c r="W443" s="276"/>
      <c r="X443" s="276"/>
      <c r="Y443" s="276"/>
      <c r="Z443" s="276"/>
    </row>
    <row r="444" spans="1:26" ht="14.25" customHeight="1" x14ac:dyDescent="0.3">
      <c r="A444" s="307"/>
      <c r="B444" s="276"/>
      <c r="C444" s="276"/>
      <c r="D444" s="276"/>
      <c r="E444" s="276"/>
      <c r="F444" s="276"/>
      <c r="G444" s="276"/>
      <c r="H444" s="276"/>
      <c r="I444" s="276"/>
      <c r="J444" s="276"/>
      <c r="K444" s="276"/>
      <c r="L444" s="276"/>
      <c r="M444" s="276"/>
      <c r="N444" s="276"/>
      <c r="O444" s="276"/>
      <c r="P444" s="276"/>
      <c r="Q444" s="276"/>
      <c r="R444" s="276"/>
      <c r="S444" s="276"/>
      <c r="T444" s="276"/>
      <c r="U444" s="276"/>
      <c r="V444" s="276"/>
      <c r="W444" s="276"/>
      <c r="X444" s="276"/>
      <c r="Y444" s="276"/>
      <c r="Z444" s="276"/>
    </row>
    <row r="445" spans="1:26" ht="14.25" customHeight="1" x14ac:dyDescent="0.3">
      <c r="A445" s="307"/>
      <c r="B445" s="276"/>
      <c r="C445" s="276"/>
      <c r="D445" s="276"/>
      <c r="E445" s="276"/>
      <c r="F445" s="276"/>
      <c r="G445" s="276"/>
      <c r="H445" s="276"/>
      <c r="I445" s="276"/>
      <c r="J445" s="276"/>
      <c r="K445" s="276"/>
      <c r="L445" s="276"/>
      <c r="M445" s="276"/>
      <c r="N445" s="276"/>
      <c r="O445" s="276"/>
      <c r="P445" s="276"/>
      <c r="Q445" s="276"/>
      <c r="R445" s="276"/>
      <c r="S445" s="276"/>
      <c r="T445" s="276"/>
      <c r="U445" s="276"/>
      <c r="V445" s="276"/>
      <c r="W445" s="276"/>
      <c r="X445" s="276"/>
      <c r="Y445" s="276"/>
      <c r="Z445" s="276"/>
    </row>
    <row r="446" spans="1:26" ht="14.25" customHeight="1" x14ac:dyDescent="0.3">
      <c r="A446" s="307"/>
      <c r="B446" s="276"/>
      <c r="C446" s="276"/>
      <c r="D446" s="276"/>
      <c r="E446" s="276"/>
      <c r="F446" s="276"/>
      <c r="G446" s="276"/>
      <c r="H446" s="276"/>
      <c r="I446" s="276"/>
      <c r="J446" s="276"/>
      <c r="K446" s="276"/>
      <c r="L446" s="276"/>
      <c r="M446" s="276"/>
      <c r="N446" s="276"/>
      <c r="O446" s="276"/>
      <c r="P446" s="276"/>
      <c r="Q446" s="276"/>
      <c r="R446" s="276"/>
      <c r="S446" s="276"/>
      <c r="T446" s="276"/>
      <c r="U446" s="276"/>
      <c r="V446" s="276"/>
      <c r="W446" s="276"/>
      <c r="X446" s="276"/>
      <c r="Y446" s="276"/>
      <c r="Z446" s="276"/>
    </row>
    <row r="447" spans="1:26" ht="14.25" customHeight="1" x14ac:dyDescent="0.3">
      <c r="A447" s="307"/>
      <c r="B447" s="276"/>
      <c r="C447" s="276"/>
      <c r="D447" s="276"/>
      <c r="E447" s="276"/>
      <c r="F447" s="276"/>
      <c r="G447" s="276"/>
      <c r="H447" s="276"/>
      <c r="I447" s="276"/>
      <c r="J447" s="276"/>
      <c r="K447" s="276"/>
      <c r="L447" s="276"/>
      <c r="M447" s="276"/>
      <c r="N447" s="276"/>
      <c r="O447" s="276"/>
      <c r="P447" s="276"/>
      <c r="Q447" s="276"/>
      <c r="R447" s="276"/>
      <c r="S447" s="276"/>
      <c r="T447" s="276"/>
      <c r="U447" s="276"/>
      <c r="V447" s="276"/>
      <c r="W447" s="276"/>
      <c r="X447" s="276"/>
      <c r="Y447" s="276"/>
      <c r="Z447" s="276"/>
    </row>
    <row r="448" spans="1:26" ht="14.25" customHeight="1" x14ac:dyDescent="0.3">
      <c r="A448" s="307"/>
      <c r="B448" s="276"/>
      <c r="C448" s="276"/>
      <c r="D448" s="276"/>
      <c r="E448" s="276"/>
      <c r="F448" s="276"/>
      <c r="G448" s="276"/>
      <c r="H448" s="276"/>
      <c r="I448" s="276"/>
      <c r="J448" s="276"/>
      <c r="K448" s="276"/>
      <c r="L448" s="276"/>
      <c r="M448" s="276"/>
      <c r="N448" s="276"/>
      <c r="O448" s="276"/>
      <c r="P448" s="276"/>
      <c r="Q448" s="276"/>
      <c r="R448" s="276"/>
      <c r="S448" s="276"/>
      <c r="T448" s="276"/>
      <c r="U448" s="276"/>
      <c r="V448" s="276"/>
      <c r="W448" s="276"/>
      <c r="X448" s="276"/>
      <c r="Y448" s="276"/>
      <c r="Z448" s="276"/>
    </row>
    <row r="449" spans="1:26" ht="14.25" customHeight="1" x14ac:dyDescent="0.3">
      <c r="A449" s="307"/>
      <c r="B449" s="276"/>
      <c r="C449" s="276"/>
      <c r="D449" s="276"/>
      <c r="E449" s="276"/>
      <c r="F449" s="276"/>
      <c r="G449" s="276"/>
      <c r="H449" s="276"/>
      <c r="I449" s="276"/>
      <c r="J449" s="276"/>
      <c r="K449" s="276"/>
      <c r="L449" s="276"/>
      <c r="M449" s="276"/>
      <c r="N449" s="276"/>
      <c r="O449" s="276"/>
      <c r="P449" s="276"/>
      <c r="Q449" s="276"/>
      <c r="R449" s="276"/>
      <c r="S449" s="276"/>
      <c r="T449" s="276"/>
      <c r="U449" s="276"/>
      <c r="V449" s="276"/>
      <c r="W449" s="276"/>
      <c r="X449" s="276"/>
      <c r="Y449" s="276"/>
      <c r="Z449" s="276"/>
    </row>
    <row r="450" spans="1:26" ht="14.25" customHeight="1" x14ac:dyDescent="0.3">
      <c r="A450" s="307"/>
      <c r="B450" s="276"/>
      <c r="C450" s="276"/>
      <c r="D450" s="276"/>
      <c r="E450" s="276"/>
      <c r="F450" s="276"/>
      <c r="G450" s="276"/>
      <c r="H450" s="276"/>
      <c r="I450" s="276"/>
      <c r="J450" s="276"/>
      <c r="K450" s="276"/>
      <c r="L450" s="276"/>
      <c r="M450" s="276"/>
      <c r="N450" s="276"/>
      <c r="O450" s="276"/>
      <c r="P450" s="276"/>
      <c r="Q450" s="276"/>
      <c r="R450" s="276"/>
      <c r="S450" s="276"/>
      <c r="T450" s="276"/>
      <c r="U450" s="276"/>
      <c r="V450" s="276"/>
      <c r="W450" s="276"/>
      <c r="X450" s="276"/>
      <c r="Y450" s="276"/>
      <c r="Z450" s="276"/>
    </row>
    <row r="451" spans="1:26" ht="14.25" customHeight="1" x14ac:dyDescent="0.3">
      <c r="A451" s="307"/>
      <c r="B451" s="276"/>
      <c r="C451" s="276"/>
      <c r="D451" s="276"/>
      <c r="E451" s="276"/>
      <c r="F451" s="276"/>
      <c r="G451" s="276"/>
      <c r="H451" s="276"/>
      <c r="I451" s="276"/>
      <c r="J451" s="276"/>
      <c r="K451" s="276"/>
      <c r="L451" s="276"/>
      <c r="M451" s="276"/>
      <c r="N451" s="276"/>
      <c r="O451" s="276"/>
      <c r="P451" s="276"/>
      <c r="Q451" s="276"/>
      <c r="R451" s="276"/>
      <c r="S451" s="276"/>
      <c r="T451" s="276"/>
      <c r="U451" s="276"/>
      <c r="V451" s="276"/>
      <c r="W451" s="276"/>
      <c r="X451" s="276"/>
      <c r="Y451" s="276"/>
      <c r="Z451" s="276"/>
    </row>
    <row r="452" spans="1:26" ht="14.25" customHeight="1" x14ac:dyDescent="0.3">
      <c r="A452" s="307"/>
      <c r="B452" s="276"/>
      <c r="C452" s="276"/>
      <c r="D452" s="276"/>
      <c r="E452" s="276"/>
      <c r="F452" s="276"/>
      <c r="G452" s="276"/>
      <c r="H452" s="276"/>
      <c r="I452" s="276"/>
      <c r="J452" s="276"/>
      <c r="K452" s="276"/>
      <c r="L452" s="276"/>
      <c r="M452" s="276"/>
      <c r="N452" s="276"/>
      <c r="O452" s="276"/>
      <c r="P452" s="276"/>
      <c r="Q452" s="276"/>
      <c r="R452" s="276"/>
      <c r="S452" s="276"/>
      <c r="T452" s="276"/>
      <c r="U452" s="276"/>
      <c r="V452" s="276"/>
      <c r="W452" s="276"/>
      <c r="X452" s="276"/>
      <c r="Y452" s="276"/>
      <c r="Z452" s="276"/>
    </row>
    <row r="453" spans="1:26" ht="14.25" customHeight="1" x14ac:dyDescent="0.3">
      <c r="A453" s="307"/>
      <c r="B453" s="276"/>
      <c r="C453" s="276"/>
      <c r="D453" s="276"/>
      <c r="E453" s="276"/>
      <c r="F453" s="276"/>
      <c r="G453" s="276"/>
      <c r="H453" s="276"/>
      <c r="I453" s="276"/>
      <c r="J453" s="276"/>
      <c r="K453" s="276"/>
      <c r="L453" s="276"/>
      <c r="M453" s="276"/>
      <c r="N453" s="276"/>
      <c r="O453" s="276"/>
      <c r="P453" s="276"/>
      <c r="Q453" s="276"/>
      <c r="R453" s="276"/>
      <c r="S453" s="276"/>
      <c r="T453" s="276"/>
      <c r="U453" s="276"/>
      <c r="V453" s="276"/>
      <c r="W453" s="276"/>
      <c r="X453" s="276"/>
      <c r="Y453" s="276"/>
      <c r="Z453" s="276"/>
    </row>
    <row r="454" spans="1:26" ht="14.25" customHeight="1" x14ac:dyDescent="0.3">
      <c r="A454" s="307"/>
      <c r="B454" s="276"/>
      <c r="C454" s="276"/>
      <c r="D454" s="276"/>
      <c r="E454" s="276"/>
      <c r="F454" s="276"/>
      <c r="G454" s="276"/>
      <c r="H454" s="276"/>
      <c r="I454" s="276"/>
      <c r="J454" s="276"/>
      <c r="K454" s="276"/>
      <c r="L454" s="276"/>
      <c r="M454" s="276"/>
      <c r="N454" s="276"/>
      <c r="O454" s="276"/>
      <c r="P454" s="276"/>
      <c r="Q454" s="276"/>
      <c r="R454" s="276"/>
      <c r="S454" s="276"/>
      <c r="T454" s="276"/>
      <c r="U454" s="276"/>
      <c r="V454" s="276"/>
      <c r="W454" s="276"/>
      <c r="X454" s="276"/>
      <c r="Y454" s="276"/>
      <c r="Z454" s="276"/>
    </row>
    <row r="455" spans="1:26" ht="14.25" customHeight="1" x14ac:dyDescent="0.3">
      <c r="A455" s="307"/>
      <c r="B455" s="276"/>
      <c r="C455" s="276"/>
      <c r="D455" s="276"/>
      <c r="E455" s="276"/>
      <c r="F455" s="276"/>
      <c r="G455" s="276"/>
      <c r="H455" s="276"/>
      <c r="I455" s="276"/>
      <c r="J455" s="276"/>
      <c r="K455" s="276"/>
      <c r="L455" s="276"/>
      <c r="M455" s="276"/>
      <c r="N455" s="276"/>
      <c r="O455" s="276"/>
      <c r="P455" s="276"/>
      <c r="Q455" s="276"/>
      <c r="R455" s="276"/>
      <c r="S455" s="276"/>
      <c r="T455" s="276"/>
      <c r="U455" s="276"/>
      <c r="V455" s="276"/>
      <c r="W455" s="276"/>
      <c r="X455" s="276"/>
      <c r="Y455" s="276"/>
      <c r="Z455" s="276"/>
    </row>
    <row r="456" spans="1:26" ht="14.25" customHeight="1" x14ac:dyDescent="0.3">
      <c r="A456" s="307"/>
      <c r="B456" s="276"/>
      <c r="C456" s="276"/>
      <c r="D456" s="276"/>
      <c r="E456" s="276"/>
      <c r="F456" s="276"/>
      <c r="G456" s="276"/>
      <c r="H456" s="276"/>
      <c r="I456" s="276"/>
      <c r="J456" s="276"/>
      <c r="K456" s="276"/>
      <c r="L456" s="276"/>
      <c r="M456" s="276"/>
      <c r="N456" s="276"/>
      <c r="O456" s="276"/>
      <c r="P456" s="276"/>
      <c r="Q456" s="276"/>
      <c r="R456" s="276"/>
      <c r="S456" s="276"/>
      <c r="T456" s="276"/>
      <c r="U456" s="276"/>
      <c r="V456" s="276"/>
      <c r="W456" s="276"/>
      <c r="X456" s="276"/>
      <c r="Y456" s="276"/>
      <c r="Z456" s="276"/>
    </row>
    <row r="457" spans="1:26" ht="14.25" customHeight="1" x14ac:dyDescent="0.3">
      <c r="A457" s="307"/>
      <c r="B457" s="276"/>
      <c r="C457" s="276"/>
      <c r="D457" s="276"/>
      <c r="E457" s="276"/>
      <c r="F457" s="276"/>
      <c r="G457" s="276"/>
      <c r="H457" s="276"/>
      <c r="I457" s="276"/>
      <c r="J457" s="276"/>
      <c r="K457" s="276"/>
      <c r="L457" s="276"/>
      <c r="M457" s="276"/>
      <c r="N457" s="276"/>
      <c r="O457" s="276"/>
      <c r="P457" s="276"/>
      <c r="Q457" s="276"/>
      <c r="R457" s="276"/>
      <c r="S457" s="276"/>
      <c r="T457" s="276"/>
      <c r="U457" s="276"/>
      <c r="V457" s="276"/>
      <c r="W457" s="276"/>
      <c r="X457" s="276"/>
      <c r="Y457" s="276"/>
      <c r="Z457" s="276"/>
    </row>
    <row r="458" spans="1:26" ht="14.25" customHeight="1" x14ac:dyDescent="0.3">
      <c r="A458" s="307"/>
      <c r="B458" s="276"/>
      <c r="C458" s="276"/>
      <c r="D458" s="276"/>
      <c r="E458" s="276"/>
      <c r="F458" s="276"/>
      <c r="G458" s="276"/>
      <c r="H458" s="276"/>
      <c r="I458" s="276"/>
      <c r="J458" s="276"/>
      <c r="K458" s="276"/>
      <c r="L458" s="276"/>
      <c r="M458" s="276"/>
      <c r="N458" s="276"/>
      <c r="O458" s="276"/>
      <c r="P458" s="276"/>
      <c r="Q458" s="276"/>
      <c r="R458" s="276"/>
      <c r="S458" s="276"/>
      <c r="T458" s="276"/>
      <c r="U458" s="276"/>
      <c r="V458" s="276"/>
      <c r="W458" s="276"/>
      <c r="X458" s="276"/>
      <c r="Y458" s="276"/>
      <c r="Z458" s="276"/>
    </row>
    <row r="459" spans="1:26" ht="14.25" customHeight="1" x14ac:dyDescent="0.3">
      <c r="A459" s="307"/>
      <c r="B459" s="276"/>
      <c r="C459" s="276"/>
      <c r="D459" s="276"/>
      <c r="E459" s="276"/>
      <c r="F459" s="276"/>
      <c r="G459" s="276"/>
      <c r="H459" s="276"/>
      <c r="I459" s="276"/>
      <c r="J459" s="276"/>
      <c r="K459" s="276"/>
      <c r="L459" s="276"/>
      <c r="M459" s="276"/>
      <c r="N459" s="276"/>
      <c r="O459" s="276"/>
      <c r="P459" s="276"/>
      <c r="Q459" s="276"/>
      <c r="R459" s="276"/>
      <c r="S459" s="276"/>
      <c r="T459" s="276"/>
      <c r="U459" s="276"/>
      <c r="V459" s="276"/>
      <c r="W459" s="276"/>
      <c r="X459" s="276"/>
      <c r="Y459" s="276"/>
      <c r="Z459" s="276"/>
    </row>
    <row r="460" spans="1:26" ht="14.25" customHeight="1" x14ac:dyDescent="0.3">
      <c r="A460" s="307"/>
      <c r="B460" s="276"/>
      <c r="C460" s="276"/>
      <c r="D460" s="276"/>
      <c r="E460" s="276"/>
      <c r="F460" s="276"/>
      <c r="G460" s="276"/>
      <c r="H460" s="276"/>
      <c r="I460" s="276"/>
      <c r="J460" s="276"/>
      <c r="K460" s="276"/>
      <c r="L460" s="276"/>
      <c r="M460" s="276"/>
      <c r="N460" s="276"/>
      <c r="O460" s="276"/>
      <c r="P460" s="276"/>
      <c r="Q460" s="276"/>
      <c r="R460" s="276"/>
      <c r="S460" s="276"/>
      <c r="T460" s="276"/>
      <c r="U460" s="276"/>
      <c r="V460" s="276"/>
      <c r="W460" s="276"/>
      <c r="X460" s="276"/>
      <c r="Y460" s="276"/>
      <c r="Z460" s="276"/>
    </row>
    <row r="461" spans="1:26" ht="14.25" customHeight="1" x14ac:dyDescent="0.3">
      <c r="A461" s="307"/>
      <c r="B461" s="276"/>
      <c r="C461" s="276"/>
      <c r="D461" s="276"/>
      <c r="E461" s="276"/>
      <c r="F461" s="276"/>
      <c r="G461" s="276"/>
      <c r="H461" s="276"/>
      <c r="I461" s="276"/>
      <c r="J461" s="276"/>
      <c r="K461" s="276"/>
      <c r="L461" s="276"/>
      <c r="M461" s="276"/>
      <c r="N461" s="276"/>
      <c r="O461" s="276"/>
      <c r="P461" s="276"/>
      <c r="Q461" s="276"/>
      <c r="R461" s="276"/>
      <c r="S461" s="276"/>
      <c r="T461" s="276"/>
      <c r="U461" s="276"/>
      <c r="V461" s="276"/>
      <c r="W461" s="276"/>
      <c r="X461" s="276"/>
      <c r="Y461" s="276"/>
      <c r="Z461" s="276"/>
    </row>
    <row r="462" spans="1:26" ht="14.25" customHeight="1" x14ac:dyDescent="0.3">
      <c r="A462" s="307"/>
      <c r="B462" s="276"/>
      <c r="C462" s="276"/>
      <c r="D462" s="276"/>
      <c r="E462" s="276"/>
      <c r="F462" s="276"/>
      <c r="G462" s="276"/>
      <c r="H462" s="276"/>
      <c r="I462" s="276"/>
      <c r="J462" s="276"/>
      <c r="K462" s="276"/>
      <c r="L462" s="276"/>
      <c r="M462" s="276"/>
      <c r="N462" s="276"/>
      <c r="O462" s="276"/>
      <c r="P462" s="276"/>
      <c r="Q462" s="276"/>
      <c r="R462" s="276"/>
      <c r="S462" s="276"/>
      <c r="T462" s="276"/>
      <c r="U462" s="276"/>
      <c r="V462" s="276"/>
      <c r="W462" s="276"/>
      <c r="X462" s="276"/>
      <c r="Y462" s="276"/>
      <c r="Z462" s="276"/>
    </row>
    <row r="463" spans="1:26" ht="14.25" customHeight="1" x14ac:dyDescent="0.3">
      <c r="A463" s="307"/>
      <c r="B463" s="276"/>
      <c r="C463" s="276"/>
      <c r="D463" s="276"/>
      <c r="E463" s="276"/>
      <c r="F463" s="276"/>
      <c r="G463" s="276"/>
      <c r="H463" s="276"/>
      <c r="I463" s="276"/>
      <c r="J463" s="276"/>
      <c r="K463" s="276"/>
      <c r="L463" s="276"/>
      <c r="M463" s="276"/>
      <c r="N463" s="276"/>
      <c r="O463" s="276"/>
      <c r="P463" s="276"/>
      <c r="Q463" s="276"/>
      <c r="R463" s="276"/>
      <c r="S463" s="276"/>
      <c r="T463" s="276"/>
      <c r="U463" s="276"/>
      <c r="V463" s="276"/>
      <c r="W463" s="276"/>
      <c r="X463" s="276"/>
      <c r="Y463" s="276"/>
      <c r="Z463" s="276"/>
    </row>
    <row r="464" spans="1:26" ht="14.25" customHeight="1" x14ac:dyDescent="0.3">
      <c r="A464" s="307"/>
      <c r="B464" s="276"/>
      <c r="C464" s="276"/>
      <c r="D464" s="276"/>
      <c r="E464" s="276"/>
      <c r="F464" s="276"/>
      <c r="G464" s="276"/>
      <c r="H464" s="276"/>
      <c r="I464" s="276"/>
      <c r="J464" s="276"/>
      <c r="K464" s="276"/>
      <c r="L464" s="276"/>
      <c r="M464" s="276"/>
      <c r="N464" s="276"/>
      <c r="O464" s="276"/>
      <c r="P464" s="276"/>
      <c r="Q464" s="276"/>
      <c r="R464" s="276"/>
      <c r="S464" s="276"/>
      <c r="T464" s="276"/>
      <c r="U464" s="276"/>
      <c r="V464" s="276"/>
      <c r="W464" s="276"/>
      <c r="X464" s="276"/>
      <c r="Y464" s="276"/>
      <c r="Z464" s="276"/>
    </row>
    <row r="465" spans="1:26" ht="14.25" customHeight="1" x14ac:dyDescent="0.3">
      <c r="A465" s="307"/>
      <c r="B465" s="276"/>
      <c r="C465" s="276"/>
      <c r="D465" s="276"/>
      <c r="E465" s="276"/>
      <c r="F465" s="276"/>
      <c r="G465" s="276"/>
      <c r="H465" s="276"/>
      <c r="I465" s="276"/>
      <c r="J465" s="276"/>
      <c r="K465" s="276"/>
      <c r="L465" s="276"/>
      <c r="M465" s="276"/>
      <c r="N465" s="276"/>
      <c r="O465" s="276"/>
      <c r="P465" s="276"/>
      <c r="Q465" s="276"/>
      <c r="R465" s="276"/>
      <c r="S465" s="276"/>
      <c r="T465" s="276"/>
      <c r="U465" s="276"/>
      <c r="V465" s="276"/>
      <c r="W465" s="276"/>
      <c r="X465" s="276"/>
      <c r="Y465" s="276"/>
      <c r="Z465" s="276"/>
    </row>
    <row r="466" spans="1:26" ht="14.25" customHeight="1" x14ac:dyDescent="0.3">
      <c r="A466" s="307"/>
      <c r="B466" s="276"/>
      <c r="C466" s="276"/>
      <c r="D466" s="276"/>
      <c r="E466" s="276"/>
      <c r="F466" s="276"/>
      <c r="G466" s="276"/>
      <c r="H466" s="276"/>
      <c r="I466" s="276"/>
      <c r="J466" s="276"/>
      <c r="K466" s="276"/>
      <c r="L466" s="276"/>
      <c r="M466" s="276"/>
      <c r="N466" s="276"/>
      <c r="O466" s="276"/>
      <c r="P466" s="276"/>
      <c r="Q466" s="276"/>
      <c r="R466" s="276"/>
      <c r="S466" s="276"/>
      <c r="T466" s="276"/>
      <c r="U466" s="276"/>
      <c r="V466" s="276"/>
      <c r="W466" s="276"/>
      <c r="X466" s="276"/>
      <c r="Y466" s="276"/>
      <c r="Z466" s="276"/>
    </row>
    <row r="467" spans="1:26" ht="14.25" customHeight="1" x14ac:dyDescent="0.3">
      <c r="A467" s="307"/>
      <c r="B467" s="276"/>
      <c r="C467" s="276"/>
      <c r="D467" s="276"/>
      <c r="E467" s="276"/>
      <c r="F467" s="276"/>
      <c r="G467" s="276"/>
      <c r="H467" s="276"/>
      <c r="I467" s="276"/>
      <c r="J467" s="276"/>
      <c r="K467" s="276"/>
      <c r="L467" s="276"/>
      <c r="M467" s="276"/>
      <c r="N467" s="276"/>
      <c r="O467" s="276"/>
      <c r="P467" s="276"/>
      <c r="Q467" s="276"/>
      <c r="R467" s="276"/>
      <c r="S467" s="276"/>
      <c r="T467" s="276"/>
      <c r="U467" s="276"/>
      <c r="V467" s="276"/>
      <c r="W467" s="276"/>
      <c r="X467" s="276"/>
      <c r="Y467" s="276"/>
      <c r="Z467" s="276"/>
    </row>
    <row r="468" spans="1:26" ht="14.25" customHeight="1" x14ac:dyDescent="0.3">
      <c r="A468" s="307"/>
      <c r="B468" s="276"/>
      <c r="C468" s="276"/>
      <c r="D468" s="276"/>
      <c r="E468" s="276"/>
      <c r="F468" s="276"/>
      <c r="G468" s="276"/>
      <c r="H468" s="276"/>
      <c r="I468" s="276"/>
      <c r="J468" s="276"/>
      <c r="K468" s="276"/>
      <c r="L468" s="276"/>
      <c r="M468" s="276"/>
      <c r="N468" s="276"/>
      <c r="O468" s="276"/>
      <c r="P468" s="276"/>
      <c r="Q468" s="276"/>
      <c r="R468" s="276"/>
      <c r="S468" s="276"/>
      <c r="T468" s="276"/>
      <c r="U468" s="276"/>
      <c r="V468" s="276"/>
      <c r="W468" s="276"/>
      <c r="X468" s="276"/>
      <c r="Y468" s="276"/>
      <c r="Z468" s="276"/>
    </row>
    <row r="469" spans="1:26" ht="14.25" customHeight="1" x14ac:dyDescent="0.3">
      <c r="A469" s="307"/>
      <c r="B469" s="276"/>
      <c r="C469" s="276"/>
      <c r="D469" s="276"/>
      <c r="E469" s="276"/>
      <c r="F469" s="276"/>
      <c r="G469" s="276"/>
      <c r="H469" s="276"/>
      <c r="I469" s="276"/>
      <c r="J469" s="276"/>
      <c r="K469" s="276"/>
      <c r="L469" s="276"/>
      <c r="M469" s="276"/>
      <c r="N469" s="276"/>
      <c r="O469" s="276"/>
      <c r="P469" s="276"/>
      <c r="Q469" s="276"/>
      <c r="R469" s="276"/>
      <c r="S469" s="276"/>
      <c r="T469" s="276"/>
      <c r="U469" s="276"/>
      <c r="V469" s="276"/>
      <c r="W469" s="276"/>
      <c r="X469" s="276"/>
      <c r="Y469" s="276"/>
      <c r="Z469" s="276"/>
    </row>
    <row r="470" spans="1:26" ht="14.25" customHeight="1" x14ac:dyDescent="0.3">
      <c r="A470" s="307"/>
      <c r="B470" s="276"/>
      <c r="C470" s="276"/>
      <c r="D470" s="276"/>
      <c r="E470" s="276"/>
      <c r="F470" s="276"/>
      <c r="G470" s="276"/>
      <c r="H470" s="276"/>
      <c r="I470" s="276"/>
      <c r="J470" s="276"/>
      <c r="K470" s="276"/>
      <c r="L470" s="276"/>
      <c r="M470" s="276"/>
      <c r="N470" s="276"/>
      <c r="O470" s="276"/>
      <c r="P470" s="276"/>
      <c r="Q470" s="276"/>
      <c r="R470" s="276"/>
      <c r="S470" s="276"/>
      <c r="T470" s="276"/>
      <c r="U470" s="276"/>
      <c r="V470" s="276"/>
      <c r="W470" s="276"/>
      <c r="X470" s="276"/>
      <c r="Y470" s="276"/>
      <c r="Z470" s="276"/>
    </row>
    <row r="471" spans="1:26" ht="14.25" customHeight="1" x14ac:dyDescent="0.3">
      <c r="A471" s="307"/>
      <c r="B471" s="276"/>
      <c r="C471" s="276"/>
      <c r="D471" s="276"/>
      <c r="E471" s="276"/>
      <c r="F471" s="276"/>
      <c r="G471" s="276"/>
      <c r="H471" s="276"/>
      <c r="I471" s="276"/>
      <c r="J471" s="276"/>
      <c r="K471" s="276"/>
      <c r="L471" s="276"/>
      <c r="M471" s="276"/>
      <c r="N471" s="276"/>
      <c r="O471" s="276"/>
      <c r="P471" s="276"/>
      <c r="Q471" s="276"/>
      <c r="R471" s="276"/>
      <c r="S471" s="276"/>
      <c r="T471" s="276"/>
      <c r="U471" s="276"/>
      <c r="V471" s="276"/>
      <c r="W471" s="276"/>
      <c r="X471" s="276"/>
      <c r="Y471" s="276"/>
      <c r="Z471" s="276"/>
    </row>
    <row r="472" spans="1:26" ht="14.25" customHeight="1" x14ac:dyDescent="0.3">
      <c r="A472" s="307"/>
      <c r="B472" s="276"/>
      <c r="C472" s="276"/>
      <c r="D472" s="276"/>
      <c r="E472" s="276"/>
      <c r="F472" s="276"/>
      <c r="G472" s="276"/>
      <c r="H472" s="276"/>
      <c r="I472" s="276"/>
      <c r="J472" s="276"/>
      <c r="K472" s="276"/>
      <c r="L472" s="276"/>
      <c r="M472" s="276"/>
      <c r="N472" s="276"/>
      <c r="O472" s="276"/>
      <c r="P472" s="276"/>
      <c r="Q472" s="276"/>
      <c r="R472" s="276"/>
      <c r="S472" s="276"/>
      <c r="T472" s="276"/>
      <c r="U472" s="276"/>
      <c r="V472" s="276"/>
      <c r="W472" s="276"/>
      <c r="X472" s="276"/>
      <c r="Y472" s="276"/>
      <c r="Z472" s="276"/>
    </row>
    <row r="473" spans="1:26" ht="14.25" customHeight="1" x14ac:dyDescent="0.3">
      <c r="A473" s="307"/>
      <c r="B473" s="276"/>
      <c r="C473" s="276"/>
      <c r="D473" s="276"/>
      <c r="E473" s="276"/>
      <c r="F473" s="276"/>
      <c r="G473" s="276"/>
      <c r="H473" s="276"/>
      <c r="I473" s="276"/>
      <c r="J473" s="276"/>
      <c r="K473" s="276"/>
      <c r="L473" s="276"/>
      <c r="M473" s="276"/>
      <c r="N473" s="276"/>
      <c r="O473" s="276"/>
      <c r="P473" s="276"/>
      <c r="Q473" s="276"/>
      <c r="R473" s="276"/>
      <c r="S473" s="276"/>
      <c r="T473" s="276"/>
      <c r="U473" s="276"/>
      <c r="V473" s="276"/>
      <c r="W473" s="276"/>
      <c r="X473" s="276"/>
      <c r="Y473" s="276"/>
      <c r="Z473" s="276"/>
    </row>
    <row r="474" spans="1:26" ht="14.25" customHeight="1" x14ac:dyDescent="0.3">
      <c r="A474" s="307"/>
      <c r="B474" s="276"/>
      <c r="C474" s="276"/>
      <c r="D474" s="276"/>
      <c r="E474" s="276"/>
      <c r="F474" s="276"/>
      <c r="G474" s="276"/>
      <c r="H474" s="276"/>
      <c r="I474" s="276"/>
      <c r="J474" s="276"/>
      <c r="K474" s="276"/>
      <c r="L474" s="276"/>
      <c r="M474" s="276"/>
      <c r="N474" s="276"/>
      <c r="O474" s="276"/>
      <c r="P474" s="276"/>
      <c r="Q474" s="276"/>
      <c r="R474" s="276"/>
      <c r="S474" s="276"/>
      <c r="T474" s="276"/>
      <c r="U474" s="276"/>
      <c r="V474" s="276"/>
      <c r="W474" s="276"/>
      <c r="X474" s="276"/>
      <c r="Y474" s="276"/>
      <c r="Z474" s="276"/>
    </row>
    <row r="475" spans="1:26" ht="14.25" customHeight="1" x14ac:dyDescent="0.3">
      <c r="A475" s="307"/>
      <c r="B475" s="276"/>
      <c r="C475" s="276"/>
      <c r="D475" s="276"/>
      <c r="E475" s="276"/>
      <c r="F475" s="276"/>
      <c r="G475" s="276"/>
      <c r="H475" s="276"/>
      <c r="I475" s="276"/>
      <c r="J475" s="276"/>
      <c r="K475" s="276"/>
      <c r="L475" s="276"/>
      <c r="M475" s="276"/>
      <c r="N475" s="276"/>
      <c r="O475" s="276"/>
      <c r="P475" s="276"/>
      <c r="Q475" s="276"/>
      <c r="R475" s="276"/>
      <c r="S475" s="276"/>
      <c r="T475" s="276"/>
      <c r="U475" s="276"/>
      <c r="V475" s="276"/>
      <c r="W475" s="276"/>
      <c r="X475" s="276"/>
      <c r="Y475" s="276"/>
      <c r="Z475" s="276"/>
    </row>
    <row r="476" spans="1:26" ht="14.25" customHeight="1" x14ac:dyDescent="0.3">
      <c r="A476" s="307"/>
      <c r="B476" s="276"/>
      <c r="C476" s="276"/>
      <c r="D476" s="276"/>
      <c r="E476" s="276"/>
      <c r="F476" s="276"/>
      <c r="G476" s="276"/>
      <c r="H476" s="276"/>
      <c r="I476" s="276"/>
      <c r="J476" s="276"/>
      <c r="K476" s="276"/>
      <c r="L476" s="276"/>
      <c r="M476" s="276"/>
      <c r="N476" s="276"/>
      <c r="O476" s="276"/>
      <c r="P476" s="276"/>
      <c r="Q476" s="276"/>
      <c r="R476" s="276"/>
      <c r="S476" s="276"/>
      <c r="T476" s="276"/>
      <c r="U476" s="276"/>
      <c r="V476" s="276"/>
      <c r="W476" s="276"/>
      <c r="X476" s="276"/>
      <c r="Y476" s="276"/>
      <c r="Z476" s="276"/>
    </row>
    <row r="477" spans="1:26" ht="14.25" customHeight="1" x14ac:dyDescent="0.3">
      <c r="A477" s="307"/>
      <c r="B477" s="276"/>
      <c r="C477" s="276"/>
      <c r="D477" s="276"/>
      <c r="E477" s="276"/>
      <c r="F477" s="276"/>
      <c r="G477" s="276"/>
      <c r="H477" s="276"/>
      <c r="I477" s="276"/>
      <c r="J477" s="276"/>
      <c r="K477" s="276"/>
      <c r="L477" s="276"/>
      <c r="M477" s="276"/>
      <c r="N477" s="276"/>
      <c r="O477" s="276"/>
      <c r="P477" s="276"/>
      <c r="Q477" s="276"/>
      <c r="R477" s="276"/>
      <c r="S477" s="276"/>
      <c r="T477" s="276"/>
      <c r="U477" s="276"/>
      <c r="V477" s="276"/>
      <c r="W477" s="276"/>
      <c r="X477" s="276"/>
      <c r="Y477" s="276"/>
      <c r="Z477" s="276"/>
    </row>
    <row r="478" spans="1:26" ht="14.25" customHeight="1" x14ac:dyDescent="0.3">
      <c r="A478" s="307"/>
      <c r="B478" s="276"/>
      <c r="C478" s="276"/>
      <c r="D478" s="276"/>
      <c r="E478" s="276"/>
      <c r="F478" s="276"/>
      <c r="G478" s="276"/>
      <c r="H478" s="276"/>
      <c r="I478" s="276"/>
      <c r="J478" s="276"/>
      <c r="K478" s="276"/>
      <c r="L478" s="276"/>
      <c r="M478" s="276"/>
      <c r="N478" s="276"/>
      <c r="O478" s="276"/>
      <c r="P478" s="276"/>
      <c r="Q478" s="276"/>
      <c r="R478" s="276"/>
      <c r="S478" s="276"/>
      <c r="T478" s="276"/>
      <c r="U478" s="276"/>
      <c r="V478" s="276"/>
      <c r="W478" s="276"/>
      <c r="X478" s="276"/>
      <c r="Y478" s="276"/>
      <c r="Z478" s="276"/>
    </row>
    <row r="479" spans="1:26" ht="14.25" customHeight="1" x14ac:dyDescent="0.3">
      <c r="A479" s="307"/>
      <c r="B479" s="276"/>
      <c r="C479" s="276"/>
      <c r="D479" s="276"/>
      <c r="E479" s="276"/>
      <c r="F479" s="276"/>
      <c r="G479" s="276"/>
      <c r="H479" s="276"/>
      <c r="I479" s="276"/>
      <c r="J479" s="276"/>
      <c r="K479" s="276"/>
      <c r="L479" s="276"/>
      <c r="M479" s="276"/>
      <c r="N479" s="276"/>
      <c r="O479" s="276"/>
      <c r="P479" s="276"/>
      <c r="Q479" s="276"/>
      <c r="R479" s="276"/>
      <c r="S479" s="276"/>
      <c r="T479" s="276"/>
      <c r="U479" s="276"/>
      <c r="V479" s="276"/>
      <c r="W479" s="276"/>
      <c r="X479" s="276"/>
      <c r="Y479" s="276"/>
      <c r="Z479" s="276"/>
    </row>
    <row r="480" spans="1:26" ht="14.25" customHeight="1" x14ac:dyDescent="0.3">
      <c r="A480" s="307"/>
      <c r="B480" s="276"/>
      <c r="C480" s="276"/>
      <c r="D480" s="276"/>
      <c r="E480" s="276"/>
      <c r="F480" s="276"/>
      <c r="G480" s="276"/>
      <c r="H480" s="276"/>
      <c r="I480" s="276"/>
      <c r="J480" s="276"/>
      <c r="K480" s="276"/>
      <c r="L480" s="276"/>
      <c r="M480" s="276"/>
      <c r="N480" s="276"/>
      <c r="O480" s="276"/>
      <c r="P480" s="276"/>
      <c r="Q480" s="276"/>
      <c r="R480" s="276"/>
      <c r="S480" s="276"/>
      <c r="T480" s="276"/>
      <c r="U480" s="276"/>
      <c r="V480" s="276"/>
      <c r="W480" s="276"/>
      <c r="X480" s="276"/>
      <c r="Y480" s="276"/>
      <c r="Z480" s="276"/>
    </row>
    <row r="481" spans="1:26" ht="14.25" customHeight="1" x14ac:dyDescent="0.3">
      <c r="A481" s="307"/>
      <c r="B481" s="276"/>
      <c r="C481" s="276"/>
      <c r="D481" s="276"/>
      <c r="E481" s="276"/>
      <c r="F481" s="276"/>
      <c r="G481" s="276"/>
      <c r="H481" s="276"/>
      <c r="I481" s="276"/>
      <c r="J481" s="276"/>
      <c r="K481" s="276"/>
      <c r="L481" s="276"/>
      <c r="M481" s="276"/>
      <c r="N481" s="276"/>
      <c r="O481" s="276"/>
      <c r="P481" s="276"/>
      <c r="Q481" s="276"/>
      <c r="R481" s="276"/>
      <c r="S481" s="276"/>
      <c r="T481" s="276"/>
      <c r="U481" s="276"/>
      <c r="V481" s="276"/>
      <c r="W481" s="276"/>
      <c r="X481" s="276"/>
      <c r="Y481" s="276"/>
      <c r="Z481" s="276"/>
    </row>
    <row r="482" spans="1:26" ht="14.25" customHeight="1" x14ac:dyDescent="0.3">
      <c r="A482" s="307"/>
      <c r="B482" s="276"/>
      <c r="C482" s="276"/>
      <c r="D482" s="276"/>
      <c r="E482" s="276"/>
      <c r="F482" s="276"/>
      <c r="G482" s="276"/>
      <c r="H482" s="276"/>
      <c r="I482" s="276"/>
      <c r="J482" s="276"/>
      <c r="K482" s="276"/>
      <c r="L482" s="276"/>
      <c r="M482" s="276"/>
      <c r="N482" s="276"/>
      <c r="O482" s="276"/>
      <c r="P482" s="276"/>
      <c r="Q482" s="276"/>
      <c r="R482" s="276"/>
      <c r="S482" s="276"/>
      <c r="T482" s="276"/>
      <c r="U482" s="276"/>
      <c r="V482" s="276"/>
      <c r="W482" s="276"/>
      <c r="X482" s="276"/>
      <c r="Y482" s="276"/>
      <c r="Z482" s="276"/>
    </row>
    <row r="483" spans="1:26" ht="14.25" customHeight="1" x14ac:dyDescent="0.3">
      <c r="A483" s="307"/>
      <c r="B483" s="276"/>
      <c r="C483" s="276"/>
      <c r="D483" s="276"/>
      <c r="E483" s="276"/>
      <c r="F483" s="276"/>
      <c r="G483" s="276"/>
      <c r="H483" s="276"/>
      <c r="I483" s="276"/>
      <c r="J483" s="276"/>
      <c r="K483" s="276"/>
      <c r="L483" s="276"/>
      <c r="M483" s="276"/>
      <c r="N483" s="276"/>
      <c r="O483" s="276"/>
      <c r="P483" s="276"/>
      <c r="Q483" s="276"/>
      <c r="R483" s="276"/>
      <c r="S483" s="276"/>
      <c r="T483" s="276"/>
      <c r="U483" s="276"/>
      <c r="V483" s="276"/>
      <c r="W483" s="276"/>
      <c r="X483" s="276"/>
      <c r="Y483" s="276"/>
      <c r="Z483" s="276"/>
    </row>
    <row r="484" spans="1:26" ht="14.25" customHeight="1" x14ac:dyDescent="0.3">
      <c r="A484" s="307"/>
      <c r="B484" s="276"/>
      <c r="C484" s="276"/>
      <c r="D484" s="276"/>
      <c r="E484" s="276"/>
      <c r="F484" s="276"/>
      <c r="G484" s="276"/>
      <c r="H484" s="276"/>
      <c r="I484" s="276"/>
      <c r="J484" s="276"/>
      <c r="K484" s="276"/>
      <c r="L484" s="276"/>
      <c r="M484" s="276"/>
      <c r="N484" s="276"/>
      <c r="O484" s="276"/>
      <c r="P484" s="276"/>
      <c r="Q484" s="276"/>
      <c r="R484" s="276"/>
      <c r="S484" s="276"/>
      <c r="T484" s="276"/>
      <c r="U484" s="276"/>
      <c r="V484" s="276"/>
      <c r="W484" s="276"/>
      <c r="X484" s="276"/>
      <c r="Y484" s="276"/>
      <c r="Z484" s="276"/>
    </row>
    <row r="485" spans="1:26" ht="14.25" customHeight="1" x14ac:dyDescent="0.3">
      <c r="A485" s="307"/>
      <c r="B485" s="276"/>
      <c r="C485" s="276"/>
      <c r="D485" s="276"/>
      <c r="E485" s="276"/>
      <c r="F485" s="276"/>
      <c r="G485" s="276"/>
      <c r="H485" s="276"/>
      <c r="I485" s="276"/>
      <c r="J485" s="276"/>
      <c r="K485" s="276"/>
      <c r="L485" s="276"/>
      <c r="M485" s="276"/>
      <c r="N485" s="276"/>
      <c r="O485" s="276"/>
      <c r="P485" s="276"/>
      <c r="Q485" s="276"/>
      <c r="R485" s="276"/>
      <c r="S485" s="276"/>
      <c r="T485" s="276"/>
      <c r="U485" s="276"/>
      <c r="V485" s="276"/>
      <c r="W485" s="276"/>
      <c r="X485" s="276"/>
      <c r="Y485" s="276"/>
      <c r="Z485" s="276"/>
    </row>
    <row r="486" spans="1:26" ht="14.25" customHeight="1" x14ac:dyDescent="0.3">
      <c r="A486" s="307"/>
      <c r="B486" s="276"/>
      <c r="C486" s="276"/>
      <c r="D486" s="276"/>
      <c r="E486" s="276"/>
      <c r="F486" s="276"/>
      <c r="G486" s="276"/>
      <c r="H486" s="276"/>
      <c r="I486" s="276"/>
      <c r="J486" s="276"/>
      <c r="K486" s="276"/>
      <c r="L486" s="276"/>
      <c r="M486" s="276"/>
      <c r="N486" s="276"/>
      <c r="O486" s="276"/>
      <c r="P486" s="276"/>
      <c r="Q486" s="276"/>
      <c r="R486" s="276"/>
      <c r="S486" s="276"/>
      <c r="T486" s="276"/>
      <c r="U486" s="276"/>
      <c r="V486" s="276"/>
      <c r="W486" s="276"/>
      <c r="X486" s="276"/>
      <c r="Y486" s="276"/>
      <c r="Z486" s="276"/>
    </row>
    <row r="487" spans="1:26" ht="14.25" customHeight="1" x14ac:dyDescent="0.3">
      <c r="A487" s="307"/>
      <c r="B487" s="276"/>
      <c r="C487" s="276"/>
      <c r="D487" s="276"/>
      <c r="E487" s="276"/>
      <c r="F487" s="276"/>
      <c r="G487" s="276"/>
      <c r="H487" s="276"/>
      <c r="I487" s="276"/>
      <c r="J487" s="276"/>
      <c r="K487" s="276"/>
      <c r="L487" s="276"/>
      <c r="M487" s="276"/>
      <c r="N487" s="276"/>
      <c r="O487" s="276"/>
      <c r="P487" s="276"/>
      <c r="Q487" s="276"/>
      <c r="R487" s="276"/>
      <c r="S487" s="276"/>
      <c r="T487" s="276"/>
      <c r="U487" s="276"/>
      <c r="V487" s="276"/>
      <c r="W487" s="276"/>
      <c r="X487" s="276"/>
      <c r="Y487" s="276"/>
      <c r="Z487" s="276"/>
    </row>
    <row r="488" spans="1:26" ht="14.25" customHeight="1" x14ac:dyDescent="0.3">
      <c r="A488" s="307"/>
      <c r="B488" s="276"/>
      <c r="C488" s="276"/>
      <c r="D488" s="276"/>
      <c r="E488" s="276"/>
      <c r="F488" s="276"/>
      <c r="G488" s="276"/>
      <c r="H488" s="276"/>
      <c r="I488" s="276"/>
      <c r="J488" s="276"/>
      <c r="K488" s="276"/>
      <c r="L488" s="276"/>
      <c r="M488" s="276"/>
      <c r="N488" s="276"/>
      <c r="O488" s="276"/>
      <c r="P488" s="276"/>
      <c r="Q488" s="276"/>
      <c r="R488" s="276"/>
      <c r="S488" s="276"/>
      <c r="T488" s="276"/>
      <c r="U488" s="276"/>
      <c r="V488" s="276"/>
      <c r="W488" s="276"/>
      <c r="X488" s="276"/>
      <c r="Y488" s="276"/>
      <c r="Z488" s="276"/>
    </row>
    <row r="489" spans="1:26" ht="14.25" customHeight="1" x14ac:dyDescent="0.3">
      <c r="A489" s="307"/>
      <c r="B489" s="276"/>
      <c r="C489" s="276"/>
      <c r="D489" s="276"/>
      <c r="E489" s="276"/>
      <c r="F489" s="276"/>
      <c r="G489" s="276"/>
      <c r="H489" s="276"/>
      <c r="I489" s="276"/>
      <c r="J489" s="276"/>
      <c r="K489" s="276"/>
      <c r="L489" s="276"/>
      <c r="M489" s="276"/>
      <c r="N489" s="276"/>
      <c r="O489" s="276"/>
      <c r="P489" s="276"/>
      <c r="Q489" s="276"/>
      <c r="R489" s="276"/>
      <c r="S489" s="276"/>
      <c r="T489" s="276"/>
      <c r="U489" s="276"/>
      <c r="V489" s="276"/>
      <c r="W489" s="276"/>
      <c r="X489" s="276"/>
      <c r="Y489" s="276"/>
      <c r="Z489" s="276"/>
    </row>
    <row r="490" spans="1:26" ht="14.25" customHeight="1" x14ac:dyDescent="0.3">
      <c r="A490" s="307"/>
      <c r="B490" s="276"/>
      <c r="C490" s="276"/>
      <c r="D490" s="276"/>
      <c r="E490" s="276"/>
      <c r="F490" s="276"/>
      <c r="G490" s="276"/>
      <c r="H490" s="276"/>
      <c r="I490" s="276"/>
      <c r="J490" s="276"/>
      <c r="K490" s="276"/>
      <c r="L490" s="276"/>
      <c r="M490" s="276"/>
      <c r="N490" s="276"/>
      <c r="O490" s="276"/>
      <c r="P490" s="276"/>
      <c r="Q490" s="276"/>
      <c r="R490" s="276"/>
      <c r="S490" s="276"/>
      <c r="T490" s="276"/>
      <c r="U490" s="276"/>
      <c r="V490" s="276"/>
      <c r="W490" s="276"/>
      <c r="X490" s="276"/>
      <c r="Y490" s="276"/>
      <c r="Z490" s="276"/>
    </row>
    <row r="491" spans="1:26" ht="14.25" customHeight="1" x14ac:dyDescent="0.3">
      <c r="A491" s="307"/>
      <c r="B491" s="276"/>
      <c r="C491" s="276"/>
      <c r="D491" s="276"/>
      <c r="E491" s="276"/>
      <c r="F491" s="276"/>
      <c r="G491" s="276"/>
      <c r="H491" s="276"/>
      <c r="I491" s="276"/>
      <c r="J491" s="276"/>
      <c r="K491" s="276"/>
      <c r="L491" s="276"/>
      <c r="M491" s="276"/>
      <c r="N491" s="276"/>
      <c r="O491" s="276"/>
      <c r="P491" s="276"/>
      <c r="Q491" s="276"/>
      <c r="R491" s="276"/>
      <c r="S491" s="276"/>
      <c r="T491" s="276"/>
      <c r="U491" s="276"/>
      <c r="V491" s="276"/>
      <c r="W491" s="276"/>
      <c r="X491" s="276"/>
      <c r="Y491" s="276"/>
      <c r="Z491" s="276"/>
    </row>
    <row r="492" spans="1:26" ht="14.25" customHeight="1" x14ac:dyDescent="0.3">
      <c r="A492" s="307"/>
      <c r="B492" s="276"/>
      <c r="C492" s="276"/>
      <c r="D492" s="276"/>
      <c r="E492" s="276"/>
      <c r="F492" s="276"/>
      <c r="G492" s="276"/>
      <c r="H492" s="276"/>
      <c r="I492" s="276"/>
      <c r="J492" s="276"/>
      <c r="K492" s="276"/>
      <c r="L492" s="276"/>
      <c r="M492" s="276"/>
      <c r="N492" s="276"/>
      <c r="O492" s="276"/>
      <c r="P492" s="276"/>
      <c r="Q492" s="276"/>
      <c r="R492" s="276"/>
      <c r="S492" s="276"/>
      <c r="T492" s="276"/>
      <c r="U492" s="276"/>
      <c r="V492" s="276"/>
      <c r="W492" s="276"/>
      <c r="X492" s="276"/>
      <c r="Y492" s="276"/>
      <c r="Z492" s="276"/>
    </row>
    <row r="493" spans="1:26" ht="14.25" customHeight="1" x14ac:dyDescent="0.3">
      <c r="A493" s="307"/>
      <c r="B493" s="276"/>
      <c r="C493" s="276"/>
      <c r="D493" s="276"/>
      <c r="E493" s="276"/>
      <c r="F493" s="276"/>
      <c r="G493" s="276"/>
      <c r="H493" s="276"/>
      <c r="I493" s="276"/>
      <c r="J493" s="276"/>
      <c r="K493" s="276"/>
      <c r="L493" s="276"/>
      <c r="M493" s="276"/>
      <c r="N493" s="276"/>
      <c r="O493" s="276"/>
      <c r="P493" s="276"/>
      <c r="Q493" s="276"/>
      <c r="R493" s="276"/>
      <c r="S493" s="276"/>
      <c r="T493" s="276"/>
      <c r="U493" s="276"/>
      <c r="V493" s="276"/>
      <c r="W493" s="276"/>
      <c r="X493" s="276"/>
      <c r="Y493" s="276"/>
      <c r="Z493" s="276"/>
    </row>
    <row r="494" spans="1:26" ht="14.25" customHeight="1" x14ac:dyDescent="0.3">
      <c r="A494" s="307"/>
      <c r="B494" s="276"/>
      <c r="C494" s="276"/>
      <c r="D494" s="276"/>
      <c r="E494" s="276"/>
      <c r="F494" s="276"/>
      <c r="G494" s="276"/>
      <c r="H494" s="276"/>
      <c r="I494" s="276"/>
      <c r="J494" s="276"/>
      <c r="K494" s="276"/>
      <c r="L494" s="276"/>
      <c r="M494" s="276"/>
      <c r="N494" s="276"/>
      <c r="O494" s="276"/>
      <c r="P494" s="276"/>
      <c r="Q494" s="276"/>
      <c r="R494" s="276"/>
      <c r="S494" s="276"/>
      <c r="T494" s="276"/>
      <c r="U494" s="276"/>
      <c r="V494" s="276"/>
      <c r="W494" s="276"/>
      <c r="X494" s="276"/>
      <c r="Y494" s="276"/>
      <c r="Z494" s="276"/>
    </row>
    <row r="495" spans="1:26" ht="14.25" customHeight="1" x14ac:dyDescent="0.3">
      <c r="A495" s="307"/>
      <c r="B495" s="276"/>
      <c r="C495" s="276"/>
      <c r="D495" s="276"/>
      <c r="E495" s="276"/>
      <c r="F495" s="276"/>
      <c r="G495" s="276"/>
      <c r="H495" s="276"/>
      <c r="I495" s="276"/>
      <c r="J495" s="276"/>
      <c r="K495" s="276"/>
      <c r="L495" s="276"/>
      <c r="M495" s="276"/>
      <c r="N495" s="276"/>
      <c r="O495" s="276"/>
      <c r="P495" s="276"/>
      <c r="Q495" s="276"/>
      <c r="R495" s="276"/>
      <c r="S495" s="276"/>
      <c r="T495" s="276"/>
      <c r="U495" s="276"/>
      <c r="V495" s="276"/>
      <c r="W495" s="276"/>
      <c r="X495" s="276"/>
      <c r="Y495" s="276"/>
      <c r="Z495" s="276"/>
    </row>
    <row r="496" spans="1:26" ht="14.25" customHeight="1" x14ac:dyDescent="0.3">
      <c r="A496" s="307"/>
      <c r="B496" s="276"/>
      <c r="C496" s="276"/>
      <c r="D496" s="276"/>
      <c r="E496" s="276"/>
      <c r="F496" s="276"/>
      <c r="G496" s="276"/>
      <c r="H496" s="276"/>
      <c r="I496" s="276"/>
      <c r="J496" s="276"/>
      <c r="K496" s="276"/>
      <c r="L496" s="276"/>
      <c r="M496" s="276"/>
      <c r="N496" s="276"/>
      <c r="O496" s="276"/>
      <c r="P496" s="276"/>
      <c r="Q496" s="276"/>
      <c r="R496" s="276"/>
      <c r="S496" s="276"/>
      <c r="T496" s="276"/>
      <c r="U496" s="276"/>
      <c r="V496" s="276"/>
      <c r="W496" s="276"/>
      <c r="X496" s="276"/>
      <c r="Y496" s="276"/>
      <c r="Z496" s="276"/>
    </row>
    <row r="497" spans="1:26" ht="14.25" customHeight="1" x14ac:dyDescent="0.3">
      <c r="A497" s="307"/>
      <c r="B497" s="276"/>
      <c r="C497" s="276"/>
      <c r="D497" s="276"/>
      <c r="E497" s="276"/>
      <c r="F497" s="276"/>
      <c r="G497" s="276"/>
      <c r="H497" s="276"/>
      <c r="I497" s="276"/>
      <c r="J497" s="276"/>
      <c r="K497" s="276"/>
      <c r="L497" s="276"/>
      <c r="M497" s="276"/>
      <c r="N497" s="276"/>
      <c r="O497" s="276"/>
      <c r="P497" s="276"/>
      <c r="Q497" s="276"/>
      <c r="R497" s="276"/>
      <c r="S497" s="276"/>
      <c r="T497" s="276"/>
      <c r="U497" s="276"/>
      <c r="V497" s="276"/>
      <c r="W497" s="276"/>
      <c r="X497" s="276"/>
      <c r="Y497" s="276"/>
      <c r="Z497" s="276"/>
    </row>
    <row r="498" spans="1:26" ht="14.25" customHeight="1" x14ac:dyDescent="0.3">
      <c r="A498" s="307"/>
      <c r="B498" s="276"/>
      <c r="C498" s="276"/>
      <c r="D498" s="276"/>
      <c r="E498" s="276"/>
      <c r="F498" s="276"/>
      <c r="G498" s="276"/>
      <c r="H498" s="276"/>
      <c r="I498" s="276"/>
      <c r="J498" s="276"/>
      <c r="K498" s="276"/>
      <c r="L498" s="276"/>
      <c r="M498" s="276"/>
      <c r="N498" s="276"/>
      <c r="O498" s="276"/>
      <c r="P498" s="276"/>
      <c r="Q498" s="276"/>
      <c r="R498" s="276"/>
      <c r="S498" s="276"/>
      <c r="T498" s="276"/>
      <c r="U498" s="276"/>
      <c r="V498" s="276"/>
      <c r="W498" s="276"/>
      <c r="X498" s="276"/>
      <c r="Y498" s="276"/>
      <c r="Z498" s="276"/>
    </row>
    <row r="499" spans="1:26" ht="14.25" customHeight="1" x14ac:dyDescent="0.3">
      <c r="A499" s="307"/>
      <c r="B499" s="276"/>
      <c r="C499" s="276"/>
      <c r="D499" s="276"/>
      <c r="E499" s="276"/>
      <c r="F499" s="276"/>
      <c r="G499" s="276"/>
      <c r="H499" s="276"/>
      <c r="I499" s="276"/>
      <c r="J499" s="276"/>
      <c r="K499" s="276"/>
      <c r="L499" s="276"/>
      <c r="M499" s="276"/>
      <c r="N499" s="276"/>
      <c r="O499" s="276"/>
      <c r="P499" s="276"/>
      <c r="Q499" s="276"/>
      <c r="R499" s="276"/>
      <c r="S499" s="276"/>
      <c r="T499" s="276"/>
      <c r="U499" s="276"/>
      <c r="V499" s="276"/>
      <c r="W499" s="276"/>
      <c r="X499" s="276"/>
      <c r="Y499" s="276"/>
      <c r="Z499" s="276"/>
    </row>
    <row r="500" spans="1:26" ht="14.25" customHeight="1" x14ac:dyDescent="0.3">
      <c r="A500" s="307"/>
      <c r="B500" s="276"/>
      <c r="C500" s="276"/>
      <c r="D500" s="276"/>
      <c r="E500" s="276"/>
      <c r="F500" s="276"/>
      <c r="G500" s="276"/>
      <c r="H500" s="276"/>
      <c r="I500" s="276"/>
      <c r="J500" s="276"/>
      <c r="K500" s="276"/>
      <c r="L500" s="276"/>
      <c r="M500" s="276"/>
      <c r="N500" s="276"/>
      <c r="O500" s="276"/>
      <c r="P500" s="276"/>
      <c r="Q500" s="276"/>
      <c r="R500" s="276"/>
      <c r="S500" s="276"/>
      <c r="T500" s="276"/>
      <c r="U500" s="276"/>
      <c r="V500" s="276"/>
      <c r="W500" s="276"/>
      <c r="X500" s="276"/>
      <c r="Y500" s="276"/>
      <c r="Z500" s="276"/>
    </row>
    <row r="501" spans="1:26" ht="14.25" customHeight="1" x14ac:dyDescent="0.3">
      <c r="A501" s="307"/>
      <c r="B501" s="276"/>
      <c r="C501" s="276"/>
      <c r="D501" s="276"/>
      <c r="E501" s="276"/>
      <c r="F501" s="276"/>
      <c r="G501" s="276"/>
      <c r="H501" s="276"/>
      <c r="I501" s="276"/>
      <c r="J501" s="276"/>
      <c r="K501" s="276"/>
      <c r="L501" s="276"/>
      <c r="M501" s="276"/>
      <c r="N501" s="276"/>
      <c r="O501" s="276"/>
      <c r="P501" s="276"/>
      <c r="Q501" s="276"/>
      <c r="R501" s="276"/>
      <c r="S501" s="276"/>
      <c r="T501" s="276"/>
      <c r="U501" s="276"/>
      <c r="V501" s="276"/>
      <c r="W501" s="276"/>
      <c r="X501" s="276"/>
      <c r="Y501" s="276"/>
      <c r="Z501" s="276"/>
    </row>
    <row r="502" spans="1:26" ht="14.25" customHeight="1" x14ac:dyDescent="0.3">
      <c r="A502" s="307"/>
      <c r="B502" s="276"/>
      <c r="C502" s="276"/>
      <c r="D502" s="276"/>
      <c r="E502" s="276"/>
      <c r="F502" s="276"/>
      <c r="G502" s="276"/>
      <c r="H502" s="276"/>
      <c r="I502" s="276"/>
      <c r="J502" s="276"/>
      <c r="K502" s="276"/>
      <c r="L502" s="276"/>
      <c r="M502" s="276"/>
      <c r="N502" s="276"/>
      <c r="O502" s="276"/>
      <c r="P502" s="276"/>
      <c r="Q502" s="276"/>
      <c r="R502" s="276"/>
      <c r="S502" s="276"/>
      <c r="T502" s="276"/>
      <c r="U502" s="276"/>
      <c r="V502" s="276"/>
      <c r="W502" s="276"/>
      <c r="X502" s="276"/>
      <c r="Y502" s="276"/>
      <c r="Z502" s="276"/>
    </row>
    <row r="503" spans="1:26" ht="14.25" customHeight="1" x14ac:dyDescent="0.3">
      <c r="A503" s="307"/>
      <c r="B503" s="276"/>
      <c r="C503" s="276"/>
      <c r="D503" s="276"/>
      <c r="E503" s="276"/>
      <c r="F503" s="276"/>
      <c r="G503" s="276"/>
      <c r="H503" s="276"/>
      <c r="I503" s="276"/>
      <c r="J503" s="276"/>
      <c r="K503" s="276"/>
      <c r="L503" s="276"/>
      <c r="M503" s="276"/>
      <c r="N503" s="276"/>
      <c r="O503" s="276"/>
      <c r="P503" s="276"/>
      <c r="Q503" s="276"/>
      <c r="R503" s="276"/>
      <c r="S503" s="276"/>
      <c r="T503" s="276"/>
      <c r="U503" s="276"/>
      <c r="V503" s="276"/>
      <c r="W503" s="276"/>
      <c r="X503" s="276"/>
      <c r="Y503" s="276"/>
      <c r="Z503" s="276"/>
    </row>
    <row r="504" spans="1:26" ht="14.25" customHeight="1" x14ac:dyDescent="0.3">
      <c r="A504" s="307"/>
      <c r="B504" s="276"/>
      <c r="C504" s="276"/>
      <c r="D504" s="276"/>
      <c r="E504" s="276"/>
      <c r="F504" s="276"/>
      <c r="G504" s="276"/>
      <c r="H504" s="276"/>
      <c r="I504" s="276"/>
      <c r="J504" s="276"/>
      <c r="K504" s="276"/>
      <c r="L504" s="276"/>
      <c r="M504" s="276"/>
      <c r="N504" s="276"/>
      <c r="O504" s="276"/>
      <c r="P504" s="276"/>
      <c r="Q504" s="276"/>
      <c r="R504" s="276"/>
      <c r="S504" s="276"/>
      <c r="T504" s="276"/>
      <c r="U504" s="276"/>
      <c r="V504" s="276"/>
      <c r="W504" s="276"/>
      <c r="X504" s="276"/>
      <c r="Y504" s="276"/>
      <c r="Z504" s="276"/>
    </row>
    <row r="505" spans="1:26" ht="14.25" customHeight="1" x14ac:dyDescent="0.3">
      <c r="A505" s="307"/>
      <c r="B505" s="276"/>
      <c r="C505" s="276"/>
      <c r="D505" s="276"/>
      <c r="E505" s="276"/>
      <c r="F505" s="276"/>
      <c r="G505" s="276"/>
      <c r="H505" s="276"/>
      <c r="I505" s="276"/>
      <c r="J505" s="276"/>
      <c r="K505" s="276"/>
      <c r="L505" s="276"/>
      <c r="M505" s="276"/>
      <c r="N505" s="276"/>
      <c r="O505" s="276"/>
      <c r="P505" s="276"/>
      <c r="Q505" s="276"/>
      <c r="R505" s="276"/>
      <c r="S505" s="276"/>
      <c r="T505" s="276"/>
      <c r="U505" s="276"/>
      <c r="V505" s="276"/>
      <c r="W505" s="276"/>
      <c r="X505" s="276"/>
      <c r="Y505" s="276"/>
      <c r="Z505" s="276"/>
    </row>
    <row r="506" spans="1:26" ht="14.25" customHeight="1" x14ac:dyDescent="0.3">
      <c r="A506" s="307"/>
      <c r="B506" s="276"/>
      <c r="C506" s="276"/>
      <c r="D506" s="276"/>
      <c r="E506" s="276"/>
      <c r="F506" s="276"/>
      <c r="G506" s="276"/>
      <c r="H506" s="276"/>
      <c r="I506" s="276"/>
      <c r="J506" s="276"/>
      <c r="K506" s="276"/>
      <c r="L506" s="276"/>
      <c r="M506" s="276"/>
      <c r="N506" s="276"/>
      <c r="O506" s="276"/>
      <c r="P506" s="276"/>
      <c r="Q506" s="276"/>
      <c r="R506" s="276"/>
      <c r="S506" s="276"/>
      <c r="T506" s="276"/>
      <c r="U506" s="276"/>
      <c r="V506" s="276"/>
      <c r="W506" s="276"/>
      <c r="X506" s="276"/>
      <c r="Y506" s="276"/>
      <c r="Z506" s="276"/>
    </row>
    <row r="507" spans="1:26" ht="14.25" customHeight="1" x14ac:dyDescent="0.3">
      <c r="A507" s="307"/>
      <c r="B507" s="276"/>
      <c r="C507" s="276"/>
      <c r="D507" s="276"/>
      <c r="E507" s="276"/>
      <c r="F507" s="276"/>
      <c r="G507" s="276"/>
      <c r="H507" s="276"/>
      <c r="I507" s="276"/>
      <c r="J507" s="276"/>
      <c r="K507" s="276"/>
      <c r="L507" s="276"/>
      <c r="M507" s="276"/>
      <c r="N507" s="276"/>
      <c r="O507" s="276"/>
      <c r="P507" s="276"/>
      <c r="Q507" s="276"/>
      <c r="R507" s="276"/>
      <c r="S507" s="276"/>
      <c r="T507" s="276"/>
      <c r="U507" s="276"/>
      <c r="V507" s="276"/>
      <c r="W507" s="276"/>
      <c r="X507" s="276"/>
      <c r="Y507" s="276"/>
      <c r="Z507" s="276"/>
    </row>
    <row r="508" spans="1:26" ht="14.25" customHeight="1" x14ac:dyDescent="0.3">
      <c r="A508" s="307"/>
      <c r="B508" s="276"/>
      <c r="C508" s="276"/>
      <c r="D508" s="276"/>
      <c r="E508" s="276"/>
      <c r="F508" s="276"/>
      <c r="G508" s="276"/>
      <c r="H508" s="276"/>
      <c r="I508" s="276"/>
      <c r="J508" s="276"/>
      <c r="K508" s="276"/>
      <c r="L508" s="276"/>
      <c r="M508" s="276"/>
      <c r="N508" s="276"/>
      <c r="O508" s="276"/>
      <c r="P508" s="276"/>
      <c r="Q508" s="276"/>
      <c r="R508" s="276"/>
      <c r="S508" s="276"/>
      <c r="T508" s="276"/>
      <c r="U508" s="276"/>
      <c r="V508" s="276"/>
      <c r="W508" s="276"/>
      <c r="X508" s="276"/>
      <c r="Y508" s="276"/>
      <c r="Z508" s="276"/>
    </row>
    <row r="509" spans="1:26" ht="14.25" customHeight="1" x14ac:dyDescent="0.3">
      <c r="A509" s="307"/>
      <c r="B509" s="276"/>
      <c r="C509" s="276"/>
      <c r="D509" s="276"/>
      <c r="E509" s="276"/>
      <c r="F509" s="276"/>
      <c r="G509" s="276"/>
      <c r="H509" s="276"/>
      <c r="I509" s="276"/>
      <c r="J509" s="276"/>
      <c r="K509" s="276"/>
      <c r="L509" s="276"/>
      <c r="M509" s="276"/>
      <c r="N509" s="276"/>
      <c r="O509" s="276"/>
      <c r="P509" s="276"/>
      <c r="Q509" s="276"/>
      <c r="R509" s="276"/>
      <c r="S509" s="276"/>
      <c r="T509" s="276"/>
      <c r="U509" s="276"/>
      <c r="V509" s="276"/>
      <c r="W509" s="276"/>
      <c r="X509" s="276"/>
      <c r="Y509" s="276"/>
      <c r="Z509" s="276"/>
    </row>
    <row r="510" spans="1:26" ht="14.25" customHeight="1" x14ac:dyDescent="0.3">
      <c r="A510" s="307"/>
      <c r="B510" s="276"/>
      <c r="C510" s="276"/>
      <c r="D510" s="276"/>
      <c r="E510" s="276"/>
      <c r="F510" s="276"/>
      <c r="G510" s="276"/>
      <c r="H510" s="276"/>
      <c r="I510" s="276"/>
      <c r="J510" s="276"/>
      <c r="K510" s="276"/>
      <c r="L510" s="276"/>
      <c r="M510" s="276"/>
      <c r="N510" s="276"/>
      <c r="O510" s="276"/>
      <c r="P510" s="276"/>
      <c r="Q510" s="276"/>
      <c r="R510" s="276"/>
      <c r="S510" s="276"/>
      <c r="T510" s="276"/>
      <c r="U510" s="276"/>
      <c r="V510" s="276"/>
      <c r="W510" s="276"/>
      <c r="X510" s="276"/>
      <c r="Y510" s="276"/>
      <c r="Z510" s="276"/>
    </row>
    <row r="511" spans="1:26" ht="14.25" customHeight="1" x14ac:dyDescent="0.3">
      <c r="A511" s="307"/>
      <c r="B511" s="276"/>
      <c r="C511" s="276"/>
      <c r="D511" s="276"/>
      <c r="E511" s="276"/>
      <c r="F511" s="276"/>
      <c r="G511" s="276"/>
      <c r="H511" s="276"/>
      <c r="I511" s="276"/>
      <c r="J511" s="276"/>
      <c r="K511" s="276"/>
      <c r="L511" s="276"/>
      <c r="M511" s="276"/>
      <c r="N511" s="276"/>
      <c r="O511" s="276"/>
      <c r="P511" s="276"/>
      <c r="Q511" s="276"/>
      <c r="R511" s="276"/>
      <c r="S511" s="276"/>
      <c r="T511" s="276"/>
      <c r="U511" s="276"/>
      <c r="V511" s="276"/>
      <c r="W511" s="276"/>
      <c r="X511" s="276"/>
      <c r="Y511" s="276"/>
      <c r="Z511" s="276"/>
    </row>
    <row r="512" spans="1:26" ht="14.25" customHeight="1" x14ac:dyDescent="0.3">
      <c r="A512" s="307"/>
      <c r="B512" s="276"/>
      <c r="C512" s="276"/>
      <c r="D512" s="276"/>
      <c r="E512" s="276"/>
      <c r="F512" s="276"/>
      <c r="G512" s="276"/>
      <c r="H512" s="276"/>
      <c r="I512" s="276"/>
      <c r="J512" s="276"/>
      <c r="K512" s="276"/>
      <c r="L512" s="276"/>
      <c r="M512" s="276"/>
      <c r="N512" s="276"/>
      <c r="O512" s="276"/>
      <c r="P512" s="276"/>
      <c r="Q512" s="276"/>
      <c r="R512" s="276"/>
      <c r="S512" s="276"/>
      <c r="T512" s="276"/>
      <c r="U512" s="276"/>
      <c r="V512" s="276"/>
      <c r="W512" s="276"/>
      <c r="X512" s="276"/>
      <c r="Y512" s="276"/>
      <c r="Z512" s="276"/>
    </row>
    <row r="513" spans="1:26" ht="14.25" customHeight="1" x14ac:dyDescent="0.3">
      <c r="A513" s="307"/>
      <c r="B513" s="276"/>
      <c r="C513" s="276"/>
      <c r="D513" s="276"/>
      <c r="E513" s="276"/>
      <c r="F513" s="276"/>
      <c r="G513" s="276"/>
      <c r="H513" s="276"/>
      <c r="I513" s="276"/>
      <c r="J513" s="276"/>
      <c r="K513" s="276"/>
      <c r="L513" s="276"/>
      <c r="M513" s="276"/>
      <c r="N513" s="276"/>
      <c r="O513" s="276"/>
      <c r="P513" s="276"/>
      <c r="Q513" s="276"/>
      <c r="R513" s="276"/>
      <c r="S513" s="276"/>
      <c r="T513" s="276"/>
      <c r="U513" s="276"/>
      <c r="V513" s="276"/>
      <c r="W513" s="276"/>
      <c r="X513" s="276"/>
      <c r="Y513" s="276"/>
      <c r="Z513" s="276"/>
    </row>
    <row r="514" spans="1:26" ht="14.25" customHeight="1" x14ac:dyDescent="0.3">
      <c r="A514" s="307"/>
      <c r="B514" s="276"/>
      <c r="C514" s="276"/>
      <c r="D514" s="276"/>
      <c r="E514" s="276"/>
      <c r="F514" s="276"/>
      <c r="G514" s="276"/>
      <c r="H514" s="276"/>
      <c r="I514" s="276"/>
      <c r="J514" s="276"/>
      <c r="K514" s="276"/>
      <c r="L514" s="276"/>
      <c r="M514" s="276"/>
      <c r="N514" s="276"/>
      <c r="O514" s="276"/>
      <c r="P514" s="276"/>
      <c r="Q514" s="276"/>
      <c r="R514" s="276"/>
      <c r="S514" s="276"/>
      <c r="T514" s="276"/>
      <c r="U514" s="276"/>
      <c r="V514" s="276"/>
      <c r="W514" s="276"/>
      <c r="X514" s="276"/>
      <c r="Y514" s="276"/>
      <c r="Z514" s="276"/>
    </row>
    <row r="515" spans="1:26" ht="14.25" customHeight="1" x14ac:dyDescent="0.3">
      <c r="A515" s="307"/>
      <c r="B515" s="276"/>
      <c r="C515" s="276"/>
      <c r="D515" s="276"/>
      <c r="E515" s="276"/>
      <c r="F515" s="276"/>
      <c r="G515" s="276"/>
      <c r="H515" s="276"/>
      <c r="I515" s="276"/>
      <c r="J515" s="276"/>
      <c r="K515" s="276"/>
      <c r="L515" s="276"/>
      <c r="M515" s="276"/>
      <c r="N515" s="276"/>
      <c r="O515" s="276"/>
      <c r="P515" s="276"/>
      <c r="Q515" s="276"/>
      <c r="R515" s="276"/>
      <c r="S515" s="276"/>
      <c r="T515" s="276"/>
      <c r="U515" s="276"/>
      <c r="V515" s="276"/>
      <c r="W515" s="276"/>
      <c r="X515" s="276"/>
      <c r="Y515" s="276"/>
      <c r="Z515" s="276"/>
    </row>
    <row r="516" spans="1:26" ht="14.25" customHeight="1" x14ac:dyDescent="0.3">
      <c r="A516" s="307"/>
      <c r="B516" s="276"/>
      <c r="C516" s="276"/>
      <c r="D516" s="276"/>
      <c r="E516" s="276"/>
      <c r="F516" s="276"/>
      <c r="G516" s="276"/>
      <c r="H516" s="276"/>
      <c r="I516" s="276"/>
      <c r="J516" s="276"/>
      <c r="K516" s="276"/>
      <c r="L516" s="276"/>
      <c r="M516" s="276"/>
      <c r="N516" s="276"/>
      <c r="O516" s="276"/>
      <c r="P516" s="276"/>
      <c r="Q516" s="276"/>
      <c r="R516" s="276"/>
      <c r="S516" s="276"/>
      <c r="T516" s="276"/>
      <c r="U516" s="276"/>
      <c r="V516" s="276"/>
      <c r="W516" s="276"/>
      <c r="X516" s="276"/>
      <c r="Y516" s="276"/>
      <c r="Z516" s="276"/>
    </row>
    <row r="517" spans="1:26" ht="14.25" customHeight="1" x14ac:dyDescent="0.3">
      <c r="A517" s="307"/>
      <c r="B517" s="276"/>
      <c r="C517" s="276"/>
      <c r="D517" s="276"/>
      <c r="E517" s="276"/>
      <c r="F517" s="276"/>
      <c r="G517" s="276"/>
      <c r="H517" s="276"/>
      <c r="I517" s="276"/>
      <c r="J517" s="276"/>
      <c r="K517" s="276"/>
      <c r="L517" s="276"/>
      <c r="M517" s="276"/>
      <c r="N517" s="276"/>
      <c r="O517" s="276"/>
      <c r="P517" s="276"/>
      <c r="Q517" s="276"/>
      <c r="R517" s="276"/>
      <c r="S517" s="276"/>
      <c r="T517" s="276"/>
      <c r="U517" s="276"/>
      <c r="V517" s="276"/>
      <c r="W517" s="276"/>
      <c r="X517" s="276"/>
      <c r="Y517" s="276"/>
      <c r="Z517" s="276"/>
    </row>
    <row r="518" spans="1:26" ht="14.25" customHeight="1" x14ac:dyDescent="0.3">
      <c r="A518" s="307"/>
      <c r="B518" s="276"/>
      <c r="C518" s="276"/>
      <c r="D518" s="276"/>
      <c r="E518" s="276"/>
      <c r="F518" s="276"/>
      <c r="G518" s="276"/>
      <c r="H518" s="276"/>
      <c r="I518" s="276"/>
      <c r="J518" s="276"/>
      <c r="K518" s="276"/>
      <c r="L518" s="276"/>
      <c r="M518" s="276"/>
      <c r="N518" s="276"/>
      <c r="O518" s="276"/>
      <c r="P518" s="276"/>
      <c r="Q518" s="276"/>
      <c r="R518" s="276"/>
      <c r="S518" s="276"/>
      <c r="T518" s="276"/>
      <c r="U518" s="276"/>
      <c r="V518" s="276"/>
      <c r="W518" s="276"/>
      <c r="X518" s="276"/>
      <c r="Y518" s="276"/>
      <c r="Z518" s="276"/>
    </row>
    <row r="519" spans="1:26" ht="14.25" customHeight="1" x14ac:dyDescent="0.3">
      <c r="A519" s="307"/>
      <c r="B519" s="276"/>
      <c r="C519" s="276"/>
      <c r="D519" s="276"/>
      <c r="E519" s="276"/>
      <c r="F519" s="276"/>
      <c r="G519" s="276"/>
      <c r="H519" s="276"/>
      <c r="I519" s="276"/>
      <c r="J519" s="276"/>
      <c r="K519" s="276"/>
      <c r="L519" s="276"/>
      <c r="M519" s="276"/>
      <c r="N519" s="276"/>
      <c r="O519" s="276"/>
      <c r="P519" s="276"/>
      <c r="Q519" s="276"/>
      <c r="R519" s="276"/>
      <c r="S519" s="276"/>
      <c r="T519" s="276"/>
      <c r="U519" s="276"/>
      <c r="V519" s="276"/>
      <c r="W519" s="276"/>
      <c r="X519" s="276"/>
      <c r="Y519" s="276"/>
      <c r="Z519" s="276"/>
    </row>
    <row r="520" spans="1:26" ht="14.25" customHeight="1" x14ac:dyDescent="0.3">
      <c r="A520" s="307"/>
      <c r="B520" s="276"/>
      <c r="C520" s="276"/>
      <c r="D520" s="276"/>
      <c r="E520" s="276"/>
      <c r="F520" s="276"/>
      <c r="G520" s="276"/>
      <c r="H520" s="276"/>
      <c r="I520" s="276"/>
      <c r="J520" s="276"/>
      <c r="K520" s="276"/>
      <c r="L520" s="276"/>
      <c r="M520" s="276"/>
      <c r="N520" s="276"/>
      <c r="O520" s="276"/>
      <c r="P520" s="276"/>
      <c r="Q520" s="276"/>
      <c r="R520" s="276"/>
      <c r="S520" s="276"/>
      <c r="T520" s="276"/>
      <c r="U520" s="276"/>
      <c r="V520" s="276"/>
      <c r="W520" s="276"/>
      <c r="X520" s="276"/>
      <c r="Y520" s="276"/>
      <c r="Z520" s="276"/>
    </row>
    <row r="521" spans="1:26" ht="14.25" customHeight="1" x14ac:dyDescent="0.3">
      <c r="A521" s="307"/>
      <c r="B521" s="276"/>
      <c r="C521" s="276"/>
      <c r="D521" s="276"/>
      <c r="E521" s="276"/>
      <c r="F521" s="276"/>
      <c r="G521" s="276"/>
      <c r="H521" s="276"/>
      <c r="I521" s="276"/>
      <c r="J521" s="276"/>
      <c r="K521" s="276"/>
      <c r="L521" s="276"/>
      <c r="M521" s="276"/>
      <c r="N521" s="276"/>
      <c r="O521" s="276"/>
      <c r="P521" s="276"/>
      <c r="Q521" s="276"/>
      <c r="R521" s="276"/>
      <c r="S521" s="276"/>
      <c r="T521" s="276"/>
      <c r="U521" s="276"/>
      <c r="V521" s="276"/>
      <c r="W521" s="276"/>
      <c r="X521" s="276"/>
      <c r="Y521" s="276"/>
      <c r="Z521" s="276"/>
    </row>
    <row r="522" spans="1:26" ht="14.25" customHeight="1" x14ac:dyDescent="0.3">
      <c r="A522" s="307"/>
      <c r="B522" s="276"/>
      <c r="C522" s="276"/>
      <c r="D522" s="276"/>
      <c r="E522" s="276"/>
      <c r="F522" s="276"/>
      <c r="G522" s="276"/>
      <c r="H522" s="276"/>
      <c r="I522" s="276"/>
      <c r="J522" s="276"/>
      <c r="K522" s="276"/>
      <c r="L522" s="276"/>
      <c r="M522" s="276"/>
      <c r="N522" s="276"/>
      <c r="O522" s="276"/>
      <c r="P522" s="276"/>
      <c r="Q522" s="276"/>
      <c r="R522" s="276"/>
      <c r="S522" s="276"/>
      <c r="T522" s="276"/>
      <c r="U522" s="276"/>
      <c r="V522" s="276"/>
      <c r="W522" s="276"/>
      <c r="X522" s="276"/>
      <c r="Y522" s="276"/>
      <c r="Z522" s="276"/>
    </row>
    <row r="523" spans="1:26" ht="14.25" customHeight="1" x14ac:dyDescent="0.3">
      <c r="A523" s="307"/>
      <c r="B523" s="276"/>
      <c r="C523" s="276"/>
      <c r="D523" s="276"/>
      <c r="E523" s="276"/>
      <c r="F523" s="276"/>
      <c r="G523" s="276"/>
      <c r="H523" s="276"/>
      <c r="I523" s="276"/>
      <c r="J523" s="276"/>
      <c r="K523" s="276"/>
      <c r="L523" s="276"/>
      <c r="M523" s="276"/>
      <c r="N523" s="276"/>
      <c r="O523" s="276"/>
      <c r="P523" s="276"/>
      <c r="Q523" s="276"/>
      <c r="R523" s="276"/>
      <c r="S523" s="276"/>
      <c r="T523" s="276"/>
      <c r="U523" s="276"/>
      <c r="V523" s="276"/>
      <c r="W523" s="276"/>
      <c r="X523" s="276"/>
      <c r="Y523" s="276"/>
      <c r="Z523" s="276"/>
    </row>
    <row r="524" spans="1:26" ht="14.25" customHeight="1" x14ac:dyDescent="0.3">
      <c r="A524" s="307"/>
      <c r="B524" s="276"/>
      <c r="C524" s="276"/>
      <c r="D524" s="276"/>
      <c r="E524" s="276"/>
      <c r="F524" s="276"/>
      <c r="G524" s="276"/>
      <c r="H524" s="276"/>
      <c r="I524" s="276"/>
      <c r="J524" s="276"/>
      <c r="K524" s="276"/>
      <c r="L524" s="276"/>
      <c r="M524" s="276"/>
      <c r="N524" s="276"/>
      <c r="O524" s="276"/>
      <c r="P524" s="276"/>
      <c r="Q524" s="276"/>
      <c r="R524" s="276"/>
      <c r="S524" s="276"/>
      <c r="T524" s="276"/>
      <c r="U524" s="276"/>
      <c r="V524" s="276"/>
      <c r="W524" s="276"/>
      <c r="X524" s="276"/>
      <c r="Y524" s="276"/>
      <c r="Z524" s="276"/>
    </row>
    <row r="525" spans="1:26" ht="14.25" customHeight="1" x14ac:dyDescent="0.3">
      <c r="A525" s="307"/>
      <c r="B525" s="276"/>
      <c r="C525" s="276"/>
      <c r="D525" s="276"/>
      <c r="E525" s="276"/>
      <c r="F525" s="276"/>
      <c r="G525" s="276"/>
      <c r="H525" s="276"/>
      <c r="I525" s="276"/>
      <c r="J525" s="276"/>
      <c r="K525" s="276"/>
      <c r="L525" s="276"/>
      <c r="M525" s="276"/>
      <c r="N525" s="276"/>
      <c r="O525" s="276"/>
      <c r="P525" s="276"/>
      <c r="Q525" s="276"/>
      <c r="R525" s="276"/>
      <c r="S525" s="276"/>
      <c r="T525" s="276"/>
      <c r="U525" s="276"/>
      <c r="V525" s="276"/>
      <c r="W525" s="276"/>
      <c r="X525" s="276"/>
      <c r="Y525" s="276"/>
      <c r="Z525" s="276"/>
    </row>
    <row r="526" spans="1:26" ht="14.25" customHeight="1" x14ac:dyDescent="0.3">
      <c r="A526" s="307"/>
      <c r="B526" s="276"/>
      <c r="C526" s="276"/>
      <c r="D526" s="276"/>
      <c r="E526" s="276"/>
      <c r="F526" s="276"/>
      <c r="G526" s="276"/>
      <c r="H526" s="276"/>
      <c r="I526" s="276"/>
      <c r="J526" s="276"/>
      <c r="K526" s="276"/>
      <c r="L526" s="276"/>
      <c r="M526" s="276"/>
      <c r="N526" s="276"/>
      <c r="O526" s="276"/>
      <c r="P526" s="276"/>
      <c r="Q526" s="276"/>
      <c r="R526" s="276"/>
      <c r="S526" s="276"/>
      <c r="T526" s="276"/>
      <c r="U526" s="276"/>
      <c r="V526" s="276"/>
      <c r="W526" s="276"/>
      <c r="X526" s="276"/>
      <c r="Y526" s="276"/>
      <c r="Z526" s="276"/>
    </row>
    <row r="527" spans="1:26" ht="14.25" customHeight="1" x14ac:dyDescent="0.3">
      <c r="A527" s="307"/>
      <c r="B527" s="276"/>
      <c r="C527" s="276"/>
      <c r="D527" s="276"/>
      <c r="E527" s="276"/>
      <c r="F527" s="276"/>
      <c r="G527" s="276"/>
      <c r="H527" s="276"/>
      <c r="I527" s="276"/>
      <c r="J527" s="276"/>
      <c r="K527" s="276"/>
      <c r="L527" s="276"/>
      <c r="M527" s="276"/>
      <c r="N527" s="276"/>
      <c r="O527" s="276"/>
      <c r="P527" s="276"/>
      <c r="Q527" s="276"/>
      <c r="R527" s="276"/>
      <c r="S527" s="276"/>
      <c r="T527" s="276"/>
      <c r="U527" s="276"/>
      <c r="V527" s="276"/>
      <c r="W527" s="276"/>
      <c r="X527" s="276"/>
      <c r="Y527" s="276"/>
      <c r="Z527" s="276"/>
    </row>
    <row r="528" spans="1:26" ht="14.25" customHeight="1" x14ac:dyDescent="0.3">
      <c r="A528" s="307"/>
      <c r="B528" s="276"/>
      <c r="C528" s="276"/>
      <c r="D528" s="276"/>
      <c r="E528" s="276"/>
      <c r="F528" s="276"/>
      <c r="G528" s="276"/>
      <c r="H528" s="276"/>
      <c r="I528" s="276"/>
      <c r="J528" s="276"/>
      <c r="K528" s="276"/>
      <c r="L528" s="276"/>
      <c r="M528" s="276"/>
      <c r="N528" s="276"/>
      <c r="O528" s="276"/>
      <c r="P528" s="276"/>
      <c r="Q528" s="276"/>
      <c r="R528" s="276"/>
      <c r="S528" s="276"/>
      <c r="T528" s="276"/>
      <c r="U528" s="276"/>
      <c r="V528" s="276"/>
      <c r="W528" s="276"/>
      <c r="X528" s="276"/>
      <c r="Y528" s="276"/>
      <c r="Z528" s="276"/>
    </row>
    <row r="529" spans="1:26" ht="14.25" customHeight="1" x14ac:dyDescent="0.3">
      <c r="A529" s="307"/>
      <c r="B529" s="276"/>
      <c r="C529" s="276"/>
      <c r="D529" s="276"/>
      <c r="E529" s="276"/>
      <c r="F529" s="276"/>
      <c r="G529" s="276"/>
      <c r="H529" s="276"/>
      <c r="I529" s="276"/>
      <c r="J529" s="276"/>
      <c r="K529" s="276"/>
      <c r="L529" s="276"/>
      <c r="M529" s="276"/>
      <c r="N529" s="276"/>
      <c r="O529" s="276"/>
      <c r="P529" s="276"/>
      <c r="Q529" s="276"/>
      <c r="R529" s="276"/>
      <c r="S529" s="276"/>
      <c r="T529" s="276"/>
      <c r="U529" s="276"/>
      <c r="V529" s="276"/>
      <c r="W529" s="276"/>
      <c r="X529" s="276"/>
      <c r="Y529" s="276"/>
      <c r="Z529" s="276"/>
    </row>
    <row r="530" spans="1:26" ht="14.25" customHeight="1" x14ac:dyDescent="0.3">
      <c r="A530" s="307"/>
      <c r="B530" s="276"/>
      <c r="C530" s="276"/>
      <c r="D530" s="276"/>
      <c r="E530" s="276"/>
      <c r="F530" s="276"/>
      <c r="G530" s="276"/>
      <c r="H530" s="276"/>
      <c r="I530" s="276"/>
      <c r="J530" s="276"/>
      <c r="K530" s="276"/>
      <c r="L530" s="276"/>
      <c r="M530" s="276"/>
      <c r="N530" s="276"/>
      <c r="O530" s="276"/>
      <c r="P530" s="276"/>
      <c r="Q530" s="276"/>
      <c r="R530" s="276"/>
      <c r="S530" s="276"/>
      <c r="T530" s="276"/>
      <c r="U530" s="276"/>
      <c r="V530" s="276"/>
      <c r="W530" s="276"/>
      <c r="X530" s="276"/>
      <c r="Y530" s="276"/>
      <c r="Z530" s="276"/>
    </row>
    <row r="531" spans="1:26" ht="14.25" customHeight="1" x14ac:dyDescent="0.3">
      <c r="A531" s="307"/>
      <c r="B531" s="276"/>
      <c r="C531" s="276"/>
      <c r="D531" s="276"/>
      <c r="E531" s="276"/>
      <c r="F531" s="276"/>
      <c r="G531" s="276"/>
      <c r="H531" s="276"/>
      <c r="I531" s="276"/>
      <c r="J531" s="276"/>
      <c r="K531" s="276"/>
      <c r="L531" s="276"/>
      <c r="M531" s="276"/>
      <c r="N531" s="276"/>
      <c r="O531" s="276"/>
      <c r="P531" s="276"/>
      <c r="Q531" s="276"/>
      <c r="R531" s="276"/>
      <c r="S531" s="276"/>
      <c r="T531" s="276"/>
      <c r="U531" s="276"/>
      <c r="V531" s="276"/>
      <c r="W531" s="276"/>
      <c r="X531" s="276"/>
      <c r="Y531" s="276"/>
      <c r="Z531" s="276"/>
    </row>
    <row r="532" spans="1:26" ht="14.25" customHeight="1" x14ac:dyDescent="0.3">
      <c r="A532" s="307"/>
      <c r="B532" s="276"/>
      <c r="C532" s="276"/>
      <c r="D532" s="276"/>
      <c r="E532" s="276"/>
      <c r="F532" s="276"/>
      <c r="G532" s="276"/>
      <c r="H532" s="276"/>
      <c r="I532" s="276"/>
      <c r="J532" s="276"/>
      <c r="K532" s="276"/>
      <c r="L532" s="276"/>
      <c r="M532" s="276"/>
      <c r="N532" s="276"/>
      <c r="O532" s="276"/>
      <c r="P532" s="276"/>
      <c r="Q532" s="276"/>
      <c r="R532" s="276"/>
      <c r="S532" s="276"/>
      <c r="T532" s="276"/>
      <c r="U532" s="276"/>
      <c r="V532" s="276"/>
      <c r="W532" s="276"/>
      <c r="X532" s="276"/>
      <c r="Y532" s="276"/>
      <c r="Z532" s="276"/>
    </row>
    <row r="533" spans="1:26" ht="14.25" customHeight="1" x14ac:dyDescent="0.3">
      <c r="A533" s="307"/>
      <c r="B533" s="276"/>
      <c r="C533" s="276"/>
      <c r="D533" s="276"/>
      <c r="E533" s="276"/>
      <c r="F533" s="276"/>
      <c r="G533" s="276"/>
      <c r="H533" s="276"/>
      <c r="I533" s="276"/>
      <c r="J533" s="276"/>
      <c r="K533" s="276"/>
      <c r="L533" s="276"/>
      <c r="M533" s="276"/>
      <c r="N533" s="276"/>
      <c r="O533" s="276"/>
      <c r="P533" s="276"/>
      <c r="Q533" s="276"/>
      <c r="R533" s="276"/>
      <c r="S533" s="276"/>
      <c r="T533" s="276"/>
      <c r="U533" s="276"/>
      <c r="V533" s="276"/>
      <c r="W533" s="276"/>
      <c r="X533" s="276"/>
      <c r="Y533" s="276"/>
      <c r="Z533" s="276"/>
    </row>
    <row r="534" spans="1:26" ht="14.25" customHeight="1" x14ac:dyDescent="0.3">
      <c r="A534" s="307"/>
      <c r="B534" s="276"/>
      <c r="C534" s="276"/>
      <c r="D534" s="276"/>
      <c r="E534" s="276"/>
      <c r="F534" s="276"/>
      <c r="G534" s="276"/>
      <c r="H534" s="276"/>
      <c r="I534" s="276"/>
      <c r="J534" s="276"/>
      <c r="K534" s="276"/>
      <c r="L534" s="276"/>
      <c r="M534" s="276"/>
      <c r="N534" s="276"/>
      <c r="O534" s="276"/>
      <c r="P534" s="276"/>
      <c r="Q534" s="276"/>
      <c r="R534" s="276"/>
      <c r="S534" s="276"/>
      <c r="T534" s="276"/>
      <c r="U534" s="276"/>
      <c r="V534" s="276"/>
      <c r="W534" s="276"/>
      <c r="X534" s="276"/>
      <c r="Y534" s="276"/>
      <c r="Z534" s="276"/>
    </row>
    <row r="535" spans="1:26" ht="14.25" customHeight="1" x14ac:dyDescent="0.3">
      <c r="A535" s="307"/>
      <c r="B535" s="276"/>
      <c r="C535" s="276"/>
      <c r="D535" s="276"/>
      <c r="E535" s="276"/>
      <c r="F535" s="276"/>
      <c r="G535" s="276"/>
      <c r="H535" s="276"/>
      <c r="I535" s="276"/>
      <c r="J535" s="276"/>
      <c r="K535" s="276"/>
      <c r="L535" s="276"/>
      <c r="M535" s="276"/>
      <c r="N535" s="276"/>
      <c r="O535" s="276"/>
      <c r="P535" s="276"/>
      <c r="Q535" s="276"/>
      <c r="R535" s="276"/>
      <c r="S535" s="276"/>
      <c r="T535" s="276"/>
      <c r="U535" s="276"/>
      <c r="V535" s="276"/>
      <c r="W535" s="276"/>
      <c r="X535" s="276"/>
      <c r="Y535" s="276"/>
      <c r="Z535" s="276"/>
    </row>
    <row r="536" spans="1:26" ht="14.25" customHeight="1" x14ac:dyDescent="0.3">
      <c r="A536" s="307"/>
      <c r="B536" s="276"/>
      <c r="C536" s="276"/>
      <c r="D536" s="276"/>
      <c r="E536" s="276"/>
      <c r="F536" s="276"/>
      <c r="G536" s="276"/>
      <c r="H536" s="276"/>
      <c r="I536" s="276"/>
      <c r="J536" s="276"/>
      <c r="K536" s="276"/>
      <c r="L536" s="276"/>
      <c r="M536" s="276"/>
      <c r="N536" s="276"/>
      <c r="O536" s="276"/>
      <c r="P536" s="276"/>
      <c r="Q536" s="276"/>
      <c r="R536" s="276"/>
      <c r="S536" s="276"/>
      <c r="T536" s="276"/>
      <c r="U536" s="276"/>
      <c r="V536" s="276"/>
      <c r="W536" s="276"/>
      <c r="X536" s="276"/>
      <c r="Y536" s="276"/>
      <c r="Z536" s="276"/>
    </row>
    <row r="537" spans="1:26" ht="14.25" customHeight="1" x14ac:dyDescent="0.3">
      <c r="A537" s="307"/>
      <c r="B537" s="276"/>
      <c r="C537" s="276"/>
      <c r="D537" s="276"/>
      <c r="E537" s="276"/>
      <c r="F537" s="276"/>
      <c r="G537" s="276"/>
      <c r="H537" s="276"/>
      <c r="I537" s="276"/>
      <c r="J537" s="276"/>
      <c r="K537" s="276"/>
      <c r="L537" s="276"/>
      <c r="M537" s="276"/>
      <c r="N537" s="276"/>
      <c r="O537" s="276"/>
      <c r="P537" s="276"/>
      <c r="Q537" s="276"/>
      <c r="R537" s="276"/>
      <c r="S537" s="276"/>
      <c r="T537" s="276"/>
      <c r="U537" s="276"/>
      <c r="V537" s="276"/>
      <c r="W537" s="276"/>
      <c r="X537" s="276"/>
      <c r="Y537" s="276"/>
      <c r="Z537" s="276"/>
    </row>
    <row r="538" spans="1:26" ht="14.25" customHeight="1" x14ac:dyDescent="0.3">
      <c r="A538" s="307"/>
      <c r="B538" s="276"/>
      <c r="C538" s="276"/>
      <c r="D538" s="276"/>
      <c r="E538" s="276"/>
      <c r="F538" s="276"/>
      <c r="G538" s="276"/>
      <c r="H538" s="276"/>
      <c r="I538" s="276"/>
      <c r="J538" s="276"/>
      <c r="K538" s="276"/>
      <c r="L538" s="276"/>
      <c r="M538" s="276"/>
      <c r="N538" s="276"/>
      <c r="O538" s="276"/>
      <c r="P538" s="276"/>
      <c r="Q538" s="276"/>
      <c r="R538" s="276"/>
      <c r="S538" s="276"/>
      <c r="T538" s="276"/>
      <c r="U538" s="276"/>
      <c r="V538" s="276"/>
      <c r="W538" s="276"/>
      <c r="X538" s="276"/>
      <c r="Y538" s="276"/>
      <c r="Z538" s="276"/>
    </row>
    <row r="539" spans="1:26" ht="14.25" customHeight="1" x14ac:dyDescent="0.3">
      <c r="A539" s="307"/>
      <c r="B539" s="276"/>
      <c r="C539" s="276"/>
      <c r="D539" s="276"/>
      <c r="E539" s="276"/>
      <c r="F539" s="276"/>
      <c r="G539" s="276"/>
      <c r="H539" s="276"/>
      <c r="I539" s="276"/>
      <c r="J539" s="276"/>
      <c r="K539" s="276"/>
      <c r="L539" s="276"/>
      <c r="M539" s="276"/>
      <c r="N539" s="276"/>
      <c r="O539" s="276"/>
      <c r="P539" s="276"/>
      <c r="Q539" s="276"/>
      <c r="R539" s="276"/>
      <c r="S539" s="276"/>
      <c r="T539" s="276"/>
      <c r="U539" s="276"/>
      <c r="V539" s="276"/>
      <c r="W539" s="276"/>
      <c r="X539" s="276"/>
      <c r="Y539" s="276"/>
      <c r="Z539" s="276"/>
    </row>
    <row r="540" spans="1:26" ht="14.25" customHeight="1" x14ac:dyDescent="0.3">
      <c r="A540" s="307"/>
      <c r="B540" s="276"/>
      <c r="C540" s="276"/>
      <c r="D540" s="276"/>
      <c r="E540" s="276"/>
      <c r="F540" s="276"/>
      <c r="G540" s="276"/>
      <c r="H540" s="276"/>
      <c r="I540" s="276"/>
      <c r="J540" s="276"/>
      <c r="K540" s="276"/>
      <c r="L540" s="276"/>
      <c r="M540" s="276"/>
      <c r="N540" s="276"/>
      <c r="O540" s="276"/>
      <c r="P540" s="276"/>
      <c r="Q540" s="276"/>
      <c r="R540" s="276"/>
      <c r="S540" s="276"/>
      <c r="T540" s="276"/>
      <c r="U540" s="276"/>
      <c r="V540" s="276"/>
      <c r="W540" s="276"/>
      <c r="X540" s="276"/>
      <c r="Y540" s="276"/>
      <c r="Z540" s="276"/>
    </row>
    <row r="541" spans="1:26" ht="14.25" customHeight="1" x14ac:dyDescent="0.3">
      <c r="A541" s="307"/>
      <c r="B541" s="276"/>
      <c r="C541" s="276"/>
      <c r="D541" s="276"/>
      <c r="E541" s="276"/>
      <c r="F541" s="276"/>
      <c r="G541" s="276"/>
      <c r="H541" s="276"/>
      <c r="I541" s="276"/>
      <c r="J541" s="276"/>
      <c r="K541" s="276"/>
      <c r="L541" s="276"/>
      <c r="M541" s="276"/>
      <c r="N541" s="276"/>
      <c r="O541" s="276"/>
      <c r="P541" s="276"/>
      <c r="Q541" s="276"/>
      <c r="R541" s="276"/>
      <c r="S541" s="276"/>
      <c r="T541" s="276"/>
      <c r="U541" s="276"/>
      <c r="V541" s="276"/>
      <c r="W541" s="276"/>
      <c r="X541" s="276"/>
      <c r="Y541" s="276"/>
      <c r="Z541" s="276"/>
    </row>
    <row r="542" spans="1:26" ht="14.25" customHeight="1" x14ac:dyDescent="0.3">
      <c r="A542" s="307"/>
      <c r="B542" s="276"/>
      <c r="C542" s="276"/>
      <c r="D542" s="276"/>
      <c r="E542" s="276"/>
      <c r="F542" s="276"/>
      <c r="G542" s="276"/>
      <c r="H542" s="276"/>
      <c r="I542" s="276"/>
      <c r="J542" s="276"/>
      <c r="K542" s="276"/>
      <c r="L542" s="276"/>
      <c r="M542" s="276"/>
      <c r="N542" s="276"/>
      <c r="O542" s="276"/>
      <c r="P542" s="276"/>
      <c r="Q542" s="276"/>
      <c r="R542" s="276"/>
      <c r="S542" s="276"/>
      <c r="T542" s="276"/>
      <c r="U542" s="276"/>
      <c r="V542" s="276"/>
      <c r="W542" s="276"/>
      <c r="X542" s="276"/>
      <c r="Y542" s="276"/>
      <c r="Z542" s="276"/>
    </row>
    <row r="543" spans="1:26" ht="14.25" customHeight="1" x14ac:dyDescent="0.3">
      <c r="A543" s="307"/>
      <c r="B543" s="276"/>
      <c r="C543" s="276"/>
      <c r="D543" s="276"/>
      <c r="E543" s="276"/>
      <c r="F543" s="276"/>
      <c r="G543" s="276"/>
      <c r="H543" s="276"/>
      <c r="I543" s="276"/>
      <c r="J543" s="276"/>
      <c r="K543" s="276"/>
      <c r="L543" s="276"/>
      <c r="M543" s="276"/>
      <c r="N543" s="276"/>
      <c r="O543" s="276"/>
      <c r="P543" s="276"/>
      <c r="Q543" s="276"/>
      <c r="R543" s="276"/>
      <c r="S543" s="276"/>
      <c r="T543" s="276"/>
      <c r="U543" s="276"/>
      <c r="V543" s="276"/>
      <c r="W543" s="276"/>
      <c r="X543" s="276"/>
      <c r="Y543" s="276"/>
      <c r="Z543" s="276"/>
    </row>
    <row r="544" spans="1:26" ht="14.25" customHeight="1" x14ac:dyDescent="0.3">
      <c r="A544" s="307"/>
      <c r="B544" s="276"/>
      <c r="C544" s="276"/>
      <c r="D544" s="276"/>
      <c r="E544" s="276"/>
      <c r="F544" s="276"/>
      <c r="G544" s="276"/>
      <c r="H544" s="276"/>
      <c r="I544" s="276"/>
      <c r="J544" s="276"/>
      <c r="K544" s="276"/>
      <c r="L544" s="276"/>
      <c r="M544" s="276"/>
      <c r="N544" s="276"/>
      <c r="O544" s="276"/>
      <c r="P544" s="276"/>
      <c r="Q544" s="276"/>
      <c r="R544" s="276"/>
      <c r="S544" s="276"/>
      <c r="T544" s="276"/>
      <c r="U544" s="276"/>
      <c r="V544" s="276"/>
      <c r="W544" s="276"/>
      <c r="X544" s="276"/>
      <c r="Y544" s="276"/>
      <c r="Z544" s="276"/>
    </row>
    <row r="545" spans="1:26" ht="14.25" customHeight="1" x14ac:dyDescent="0.3">
      <c r="A545" s="307"/>
      <c r="B545" s="276"/>
      <c r="C545" s="276"/>
      <c r="D545" s="276"/>
      <c r="E545" s="276"/>
      <c r="F545" s="276"/>
      <c r="G545" s="276"/>
      <c r="H545" s="276"/>
      <c r="I545" s="276"/>
      <c r="J545" s="276"/>
      <c r="K545" s="276"/>
      <c r="L545" s="276"/>
      <c r="M545" s="276"/>
      <c r="N545" s="276"/>
      <c r="O545" s="276"/>
      <c r="P545" s="276"/>
      <c r="Q545" s="276"/>
      <c r="R545" s="276"/>
      <c r="S545" s="276"/>
      <c r="T545" s="276"/>
      <c r="U545" s="276"/>
      <c r="V545" s="276"/>
      <c r="W545" s="276"/>
      <c r="X545" s="276"/>
      <c r="Y545" s="276"/>
      <c r="Z545" s="276"/>
    </row>
    <row r="546" spans="1:26" ht="14.25" customHeight="1" x14ac:dyDescent="0.3">
      <c r="A546" s="307"/>
      <c r="B546" s="276"/>
      <c r="C546" s="276"/>
      <c r="D546" s="276"/>
      <c r="E546" s="276"/>
      <c r="F546" s="276"/>
      <c r="G546" s="276"/>
      <c r="H546" s="276"/>
      <c r="I546" s="276"/>
      <c r="J546" s="276"/>
      <c r="K546" s="276"/>
      <c r="L546" s="276"/>
      <c r="M546" s="276"/>
      <c r="N546" s="276"/>
      <c r="O546" s="276"/>
      <c r="P546" s="276"/>
      <c r="Q546" s="276"/>
      <c r="R546" s="276"/>
      <c r="S546" s="276"/>
      <c r="T546" s="276"/>
      <c r="U546" s="276"/>
      <c r="V546" s="276"/>
      <c r="W546" s="276"/>
      <c r="X546" s="276"/>
      <c r="Y546" s="276"/>
      <c r="Z546" s="276"/>
    </row>
    <row r="547" spans="1:26" ht="14.25" customHeight="1" x14ac:dyDescent="0.3">
      <c r="A547" s="307"/>
      <c r="B547" s="276"/>
      <c r="C547" s="276"/>
      <c r="D547" s="276"/>
      <c r="E547" s="276"/>
      <c r="F547" s="276"/>
      <c r="G547" s="276"/>
      <c r="H547" s="276"/>
      <c r="I547" s="276"/>
      <c r="J547" s="276"/>
      <c r="K547" s="276"/>
      <c r="L547" s="276"/>
      <c r="M547" s="276"/>
      <c r="N547" s="276"/>
      <c r="O547" s="276"/>
      <c r="P547" s="276"/>
      <c r="Q547" s="276"/>
      <c r="R547" s="276"/>
      <c r="S547" s="276"/>
      <c r="T547" s="276"/>
      <c r="U547" s="276"/>
      <c r="V547" s="276"/>
      <c r="W547" s="276"/>
      <c r="X547" s="276"/>
      <c r="Y547" s="276"/>
      <c r="Z547" s="276"/>
    </row>
    <row r="548" spans="1:26" ht="14.25" customHeight="1" x14ac:dyDescent="0.3">
      <c r="A548" s="307"/>
      <c r="B548" s="276"/>
      <c r="C548" s="276"/>
      <c r="D548" s="276"/>
      <c r="E548" s="276"/>
      <c r="F548" s="276"/>
      <c r="G548" s="276"/>
      <c r="H548" s="276"/>
      <c r="I548" s="276"/>
      <c r="J548" s="276"/>
      <c r="K548" s="276"/>
      <c r="L548" s="276"/>
      <c r="M548" s="276"/>
      <c r="N548" s="276"/>
      <c r="O548" s="276"/>
      <c r="P548" s="276"/>
      <c r="Q548" s="276"/>
      <c r="R548" s="276"/>
      <c r="S548" s="276"/>
      <c r="T548" s="276"/>
      <c r="U548" s="276"/>
      <c r="V548" s="276"/>
      <c r="W548" s="276"/>
      <c r="X548" s="276"/>
      <c r="Y548" s="276"/>
      <c r="Z548" s="276"/>
    </row>
    <row r="549" spans="1:26" ht="14.25" customHeight="1" x14ac:dyDescent="0.3">
      <c r="A549" s="307"/>
      <c r="B549" s="276"/>
      <c r="C549" s="276"/>
      <c r="D549" s="276"/>
      <c r="E549" s="276"/>
      <c r="F549" s="276"/>
      <c r="G549" s="276"/>
      <c r="H549" s="276"/>
      <c r="I549" s="276"/>
      <c r="J549" s="276"/>
      <c r="K549" s="276"/>
      <c r="L549" s="276"/>
      <c r="M549" s="276"/>
      <c r="N549" s="276"/>
      <c r="O549" s="276"/>
      <c r="P549" s="276"/>
      <c r="Q549" s="276"/>
      <c r="R549" s="276"/>
      <c r="S549" s="276"/>
      <c r="T549" s="276"/>
      <c r="U549" s="276"/>
      <c r="V549" s="276"/>
      <c r="W549" s="276"/>
      <c r="X549" s="276"/>
      <c r="Y549" s="276"/>
      <c r="Z549" s="276"/>
    </row>
    <row r="550" spans="1:26" ht="14.25" customHeight="1" x14ac:dyDescent="0.3">
      <c r="A550" s="307"/>
      <c r="B550" s="276"/>
      <c r="C550" s="276"/>
      <c r="D550" s="276"/>
      <c r="E550" s="276"/>
      <c r="F550" s="276"/>
      <c r="G550" s="276"/>
      <c r="H550" s="276"/>
      <c r="I550" s="276"/>
      <c r="J550" s="276"/>
      <c r="K550" s="276"/>
      <c r="L550" s="276"/>
      <c r="M550" s="276"/>
      <c r="N550" s="276"/>
      <c r="O550" s="276"/>
      <c r="P550" s="276"/>
      <c r="Q550" s="276"/>
      <c r="R550" s="276"/>
      <c r="S550" s="276"/>
      <c r="T550" s="276"/>
      <c r="U550" s="276"/>
      <c r="V550" s="276"/>
      <c r="W550" s="276"/>
      <c r="X550" s="276"/>
      <c r="Y550" s="276"/>
      <c r="Z550" s="276"/>
    </row>
    <row r="551" spans="1:26" ht="14.25" customHeight="1" x14ac:dyDescent="0.3">
      <c r="A551" s="307"/>
      <c r="B551" s="276"/>
      <c r="C551" s="276"/>
      <c r="D551" s="276"/>
      <c r="E551" s="276"/>
      <c r="F551" s="276"/>
      <c r="G551" s="276"/>
      <c r="H551" s="276"/>
      <c r="I551" s="276"/>
      <c r="J551" s="276"/>
      <c r="K551" s="276"/>
      <c r="L551" s="276"/>
      <c r="M551" s="276"/>
      <c r="N551" s="276"/>
      <c r="O551" s="276"/>
      <c r="P551" s="276"/>
      <c r="Q551" s="276"/>
      <c r="R551" s="276"/>
      <c r="S551" s="276"/>
      <c r="T551" s="276"/>
      <c r="U551" s="276"/>
      <c r="V551" s="276"/>
      <c r="W551" s="276"/>
      <c r="X551" s="276"/>
      <c r="Y551" s="276"/>
      <c r="Z551" s="276"/>
    </row>
    <row r="552" spans="1:26" ht="14.25" customHeight="1" x14ac:dyDescent="0.3">
      <c r="A552" s="307"/>
      <c r="B552" s="276"/>
      <c r="C552" s="276"/>
      <c r="D552" s="276"/>
      <c r="E552" s="276"/>
      <c r="F552" s="276"/>
      <c r="G552" s="276"/>
      <c r="H552" s="276"/>
      <c r="I552" s="276"/>
      <c r="J552" s="276"/>
      <c r="K552" s="276"/>
      <c r="L552" s="276"/>
      <c r="M552" s="276"/>
      <c r="N552" s="276"/>
      <c r="O552" s="276"/>
      <c r="P552" s="276"/>
      <c r="Q552" s="276"/>
      <c r="R552" s="276"/>
      <c r="S552" s="276"/>
      <c r="T552" s="276"/>
      <c r="U552" s="276"/>
      <c r="V552" s="276"/>
      <c r="W552" s="276"/>
      <c r="X552" s="276"/>
      <c r="Y552" s="276"/>
      <c r="Z552" s="276"/>
    </row>
    <row r="553" spans="1:26" ht="14.25" customHeight="1" x14ac:dyDescent="0.3">
      <c r="A553" s="307"/>
      <c r="B553" s="276"/>
      <c r="C553" s="276"/>
      <c r="D553" s="276"/>
      <c r="E553" s="276"/>
      <c r="F553" s="276"/>
      <c r="G553" s="276"/>
      <c r="H553" s="276"/>
      <c r="I553" s="276"/>
      <c r="J553" s="276"/>
      <c r="K553" s="276"/>
      <c r="L553" s="276"/>
      <c r="M553" s="276"/>
      <c r="N553" s="276"/>
      <c r="O553" s="276"/>
      <c r="P553" s="276"/>
      <c r="Q553" s="276"/>
      <c r="R553" s="276"/>
      <c r="S553" s="276"/>
      <c r="T553" s="276"/>
      <c r="U553" s="276"/>
      <c r="V553" s="276"/>
      <c r="W553" s="276"/>
      <c r="X553" s="276"/>
      <c r="Y553" s="276"/>
      <c r="Z553" s="276"/>
    </row>
    <row r="554" spans="1:26" ht="14.25" customHeight="1" x14ac:dyDescent="0.3">
      <c r="A554" s="307"/>
      <c r="B554" s="276"/>
      <c r="C554" s="276"/>
      <c r="D554" s="276"/>
      <c r="E554" s="276"/>
      <c r="F554" s="276"/>
      <c r="G554" s="276"/>
      <c r="H554" s="276"/>
      <c r="I554" s="276"/>
      <c r="J554" s="276"/>
      <c r="K554" s="276"/>
      <c r="L554" s="276"/>
      <c r="M554" s="276"/>
      <c r="N554" s="276"/>
      <c r="O554" s="276"/>
      <c r="P554" s="276"/>
      <c r="Q554" s="276"/>
      <c r="R554" s="276"/>
      <c r="S554" s="276"/>
      <c r="T554" s="276"/>
      <c r="U554" s="276"/>
      <c r="V554" s="276"/>
      <c r="W554" s="276"/>
      <c r="X554" s="276"/>
      <c r="Y554" s="276"/>
      <c r="Z554" s="276"/>
    </row>
    <row r="555" spans="1:26" ht="14.25" customHeight="1" x14ac:dyDescent="0.3">
      <c r="A555" s="307"/>
      <c r="B555" s="276"/>
      <c r="C555" s="276"/>
      <c r="D555" s="276"/>
      <c r="E555" s="276"/>
      <c r="F555" s="276"/>
      <c r="G555" s="276"/>
      <c r="H555" s="276"/>
      <c r="I555" s="276"/>
      <c r="J555" s="276"/>
      <c r="K555" s="276"/>
      <c r="L555" s="276"/>
      <c r="M555" s="276"/>
      <c r="N555" s="276"/>
      <c r="O555" s="276"/>
      <c r="P555" s="276"/>
      <c r="Q555" s="276"/>
      <c r="R555" s="276"/>
      <c r="S555" s="276"/>
      <c r="T555" s="276"/>
      <c r="U555" s="276"/>
      <c r="V555" s="276"/>
      <c r="W555" s="276"/>
      <c r="X555" s="276"/>
      <c r="Y555" s="276"/>
      <c r="Z555" s="276"/>
    </row>
    <row r="556" spans="1:26" ht="14.25" customHeight="1" x14ac:dyDescent="0.3">
      <c r="A556" s="307"/>
      <c r="B556" s="276"/>
      <c r="C556" s="276"/>
      <c r="D556" s="276"/>
      <c r="E556" s="276"/>
      <c r="F556" s="276"/>
      <c r="G556" s="276"/>
      <c r="H556" s="276"/>
      <c r="I556" s="276"/>
      <c r="J556" s="276"/>
      <c r="K556" s="276"/>
      <c r="L556" s="276"/>
      <c r="M556" s="276"/>
      <c r="N556" s="276"/>
      <c r="O556" s="276"/>
      <c r="P556" s="276"/>
      <c r="Q556" s="276"/>
      <c r="R556" s="276"/>
      <c r="S556" s="276"/>
      <c r="T556" s="276"/>
      <c r="U556" s="276"/>
      <c r="V556" s="276"/>
      <c r="W556" s="276"/>
      <c r="X556" s="276"/>
      <c r="Y556" s="276"/>
      <c r="Z556" s="276"/>
    </row>
    <row r="557" spans="1:26" ht="14.25" customHeight="1" x14ac:dyDescent="0.3">
      <c r="A557" s="307"/>
      <c r="B557" s="276"/>
      <c r="C557" s="276"/>
      <c r="D557" s="276"/>
      <c r="E557" s="276"/>
      <c r="F557" s="276"/>
      <c r="G557" s="276"/>
      <c r="H557" s="276"/>
      <c r="I557" s="276"/>
      <c r="J557" s="276"/>
      <c r="K557" s="276"/>
      <c r="L557" s="276"/>
      <c r="M557" s="276"/>
      <c r="N557" s="276"/>
      <c r="O557" s="276"/>
      <c r="P557" s="276"/>
      <c r="Q557" s="276"/>
      <c r="R557" s="276"/>
      <c r="S557" s="276"/>
      <c r="T557" s="276"/>
      <c r="U557" s="276"/>
      <c r="V557" s="276"/>
      <c r="W557" s="276"/>
      <c r="X557" s="276"/>
      <c r="Y557" s="276"/>
      <c r="Z557" s="276"/>
    </row>
    <row r="558" spans="1:26" ht="14.25" customHeight="1" x14ac:dyDescent="0.3">
      <c r="A558" s="307"/>
      <c r="B558" s="276"/>
      <c r="C558" s="276"/>
      <c r="D558" s="276"/>
      <c r="E558" s="276"/>
      <c r="F558" s="276"/>
      <c r="G558" s="276"/>
      <c r="H558" s="276"/>
      <c r="I558" s="276"/>
      <c r="J558" s="276"/>
      <c r="K558" s="276"/>
      <c r="L558" s="276"/>
      <c r="M558" s="276"/>
      <c r="N558" s="276"/>
      <c r="O558" s="276"/>
      <c r="P558" s="276"/>
      <c r="Q558" s="276"/>
      <c r="R558" s="276"/>
      <c r="S558" s="276"/>
      <c r="T558" s="276"/>
      <c r="U558" s="276"/>
      <c r="V558" s="276"/>
      <c r="W558" s="276"/>
      <c r="X558" s="276"/>
      <c r="Y558" s="276"/>
      <c r="Z558" s="276"/>
    </row>
    <row r="559" spans="1:26" ht="14.25" customHeight="1" x14ac:dyDescent="0.3">
      <c r="A559" s="307"/>
      <c r="B559" s="276"/>
      <c r="C559" s="276"/>
      <c r="D559" s="276"/>
      <c r="E559" s="276"/>
      <c r="F559" s="276"/>
      <c r="G559" s="276"/>
      <c r="H559" s="276"/>
      <c r="I559" s="276"/>
      <c r="J559" s="276"/>
      <c r="K559" s="276"/>
      <c r="L559" s="276"/>
      <c r="M559" s="276"/>
      <c r="N559" s="276"/>
      <c r="O559" s="276"/>
      <c r="P559" s="276"/>
      <c r="Q559" s="276"/>
      <c r="R559" s="276"/>
      <c r="S559" s="276"/>
      <c r="T559" s="276"/>
      <c r="U559" s="276"/>
      <c r="V559" s="276"/>
      <c r="W559" s="276"/>
      <c r="X559" s="276"/>
      <c r="Y559" s="276"/>
      <c r="Z559" s="276"/>
    </row>
    <row r="560" spans="1:26" ht="14.25" customHeight="1" x14ac:dyDescent="0.3">
      <c r="A560" s="307"/>
      <c r="B560" s="276"/>
      <c r="C560" s="276"/>
      <c r="D560" s="276"/>
      <c r="E560" s="276"/>
      <c r="F560" s="276"/>
      <c r="G560" s="276"/>
      <c r="H560" s="276"/>
      <c r="I560" s="276"/>
      <c r="J560" s="276"/>
      <c r="K560" s="276"/>
      <c r="L560" s="276"/>
      <c r="M560" s="276"/>
      <c r="N560" s="276"/>
      <c r="O560" s="276"/>
      <c r="P560" s="276"/>
      <c r="Q560" s="276"/>
      <c r="R560" s="276"/>
      <c r="S560" s="276"/>
      <c r="T560" s="276"/>
      <c r="U560" s="276"/>
      <c r="V560" s="276"/>
      <c r="W560" s="276"/>
      <c r="X560" s="276"/>
      <c r="Y560" s="276"/>
      <c r="Z560" s="276"/>
    </row>
    <row r="561" spans="1:26" ht="14.25" customHeight="1" x14ac:dyDescent="0.3">
      <c r="A561" s="307"/>
      <c r="B561" s="276"/>
      <c r="C561" s="276"/>
      <c r="D561" s="276"/>
      <c r="E561" s="276"/>
      <c r="F561" s="276"/>
      <c r="G561" s="276"/>
      <c r="H561" s="276"/>
      <c r="I561" s="276"/>
      <c r="J561" s="276"/>
      <c r="K561" s="276"/>
      <c r="L561" s="276"/>
      <c r="M561" s="276"/>
      <c r="N561" s="276"/>
      <c r="O561" s="276"/>
      <c r="P561" s="276"/>
      <c r="Q561" s="276"/>
      <c r="R561" s="276"/>
      <c r="S561" s="276"/>
      <c r="T561" s="276"/>
      <c r="U561" s="276"/>
      <c r="V561" s="276"/>
      <c r="W561" s="276"/>
      <c r="X561" s="276"/>
      <c r="Y561" s="276"/>
      <c r="Z561" s="276"/>
    </row>
    <row r="562" spans="1:26" ht="14.25" customHeight="1" x14ac:dyDescent="0.3">
      <c r="A562" s="307"/>
      <c r="B562" s="276"/>
      <c r="C562" s="276"/>
      <c r="D562" s="276"/>
      <c r="E562" s="276"/>
      <c r="F562" s="276"/>
      <c r="G562" s="276"/>
      <c r="H562" s="276"/>
      <c r="I562" s="276"/>
      <c r="J562" s="276"/>
      <c r="K562" s="276"/>
      <c r="L562" s="276"/>
      <c r="M562" s="276"/>
      <c r="N562" s="276"/>
      <c r="O562" s="276"/>
      <c r="P562" s="276"/>
      <c r="Q562" s="276"/>
      <c r="R562" s="276"/>
      <c r="S562" s="276"/>
      <c r="T562" s="276"/>
      <c r="U562" s="276"/>
      <c r="V562" s="276"/>
      <c r="W562" s="276"/>
      <c r="X562" s="276"/>
      <c r="Y562" s="276"/>
      <c r="Z562" s="276"/>
    </row>
    <row r="563" spans="1:26" ht="14.25" customHeight="1" x14ac:dyDescent="0.3">
      <c r="A563" s="307"/>
      <c r="B563" s="276"/>
      <c r="C563" s="276"/>
      <c r="D563" s="276"/>
      <c r="E563" s="276"/>
      <c r="F563" s="276"/>
      <c r="G563" s="276"/>
      <c r="H563" s="276"/>
      <c r="I563" s="276"/>
      <c r="J563" s="276"/>
      <c r="K563" s="276"/>
      <c r="L563" s="276"/>
      <c r="M563" s="276"/>
      <c r="N563" s="276"/>
      <c r="O563" s="276"/>
      <c r="P563" s="276"/>
      <c r="Q563" s="276"/>
      <c r="R563" s="276"/>
      <c r="S563" s="276"/>
      <c r="T563" s="276"/>
      <c r="U563" s="276"/>
      <c r="V563" s="276"/>
      <c r="W563" s="276"/>
      <c r="X563" s="276"/>
      <c r="Y563" s="276"/>
      <c r="Z563" s="276"/>
    </row>
    <row r="564" spans="1:26" ht="14.25" customHeight="1" x14ac:dyDescent="0.3">
      <c r="A564" s="307"/>
      <c r="B564" s="276"/>
      <c r="C564" s="276"/>
      <c r="D564" s="276"/>
      <c r="E564" s="276"/>
      <c r="F564" s="276"/>
      <c r="G564" s="276"/>
      <c r="H564" s="276"/>
      <c r="I564" s="276"/>
      <c r="J564" s="276"/>
      <c r="K564" s="276"/>
      <c r="L564" s="276"/>
      <c r="M564" s="276"/>
      <c r="N564" s="276"/>
      <c r="O564" s="276"/>
      <c r="P564" s="276"/>
      <c r="Q564" s="276"/>
      <c r="R564" s="276"/>
      <c r="S564" s="276"/>
      <c r="T564" s="276"/>
      <c r="U564" s="276"/>
      <c r="V564" s="276"/>
      <c r="W564" s="276"/>
      <c r="X564" s="276"/>
      <c r="Y564" s="276"/>
      <c r="Z564" s="276"/>
    </row>
    <row r="565" spans="1:26" ht="14.25" customHeight="1" x14ac:dyDescent="0.3">
      <c r="A565" s="307"/>
      <c r="B565" s="276"/>
      <c r="C565" s="276"/>
      <c r="D565" s="276"/>
      <c r="E565" s="276"/>
      <c r="F565" s="276"/>
      <c r="G565" s="276"/>
      <c r="H565" s="276"/>
      <c r="I565" s="276"/>
      <c r="J565" s="276"/>
      <c r="K565" s="276"/>
      <c r="L565" s="276"/>
      <c r="M565" s="276"/>
      <c r="N565" s="276"/>
      <c r="O565" s="276"/>
      <c r="P565" s="276"/>
      <c r="Q565" s="276"/>
      <c r="R565" s="276"/>
      <c r="S565" s="276"/>
      <c r="T565" s="276"/>
      <c r="U565" s="276"/>
      <c r="V565" s="276"/>
      <c r="W565" s="276"/>
      <c r="X565" s="276"/>
      <c r="Y565" s="276"/>
      <c r="Z565" s="276"/>
    </row>
    <row r="566" spans="1:26" ht="14.25" customHeight="1" x14ac:dyDescent="0.3">
      <c r="A566" s="307"/>
      <c r="B566" s="276"/>
      <c r="C566" s="276"/>
      <c r="D566" s="276"/>
      <c r="E566" s="276"/>
      <c r="F566" s="276"/>
      <c r="G566" s="276"/>
      <c r="H566" s="276"/>
      <c r="I566" s="276"/>
      <c r="J566" s="276"/>
      <c r="K566" s="276"/>
      <c r="L566" s="276"/>
      <c r="M566" s="276"/>
      <c r="N566" s="276"/>
      <c r="O566" s="276"/>
      <c r="P566" s="276"/>
      <c r="Q566" s="276"/>
      <c r="R566" s="276"/>
      <c r="S566" s="276"/>
      <c r="T566" s="276"/>
      <c r="U566" s="276"/>
      <c r="V566" s="276"/>
      <c r="W566" s="276"/>
      <c r="X566" s="276"/>
      <c r="Y566" s="276"/>
      <c r="Z566" s="276"/>
    </row>
    <row r="567" spans="1:26" ht="14.25" customHeight="1" x14ac:dyDescent="0.3">
      <c r="A567" s="307"/>
      <c r="B567" s="276"/>
      <c r="C567" s="276"/>
      <c r="D567" s="276"/>
      <c r="E567" s="276"/>
      <c r="F567" s="276"/>
      <c r="G567" s="276"/>
      <c r="H567" s="276"/>
      <c r="I567" s="276"/>
      <c r="J567" s="276"/>
      <c r="K567" s="276"/>
      <c r="L567" s="276"/>
      <c r="M567" s="276"/>
      <c r="N567" s="276"/>
      <c r="O567" s="276"/>
      <c r="P567" s="276"/>
      <c r="Q567" s="276"/>
      <c r="R567" s="276"/>
      <c r="S567" s="276"/>
      <c r="T567" s="276"/>
      <c r="U567" s="276"/>
      <c r="V567" s="276"/>
      <c r="W567" s="276"/>
      <c r="X567" s="276"/>
      <c r="Y567" s="276"/>
      <c r="Z567" s="276"/>
    </row>
    <row r="568" spans="1:26" ht="14.25" customHeight="1" x14ac:dyDescent="0.3">
      <c r="A568" s="307"/>
      <c r="B568" s="276"/>
      <c r="C568" s="276"/>
      <c r="D568" s="276"/>
      <c r="E568" s="276"/>
      <c r="F568" s="276"/>
      <c r="G568" s="276"/>
      <c r="H568" s="276"/>
      <c r="I568" s="276"/>
      <c r="J568" s="276"/>
      <c r="K568" s="276"/>
      <c r="L568" s="276"/>
      <c r="M568" s="276"/>
      <c r="N568" s="276"/>
      <c r="O568" s="276"/>
      <c r="P568" s="276"/>
      <c r="Q568" s="276"/>
      <c r="R568" s="276"/>
      <c r="S568" s="276"/>
      <c r="T568" s="276"/>
      <c r="U568" s="276"/>
      <c r="V568" s="276"/>
      <c r="W568" s="276"/>
      <c r="X568" s="276"/>
      <c r="Y568" s="276"/>
      <c r="Z568" s="276"/>
    </row>
    <row r="569" spans="1:26" ht="14.25" customHeight="1" x14ac:dyDescent="0.3">
      <c r="A569" s="307"/>
      <c r="B569" s="276"/>
      <c r="C569" s="276"/>
      <c r="D569" s="276"/>
      <c r="E569" s="276"/>
      <c r="F569" s="276"/>
      <c r="G569" s="276"/>
      <c r="H569" s="276"/>
      <c r="I569" s="276"/>
      <c r="J569" s="276"/>
      <c r="K569" s="276"/>
      <c r="L569" s="276"/>
      <c r="M569" s="276"/>
      <c r="N569" s="276"/>
      <c r="O569" s="276"/>
      <c r="P569" s="276"/>
      <c r="Q569" s="276"/>
      <c r="R569" s="276"/>
      <c r="S569" s="276"/>
      <c r="T569" s="276"/>
      <c r="U569" s="276"/>
      <c r="V569" s="276"/>
      <c r="W569" s="276"/>
      <c r="X569" s="276"/>
      <c r="Y569" s="276"/>
      <c r="Z569" s="276"/>
    </row>
    <row r="570" spans="1:26" ht="14.25" customHeight="1" x14ac:dyDescent="0.3">
      <c r="A570" s="307"/>
      <c r="B570" s="276"/>
      <c r="C570" s="276"/>
      <c r="D570" s="276"/>
      <c r="E570" s="276"/>
      <c r="F570" s="276"/>
      <c r="G570" s="276"/>
      <c r="H570" s="276"/>
      <c r="I570" s="276"/>
      <c r="J570" s="276"/>
      <c r="K570" s="276"/>
      <c r="L570" s="276"/>
      <c r="M570" s="276"/>
      <c r="N570" s="276"/>
      <c r="O570" s="276"/>
      <c r="P570" s="276"/>
      <c r="Q570" s="276"/>
      <c r="R570" s="276"/>
      <c r="S570" s="276"/>
      <c r="T570" s="276"/>
      <c r="U570" s="276"/>
      <c r="V570" s="276"/>
      <c r="W570" s="276"/>
      <c r="X570" s="276"/>
      <c r="Y570" s="276"/>
      <c r="Z570" s="276"/>
    </row>
    <row r="571" spans="1:26" ht="14.25" customHeight="1" x14ac:dyDescent="0.3">
      <c r="A571" s="307"/>
      <c r="B571" s="276"/>
      <c r="C571" s="276"/>
      <c r="D571" s="276"/>
      <c r="E571" s="276"/>
      <c r="F571" s="276"/>
      <c r="G571" s="276"/>
      <c r="H571" s="276"/>
      <c r="I571" s="276"/>
      <c r="J571" s="276"/>
      <c r="K571" s="276"/>
      <c r="L571" s="276"/>
      <c r="M571" s="276"/>
      <c r="N571" s="276"/>
      <c r="O571" s="276"/>
      <c r="P571" s="276"/>
      <c r="Q571" s="276"/>
      <c r="R571" s="276"/>
      <c r="S571" s="276"/>
      <c r="T571" s="276"/>
      <c r="U571" s="276"/>
      <c r="V571" s="276"/>
      <c r="W571" s="276"/>
      <c r="X571" s="276"/>
      <c r="Y571" s="276"/>
      <c r="Z571" s="276"/>
    </row>
    <row r="572" spans="1:26" ht="14.25" customHeight="1" x14ac:dyDescent="0.3">
      <c r="A572" s="307"/>
      <c r="B572" s="276"/>
      <c r="C572" s="276"/>
      <c r="D572" s="276"/>
      <c r="E572" s="276"/>
      <c r="F572" s="276"/>
      <c r="G572" s="276"/>
      <c r="H572" s="276"/>
      <c r="I572" s="276"/>
      <c r="J572" s="276"/>
      <c r="K572" s="276"/>
      <c r="L572" s="276"/>
      <c r="M572" s="276"/>
      <c r="N572" s="276"/>
      <c r="O572" s="276"/>
      <c r="P572" s="276"/>
      <c r="Q572" s="276"/>
      <c r="R572" s="276"/>
      <c r="S572" s="276"/>
      <c r="T572" s="276"/>
      <c r="U572" s="276"/>
      <c r="V572" s="276"/>
      <c r="W572" s="276"/>
      <c r="X572" s="276"/>
      <c r="Y572" s="276"/>
      <c r="Z572" s="276"/>
    </row>
    <row r="573" spans="1:26" ht="14.25" customHeight="1" x14ac:dyDescent="0.3">
      <c r="A573" s="307"/>
      <c r="B573" s="276"/>
      <c r="C573" s="276"/>
      <c r="D573" s="276"/>
      <c r="E573" s="276"/>
      <c r="F573" s="276"/>
      <c r="G573" s="276"/>
      <c r="H573" s="276"/>
      <c r="I573" s="276"/>
      <c r="J573" s="276"/>
      <c r="K573" s="276"/>
      <c r="L573" s="276"/>
      <c r="M573" s="276"/>
      <c r="N573" s="276"/>
      <c r="O573" s="276"/>
      <c r="P573" s="276"/>
      <c r="Q573" s="276"/>
      <c r="R573" s="276"/>
      <c r="S573" s="276"/>
      <c r="T573" s="276"/>
      <c r="U573" s="276"/>
      <c r="V573" s="276"/>
      <c r="W573" s="276"/>
      <c r="X573" s="276"/>
      <c r="Y573" s="276"/>
      <c r="Z573" s="276"/>
    </row>
    <row r="574" spans="1:26" ht="14.25" customHeight="1" x14ac:dyDescent="0.3">
      <c r="A574" s="307"/>
      <c r="B574" s="276"/>
      <c r="C574" s="276"/>
      <c r="D574" s="276"/>
      <c r="E574" s="276"/>
      <c r="F574" s="276"/>
      <c r="G574" s="276"/>
      <c r="H574" s="276"/>
      <c r="I574" s="276"/>
      <c r="J574" s="276"/>
      <c r="K574" s="276"/>
      <c r="L574" s="276"/>
      <c r="M574" s="276"/>
      <c r="N574" s="276"/>
      <c r="O574" s="276"/>
      <c r="P574" s="276"/>
      <c r="Q574" s="276"/>
      <c r="R574" s="276"/>
      <c r="S574" s="276"/>
      <c r="T574" s="276"/>
      <c r="U574" s="276"/>
      <c r="V574" s="276"/>
      <c r="W574" s="276"/>
      <c r="X574" s="276"/>
      <c r="Y574" s="276"/>
      <c r="Z574" s="276"/>
    </row>
    <row r="575" spans="1:26" ht="14.25" customHeight="1" x14ac:dyDescent="0.3">
      <c r="A575" s="307"/>
      <c r="B575" s="276"/>
      <c r="C575" s="276"/>
      <c r="D575" s="276"/>
      <c r="E575" s="276"/>
      <c r="F575" s="276"/>
      <c r="G575" s="276"/>
      <c r="H575" s="276"/>
      <c r="I575" s="276"/>
      <c r="J575" s="276"/>
      <c r="K575" s="276"/>
      <c r="L575" s="276"/>
      <c r="M575" s="276"/>
      <c r="N575" s="276"/>
      <c r="O575" s="276"/>
      <c r="P575" s="276"/>
      <c r="Q575" s="276"/>
      <c r="R575" s="276"/>
      <c r="S575" s="276"/>
      <c r="T575" s="276"/>
      <c r="U575" s="276"/>
      <c r="V575" s="276"/>
      <c r="W575" s="276"/>
      <c r="X575" s="276"/>
      <c r="Y575" s="276"/>
      <c r="Z575" s="276"/>
    </row>
    <row r="576" spans="1:26" ht="14.25" customHeight="1" x14ac:dyDescent="0.3">
      <c r="A576" s="307"/>
      <c r="B576" s="276"/>
      <c r="C576" s="276"/>
      <c r="D576" s="276"/>
      <c r="E576" s="276"/>
      <c r="F576" s="276"/>
      <c r="G576" s="276"/>
      <c r="H576" s="276"/>
      <c r="I576" s="276"/>
      <c r="J576" s="276"/>
      <c r="K576" s="276"/>
      <c r="L576" s="276"/>
      <c r="M576" s="276"/>
      <c r="N576" s="276"/>
      <c r="O576" s="276"/>
      <c r="P576" s="276"/>
      <c r="Q576" s="276"/>
      <c r="R576" s="276"/>
      <c r="S576" s="276"/>
      <c r="T576" s="276"/>
      <c r="U576" s="276"/>
      <c r="V576" s="276"/>
      <c r="W576" s="276"/>
      <c r="X576" s="276"/>
      <c r="Y576" s="276"/>
      <c r="Z576" s="276"/>
    </row>
    <row r="577" spans="1:26" ht="14.25" customHeight="1" x14ac:dyDescent="0.3">
      <c r="A577" s="307"/>
      <c r="B577" s="276"/>
      <c r="C577" s="276"/>
      <c r="D577" s="276"/>
      <c r="E577" s="276"/>
      <c r="F577" s="276"/>
      <c r="G577" s="276"/>
      <c r="H577" s="276"/>
      <c r="I577" s="276"/>
      <c r="J577" s="276"/>
      <c r="K577" s="276"/>
      <c r="L577" s="276"/>
      <c r="M577" s="276"/>
      <c r="N577" s="276"/>
      <c r="O577" s="276"/>
      <c r="P577" s="276"/>
      <c r="Q577" s="276"/>
      <c r="R577" s="276"/>
      <c r="S577" s="276"/>
      <c r="T577" s="276"/>
      <c r="U577" s="276"/>
      <c r="V577" s="276"/>
      <c r="W577" s="276"/>
      <c r="X577" s="276"/>
      <c r="Y577" s="276"/>
      <c r="Z577" s="276"/>
    </row>
    <row r="578" spans="1:26" ht="14.25" customHeight="1" x14ac:dyDescent="0.3">
      <c r="A578" s="307"/>
      <c r="B578" s="276"/>
      <c r="C578" s="276"/>
      <c r="D578" s="276"/>
      <c r="E578" s="276"/>
      <c r="F578" s="276"/>
      <c r="G578" s="276"/>
      <c r="H578" s="276"/>
      <c r="I578" s="276"/>
      <c r="J578" s="276"/>
      <c r="K578" s="276"/>
      <c r="L578" s="276"/>
      <c r="M578" s="276"/>
      <c r="N578" s="276"/>
      <c r="O578" s="276"/>
      <c r="P578" s="276"/>
      <c r="Q578" s="276"/>
      <c r="R578" s="276"/>
      <c r="S578" s="276"/>
      <c r="T578" s="276"/>
      <c r="U578" s="276"/>
      <c r="V578" s="276"/>
      <c r="W578" s="276"/>
      <c r="X578" s="276"/>
      <c r="Y578" s="276"/>
      <c r="Z578" s="276"/>
    </row>
    <row r="579" spans="1:26" ht="14.25" customHeight="1" x14ac:dyDescent="0.3">
      <c r="A579" s="307"/>
      <c r="B579" s="276"/>
      <c r="C579" s="276"/>
      <c r="D579" s="276"/>
      <c r="E579" s="276"/>
      <c r="F579" s="276"/>
      <c r="G579" s="276"/>
      <c r="H579" s="276"/>
      <c r="I579" s="276"/>
      <c r="J579" s="276"/>
      <c r="K579" s="276"/>
      <c r="L579" s="276"/>
      <c r="M579" s="276"/>
      <c r="N579" s="276"/>
      <c r="O579" s="276"/>
      <c r="P579" s="276"/>
      <c r="Q579" s="276"/>
      <c r="R579" s="276"/>
      <c r="S579" s="276"/>
      <c r="T579" s="276"/>
      <c r="U579" s="276"/>
      <c r="V579" s="276"/>
      <c r="W579" s="276"/>
      <c r="X579" s="276"/>
      <c r="Y579" s="276"/>
      <c r="Z579" s="276"/>
    </row>
    <row r="580" spans="1:26" ht="14.25" customHeight="1" x14ac:dyDescent="0.3">
      <c r="A580" s="307"/>
      <c r="B580" s="276"/>
      <c r="C580" s="276"/>
      <c r="D580" s="276"/>
      <c r="E580" s="276"/>
      <c r="F580" s="276"/>
      <c r="G580" s="276"/>
      <c r="H580" s="276"/>
      <c r="I580" s="276"/>
      <c r="J580" s="276"/>
      <c r="K580" s="276"/>
      <c r="L580" s="276"/>
      <c r="M580" s="276"/>
      <c r="N580" s="276"/>
      <c r="O580" s="276"/>
      <c r="P580" s="276"/>
      <c r="Q580" s="276"/>
      <c r="R580" s="276"/>
      <c r="S580" s="276"/>
      <c r="T580" s="276"/>
      <c r="U580" s="276"/>
      <c r="V580" s="276"/>
      <c r="W580" s="276"/>
      <c r="X580" s="276"/>
      <c r="Y580" s="276"/>
      <c r="Z580" s="276"/>
    </row>
    <row r="581" spans="1:26" ht="14.25" customHeight="1" x14ac:dyDescent="0.3">
      <c r="A581" s="307"/>
      <c r="B581" s="276"/>
      <c r="C581" s="276"/>
      <c r="D581" s="276"/>
      <c r="E581" s="276"/>
      <c r="F581" s="276"/>
      <c r="G581" s="276"/>
      <c r="H581" s="276"/>
      <c r="I581" s="276"/>
      <c r="J581" s="276"/>
      <c r="K581" s="276"/>
      <c r="L581" s="276"/>
      <c r="M581" s="276"/>
      <c r="N581" s="276"/>
      <c r="O581" s="276"/>
      <c r="P581" s="276"/>
      <c r="Q581" s="276"/>
      <c r="R581" s="276"/>
      <c r="S581" s="276"/>
      <c r="T581" s="276"/>
      <c r="U581" s="276"/>
      <c r="V581" s="276"/>
      <c r="W581" s="276"/>
      <c r="X581" s="276"/>
      <c r="Y581" s="276"/>
      <c r="Z581" s="276"/>
    </row>
    <row r="582" spans="1:26" ht="14.25" customHeight="1" x14ac:dyDescent="0.3">
      <c r="A582" s="307"/>
      <c r="B582" s="276"/>
      <c r="C582" s="276"/>
      <c r="D582" s="276"/>
      <c r="E582" s="276"/>
      <c r="F582" s="276"/>
      <c r="G582" s="276"/>
      <c r="H582" s="276"/>
      <c r="I582" s="276"/>
      <c r="J582" s="276"/>
      <c r="K582" s="276"/>
      <c r="L582" s="276"/>
      <c r="M582" s="276"/>
      <c r="N582" s="276"/>
      <c r="O582" s="276"/>
      <c r="P582" s="276"/>
      <c r="Q582" s="276"/>
      <c r="R582" s="276"/>
      <c r="S582" s="276"/>
      <c r="T582" s="276"/>
      <c r="U582" s="276"/>
      <c r="V582" s="276"/>
      <c r="W582" s="276"/>
      <c r="X582" s="276"/>
      <c r="Y582" s="276"/>
      <c r="Z582" s="276"/>
    </row>
    <row r="583" spans="1:26" ht="14.25" customHeight="1" x14ac:dyDescent="0.3">
      <c r="A583" s="307"/>
      <c r="B583" s="276"/>
      <c r="C583" s="276"/>
      <c r="D583" s="276"/>
      <c r="E583" s="276"/>
      <c r="F583" s="276"/>
      <c r="G583" s="276"/>
      <c r="H583" s="276"/>
      <c r="I583" s="276"/>
      <c r="J583" s="276"/>
      <c r="K583" s="276"/>
      <c r="L583" s="276"/>
      <c r="M583" s="276"/>
      <c r="N583" s="276"/>
      <c r="O583" s="276"/>
      <c r="P583" s="276"/>
      <c r="Q583" s="276"/>
      <c r="R583" s="276"/>
      <c r="S583" s="276"/>
      <c r="T583" s="276"/>
      <c r="U583" s="276"/>
      <c r="V583" s="276"/>
      <c r="W583" s="276"/>
      <c r="X583" s="276"/>
      <c r="Y583" s="276"/>
      <c r="Z583" s="276"/>
    </row>
    <row r="584" spans="1:26" ht="14.25" customHeight="1" x14ac:dyDescent="0.3">
      <c r="A584" s="307"/>
      <c r="B584" s="276"/>
      <c r="C584" s="276"/>
      <c r="D584" s="276"/>
      <c r="E584" s="276"/>
      <c r="F584" s="276"/>
      <c r="G584" s="276"/>
      <c r="H584" s="276"/>
      <c r="I584" s="276"/>
      <c r="J584" s="276"/>
      <c r="K584" s="276"/>
      <c r="L584" s="276"/>
      <c r="M584" s="276"/>
      <c r="N584" s="276"/>
      <c r="O584" s="276"/>
      <c r="P584" s="276"/>
      <c r="Q584" s="276"/>
      <c r="R584" s="276"/>
      <c r="S584" s="276"/>
      <c r="T584" s="276"/>
      <c r="U584" s="276"/>
      <c r="V584" s="276"/>
      <c r="W584" s="276"/>
      <c r="X584" s="276"/>
      <c r="Y584" s="276"/>
      <c r="Z584" s="276"/>
    </row>
    <row r="585" spans="1:26" ht="14.25" customHeight="1" x14ac:dyDescent="0.3">
      <c r="A585" s="307"/>
      <c r="B585" s="276"/>
      <c r="C585" s="276"/>
      <c r="D585" s="276"/>
      <c r="E585" s="276"/>
      <c r="F585" s="276"/>
      <c r="G585" s="276"/>
      <c r="H585" s="276"/>
      <c r="I585" s="276"/>
      <c r="J585" s="276"/>
      <c r="K585" s="276"/>
      <c r="L585" s="276"/>
      <c r="M585" s="276"/>
      <c r="N585" s="276"/>
      <c r="O585" s="276"/>
      <c r="P585" s="276"/>
      <c r="Q585" s="276"/>
      <c r="R585" s="276"/>
      <c r="S585" s="276"/>
      <c r="T585" s="276"/>
      <c r="U585" s="276"/>
      <c r="V585" s="276"/>
      <c r="W585" s="276"/>
      <c r="X585" s="276"/>
      <c r="Y585" s="276"/>
      <c r="Z585" s="276"/>
    </row>
    <row r="586" spans="1:26" ht="14.25" customHeight="1" x14ac:dyDescent="0.3">
      <c r="A586" s="307"/>
      <c r="B586" s="276"/>
      <c r="C586" s="276"/>
      <c r="D586" s="276"/>
      <c r="E586" s="276"/>
      <c r="F586" s="276"/>
      <c r="G586" s="276"/>
      <c r="H586" s="276"/>
      <c r="I586" s="276"/>
      <c r="J586" s="276"/>
      <c r="K586" s="276"/>
      <c r="L586" s="276"/>
      <c r="M586" s="276"/>
      <c r="N586" s="276"/>
      <c r="O586" s="276"/>
      <c r="P586" s="276"/>
      <c r="Q586" s="276"/>
      <c r="R586" s="276"/>
      <c r="S586" s="276"/>
      <c r="T586" s="276"/>
      <c r="U586" s="276"/>
      <c r="V586" s="276"/>
      <c r="W586" s="276"/>
      <c r="X586" s="276"/>
      <c r="Y586" s="276"/>
      <c r="Z586" s="276"/>
    </row>
    <row r="587" spans="1:26" ht="14.25" customHeight="1" x14ac:dyDescent="0.3">
      <c r="A587" s="307"/>
      <c r="B587" s="276"/>
      <c r="C587" s="276"/>
      <c r="D587" s="276"/>
      <c r="E587" s="276"/>
      <c r="F587" s="276"/>
      <c r="G587" s="276"/>
      <c r="H587" s="276"/>
      <c r="I587" s="276"/>
      <c r="J587" s="276"/>
      <c r="K587" s="276"/>
      <c r="L587" s="276"/>
      <c r="M587" s="276"/>
      <c r="N587" s="276"/>
      <c r="O587" s="276"/>
      <c r="P587" s="276"/>
      <c r="Q587" s="276"/>
      <c r="R587" s="276"/>
      <c r="S587" s="276"/>
      <c r="T587" s="276"/>
      <c r="U587" s="276"/>
      <c r="V587" s="276"/>
      <c r="W587" s="276"/>
      <c r="X587" s="276"/>
      <c r="Y587" s="276"/>
      <c r="Z587" s="276"/>
    </row>
    <row r="588" spans="1:26" ht="14.25" customHeight="1" x14ac:dyDescent="0.3">
      <c r="A588" s="307"/>
      <c r="B588" s="276"/>
      <c r="C588" s="276"/>
      <c r="D588" s="276"/>
      <c r="E588" s="276"/>
      <c r="F588" s="276"/>
      <c r="G588" s="276"/>
      <c r="H588" s="276"/>
      <c r="I588" s="276"/>
      <c r="J588" s="276"/>
      <c r="K588" s="276"/>
      <c r="L588" s="276"/>
      <c r="M588" s="276"/>
      <c r="N588" s="276"/>
      <c r="O588" s="276"/>
      <c r="P588" s="276"/>
      <c r="Q588" s="276"/>
      <c r="R588" s="276"/>
      <c r="S588" s="276"/>
      <c r="T588" s="276"/>
      <c r="U588" s="276"/>
      <c r="V588" s="276"/>
      <c r="W588" s="276"/>
      <c r="X588" s="276"/>
      <c r="Y588" s="276"/>
      <c r="Z588" s="276"/>
    </row>
    <row r="589" spans="1:26" ht="14.25" customHeight="1" x14ac:dyDescent="0.3">
      <c r="A589" s="307"/>
      <c r="B589" s="276"/>
      <c r="C589" s="276"/>
      <c r="D589" s="276"/>
      <c r="E589" s="276"/>
      <c r="F589" s="276"/>
      <c r="G589" s="276"/>
      <c r="H589" s="276"/>
      <c r="I589" s="276"/>
      <c r="J589" s="276"/>
      <c r="K589" s="276"/>
      <c r="L589" s="276"/>
      <c r="M589" s="276"/>
      <c r="N589" s="276"/>
      <c r="O589" s="276"/>
      <c r="P589" s="276"/>
      <c r="Q589" s="276"/>
      <c r="R589" s="276"/>
      <c r="S589" s="276"/>
      <c r="T589" s="276"/>
      <c r="U589" s="276"/>
      <c r="V589" s="276"/>
      <c r="W589" s="276"/>
      <c r="X589" s="276"/>
      <c r="Y589" s="276"/>
      <c r="Z589" s="276"/>
    </row>
    <row r="590" spans="1:26" ht="14.25" customHeight="1" x14ac:dyDescent="0.3">
      <c r="A590" s="307"/>
      <c r="B590" s="276"/>
      <c r="C590" s="276"/>
      <c r="D590" s="276"/>
      <c r="E590" s="276"/>
      <c r="F590" s="276"/>
      <c r="G590" s="276"/>
      <c r="H590" s="276"/>
      <c r="I590" s="276"/>
      <c r="J590" s="276"/>
      <c r="K590" s="276"/>
      <c r="L590" s="276"/>
      <c r="M590" s="276"/>
      <c r="N590" s="276"/>
      <c r="O590" s="276"/>
      <c r="P590" s="276"/>
      <c r="Q590" s="276"/>
      <c r="R590" s="276"/>
      <c r="S590" s="276"/>
      <c r="T590" s="276"/>
      <c r="U590" s="276"/>
      <c r="V590" s="276"/>
      <c r="W590" s="276"/>
      <c r="X590" s="276"/>
      <c r="Y590" s="276"/>
      <c r="Z590" s="276"/>
    </row>
    <row r="591" spans="1:26" ht="14.25" customHeight="1" x14ac:dyDescent="0.3">
      <c r="A591" s="307"/>
      <c r="B591" s="276"/>
      <c r="C591" s="276"/>
      <c r="D591" s="276"/>
      <c r="E591" s="276"/>
      <c r="F591" s="276"/>
      <c r="G591" s="276"/>
      <c r="H591" s="276"/>
      <c r="I591" s="276"/>
      <c r="J591" s="276"/>
      <c r="K591" s="276"/>
      <c r="L591" s="276"/>
      <c r="M591" s="276"/>
      <c r="N591" s="276"/>
      <c r="O591" s="276"/>
      <c r="P591" s="276"/>
      <c r="Q591" s="276"/>
      <c r="R591" s="276"/>
      <c r="S591" s="276"/>
      <c r="T591" s="276"/>
      <c r="U591" s="276"/>
      <c r="V591" s="276"/>
      <c r="W591" s="276"/>
      <c r="X591" s="276"/>
      <c r="Y591" s="276"/>
      <c r="Z591" s="276"/>
    </row>
    <row r="592" spans="1:26" ht="14.25" customHeight="1" x14ac:dyDescent="0.3">
      <c r="A592" s="307"/>
      <c r="B592" s="276"/>
      <c r="C592" s="276"/>
      <c r="D592" s="276"/>
      <c r="E592" s="276"/>
      <c r="F592" s="276"/>
      <c r="G592" s="276"/>
      <c r="H592" s="276"/>
      <c r="I592" s="276"/>
      <c r="J592" s="276"/>
      <c r="K592" s="276"/>
      <c r="L592" s="276"/>
      <c r="M592" s="276"/>
      <c r="N592" s="276"/>
      <c r="O592" s="276"/>
      <c r="P592" s="276"/>
      <c r="Q592" s="276"/>
      <c r="R592" s="276"/>
      <c r="S592" s="276"/>
      <c r="T592" s="276"/>
      <c r="U592" s="276"/>
      <c r="V592" s="276"/>
      <c r="W592" s="276"/>
      <c r="X592" s="276"/>
      <c r="Y592" s="276"/>
      <c r="Z592" s="276"/>
    </row>
    <row r="593" spans="1:26" ht="14.25" customHeight="1" x14ac:dyDescent="0.3">
      <c r="A593" s="307"/>
      <c r="B593" s="276"/>
      <c r="C593" s="276"/>
      <c r="D593" s="276"/>
      <c r="E593" s="276"/>
      <c r="F593" s="276"/>
      <c r="G593" s="276"/>
      <c r="H593" s="276"/>
      <c r="I593" s="276"/>
      <c r="J593" s="276"/>
      <c r="K593" s="276"/>
      <c r="L593" s="276"/>
      <c r="M593" s="276"/>
      <c r="N593" s="276"/>
      <c r="O593" s="276"/>
      <c r="P593" s="276"/>
      <c r="Q593" s="276"/>
      <c r="R593" s="276"/>
      <c r="S593" s="276"/>
      <c r="T593" s="276"/>
      <c r="U593" s="276"/>
      <c r="V593" s="276"/>
      <c r="W593" s="276"/>
      <c r="X593" s="276"/>
      <c r="Y593" s="276"/>
      <c r="Z593" s="276"/>
    </row>
    <row r="594" spans="1:26" ht="14.25" customHeight="1" x14ac:dyDescent="0.3">
      <c r="A594" s="307"/>
      <c r="B594" s="276"/>
      <c r="C594" s="276"/>
      <c r="D594" s="276"/>
      <c r="E594" s="276"/>
      <c r="F594" s="276"/>
      <c r="G594" s="276"/>
      <c r="H594" s="276"/>
      <c r="I594" s="276"/>
      <c r="J594" s="276"/>
      <c r="K594" s="276"/>
      <c r="L594" s="276"/>
      <c r="M594" s="276"/>
      <c r="N594" s="276"/>
      <c r="O594" s="276"/>
      <c r="P594" s="276"/>
      <c r="Q594" s="276"/>
      <c r="R594" s="276"/>
      <c r="S594" s="276"/>
      <c r="T594" s="276"/>
      <c r="U594" s="276"/>
      <c r="V594" s="276"/>
      <c r="W594" s="276"/>
      <c r="X594" s="276"/>
      <c r="Y594" s="276"/>
      <c r="Z594" s="276"/>
    </row>
    <row r="595" spans="1:26" ht="14.25" customHeight="1" x14ac:dyDescent="0.3">
      <c r="A595" s="307"/>
      <c r="B595" s="276"/>
      <c r="C595" s="276"/>
      <c r="D595" s="276"/>
      <c r="E595" s="276"/>
      <c r="F595" s="276"/>
      <c r="G595" s="276"/>
      <c r="H595" s="276"/>
      <c r="I595" s="276"/>
      <c r="J595" s="276"/>
      <c r="K595" s="276"/>
      <c r="L595" s="276"/>
      <c r="M595" s="276"/>
      <c r="N595" s="276"/>
      <c r="O595" s="276"/>
      <c r="P595" s="276"/>
      <c r="Q595" s="276"/>
      <c r="R595" s="276"/>
      <c r="S595" s="276"/>
      <c r="T595" s="276"/>
      <c r="U595" s="276"/>
      <c r="V595" s="276"/>
      <c r="W595" s="276"/>
      <c r="X595" s="276"/>
      <c r="Y595" s="276"/>
      <c r="Z595" s="276"/>
    </row>
    <row r="596" spans="1:26" ht="14.25" customHeight="1" x14ac:dyDescent="0.3">
      <c r="A596" s="307"/>
      <c r="B596" s="276"/>
      <c r="C596" s="276"/>
      <c r="D596" s="276"/>
      <c r="E596" s="276"/>
      <c r="F596" s="276"/>
      <c r="G596" s="276"/>
      <c r="H596" s="276"/>
      <c r="I596" s="276"/>
      <c r="J596" s="276"/>
      <c r="K596" s="276"/>
      <c r="L596" s="276"/>
      <c r="M596" s="276"/>
      <c r="N596" s="276"/>
      <c r="O596" s="276"/>
      <c r="P596" s="276"/>
      <c r="Q596" s="276"/>
      <c r="R596" s="276"/>
      <c r="S596" s="276"/>
      <c r="T596" s="276"/>
      <c r="U596" s="276"/>
      <c r="V596" s="276"/>
      <c r="W596" s="276"/>
      <c r="X596" s="276"/>
      <c r="Y596" s="276"/>
      <c r="Z596" s="276"/>
    </row>
    <row r="597" spans="1:26" ht="14.25" customHeight="1" x14ac:dyDescent="0.3">
      <c r="A597" s="307"/>
      <c r="B597" s="276"/>
      <c r="C597" s="276"/>
      <c r="D597" s="276"/>
      <c r="E597" s="276"/>
      <c r="F597" s="276"/>
      <c r="G597" s="276"/>
      <c r="H597" s="276"/>
      <c r="I597" s="276"/>
      <c r="J597" s="276"/>
      <c r="K597" s="276"/>
      <c r="L597" s="276"/>
      <c r="M597" s="276"/>
      <c r="N597" s="276"/>
      <c r="O597" s="276"/>
      <c r="P597" s="276"/>
      <c r="Q597" s="276"/>
      <c r="R597" s="276"/>
      <c r="S597" s="276"/>
      <c r="T597" s="276"/>
      <c r="U597" s="276"/>
      <c r="V597" s="276"/>
      <c r="W597" s="276"/>
      <c r="X597" s="276"/>
      <c r="Y597" s="276"/>
      <c r="Z597" s="276"/>
    </row>
    <row r="598" spans="1:26" ht="14.25" customHeight="1" x14ac:dyDescent="0.3">
      <c r="A598" s="307"/>
      <c r="B598" s="276"/>
      <c r="C598" s="276"/>
      <c r="D598" s="276"/>
      <c r="E598" s="276"/>
      <c r="F598" s="276"/>
      <c r="G598" s="276"/>
      <c r="H598" s="276"/>
      <c r="I598" s="276"/>
      <c r="J598" s="276"/>
      <c r="K598" s="276"/>
      <c r="L598" s="276"/>
      <c r="M598" s="276"/>
      <c r="N598" s="276"/>
      <c r="O598" s="276"/>
      <c r="P598" s="276"/>
      <c r="Q598" s="276"/>
      <c r="R598" s="276"/>
      <c r="S598" s="276"/>
      <c r="T598" s="276"/>
      <c r="U598" s="276"/>
      <c r="V598" s="276"/>
      <c r="W598" s="276"/>
      <c r="X598" s="276"/>
      <c r="Y598" s="276"/>
      <c r="Z598" s="276"/>
    </row>
    <row r="599" spans="1:26" ht="14.25" customHeight="1" x14ac:dyDescent="0.3">
      <c r="A599" s="307"/>
      <c r="B599" s="276"/>
      <c r="C599" s="276"/>
      <c r="D599" s="276"/>
      <c r="E599" s="276"/>
      <c r="F599" s="276"/>
      <c r="G599" s="276"/>
      <c r="H599" s="276"/>
      <c r="I599" s="276"/>
      <c r="J599" s="276"/>
      <c r="K599" s="276"/>
      <c r="L599" s="276"/>
      <c r="M599" s="276"/>
      <c r="N599" s="276"/>
      <c r="O599" s="276"/>
      <c r="P599" s="276"/>
      <c r="Q599" s="276"/>
      <c r="R599" s="276"/>
      <c r="S599" s="276"/>
      <c r="T599" s="276"/>
      <c r="U599" s="276"/>
      <c r="V599" s="276"/>
      <c r="W599" s="276"/>
      <c r="X599" s="276"/>
      <c r="Y599" s="276"/>
      <c r="Z599" s="276"/>
    </row>
    <row r="600" spans="1:26" ht="14.25" customHeight="1" x14ac:dyDescent="0.3">
      <c r="A600" s="307"/>
      <c r="B600" s="276"/>
      <c r="C600" s="276"/>
      <c r="D600" s="276"/>
      <c r="E600" s="276"/>
      <c r="F600" s="276"/>
      <c r="G600" s="276"/>
      <c r="H600" s="276"/>
      <c r="I600" s="276"/>
      <c r="J600" s="276"/>
      <c r="K600" s="276"/>
      <c r="L600" s="276"/>
      <c r="M600" s="276"/>
      <c r="N600" s="276"/>
      <c r="O600" s="276"/>
      <c r="P600" s="276"/>
      <c r="Q600" s="276"/>
      <c r="R600" s="276"/>
      <c r="S600" s="276"/>
      <c r="T600" s="276"/>
      <c r="U600" s="276"/>
      <c r="V600" s="276"/>
      <c r="W600" s="276"/>
      <c r="X600" s="276"/>
      <c r="Y600" s="276"/>
      <c r="Z600" s="276"/>
    </row>
    <row r="601" spans="1:26" ht="14.25" customHeight="1" x14ac:dyDescent="0.3">
      <c r="A601" s="307"/>
      <c r="B601" s="276"/>
      <c r="C601" s="276"/>
      <c r="D601" s="276"/>
      <c r="E601" s="276"/>
      <c r="F601" s="276"/>
      <c r="G601" s="276"/>
      <c r="H601" s="276"/>
      <c r="I601" s="276"/>
      <c r="J601" s="276"/>
      <c r="K601" s="276"/>
      <c r="L601" s="276"/>
      <c r="M601" s="276"/>
      <c r="N601" s="276"/>
      <c r="O601" s="276"/>
      <c r="P601" s="276"/>
      <c r="Q601" s="276"/>
      <c r="R601" s="276"/>
      <c r="S601" s="276"/>
      <c r="T601" s="276"/>
      <c r="U601" s="276"/>
      <c r="V601" s="276"/>
      <c r="W601" s="276"/>
      <c r="X601" s="276"/>
      <c r="Y601" s="276"/>
      <c r="Z601" s="276"/>
    </row>
    <row r="602" spans="1:26" ht="14.25" customHeight="1" x14ac:dyDescent="0.3">
      <c r="A602" s="307"/>
      <c r="B602" s="276"/>
      <c r="C602" s="276"/>
      <c r="D602" s="276"/>
      <c r="E602" s="276"/>
      <c r="F602" s="276"/>
      <c r="G602" s="276"/>
      <c r="H602" s="276"/>
      <c r="I602" s="276"/>
      <c r="J602" s="276"/>
      <c r="K602" s="276"/>
      <c r="L602" s="276"/>
      <c r="M602" s="276"/>
      <c r="N602" s="276"/>
      <c r="O602" s="276"/>
      <c r="P602" s="276"/>
      <c r="Q602" s="276"/>
      <c r="R602" s="276"/>
      <c r="S602" s="276"/>
      <c r="T602" s="276"/>
      <c r="U602" s="276"/>
      <c r="V602" s="276"/>
      <c r="W602" s="276"/>
      <c r="X602" s="276"/>
      <c r="Y602" s="276"/>
      <c r="Z602" s="276"/>
    </row>
    <row r="603" spans="1:26" ht="14.25" customHeight="1" x14ac:dyDescent="0.3">
      <c r="A603" s="307"/>
      <c r="B603" s="276"/>
      <c r="C603" s="276"/>
      <c r="D603" s="276"/>
      <c r="E603" s="276"/>
      <c r="F603" s="276"/>
      <c r="G603" s="276"/>
      <c r="H603" s="276"/>
      <c r="I603" s="276"/>
      <c r="J603" s="276"/>
      <c r="K603" s="276"/>
      <c r="L603" s="276"/>
      <c r="M603" s="276"/>
      <c r="N603" s="276"/>
      <c r="O603" s="276"/>
      <c r="P603" s="276"/>
      <c r="Q603" s="276"/>
      <c r="R603" s="276"/>
      <c r="S603" s="276"/>
      <c r="T603" s="276"/>
      <c r="U603" s="276"/>
      <c r="V603" s="276"/>
      <c r="W603" s="276"/>
      <c r="X603" s="276"/>
      <c r="Y603" s="276"/>
      <c r="Z603" s="276"/>
    </row>
    <row r="604" spans="1:26" ht="14.25" customHeight="1" x14ac:dyDescent="0.3">
      <c r="A604" s="307"/>
      <c r="B604" s="276"/>
      <c r="C604" s="276"/>
      <c r="D604" s="276"/>
      <c r="E604" s="276"/>
      <c r="F604" s="276"/>
      <c r="G604" s="276"/>
      <c r="H604" s="276"/>
      <c r="I604" s="276"/>
      <c r="J604" s="276"/>
      <c r="K604" s="276"/>
      <c r="L604" s="276"/>
      <c r="M604" s="276"/>
      <c r="N604" s="276"/>
      <c r="O604" s="276"/>
      <c r="P604" s="276"/>
      <c r="Q604" s="276"/>
      <c r="R604" s="276"/>
      <c r="S604" s="276"/>
      <c r="T604" s="276"/>
      <c r="U604" s="276"/>
      <c r="V604" s="276"/>
      <c r="W604" s="276"/>
      <c r="X604" s="276"/>
      <c r="Y604" s="276"/>
      <c r="Z604" s="276"/>
    </row>
    <row r="605" spans="1:26" ht="14.25" customHeight="1" x14ac:dyDescent="0.3">
      <c r="A605" s="307"/>
      <c r="B605" s="276"/>
      <c r="C605" s="276"/>
      <c r="D605" s="276"/>
      <c r="E605" s="276"/>
      <c r="F605" s="276"/>
      <c r="G605" s="276"/>
      <c r="H605" s="276"/>
      <c r="I605" s="276"/>
      <c r="J605" s="276"/>
      <c r="K605" s="276"/>
      <c r="L605" s="276"/>
      <c r="M605" s="276"/>
      <c r="N605" s="276"/>
      <c r="O605" s="276"/>
      <c r="P605" s="276"/>
      <c r="Q605" s="276"/>
      <c r="R605" s="276"/>
      <c r="S605" s="276"/>
      <c r="T605" s="276"/>
      <c r="U605" s="276"/>
      <c r="V605" s="276"/>
      <c r="W605" s="276"/>
      <c r="X605" s="276"/>
      <c r="Y605" s="276"/>
      <c r="Z605" s="276"/>
    </row>
    <row r="606" spans="1:26" ht="14.25" customHeight="1" x14ac:dyDescent="0.3">
      <c r="A606" s="307"/>
      <c r="B606" s="276"/>
      <c r="C606" s="276"/>
      <c r="D606" s="276"/>
      <c r="E606" s="276"/>
      <c r="F606" s="276"/>
      <c r="G606" s="276"/>
      <c r="H606" s="276"/>
      <c r="I606" s="276"/>
      <c r="J606" s="276"/>
      <c r="K606" s="276"/>
      <c r="L606" s="276"/>
      <c r="M606" s="276"/>
      <c r="N606" s="276"/>
      <c r="O606" s="276"/>
      <c r="P606" s="276"/>
      <c r="Q606" s="276"/>
      <c r="R606" s="276"/>
      <c r="S606" s="276"/>
      <c r="T606" s="276"/>
      <c r="U606" s="276"/>
      <c r="V606" s="276"/>
      <c r="W606" s="276"/>
      <c r="X606" s="276"/>
      <c r="Y606" s="276"/>
      <c r="Z606" s="276"/>
    </row>
    <row r="607" spans="1:26" ht="14.25" customHeight="1" x14ac:dyDescent="0.3">
      <c r="A607" s="307"/>
      <c r="B607" s="276"/>
      <c r="C607" s="276"/>
      <c r="D607" s="276"/>
      <c r="E607" s="276"/>
      <c r="F607" s="276"/>
      <c r="G607" s="276"/>
      <c r="H607" s="276"/>
      <c r="I607" s="276"/>
      <c r="J607" s="276"/>
      <c r="K607" s="276"/>
      <c r="L607" s="276"/>
      <c r="M607" s="276"/>
      <c r="N607" s="276"/>
      <c r="O607" s="276"/>
      <c r="P607" s="276"/>
      <c r="Q607" s="276"/>
      <c r="R607" s="276"/>
      <c r="S607" s="276"/>
      <c r="T607" s="276"/>
      <c r="U607" s="276"/>
      <c r="V607" s="276"/>
      <c r="W607" s="276"/>
      <c r="X607" s="276"/>
      <c r="Y607" s="276"/>
      <c r="Z607" s="276"/>
    </row>
    <row r="608" spans="1:26" ht="14.25" customHeight="1" x14ac:dyDescent="0.3">
      <c r="A608" s="307"/>
      <c r="B608" s="276"/>
      <c r="C608" s="276"/>
      <c r="D608" s="276"/>
      <c r="E608" s="276"/>
      <c r="F608" s="276"/>
      <c r="G608" s="276"/>
      <c r="H608" s="276"/>
      <c r="I608" s="276"/>
      <c r="J608" s="276"/>
      <c r="K608" s="276"/>
      <c r="L608" s="276"/>
      <c r="M608" s="276"/>
      <c r="N608" s="276"/>
      <c r="O608" s="276"/>
      <c r="P608" s="276"/>
      <c r="Q608" s="276"/>
      <c r="R608" s="276"/>
      <c r="S608" s="276"/>
      <c r="T608" s="276"/>
      <c r="U608" s="276"/>
      <c r="V608" s="276"/>
      <c r="W608" s="276"/>
      <c r="X608" s="276"/>
      <c r="Y608" s="276"/>
      <c r="Z608" s="276"/>
    </row>
    <row r="609" spans="1:26" ht="14.25" customHeight="1" x14ac:dyDescent="0.3">
      <c r="A609" s="307"/>
      <c r="B609" s="276"/>
      <c r="C609" s="276"/>
      <c r="D609" s="276"/>
      <c r="E609" s="276"/>
      <c r="F609" s="276"/>
      <c r="G609" s="276"/>
      <c r="H609" s="276"/>
      <c r="I609" s="276"/>
      <c r="J609" s="276"/>
      <c r="K609" s="276"/>
      <c r="L609" s="276"/>
      <c r="M609" s="276"/>
      <c r="N609" s="276"/>
      <c r="O609" s="276"/>
      <c r="P609" s="276"/>
      <c r="Q609" s="276"/>
      <c r="R609" s="276"/>
      <c r="S609" s="276"/>
      <c r="T609" s="276"/>
      <c r="U609" s="276"/>
      <c r="V609" s="276"/>
      <c r="W609" s="276"/>
      <c r="X609" s="276"/>
      <c r="Y609" s="276"/>
      <c r="Z609" s="276"/>
    </row>
    <row r="610" spans="1:26" ht="14.25" customHeight="1" x14ac:dyDescent="0.3">
      <c r="A610" s="307"/>
      <c r="B610" s="276"/>
      <c r="C610" s="276"/>
      <c r="D610" s="276"/>
      <c r="E610" s="276"/>
      <c r="F610" s="276"/>
      <c r="G610" s="276"/>
      <c r="H610" s="276"/>
      <c r="I610" s="276"/>
      <c r="J610" s="276"/>
      <c r="K610" s="276"/>
      <c r="L610" s="276"/>
      <c r="M610" s="276"/>
      <c r="N610" s="276"/>
      <c r="O610" s="276"/>
      <c r="P610" s="276"/>
      <c r="Q610" s="276"/>
      <c r="R610" s="276"/>
      <c r="S610" s="276"/>
      <c r="T610" s="276"/>
      <c r="U610" s="276"/>
      <c r="V610" s="276"/>
      <c r="W610" s="276"/>
      <c r="X610" s="276"/>
      <c r="Y610" s="276"/>
      <c r="Z610" s="276"/>
    </row>
    <row r="611" spans="1:26" ht="14.25" customHeight="1" x14ac:dyDescent="0.3">
      <c r="A611" s="307"/>
      <c r="B611" s="276"/>
      <c r="C611" s="276"/>
      <c r="D611" s="276"/>
      <c r="E611" s="276"/>
      <c r="F611" s="276"/>
      <c r="G611" s="276"/>
      <c r="H611" s="276"/>
      <c r="I611" s="276"/>
      <c r="J611" s="276"/>
      <c r="K611" s="276"/>
      <c r="L611" s="276"/>
      <c r="M611" s="276"/>
      <c r="N611" s="276"/>
      <c r="O611" s="276"/>
      <c r="P611" s="276"/>
      <c r="Q611" s="276"/>
      <c r="R611" s="276"/>
      <c r="S611" s="276"/>
      <c r="T611" s="276"/>
      <c r="U611" s="276"/>
      <c r="V611" s="276"/>
      <c r="W611" s="276"/>
      <c r="X611" s="276"/>
      <c r="Y611" s="276"/>
      <c r="Z611" s="276"/>
    </row>
    <row r="612" spans="1:26" ht="14.25" customHeight="1" x14ac:dyDescent="0.3">
      <c r="A612" s="307"/>
      <c r="B612" s="276"/>
      <c r="C612" s="276"/>
      <c r="D612" s="276"/>
      <c r="E612" s="276"/>
      <c r="F612" s="276"/>
      <c r="G612" s="276"/>
      <c r="H612" s="276"/>
      <c r="I612" s="276"/>
      <c r="J612" s="276"/>
      <c r="K612" s="276"/>
      <c r="L612" s="276"/>
      <c r="M612" s="276"/>
      <c r="N612" s="276"/>
      <c r="O612" s="276"/>
      <c r="P612" s="276"/>
      <c r="Q612" s="276"/>
      <c r="R612" s="276"/>
      <c r="S612" s="276"/>
      <c r="T612" s="276"/>
      <c r="U612" s="276"/>
      <c r="V612" s="276"/>
      <c r="W612" s="276"/>
      <c r="X612" s="276"/>
      <c r="Y612" s="276"/>
      <c r="Z612" s="276"/>
    </row>
    <row r="613" spans="1:26" ht="14.25" customHeight="1" x14ac:dyDescent="0.3">
      <c r="A613" s="307"/>
      <c r="B613" s="276"/>
      <c r="C613" s="276"/>
      <c r="D613" s="276"/>
      <c r="E613" s="276"/>
      <c r="F613" s="276"/>
      <c r="G613" s="276"/>
      <c r="H613" s="276"/>
      <c r="I613" s="276"/>
      <c r="J613" s="276"/>
      <c r="K613" s="276"/>
      <c r="L613" s="276"/>
      <c r="M613" s="276"/>
      <c r="N613" s="276"/>
      <c r="O613" s="276"/>
      <c r="P613" s="276"/>
      <c r="Q613" s="276"/>
      <c r="R613" s="276"/>
      <c r="S613" s="276"/>
      <c r="T613" s="276"/>
      <c r="U613" s="276"/>
      <c r="V613" s="276"/>
      <c r="W613" s="276"/>
      <c r="X613" s="276"/>
      <c r="Y613" s="276"/>
      <c r="Z613" s="276"/>
    </row>
    <row r="614" spans="1:26" ht="14.25" customHeight="1" x14ac:dyDescent="0.3">
      <c r="A614" s="307"/>
      <c r="B614" s="276"/>
      <c r="C614" s="276"/>
      <c r="D614" s="276"/>
      <c r="E614" s="276"/>
      <c r="F614" s="276"/>
      <c r="G614" s="276"/>
      <c r="H614" s="276"/>
      <c r="I614" s="276"/>
      <c r="J614" s="276"/>
      <c r="K614" s="276"/>
      <c r="L614" s="276"/>
      <c r="M614" s="276"/>
      <c r="N614" s="276"/>
      <c r="O614" s="276"/>
      <c r="P614" s="276"/>
      <c r="Q614" s="276"/>
      <c r="R614" s="276"/>
      <c r="S614" s="276"/>
      <c r="T614" s="276"/>
      <c r="U614" s="276"/>
      <c r="V614" s="276"/>
      <c r="W614" s="276"/>
      <c r="X614" s="276"/>
      <c r="Y614" s="276"/>
      <c r="Z614" s="276"/>
    </row>
    <row r="615" spans="1:26" ht="14.25" customHeight="1" x14ac:dyDescent="0.3">
      <c r="A615" s="307"/>
      <c r="B615" s="276"/>
      <c r="C615" s="276"/>
      <c r="D615" s="276"/>
      <c r="E615" s="276"/>
      <c r="F615" s="276"/>
      <c r="G615" s="276"/>
      <c r="H615" s="276"/>
      <c r="I615" s="276"/>
      <c r="J615" s="276"/>
      <c r="K615" s="276"/>
      <c r="L615" s="276"/>
      <c r="M615" s="276"/>
      <c r="N615" s="276"/>
      <c r="O615" s="276"/>
      <c r="P615" s="276"/>
      <c r="Q615" s="276"/>
      <c r="R615" s="276"/>
      <c r="S615" s="276"/>
      <c r="T615" s="276"/>
      <c r="U615" s="276"/>
      <c r="V615" s="276"/>
      <c r="W615" s="276"/>
      <c r="X615" s="276"/>
      <c r="Y615" s="276"/>
      <c r="Z615" s="276"/>
    </row>
    <row r="616" spans="1:26" ht="14.25" customHeight="1" x14ac:dyDescent="0.3">
      <c r="A616" s="307"/>
      <c r="B616" s="276"/>
      <c r="C616" s="276"/>
      <c r="D616" s="276"/>
      <c r="E616" s="276"/>
      <c r="F616" s="276"/>
      <c r="G616" s="276"/>
      <c r="H616" s="276"/>
      <c r="I616" s="276"/>
      <c r="J616" s="276"/>
      <c r="K616" s="276"/>
      <c r="L616" s="276"/>
      <c r="M616" s="276"/>
      <c r="N616" s="276"/>
      <c r="O616" s="276"/>
      <c r="P616" s="276"/>
      <c r="Q616" s="276"/>
      <c r="R616" s="276"/>
      <c r="S616" s="276"/>
      <c r="T616" s="276"/>
      <c r="U616" s="276"/>
      <c r="V616" s="276"/>
      <c r="W616" s="276"/>
      <c r="X616" s="276"/>
      <c r="Y616" s="276"/>
      <c r="Z616" s="276"/>
    </row>
    <row r="617" spans="1:26" ht="14.25" customHeight="1" x14ac:dyDescent="0.3">
      <c r="A617" s="307"/>
      <c r="B617" s="276"/>
      <c r="C617" s="276"/>
      <c r="D617" s="276"/>
      <c r="E617" s="276"/>
      <c r="F617" s="276"/>
      <c r="G617" s="276"/>
      <c r="H617" s="276"/>
      <c r="I617" s="276"/>
      <c r="J617" s="276"/>
      <c r="K617" s="276"/>
      <c r="L617" s="276"/>
      <c r="M617" s="276"/>
      <c r="N617" s="276"/>
      <c r="O617" s="276"/>
      <c r="P617" s="276"/>
      <c r="Q617" s="276"/>
      <c r="R617" s="276"/>
      <c r="S617" s="276"/>
      <c r="T617" s="276"/>
      <c r="U617" s="276"/>
      <c r="V617" s="276"/>
      <c r="W617" s="276"/>
      <c r="X617" s="276"/>
      <c r="Y617" s="276"/>
      <c r="Z617" s="276"/>
    </row>
    <row r="618" spans="1:26" ht="14.25" customHeight="1" x14ac:dyDescent="0.3">
      <c r="A618" s="307"/>
      <c r="B618" s="276"/>
      <c r="C618" s="276"/>
      <c r="D618" s="276"/>
      <c r="E618" s="276"/>
      <c r="F618" s="276"/>
      <c r="G618" s="276"/>
      <c r="H618" s="276"/>
      <c r="I618" s="276"/>
      <c r="J618" s="276"/>
      <c r="K618" s="276"/>
      <c r="L618" s="276"/>
      <c r="M618" s="276"/>
      <c r="N618" s="276"/>
      <c r="O618" s="276"/>
      <c r="P618" s="276"/>
      <c r="Q618" s="276"/>
      <c r="R618" s="276"/>
      <c r="S618" s="276"/>
      <c r="T618" s="276"/>
      <c r="U618" s="276"/>
      <c r="V618" s="276"/>
      <c r="W618" s="276"/>
      <c r="X618" s="276"/>
      <c r="Y618" s="276"/>
      <c r="Z618" s="276"/>
    </row>
    <row r="619" spans="1:26" ht="14.25" customHeight="1" x14ac:dyDescent="0.3">
      <c r="A619" s="307"/>
      <c r="B619" s="276"/>
      <c r="C619" s="276"/>
      <c r="D619" s="276"/>
      <c r="E619" s="276"/>
      <c r="F619" s="276"/>
      <c r="G619" s="276"/>
      <c r="H619" s="276"/>
      <c r="I619" s="276"/>
      <c r="J619" s="276"/>
      <c r="K619" s="276"/>
      <c r="L619" s="276"/>
      <c r="M619" s="276"/>
      <c r="N619" s="276"/>
      <c r="O619" s="276"/>
      <c r="P619" s="276"/>
      <c r="Q619" s="276"/>
      <c r="R619" s="276"/>
      <c r="S619" s="276"/>
      <c r="T619" s="276"/>
      <c r="U619" s="276"/>
      <c r="V619" s="276"/>
      <c r="W619" s="276"/>
      <c r="X619" s="276"/>
      <c r="Y619" s="276"/>
      <c r="Z619" s="276"/>
    </row>
    <row r="620" spans="1:26" ht="14.25" customHeight="1" x14ac:dyDescent="0.3">
      <c r="A620" s="307"/>
      <c r="B620" s="276"/>
      <c r="C620" s="276"/>
      <c r="D620" s="276"/>
      <c r="E620" s="276"/>
      <c r="F620" s="276"/>
      <c r="G620" s="276"/>
      <c r="H620" s="276"/>
      <c r="I620" s="276"/>
      <c r="J620" s="276"/>
      <c r="K620" s="276"/>
      <c r="L620" s="276"/>
      <c r="M620" s="276"/>
      <c r="N620" s="276"/>
      <c r="O620" s="276"/>
      <c r="P620" s="276"/>
      <c r="Q620" s="276"/>
      <c r="R620" s="276"/>
      <c r="S620" s="276"/>
      <c r="T620" s="276"/>
      <c r="U620" s="276"/>
      <c r="V620" s="276"/>
      <c r="W620" s="276"/>
      <c r="X620" s="276"/>
      <c r="Y620" s="276"/>
      <c r="Z620" s="276"/>
    </row>
    <row r="621" spans="1:26" ht="14.25" customHeight="1" x14ac:dyDescent="0.3">
      <c r="A621" s="307"/>
      <c r="B621" s="276"/>
      <c r="C621" s="276"/>
      <c r="D621" s="276"/>
      <c r="E621" s="276"/>
      <c r="F621" s="276"/>
      <c r="G621" s="276"/>
      <c r="H621" s="276"/>
      <c r="I621" s="276"/>
      <c r="J621" s="276"/>
      <c r="K621" s="276"/>
      <c r="L621" s="276"/>
      <c r="M621" s="276"/>
      <c r="N621" s="276"/>
      <c r="O621" s="276"/>
      <c r="P621" s="276"/>
      <c r="Q621" s="276"/>
      <c r="R621" s="276"/>
      <c r="S621" s="276"/>
      <c r="T621" s="276"/>
      <c r="U621" s="276"/>
      <c r="V621" s="276"/>
      <c r="W621" s="276"/>
      <c r="X621" s="276"/>
      <c r="Y621" s="276"/>
      <c r="Z621" s="276"/>
    </row>
    <row r="622" spans="1:26" ht="14.25" customHeight="1" x14ac:dyDescent="0.3">
      <c r="A622" s="307"/>
      <c r="B622" s="276"/>
      <c r="C622" s="276"/>
      <c r="D622" s="276"/>
      <c r="E622" s="276"/>
      <c r="F622" s="276"/>
      <c r="G622" s="276"/>
      <c r="H622" s="276"/>
      <c r="I622" s="276"/>
      <c r="J622" s="276"/>
      <c r="K622" s="276"/>
      <c r="L622" s="276"/>
      <c r="M622" s="276"/>
      <c r="N622" s="276"/>
      <c r="O622" s="276"/>
      <c r="P622" s="276"/>
      <c r="Q622" s="276"/>
      <c r="R622" s="276"/>
      <c r="S622" s="276"/>
      <c r="T622" s="276"/>
      <c r="U622" s="276"/>
      <c r="V622" s="276"/>
      <c r="W622" s="276"/>
      <c r="X622" s="276"/>
      <c r="Y622" s="276"/>
      <c r="Z622" s="276"/>
    </row>
    <row r="623" spans="1:26" ht="14.25" customHeight="1" x14ac:dyDescent="0.3">
      <c r="A623" s="307"/>
      <c r="B623" s="276"/>
      <c r="C623" s="276"/>
      <c r="D623" s="276"/>
      <c r="E623" s="276"/>
      <c r="F623" s="276"/>
      <c r="G623" s="276"/>
      <c r="H623" s="276"/>
      <c r="I623" s="276"/>
      <c r="J623" s="276"/>
      <c r="K623" s="276"/>
      <c r="L623" s="276"/>
      <c r="M623" s="276"/>
      <c r="N623" s="276"/>
      <c r="O623" s="276"/>
      <c r="P623" s="276"/>
      <c r="Q623" s="276"/>
      <c r="R623" s="276"/>
      <c r="S623" s="276"/>
      <c r="T623" s="276"/>
      <c r="U623" s="276"/>
      <c r="V623" s="276"/>
      <c r="W623" s="276"/>
      <c r="X623" s="276"/>
      <c r="Y623" s="276"/>
      <c r="Z623" s="276"/>
    </row>
    <row r="624" spans="1:26" ht="14.25" customHeight="1" x14ac:dyDescent="0.3">
      <c r="A624" s="307"/>
      <c r="B624" s="276"/>
      <c r="C624" s="276"/>
      <c r="D624" s="276"/>
      <c r="E624" s="276"/>
      <c r="F624" s="276"/>
      <c r="G624" s="276"/>
      <c r="H624" s="276"/>
      <c r="I624" s="276"/>
      <c r="J624" s="276"/>
      <c r="K624" s="276"/>
      <c r="L624" s="276"/>
      <c r="M624" s="276"/>
      <c r="N624" s="276"/>
      <c r="O624" s="276"/>
      <c r="P624" s="276"/>
      <c r="Q624" s="276"/>
      <c r="R624" s="276"/>
      <c r="S624" s="276"/>
      <c r="T624" s="276"/>
      <c r="U624" s="276"/>
      <c r="V624" s="276"/>
      <c r="W624" s="276"/>
      <c r="X624" s="276"/>
      <c r="Y624" s="276"/>
      <c r="Z624" s="276"/>
    </row>
    <row r="625" spans="1:26" ht="14.25" customHeight="1" x14ac:dyDescent="0.3">
      <c r="A625" s="307"/>
      <c r="B625" s="276"/>
      <c r="C625" s="276"/>
      <c r="D625" s="276"/>
      <c r="E625" s="276"/>
      <c r="F625" s="276"/>
      <c r="G625" s="276"/>
      <c r="H625" s="276"/>
      <c r="I625" s="276"/>
      <c r="J625" s="276"/>
      <c r="K625" s="276"/>
      <c r="L625" s="276"/>
      <c r="M625" s="276"/>
      <c r="N625" s="276"/>
      <c r="O625" s="276"/>
      <c r="P625" s="276"/>
      <c r="Q625" s="276"/>
      <c r="R625" s="276"/>
      <c r="S625" s="276"/>
      <c r="T625" s="276"/>
      <c r="U625" s="276"/>
      <c r="V625" s="276"/>
      <c r="W625" s="276"/>
      <c r="X625" s="276"/>
      <c r="Y625" s="276"/>
      <c r="Z625" s="276"/>
    </row>
    <row r="626" spans="1:26" ht="14.25" customHeight="1" x14ac:dyDescent="0.3">
      <c r="A626" s="307"/>
      <c r="B626" s="276"/>
      <c r="C626" s="276"/>
      <c r="D626" s="276"/>
      <c r="E626" s="276"/>
      <c r="F626" s="276"/>
      <c r="G626" s="276"/>
      <c r="H626" s="276"/>
      <c r="I626" s="276"/>
      <c r="J626" s="276"/>
      <c r="K626" s="276"/>
      <c r="L626" s="276"/>
      <c r="M626" s="276"/>
      <c r="N626" s="276"/>
      <c r="O626" s="276"/>
      <c r="P626" s="276"/>
      <c r="Q626" s="276"/>
      <c r="R626" s="276"/>
      <c r="S626" s="276"/>
      <c r="T626" s="276"/>
      <c r="U626" s="276"/>
      <c r="V626" s="276"/>
      <c r="W626" s="276"/>
      <c r="X626" s="276"/>
      <c r="Y626" s="276"/>
      <c r="Z626" s="276"/>
    </row>
    <row r="627" spans="1:26" ht="14.25" customHeight="1" x14ac:dyDescent="0.3">
      <c r="A627" s="307"/>
      <c r="B627" s="276"/>
      <c r="C627" s="276"/>
      <c r="D627" s="276"/>
      <c r="E627" s="276"/>
      <c r="F627" s="276"/>
      <c r="G627" s="276"/>
      <c r="H627" s="276"/>
      <c r="I627" s="276"/>
      <c r="J627" s="276"/>
      <c r="K627" s="276"/>
      <c r="L627" s="276"/>
      <c r="M627" s="276"/>
      <c r="N627" s="276"/>
      <c r="O627" s="276"/>
      <c r="P627" s="276"/>
      <c r="Q627" s="276"/>
      <c r="R627" s="276"/>
      <c r="S627" s="276"/>
      <c r="T627" s="276"/>
      <c r="U627" s="276"/>
      <c r="V627" s="276"/>
      <c r="W627" s="276"/>
      <c r="X627" s="276"/>
      <c r="Y627" s="276"/>
      <c r="Z627" s="276"/>
    </row>
    <row r="628" spans="1:26" ht="14.25" customHeight="1" x14ac:dyDescent="0.3">
      <c r="A628" s="307"/>
      <c r="B628" s="276"/>
      <c r="C628" s="276"/>
      <c r="D628" s="276"/>
      <c r="E628" s="276"/>
      <c r="F628" s="276"/>
      <c r="G628" s="276"/>
      <c r="H628" s="276"/>
      <c r="I628" s="276"/>
      <c r="J628" s="276"/>
      <c r="K628" s="276"/>
      <c r="L628" s="276"/>
      <c r="M628" s="276"/>
      <c r="N628" s="276"/>
      <c r="O628" s="276"/>
      <c r="P628" s="276"/>
      <c r="Q628" s="276"/>
      <c r="R628" s="276"/>
      <c r="S628" s="276"/>
      <c r="T628" s="276"/>
      <c r="U628" s="276"/>
      <c r="V628" s="276"/>
      <c r="W628" s="276"/>
      <c r="X628" s="276"/>
      <c r="Y628" s="276"/>
      <c r="Z628" s="276"/>
    </row>
    <row r="629" spans="1:26" ht="14.25" customHeight="1" x14ac:dyDescent="0.3">
      <c r="A629" s="307"/>
      <c r="B629" s="276"/>
      <c r="C629" s="276"/>
      <c r="D629" s="276"/>
      <c r="E629" s="276"/>
      <c r="F629" s="276"/>
      <c r="G629" s="276"/>
      <c r="H629" s="276"/>
      <c r="I629" s="276"/>
      <c r="J629" s="276"/>
      <c r="K629" s="276"/>
      <c r="L629" s="276"/>
      <c r="M629" s="276"/>
      <c r="N629" s="276"/>
      <c r="O629" s="276"/>
      <c r="P629" s="276"/>
      <c r="Q629" s="276"/>
      <c r="R629" s="276"/>
      <c r="S629" s="276"/>
      <c r="T629" s="276"/>
      <c r="U629" s="276"/>
      <c r="V629" s="276"/>
      <c r="W629" s="276"/>
      <c r="X629" s="276"/>
      <c r="Y629" s="276"/>
      <c r="Z629" s="276"/>
    </row>
    <row r="630" spans="1:26" ht="14.25" customHeight="1" x14ac:dyDescent="0.3">
      <c r="A630" s="307"/>
      <c r="B630" s="276"/>
      <c r="C630" s="276"/>
      <c r="D630" s="276"/>
      <c r="E630" s="276"/>
      <c r="F630" s="276"/>
      <c r="G630" s="276"/>
      <c r="H630" s="276"/>
      <c r="I630" s="276"/>
      <c r="J630" s="276"/>
      <c r="K630" s="276"/>
      <c r="L630" s="276"/>
      <c r="M630" s="276"/>
      <c r="N630" s="276"/>
      <c r="O630" s="276"/>
      <c r="P630" s="276"/>
      <c r="Q630" s="276"/>
      <c r="R630" s="276"/>
      <c r="S630" s="276"/>
      <c r="T630" s="276"/>
      <c r="U630" s="276"/>
      <c r="V630" s="276"/>
      <c r="W630" s="276"/>
      <c r="X630" s="276"/>
      <c r="Y630" s="276"/>
      <c r="Z630" s="276"/>
    </row>
    <row r="631" spans="1:26" ht="14.25" customHeight="1" x14ac:dyDescent="0.3">
      <c r="A631" s="307"/>
      <c r="B631" s="276"/>
      <c r="C631" s="276"/>
      <c r="D631" s="276"/>
      <c r="E631" s="276"/>
      <c r="F631" s="276"/>
      <c r="G631" s="276"/>
      <c r="H631" s="276"/>
      <c r="I631" s="276"/>
      <c r="J631" s="276"/>
      <c r="K631" s="276"/>
      <c r="L631" s="276"/>
      <c r="M631" s="276"/>
      <c r="N631" s="276"/>
      <c r="O631" s="276"/>
      <c r="P631" s="276"/>
      <c r="Q631" s="276"/>
      <c r="R631" s="276"/>
      <c r="S631" s="276"/>
      <c r="T631" s="276"/>
      <c r="U631" s="276"/>
      <c r="V631" s="276"/>
      <c r="W631" s="276"/>
      <c r="X631" s="276"/>
      <c r="Y631" s="276"/>
      <c r="Z631" s="276"/>
    </row>
    <row r="632" spans="1:26" ht="14.25" customHeight="1" x14ac:dyDescent="0.3">
      <c r="A632" s="307"/>
      <c r="B632" s="276"/>
      <c r="C632" s="276"/>
      <c r="D632" s="276"/>
      <c r="E632" s="276"/>
      <c r="F632" s="276"/>
      <c r="G632" s="276"/>
      <c r="H632" s="276"/>
      <c r="I632" s="276"/>
      <c r="J632" s="276"/>
      <c r="K632" s="276"/>
      <c r="L632" s="276"/>
      <c r="M632" s="276"/>
      <c r="N632" s="276"/>
      <c r="O632" s="276"/>
      <c r="P632" s="276"/>
      <c r="Q632" s="276"/>
      <c r="R632" s="276"/>
      <c r="S632" s="276"/>
      <c r="T632" s="276"/>
      <c r="U632" s="276"/>
      <c r="V632" s="276"/>
      <c r="W632" s="276"/>
      <c r="X632" s="276"/>
      <c r="Y632" s="276"/>
      <c r="Z632" s="276"/>
    </row>
    <row r="633" spans="1:26" ht="14.25" customHeight="1" x14ac:dyDescent="0.3">
      <c r="A633" s="307"/>
      <c r="B633" s="276"/>
      <c r="C633" s="276"/>
      <c r="D633" s="276"/>
      <c r="E633" s="276"/>
      <c r="F633" s="276"/>
      <c r="G633" s="276"/>
      <c r="H633" s="276"/>
      <c r="I633" s="276"/>
      <c r="J633" s="276"/>
      <c r="K633" s="276"/>
      <c r="L633" s="276"/>
      <c r="M633" s="276"/>
      <c r="N633" s="276"/>
      <c r="O633" s="276"/>
      <c r="P633" s="276"/>
      <c r="Q633" s="276"/>
      <c r="R633" s="276"/>
      <c r="S633" s="276"/>
      <c r="T633" s="276"/>
      <c r="U633" s="276"/>
      <c r="V633" s="276"/>
      <c r="W633" s="276"/>
      <c r="X633" s="276"/>
      <c r="Y633" s="276"/>
      <c r="Z633" s="276"/>
    </row>
    <row r="634" spans="1:26" ht="14.25" customHeight="1" x14ac:dyDescent="0.3">
      <c r="A634" s="307"/>
      <c r="B634" s="276"/>
      <c r="C634" s="276"/>
      <c r="D634" s="276"/>
      <c r="E634" s="276"/>
      <c r="F634" s="276"/>
      <c r="G634" s="276"/>
      <c r="H634" s="276"/>
      <c r="I634" s="276"/>
      <c r="J634" s="276"/>
      <c r="K634" s="276"/>
      <c r="L634" s="276"/>
      <c r="M634" s="276"/>
      <c r="N634" s="276"/>
      <c r="O634" s="276"/>
      <c r="P634" s="276"/>
      <c r="Q634" s="276"/>
      <c r="R634" s="276"/>
      <c r="S634" s="276"/>
      <c r="T634" s="276"/>
      <c r="U634" s="276"/>
      <c r="V634" s="276"/>
      <c r="W634" s="276"/>
      <c r="X634" s="276"/>
      <c r="Y634" s="276"/>
      <c r="Z634" s="276"/>
    </row>
    <row r="635" spans="1:26" ht="14.25" customHeight="1" x14ac:dyDescent="0.3">
      <c r="A635" s="307"/>
      <c r="B635" s="276"/>
      <c r="C635" s="276"/>
      <c r="D635" s="276"/>
      <c r="E635" s="276"/>
      <c r="F635" s="276"/>
      <c r="G635" s="276"/>
      <c r="H635" s="276"/>
      <c r="I635" s="276"/>
      <c r="J635" s="276"/>
      <c r="K635" s="276"/>
      <c r="L635" s="276"/>
      <c r="M635" s="276"/>
      <c r="N635" s="276"/>
      <c r="O635" s="276"/>
      <c r="P635" s="276"/>
      <c r="Q635" s="276"/>
      <c r="R635" s="276"/>
      <c r="S635" s="276"/>
      <c r="T635" s="276"/>
      <c r="U635" s="276"/>
      <c r="V635" s="276"/>
      <c r="W635" s="276"/>
      <c r="X635" s="276"/>
      <c r="Y635" s="276"/>
      <c r="Z635" s="276"/>
    </row>
    <row r="636" spans="1:26" ht="14.25" customHeight="1" x14ac:dyDescent="0.3">
      <c r="A636" s="307"/>
      <c r="B636" s="276"/>
      <c r="C636" s="276"/>
      <c r="D636" s="276"/>
      <c r="E636" s="276"/>
      <c r="F636" s="276"/>
      <c r="G636" s="276"/>
      <c r="H636" s="276"/>
      <c r="I636" s="276"/>
      <c r="J636" s="276"/>
      <c r="K636" s="276"/>
      <c r="L636" s="276"/>
      <c r="M636" s="276"/>
      <c r="N636" s="276"/>
      <c r="O636" s="276"/>
      <c r="P636" s="276"/>
      <c r="Q636" s="276"/>
      <c r="R636" s="276"/>
      <c r="S636" s="276"/>
      <c r="T636" s="276"/>
      <c r="U636" s="276"/>
      <c r="V636" s="276"/>
      <c r="W636" s="276"/>
      <c r="X636" s="276"/>
      <c r="Y636" s="276"/>
      <c r="Z636" s="276"/>
    </row>
    <row r="637" spans="1:26" ht="14.25" customHeight="1" x14ac:dyDescent="0.3">
      <c r="A637" s="307"/>
      <c r="B637" s="276"/>
      <c r="C637" s="276"/>
      <c r="D637" s="276"/>
      <c r="E637" s="276"/>
      <c r="F637" s="276"/>
      <c r="G637" s="276"/>
      <c r="H637" s="276"/>
      <c r="I637" s="276"/>
      <c r="J637" s="276"/>
      <c r="K637" s="276"/>
      <c r="L637" s="276"/>
      <c r="M637" s="276"/>
      <c r="N637" s="276"/>
      <c r="O637" s="276"/>
      <c r="P637" s="276"/>
      <c r="Q637" s="276"/>
      <c r="R637" s="276"/>
      <c r="S637" s="276"/>
      <c r="T637" s="276"/>
      <c r="U637" s="276"/>
      <c r="V637" s="276"/>
      <c r="W637" s="276"/>
      <c r="X637" s="276"/>
      <c r="Y637" s="276"/>
      <c r="Z637" s="276"/>
    </row>
    <row r="638" spans="1:26" ht="14.25" customHeight="1" x14ac:dyDescent="0.3">
      <c r="A638" s="307"/>
      <c r="B638" s="276"/>
      <c r="C638" s="276"/>
      <c r="D638" s="276"/>
      <c r="E638" s="276"/>
      <c r="F638" s="276"/>
      <c r="G638" s="276"/>
      <c r="H638" s="276"/>
      <c r="I638" s="276"/>
      <c r="J638" s="276"/>
      <c r="K638" s="276"/>
      <c r="L638" s="276"/>
      <c r="M638" s="276"/>
      <c r="N638" s="276"/>
      <c r="O638" s="276"/>
      <c r="P638" s="276"/>
      <c r="Q638" s="276"/>
      <c r="R638" s="276"/>
      <c r="S638" s="276"/>
      <c r="T638" s="276"/>
      <c r="U638" s="276"/>
      <c r="V638" s="276"/>
      <c r="W638" s="276"/>
      <c r="X638" s="276"/>
      <c r="Y638" s="276"/>
      <c r="Z638" s="276"/>
    </row>
    <row r="639" spans="1:26" ht="14.25" customHeight="1" x14ac:dyDescent="0.3">
      <c r="A639" s="307"/>
      <c r="B639" s="276"/>
      <c r="C639" s="276"/>
      <c r="D639" s="276"/>
      <c r="E639" s="276"/>
      <c r="F639" s="276"/>
      <c r="G639" s="276"/>
      <c r="H639" s="276"/>
      <c r="I639" s="276"/>
      <c r="J639" s="276"/>
      <c r="K639" s="276"/>
      <c r="L639" s="276"/>
      <c r="M639" s="276"/>
      <c r="N639" s="276"/>
      <c r="O639" s="276"/>
      <c r="P639" s="276"/>
      <c r="Q639" s="276"/>
      <c r="R639" s="276"/>
      <c r="S639" s="276"/>
      <c r="T639" s="276"/>
      <c r="U639" s="276"/>
      <c r="V639" s="276"/>
      <c r="W639" s="276"/>
      <c r="X639" s="276"/>
      <c r="Y639" s="276"/>
      <c r="Z639" s="276"/>
    </row>
    <row r="640" spans="1:26" ht="14.25" customHeight="1" x14ac:dyDescent="0.3">
      <c r="A640" s="307"/>
      <c r="B640" s="276"/>
      <c r="C640" s="276"/>
      <c r="D640" s="276"/>
      <c r="E640" s="276"/>
      <c r="F640" s="276"/>
      <c r="G640" s="276"/>
      <c r="H640" s="276"/>
      <c r="I640" s="276"/>
      <c r="J640" s="276"/>
      <c r="K640" s="276"/>
      <c r="L640" s="276"/>
      <c r="M640" s="276"/>
      <c r="N640" s="276"/>
      <c r="O640" s="276"/>
      <c r="P640" s="276"/>
      <c r="Q640" s="276"/>
      <c r="R640" s="276"/>
      <c r="S640" s="276"/>
      <c r="T640" s="276"/>
      <c r="U640" s="276"/>
      <c r="V640" s="276"/>
      <c r="W640" s="276"/>
      <c r="X640" s="276"/>
      <c r="Y640" s="276"/>
      <c r="Z640" s="276"/>
    </row>
    <row r="641" spans="1:26" ht="14.25" customHeight="1" x14ac:dyDescent="0.3">
      <c r="A641" s="307"/>
      <c r="B641" s="276"/>
      <c r="C641" s="276"/>
      <c r="D641" s="276"/>
      <c r="E641" s="276"/>
      <c r="F641" s="276"/>
      <c r="G641" s="276"/>
      <c r="H641" s="276"/>
      <c r="I641" s="276"/>
      <c r="J641" s="276"/>
      <c r="K641" s="276"/>
      <c r="L641" s="276"/>
      <c r="M641" s="276"/>
      <c r="N641" s="276"/>
      <c r="O641" s="276"/>
      <c r="P641" s="276"/>
      <c r="Q641" s="276"/>
      <c r="R641" s="276"/>
      <c r="S641" s="276"/>
      <c r="T641" s="276"/>
      <c r="U641" s="276"/>
      <c r="V641" s="276"/>
      <c r="W641" s="276"/>
      <c r="X641" s="276"/>
      <c r="Y641" s="276"/>
      <c r="Z641" s="276"/>
    </row>
    <row r="642" spans="1:26" ht="14.25" customHeight="1" x14ac:dyDescent="0.3">
      <c r="A642" s="307"/>
      <c r="B642" s="276"/>
      <c r="C642" s="276"/>
      <c r="D642" s="276"/>
      <c r="E642" s="276"/>
      <c r="F642" s="276"/>
      <c r="G642" s="276"/>
      <c r="H642" s="276"/>
      <c r="I642" s="276"/>
      <c r="J642" s="276"/>
      <c r="K642" s="276"/>
      <c r="L642" s="276"/>
      <c r="M642" s="276"/>
      <c r="N642" s="276"/>
      <c r="O642" s="276"/>
      <c r="P642" s="276"/>
      <c r="Q642" s="276"/>
      <c r="R642" s="276"/>
      <c r="S642" s="276"/>
      <c r="T642" s="276"/>
      <c r="U642" s="276"/>
      <c r="V642" s="276"/>
      <c r="W642" s="276"/>
      <c r="X642" s="276"/>
      <c r="Y642" s="276"/>
      <c r="Z642" s="276"/>
    </row>
    <row r="643" spans="1:26" ht="14.25" customHeight="1" x14ac:dyDescent="0.3">
      <c r="A643" s="307"/>
      <c r="B643" s="276"/>
      <c r="C643" s="276"/>
      <c r="D643" s="276"/>
      <c r="E643" s="276"/>
      <c r="F643" s="276"/>
      <c r="G643" s="276"/>
      <c r="H643" s="276"/>
      <c r="I643" s="276"/>
      <c r="J643" s="276"/>
      <c r="K643" s="276"/>
      <c r="L643" s="276"/>
      <c r="M643" s="276"/>
      <c r="N643" s="276"/>
      <c r="O643" s="276"/>
      <c r="P643" s="276"/>
      <c r="Q643" s="276"/>
      <c r="R643" s="276"/>
      <c r="S643" s="276"/>
      <c r="T643" s="276"/>
      <c r="U643" s="276"/>
      <c r="V643" s="276"/>
      <c r="W643" s="276"/>
      <c r="X643" s="276"/>
      <c r="Y643" s="276"/>
      <c r="Z643" s="276"/>
    </row>
    <row r="644" spans="1:26" ht="14.25" customHeight="1" x14ac:dyDescent="0.3">
      <c r="A644" s="307"/>
      <c r="B644" s="276"/>
      <c r="C644" s="276"/>
      <c r="D644" s="276"/>
      <c r="E644" s="276"/>
      <c r="F644" s="276"/>
      <c r="G644" s="276"/>
      <c r="H644" s="276"/>
      <c r="I644" s="276"/>
      <c r="J644" s="276"/>
      <c r="K644" s="276"/>
      <c r="L644" s="276"/>
      <c r="M644" s="276"/>
      <c r="N644" s="276"/>
      <c r="O644" s="276"/>
      <c r="P644" s="276"/>
      <c r="Q644" s="276"/>
      <c r="R644" s="276"/>
      <c r="S644" s="276"/>
      <c r="T644" s="276"/>
      <c r="U644" s="276"/>
      <c r="V644" s="276"/>
      <c r="W644" s="276"/>
      <c r="X644" s="276"/>
      <c r="Y644" s="276"/>
      <c r="Z644" s="276"/>
    </row>
    <row r="645" spans="1:26" ht="14.25" customHeight="1" x14ac:dyDescent="0.3">
      <c r="A645" s="307"/>
      <c r="B645" s="276"/>
      <c r="C645" s="276"/>
      <c r="D645" s="276"/>
      <c r="E645" s="276"/>
      <c r="F645" s="276"/>
      <c r="G645" s="276"/>
      <c r="H645" s="276"/>
      <c r="I645" s="276"/>
      <c r="J645" s="276"/>
      <c r="K645" s="276"/>
      <c r="L645" s="276"/>
      <c r="M645" s="276"/>
      <c r="N645" s="276"/>
      <c r="O645" s="276"/>
      <c r="P645" s="276"/>
      <c r="Q645" s="276"/>
      <c r="R645" s="276"/>
      <c r="S645" s="276"/>
      <c r="T645" s="276"/>
      <c r="U645" s="276"/>
      <c r="V645" s="276"/>
      <c r="W645" s="276"/>
      <c r="X645" s="276"/>
      <c r="Y645" s="276"/>
      <c r="Z645" s="276"/>
    </row>
    <row r="646" spans="1:26" ht="14.25" customHeight="1" x14ac:dyDescent="0.3">
      <c r="A646" s="307"/>
      <c r="B646" s="276"/>
      <c r="C646" s="276"/>
      <c r="D646" s="276"/>
      <c r="E646" s="276"/>
      <c r="F646" s="276"/>
      <c r="G646" s="276"/>
      <c r="H646" s="276"/>
      <c r="I646" s="276"/>
      <c r="J646" s="276"/>
      <c r="K646" s="276"/>
      <c r="L646" s="276"/>
      <c r="M646" s="276"/>
      <c r="N646" s="276"/>
      <c r="O646" s="276"/>
      <c r="P646" s="276"/>
      <c r="Q646" s="276"/>
      <c r="R646" s="276"/>
      <c r="S646" s="276"/>
      <c r="T646" s="276"/>
      <c r="U646" s="276"/>
      <c r="V646" s="276"/>
      <c r="W646" s="276"/>
      <c r="X646" s="276"/>
      <c r="Y646" s="276"/>
      <c r="Z646" s="276"/>
    </row>
    <row r="647" spans="1:26" ht="14.25" customHeight="1" x14ac:dyDescent="0.3">
      <c r="A647" s="307"/>
      <c r="B647" s="276"/>
      <c r="C647" s="276"/>
      <c r="D647" s="276"/>
      <c r="E647" s="276"/>
      <c r="F647" s="276"/>
      <c r="G647" s="276"/>
      <c r="H647" s="276"/>
      <c r="I647" s="276"/>
      <c r="J647" s="276"/>
      <c r="K647" s="276"/>
      <c r="L647" s="276"/>
      <c r="M647" s="276"/>
      <c r="N647" s="276"/>
      <c r="O647" s="276"/>
      <c r="P647" s="276"/>
      <c r="Q647" s="276"/>
      <c r="R647" s="276"/>
      <c r="S647" s="276"/>
      <c r="T647" s="276"/>
      <c r="U647" s="276"/>
      <c r="V647" s="276"/>
      <c r="W647" s="276"/>
      <c r="X647" s="276"/>
      <c r="Y647" s="276"/>
      <c r="Z647" s="276"/>
    </row>
    <row r="648" spans="1:26" ht="14.25" customHeight="1" x14ac:dyDescent="0.3">
      <c r="A648" s="307"/>
      <c r="B648" s="276"/>
      <c r="C648" s="276"/>
      <c r="D648" s="276"/>
      <c r="E648" s="276"/>
      <c r="F648" s="276"/>
      <c r="G648" s="276"/>
      <c r="H648" s="276"/>
      <c r="I648" s="276"/>
      <c r="J648" s="276"/>
      <c r="K648" s="276"/>
      <c r="L648" s="276"/>
      <c r="M648" s="276"/>
      <c r="N648" s="276"/>
      <c r="O648" s="276"/>
      <c r="P648" s="276"/>
      <c r="Q648" s="276"/>
      <c r="R648" s="276"/>
      <c r="S648" s="276"/>
      <c r="T648" s="276"/>
      <c r="U648" s="276"/>
      <c r="V648" s="276"/>
      <c r="W648" s="276"/>
      <c r="X648" s="276"/>
      <c r="Y648" s="276"/>
      <c r="Z648" s="276"/>
    </row>
    <row r="649" spans="1:26" ht="14.25" customHeight="1" x14ac:dyDescent="0.3">
      <c r="A649" s="307"/>
      <c r="B649" s="276"/>
      <c r="C649" s="276"/>
      <c r="D649" s="276"/>
      <c r="E649" s="276"/>
      <c r="F649" s="276"/>
      <c r="G649" s="276"/>
      <c r="H649" s="276"/>
      <c r="I649" s="276"/>
      <c r="J649" s="276"/>
      <c r="K649" s="276"/>
      <c r="L649" s="276"/>
      <c r="M649" s="276"/>
      <c r="N649" s="276"/>
      <c r="O649" s="276"/>
      <c r="P649" s="276"/>
      <c r="Q649" s="276"/>
      <c r="R649" s="276"/>
      <c r="S649" s="276"/>
      <c r="T649" s="276"/>
      <c r="U649" s="276"/>
      <c r="V649" s="276"/>
      <c r="W649" s="276"/>
      <c r="X649" s="276"/>
      <c r="Y649" s="276"/>
      <c r="Z649" s="276"/>
    </row>
    <row r="650" spans="1:26" ht="14.25" customHeight="1" x14ac:dyDescent="0.3">
      <c r="A650" s="307"/>
      <c r="B650" s="276"/>
      <c r="C650" s="276"/>
      <c r="D650" s="276"/>
      <c r="E650" s="276"/>
      <c r="F650" s="276"/>
      <c r="G650" s="276"/>
      <c r="H650" s="276"/>
      <c r="I650" s="276"/>
      <c r="J650" s="276"/>
      <c r="K650" s="276"/>
      <c r="L650" s="276"/>
      <c r="M650" s="276"/>
      <c r="N650" s="276"/>
      <c r="O650" s="276"/>
      <c r="P650" s="276"/>
      <c r="Q650" s="276"/>
      <c r="R650" s="276"/>
      <c r="S650" s="276"/>
      <c r="T650" s="276"/>
      <c r="U650" s="276"/>
      <c r="V650" s="276"/>
      <c r="W650" s="276"/>
      <c r="X650" s="276"/>
      <c r="Y650" s="276"/>
      <c r="Z650" s="276"/>
    </row>
    <row r="651" spans="1:26" ht="14.25" customHeight="1" x14ac:dyDescent="0.3">
      <c r="A651" s="307"/>
      <c r="B651" s="276"/>
      <c r="C651" s="276"/>
      <c r="D651" s="276"/>
      <c r="E651" s="276"/>
      <c r="F651" s="276"/>
      <c r="G651" s="276"/>
      <c r="H651" s="276"/>
      <c r="I651" s="276"/>
      <c r="J651" s="276"/>
      <c r="K651" s="276"/>
      <c r="L651" s="276"/>
      <c r="M651" s="276"/>
      <c r="N651" s="276"/>
      <c r="O651" s="276"/>
      <c r="P651" s="276"/>
      <c r="Q651" s="276"/>
      <c r="R651" s="276"/>
      <c r="S651" s="276"/>
      <c r="T651" s="276"/>
      <c r="U651" s="276"/>
      <c r="V651" s="276"/>
      <c r="W651" s="276"/>
      <c r="X651" s="276"/>
      <c r="Y651" s="276"/>
      <c r="Z651" s="276"/>
    </row>
    <row r="652" spans="1:26" ht="14.25" customHeight="1" x14ac:dyDescent="0.3">
      <c r="A652" s="307"/>
      <c r="B652" s="276"/>
      <c r="C652" s="276"/>
      <c r="D652" s="276"/>
      <c r="E652" s="276"/>
      <c r="F652" s="276"/>
      <c r="G652" s="276"/>
      <c r="H652" s="276"/>
      <c r="I652" s="276"/>
      <c r="J652" s="276"/>
      <c r="K652" s="276"/>
      <c r="L652" s="276"/>
      <c r="M652" s="276"/>
      <c r="N652" s="276"/>
      <c r="O652" s="276"/>
      <c r="P652" s="276"/>
      <c r="Q652" s="276"/>
      <c r="R652" s="276"/>
      <c r="S652" s="276"/>
      <c r="T652" s="276"/>
      <c r="U652" s="276"/>
      <c r="V652" s="276"/>
      <c r="W652" s="276"/>
      <c r="X652" s="276"/>
      <c r="Y652" s="276"/>
      <c r="Z652" s="276"/>
    </row>
    <row r="653" spans="1:26" ht="14.25" customHeight="1" x14ac:dyDescent="0.3">
      <c r="A653" s="307"/>
      <c r="B653" s="276"/>
      <c r="C653" s="276"/>
      <c r="D653" s="276"/>
      <c r="E653" s="276"/>
      <c r="F653" s="276"/>
      <c r="G653" s="276"/>
      <c r="H653" s="276"/>
      <c r="I653" s="276"/>
      <c r="J653" s="276"/>
      <c r="K653" s="276"/>
      <c r="L653" s="276"/>
      <c r="M653" s="276"/>
      <c r="N653" s="276"/>
      <c r="O653" s="276"/>
      <c r="P653" s="276"/>
      <c r="Q653" s="276"/>
      <c r="R653" s="276"/>
      <c r="S653" s="276"/>
      <c r="T653" s="276"/>
      <c r="U653" s="276"/>
      <c r="V653" s="276"/>
      <c r="W653" s="276"/>
      <c r="X653" s="276"/>
      <c r="Y653" s="276"/>
      <c r="Z653" s="276"/>
    </row>
    <row r="654" spans="1:26" ht="14.25" customHeight="1" x14ac:dyDescent="0.3">
      <c r="A654" s="307"/>
      <c r="B654" s="276"/>
      <c r="C654" s="276"/>
      <c r="D654" s="276"/>
      <c r="E654" s="276"/>
      <c r="F654" s="276"/>
      <c r="G654" s="276"/>
      <c r="H654" s="276"/>
      <c r="I654" s="276"/>
      <c r="J654" s="276"/>
      <c r="K654" s="276"/>
      <c r="L654" s="276"/>
      <c r="M654" s="276"/>
      <c r="N654" s="276"/>
      <c r="O654" s="276"/>
      <c r="P654" s="276"/>
      <c r="Q654" s="276"/>
      <c r="R654" s="276"/>
      <c r="S654" s="276"/>
      <c r="T654" s="276"/>
      <c r="U654" s="276"/>
      <c r="V654" s="276"/>
      <c r="W654" s="276"/>
      <c r="X654" s="276"/>
      <c r="Y654" s="276"/>
      <c r="Z654" s="276"/>
    </row>
    <row r="655" spans="1:26" ht="14.25" customHeight="1" x14ac:dyDescent="0.3">
      <c r="A655" s="307"/>
      <c r="B655" s="276"/>
      <c r="C655" s="276"/>
      <c r="D655" s="276"/>
      <c r="E655" s="276"/>
      <c r="F655" s="276"/>
      <c r="G655" s="276"/>
      <c r="H655" s="276"/>
      <c r="I655" s="276"/>
      <c r="J655" s="276"/>
      <c r="K655" s="276"/>
      <c r="L655" s="276"/>
      <c r="M655" s="276"/>
      <c r="N655" s="276"/>
      <c r="O655" s="276"/>
      <c r="P655" s="276"/>
      <c r="Q655" s="276"/>
      <c r="R655" s="276"/>
      <c r="S655" s="276"/>
      <c r="T655" s="276"/>
      <c r="U655" s="276"/>
      <c r="V655" s="276"/>
      <c r="W655" s="276"/>
      <c r="X655" s="276"/>
      <c r="Y655" s="276"/>
      <c r="Z655" s="276"/>
    </row>
    <row r="656" spans="1:26" ht="14.25" customHeight="1" x14ac:dyDescent="0.3">
      <c r="A656" s="307"/>
      <c r="B656" s="276"/>
      <c r="C656" s="276"/>
      <c r="D656" s="276"/>
      <c r="E656" s="276"/>
      <c r="F656" s="276"/>
      <c r="G656" s="276"/>
      <c r="H656" s="276"/>
      <c r="I656" s="276"/>
      <c r="J656" s="276"/>
      <c r="K656" s="276"/>
      <c r="L656" s="276"/>
      <c r="M656" s="276"/>
      <c r="N656" s="276"/>
      <c r="O656" s="276"/>
      <c r="P656" s="276"/>
      <c r="Q656" s="276"/>
      <c r="R656" s="276"/>
      <c r="S656" s="276"/>
      <c r="T656" s="276"/>
      <c r="U656" s="276"/>
      <c r="V656" s="276"/>
      <c r="W656" s="276"/>
      <c r="X656" s="276"/>
      <c r="Y656" s="276"/>
      <c r="Z656" s="276"/>
    </row>
    <row r="657" spans="1:26" ht="14.25" customHeight="1" x14ac:dyDescent="0.3">
      <c r="A657" s="307"/>
      <c r="B657" s="276"/>
      <c r="C657" s="276"/>
      <c r="D657" s="276"/>
      <c r="E657" s="276"/>
      <c r="F657" s="276"/>
      <c r="G657" s="276"/>
      <c r="H657" s="276"/>
      <c r="I657" s="276"/>
      <c r="J657" s="276"/>
      <c r="K657" s="276"/>
      <c r="L657" s="276"/>
      <c r="M657" s="276"/>
      <c r="N657" s="276"/>
      <c r="O657" s="276"/>
      <c r="P657" s="276"/>
      <c r="Q657" s="276"/>
      <c r="R657" s="276"/>
      <c r="S657" s="276"/>
      <c r="T657" s="276"/>
      <c r="U657" s="276"/>
      <c r="V657" s="276"/>
      <c r="W657" s="276"/>
      <c r="X657" s="276"/>
      <c r="Y657" s="276"/>
      <c r="Z657" s="276"/>
    </row>
    <row r="658" spans="1:26" ht="14.25" customHeight="1" x14ac:dyDescent="0.3">
      <c r="A658" s="307"/>
      <c r="B658" s="276"/>
      <c r="C658" s="276"/>
      <c r="D658" s="276"/>
      <c r="E658" s="276"/>
      <c r="F658" s="276"/>
      <c r="G658" s="276"/>
      <c r="H658" s="276"/>
      <c r="I658" s="276"/>
      <c r="J658" s="276"/>
      <c r="K658" s="276"/>
      <c r="L658" s="276"/>
      <c r="M658" s="276"/>
      <c r="N658" s="276"/>
      <c r="O658" s="276"/>
      <c r="P658" s="276"/>
      <c r="Q658" s="276"/>
      <c r="R658" s="276"/>
      <c r="S658" s="276"/>
      <c r="T658" s="276"/>
      <c r="U658" s="276"/>
      <c r="V658" s="276"/>
      <c r="W658" s="276"/>
      <c r="X658" s="276"/>
      <c r="Y658" s="276"/>
      <c r="Z658" s="276"/>
    </row>
    <row r="659" spans="1:26" ht="14.25" customHeight="1" x14ac:dyDescent="0.3">
      <c r="A659" s="307"/>
      <c r="B659" s="276"/>
      <c r="C659" s="276"/>
      <c r="D659" s="276"/>
      <c r="E659" s="276"/>
      <c r="F659" s="276"/>
      <c r="G659" s="276"/>
      <c r="H659" s="276"/>
      <c r="I659" s="276"/>
      <c r="J659" s="276"/>
      <c r="K659" s="276"/>
      <c r="L659" s="276"/>
      <c r="M659" s="276"/>
      <c r="N659" s="276"/>
      <c r="O659" s="276"/>
      <c r="P659" s="276"/>
      <c r="Q659" s="276"/>
      <c r="R659" s="276"/>
      <c r="S659" s="276"/>
      <c r="T659" s="276"/>
      <c r="U659" s="276"/>
      <c r="V659" s="276"/>
      <c r="W659" s="276"/>
      <c r="X659" s="276"/>
      <c r="Y659" s="276"/>
      <c r="Z659" s="276"/>
    </row>
    <row r="660" spans="1:26" ht="14.25" customHeight="1" x14ac:dyDescent="0.3">
      <c r="A660" s="307"/>
      <c r="B660" s="276"/>
      <c r="C660" s="276"/>
      <c r="D660" s="276"/>
      <c r="E660" s="276"/>
      <c r="F660" s="276"/>
      <c r="G660" s="276"/>
      <c r="H660" s="276"/>
      <c r="I660" s="276"/>
      <c r="J660" s="276"/>
      <c r="K660" s="276"/>
      <c r="L660" s="276"/>
      <c r="M660" s="276"/>
      <c r="N660" s="276"/>
      <c r="O660" s="276"/>
      <c r="P660" s="276"/>
      <c r="Q660" s="276"/>
      <c r="R660" s="276"/>
      <c r="S660" s="276"/>
      <c r="T660" s="276"/>
      <c r="U660" s="276"/>
      <c r="V660" s="276"/>
      <c r="W660" s="276"/>
      <c r="X660" s="276"/>
      <c r="Y660" s="276"/>
      <c r="Z660" s="276"/>
    </row>
    <row r="661" spans="1:26" ht="14.25" customHeight="1" x14ac:dyDescent="0.3">
      <c r="A661" s="307"/>
      <c r="B661" s="276"/>
      <c r="C661" s="276"/>
      <c r="D661" s="276"/>
      <c r="E661" s="276"/>
      <c r="F661" s="276"/>
      <c r="G661" s="276"/>
      <c r="H661" s="276"/>
      <c r="I661" s="276"/>
      <c r="J661" s="276"/>
      <c r="K661" s="276"/>
      <c r="L661" s="276"/>
      <c r="M661" s="276"/>
      <c r="N661" s="276"/>
      <c r="O661" s="276"/>
      <c r="P661" s="276"/>
      <c r="Q661" s="276"/>
      <c r="R661" s="276"/>
      <c r="S661" s="276"/>
      <c r="T661" s="276"/>
      <c r="U661" s="276"/>
      <c r="V661" s="276"/>
      <c r="W661" s="276"/>
      <c r="X661" s="276"/>
      <c r="Y661" s="276"/>
      <c r="Z661" s="276"/>
    </row>
    <row r="662" spans="1:26" ht="14.25" customHeight="1" x14ac:dyDescent="0.3">
      <c r="A662" s="307"/>
      <c r="B662" s="276"/>
      <c r="C662" s="276"/>
      <c r="D662" s="276"/>
      <c r="E662" s="276"/>
      <c r="F662" s="276"/>
      <c r="G662" s="276"/>
      <c r="H662" s="276"/>
      <c r="I662" s="276"/>
      <c r="J662" s="276"/>
      <c r="K662" s="276"/>
      <c r="L662" s="276"/>
      <c r="M662" s="276"/>
      <c r="N662" s="276"/>
      <c r="O662" s="276"/>
      <c r="P662" s="276"/>
      <c r="Q662" s="276"/>
      <c r="R662" s="276"/>
      <c r="S662" s="276"/>
      <c r="T662" s="276"/>
      <c r="U662" s="276"/>
      <c r="V662" s="276"/>
      <c r="W662" s="276"/>
      <c r="X662" s="276"/>
      <c r="Y662" s="276"/>
      <c r="Z662" s="276"/>
    </row>
    <row r="663" spans="1:26" ht="14.25" customHeight="1" x14ac:dyDescent="0.3">
      <c r="A663" s="307"/>
      <c r="B663" s="276"/>
      <c r="C663" s="276"/>
      <c r="D663" s="276"/>
      <c r="E663" s="276"/>
      <c r="F663" s="276"/>
      <c r="G663" s="276"/>
      <c r="H663" s="276"/>
      <c r="I663" s="276"/>
      <c r="J663" s="276"/>
      <c r="K663" s="276"/>
      <c r="L663" s="276"/>
      <c r="M663" s="276"/>
      <c r="N663" s="276"/>
      <c r="O663" s="276"/>
      <c r="P663" s="276"/>
      <c r="Q663" s="276"/>
      <c r="R663" s="276"/>
      <c r="S663" s="276"/>
      <c r="T663" s="276"/>
      <c r="U663" s="276"/>
      <c r="V663" s="276"/>
      <c r="W663" s="276"/>
      <c r="X663" s="276"/>
      <c r="Y663" s="276"/>
      <c r="Z663" s="276"/>
    </row>
    <row r="664" spans="1:26" ht="14.25" customHeight="1" x14ac:dyDescent="0.3">
      <c r="A664" s="307"/>
      <c r="B664" s="276"/>
      <c r="C664" s="276"/>
      <c r="D664" s="276"/>
      <c r="E664" s="276"/>
      <c r="F664" s="276"/>
      <c r="G664" s="276"/>
      <c r="H664" s="276"/>
      <c r="I664" s="276"/>
      <c r="J664" s="276"/>
      <c r="K664" s="276"/>
      <c r="L664" s="276"/>
      <c r="M664" s="276"/>
      <c r="N664" s="276"/>
      <c r="O664" s="276"/>
      <c r="P664" s="276"/>
      <c r="Q664" s="276"/>
      <c r="R664" s="276"/>
      <c r="S664" s="276"/>
      <c r="T664" s="276"/>
      <c r="U664" s="276"/>
      <c r="V664" s="276"/>
      <c r="W664" s="276"/>
      <c r="X664" s="276"/>
      <c r="Y664" s="276"/>
      <c r="Z664" s="276"/>
    </row>
    <row r="665" spans="1:26" ht="14.25" customHeight="1" x14ac:dyDescent="0.3">
      <c r="A665" s="307"/>
      <c r="B665" s="276"/>
      <c r="C665" s="276"/>
      <c r="D665" s="276"/>
      <c r="E665" s="276"/>
      <c r="F665" s="276"/>
      <c r="G665" s="276"/>
      <c r="H665" s="276"/>
      <c r="I665" s="276"/>
      <c r="J665" s="276"/>
      <c r="K665" s="276"/>
      <c r="L665" s="276"/>
      <c r="M665" s="276"/>
      <c r="N665" s="276"/>
      <c r="O665" s="276"/>
      <c r="P665" s="276"/>
      <c r="Q665" s="276"/>
      <c r="R665" s="276"/>
      <c r="S665" s="276"/>
      <c r="T665" s="276"/>
      <c r="U665" s="276"/>
      <c r="V665" s="276"/>
      <c r="W665" s="276"/>
      <c r="X665" s="276"/>
      <c r="Y665" s="276"/>
      <c r="Z665" s="276"/>
    </row>
    <row r="666" spans="1:26" ht="14.25" customHeight="1" x14ac:dyDescent="0.3">
      <c r="A666" s="307"/>
      <c r="B666" s="276"/>
      <c r="C666" s="276"/>
      <c r="D666" s="276"/>
      <c r="E666" s="276"/>
      <c r="F666" s="276"/>
      <c r="G666" s="276"/>
      <c r="H666" s="276"/>
      <c r="I666" s="276"/>
      <c r="J666" s="276"/>
      <c r="K666" s="276"/>
      <c r="L666" s="276"/>
      <c r="M666" s="276"/>
      <c r="N666" s="276"/>
      <c r="O666" s="276"/>
      <c r="P666" s="276"/>
      <c r="Q666" s="276"/>
      <c r="R666" s="276"/>
      <c r="S666" s="276"/>
      <c r="T666" s="276"/>
      <c r="U666" s="276"/>
      <c r="V666" s="276"/>
      <c r="W666" s="276"/>
      <c r="X666" s="276"/>
      <c r="Y666" s="276"/>
      <c r="Z666" s="276"/>
    </row>
    <row r="667" spans="1:26" ht="14.25" customHeight="1" x14ac:dyDescent="0.3">
      <c r="A667" s="307"/>
      <c r="B667" s="276"/>
      <c r="C667" s="276"/>
      <c r="D667" s="276"/>
      <c r="E667" s="276"/>
      <c r="F667" s="276"/>
      <c r="G667" s="276"/>
      <c r="H667" s="276"/>
      <c r="I667" s="276"/>
      <c r="J667" s="276"/>
      <c r="K667" s="276"/>
      <c r="L667" s="276"/>
      <c r="M667" s="276"/>
      <c r="N667" s="276"/>
      <c r="O667" s="276"/>
      <c r="P667" s="276"/>
      <c r="Q667" s="276"/>
      <c r="R667" s="276"/>
      <c r="S667" s="276"/>
      <c r="T667" s="276"/>
      <c r="U667" s="276"/>
      <c r="V667" s="276"/>
      <c r="W667" s="276"/>
      <c r="X667" s="276"/>
      <c r="Y667" s="276"/>
      <c r="Z667" s="276"/>
    </row>
    <row r="668" spans="1:26" ht="14.25" customHeight="1" x14ac:dyDescent="0.3">
      <c r="A668" s="307"/>
      <c r="B668" s="276"/>
      <c r="C668" s="276"/>
      <c r="D668" s="276"/>
      <c r="E668" s="276"/>
      <c r="F668" s="276"/>
      <c r="G668" s="276"/>
      <c r="H668" s="276"/>
      <c r="I668" s="276"/>
      <c r="J668" s="276"/>
      <c r="K668" s="276"/>
      <c r="L668" s="276"/>
      <c r="M668" s="276"/>
      <c r="N668" s="276"/>
      <c r="O668" s="276"/>
      <c r="P668" s="276"/>
      <c r="Q668" s="276"/>
      <c r="R668" s="276"/>
      <c r="S668" s="276"/>
      <c r="T668" s="276"/>
      <c r="U668" s="276"/>
      <c r="V668" s="276"/>
      <c r="W668" s="276"/>
      <c r="X668" s="276"/>
      <c r="Y668" s="276"/>
      <c r="Z668" s="276"/>
    </row>
    <row r="669" spans="1:26" ht="14.25" customHeight="1" x14ac:dyDescent="0.3">
      <c r="A669" s="307"/>
      <c r="B669" s="276"/>
      <c r="C669" s="276"/>
      <c r="D669" s="276"/>
      <c r="E669" s="276"/>
      <c r="F669" s="276"/>
      <c r="G669" s="276"/>
      <c r="H669" s="276"/>
      <c r="I669" s="276"/>
      <c r="J669" s="276"/>
      <c r="K669" s="276"/>
      <c r="L669" s="276"/>
      <c r="M669" s="276"/>
      <c r="N669" s="276"/>
      <c r="O669" s="276"/>
      <c r="P669" s="276"/>
      <c r="Q669" s="276"/>
      <c r="R669" s="276"/>
      <c r="S669" s="276"/>
      <c r="T669" s="276"/>
      <c r="U669" s="276"/>
      <c r="V669" s="276"/>
      <c r="W669" s="276"/>
      <c r="X669" s="276"/>
      <c r="Y669" s="276"/>
      <c r="Z669" s="276"/>
    </row>
    <row r="670" spans="1:26" ht="14.25" customHeight="1" x14ac:dyDescent="0.3">
      <c r="A670" s="307"/>
      <c r="B670" s="276"/>
      <c r="C670" s="276"/>
      <c r="D670" s="276"/>
      <c r="E670" s="276"/>
      <c r="F670" s="276"/>
      <c r="G670" s="276"/>
      <c r="H670" s="276"/>
      <c r="I670" s="276"/>
      <c r="J670" s="276"/>
      <c r="K670" s="276"/>
      <c r="L670" s="276"/>
      <c r="M670" s="276"/>
      <c r="N670" s="276"/>
      <c r="O670" s="276"/>
      <c r="P670" s="276"/>
      <c r="Q670" s="276"/>
      <c r="R670" s="276"/>
      <c r="S670" s="276"/>
      <c r="T670" s="276"/>
      <c r="U670" s="276"/>
      <c r="V670" s="276"/>
      <c r="W670" s="276"/>
      <c r="X670" s="276"/>
      <c r="Y670" s="276"/>
      <c r="Z670" s="276"/>
    </row>
    <row r="671" spans="1:26" ht="14.25" customHeight="1" x14ac:dyDescent="0.3">
      <c r="A671" s="307"/>
      <c r="B671" s="276"/>
      <c r="C671" s="276"/>
      <c r="D671" s="276"/>
      <c r="E671" s="276"/>
      <c r="F671" s="276"/>
      <c r="G671" s="276"/>
      <c r="H671" s="276"/>
      <c r="I671" s="276"/>
      <c r="J671" s="276"/>
      <c r="K671" s="276"/>
      <c r="L671" s="276"/>
      <c r="M671" s="276"/>
      <c r="N671" s="276"/>
      <c r="O671" s="276"/>
      <c r="P671" s="276"/>
      <c r="Q671" s="276"/>
      <c r="R671" s="276"/>
      <c r="S671" s="276"/>
      <c r="T671" s="276"/>
      <c r="U671" s="276"/>
      <c r="V671" s="276"/>
      <c r="W671" s="276"/>
      <c r="X671" s="276"/>
      <c r="Y671" s="276"/>
      <c r="Z671" s="276"/>
    </row>
    <row r="672" spans="1:26" ht="14.25" customHeight="1" x14ac:dyDescent="0.3">
      <c r="A672" s="307"/>
      <c r="B672" s="276"/>
      <c r="C672" s="276"/>
      <c r="D672" s="276"/>
      <c r="E672" s="276"/>
      <c r="F672" s="276"/>
      <c r="G672" s="276"/>
      <c r="H672" s="276"/>
      <c r="I672" s="276"/>
      <c r="J672" s="276"/>
      <c r="K672" s="276"/>
      <c r="L672" s="276"/>
      <c r="M672" s="276"/>
      <c r="N672" s="276"/>
      <c r="O672" s="276"/>
      <c r="P672" s="276"/>
      <c r="Q672" s="276"/>
      <c r="R672" s="276"/>
      <c r="S672" s="276"/>
      <c r="T672" s="276"/>
      <c r="U672" s="276"/>
      <c r="V672" s="276"/>
      <c r="W672" s="276"/>
      <c r="X672" s="276"/>
      <c r="Y672" s="276"/>
      <c r="Z672" s="276"/>
    </row>
    <row r="673" spans="1:26" ht="14.25" customHeight="1" x14ac:dyDescent="0.3">
      <c r="A673" s="307"/>
      <c r="B673" s="276"/>
      <c r="C673" s="276"/>
      <c r="D673" s="276"/>
      <c r="E673" s="276"/>
      <c r="F673" s="276"/>
      <c r="G673" s="276"/>
      <c r="H673" s="276"/>
      <c r="I673" s="276"/>
      <c r="J673" s="276"/>
      <c r="K673" s="276"/>
      <c r="L673" s="276"/>
      <c r="M673" s="276"/>
      <c r="N673" s="276"/>
      <c r="O673" s="276"/>
      <c r="P673" s="276"/>
      <c r="Q673" s="276"/>
      <c r="R673" s="276"/>
      <c r="S673" s="276"/>
      <c r="T673" s="276"/>
      <c r="U673" s="276"/>
      <c r="V673" s="276"/>
      <c r="W673" s="276"/>
      <c r="X673" s="276"/>
      <c r="Y673" s="276"/>
      <c r="Z673" s="276"/>
    </row>
    <row r="674" spans="1:26" ht="14.25" customHeight="1" x14ac:dyDescent="0.3">
      <c r="A674" s="307"/>
      <c r="B674" s="276"/>
      <c r="C674" s="276"/>
      <c r="D674" s="276"/>
      <c r="E674" s="276"/>
      <c r="F674" s="276"/>
      <c r="G674" s="276"/>
      <c r="H674" s="276"/>
      <c r="I674" s="276"/>
      <c r="J674" s="276"/>
      <c r="K674" s="276"/>
      <c r="L674" s="276"/>
      <c r="M674" s="276"/>
      <c r="N674" s="276"/>
      <c r="O674" s="276"/>
      <c r="P674" s="276"/>
      <c r="Q674" s="276"/>
      <c r="R674" s="276"/>
      <c r="S674" s="276"/>
      <c r="T674" s="276"/>
      <c r="U674" s="276"/>
      <c r="V674" s="276"/>
      <c r="W674" s="276"/>
      <c r="X674" s="276"/>
      <c r="Y674" s="276"/>
      <c r="Z674" s="276"/>
    </row>
    <row r="675" spans="1:26" ht="14.25" customHeight="1" x14ac:dyDescent="0.3">
      <c r="A675" s="307"/>
      <c r="B675" s="276"/>
      <c r="C675" s="276"/>
      <c r="D675" s="276"/>
      <c r="E675" s="276"/>
      <c r="F675" s="276"/>
      <c r="G675" s="276"/>
      <c r="H675" s="276"/>
      <c r="I675" s="276"/>
      <c r="J675" s="276"/>
      <c r="K675" s="276"/>
      <c r="L675" s="276"/>
      <c r="M675" s="276"/>
      <c r="N675" s="276"/>
      <c r="O675" s="276"/>
      <c r="P675" s="276"/>
      <c r="Q675" s="276"/>
      <c r="R675" s="276"/>
      <c r="S675" s="276"/>
      <c r="T675" s="276"/>
      <c r="U675" s="276"/>
      <c r="V675" s="276"/>
      <c r="W675" s="276"/>
      <c r="X675" s="276"/>
      <c r="Y675" s="276"/>
      <c r="Z675" s="276"/>
    </row>
    <row r="676" spans="1:26" ht="14.25" customHeight="1" x14ac:dyDescent="0.3">
      <c r="A676" s="307"/>
      <c r="B676" s="276"/>
      <c r="C676" s="276"/>
      <c r="D676" s="276"/>
      <c r="E676" s="276"/>
      <c r="F676" s="276"/>
      <c r="G676" s="276"/>
      <c r="H676" s="276"/>
      <c r="I676" s="276"/>
      <c r="J676" s="276"/>
      <c r="K676" s="276"/>
      <c r="L676" s="276"/>
      <c r="M676" s="276"/>
      <c r="N676" s="276"/>
      <c r="O676" s="276"/>
      <c r="P676" s="276"/>
      <c r="Q676" s="276"/>
      <c r="R676" s="276"/>
      <c r="S676" s="276"/>
      <c r="T676" s="276"/>
      <c r="U676" s="276"/>
      <c r="V676" s="276"/>
      <c r="W676" s="276"/>
      <c r="X676" s="276"/>
      <c r="Y676" s="276"/>
      <c r="Z676" s="276"/>
    </row>
    <row r="677" spans="1:26" ht="14.25" customHeight="1" x14ac:dyDescent="0.3">
      <c r="A677" s="307"/>
      <c r="B677" s="276"/>
      <c r="C677" s="276"/>
      <c r="D677" s="276"/>
      <c r="E677" s="276"/>
      <c r="F677" s="276"/>
      <c r="G677" s="276"/>
      <c r="H677" s="276"/>
      <c r="I677" s="276"/>
      <c r="J677" s="276"/>
      <c r="K677" s="276"/>
      <c r="L677" s="276"/>
      <c r="M677" s="276"/>
      <c r="N677" s="276"/>
      <c r="O677" s="276"/>
      <c r="P677" s="276"/>
      <c r="Q677" s="276"/>
      <c r="R677" s="276"/>
      <c r="S677" s="276"/>
      <c r="T677" s="276"/>
      <c r="U677" s="276"/>
      <c r="V677" s="276"/>
      <c r="W677" s="276"/>
      <c r="X677" s="276"/>
      <c r="Y677" s="276"/>
      <c r="Z677" s="276"/>
    </row>
    <row r="678" spans="1:26" ht="14.25" customHeight="1" x14ac:dyDescent="0.3">
      <c r="A678" s="307"/>
      <c r="B678" s="276"/>
      <c r="C678" s="276"/>
      <c r="D678" s="276"/>
      <c r="E678" s="276"/>
      <c r="F678" s="276"/>
      <c r="G678" s="276"/>
      <c r="H678" s="276"/>
      <c r="I678" s="276"/>
      <c r="J678" s="276"/>
      <c r="K678" s="276"/>
      <c r="L678" s="276"/>
      <c r="M678" s="276"/>
      <c r="N678" s="276"/>
      <c r="O678" s="276"/>
      <c r="P678" s="276"/>
      <c r="Q678" s="276"/>
      <c r="R678" s="276"/>
      <c r="S678" s="276"/>
      <c r="T678" s="276"/>
      <c r="U678" s="276"/>
      <c r="V678" s="276"/>
      <c r="W678" s="276"/>
      <c r="X678" s="276"/>
      <c r="Y678" s="276"/>
      <c r="Z678" s="276"/>
    </row>
    <row r="679" spans="1:26" ht="14.25" customHeight="1" x14ac:dyDescent="0.3">
      <c r="A679" s="307"/>
      <c r="B679" s="276"/>
      <c r="C679" s="276"/>
      <c r="D679" s="276"/>
      <c r="E679" s="276"/>
      <c r="F679" s="276"/>
      <c r="G679" s="276"/>
      <c r="H679" s="276"/>
      <c r="I679" s="276"/>
      <c r="J679" s="276"/>
      <c r="K679" s="276"/>
      <c r="L679" s="276"/>
      <c r="M679" s="276"/>
      <c r="N679" s="276"/>
      <c r="O679" s="276"/>
      <c r="P679" s="276"/>
      <c r="Q679" s="276"/>
      <c r="R679" s="276"/>
      <c r="S679" s="276"/>
      <c r="T679" s="276"/>
      <c r="U679" s="276"/>
      <c r="V679" s="276"/>
      <c r="W679" s="276"/>
      <c r="X679" s="276"/>
      <c r="Y679" s="276"/>
      <c r="Z679" s="276"/>
    </row>
    <row r="680" spans="1:26" ht="14.25" customHeight="1" x14ac:dyDescent="0.3">
      <c r="A680" s="307"/>
      <c r="B680" s="276"/>
      <c r="C680" s="276"/>
      <c r="D680" s="276"/>
      <c r="E680" s="276"/>
      <c r="F680" s="276"/>
      <c r="G680" s="276"/>
      <c r="H680" s="276"/>
      <c r="I680" s="276"/>
      <c r="J680" s="276"/>
      <c r="K680" s="276"/>
      <c r="L680" s="276"/>
      <c r="M680" s="276"/>
      <c r="N680" s="276"/>
      <c r="O680" s="276"/>
      <c r="P680" s="276"/>
      <c r="Q680" s="276"/>
      <c r="R680" s="276"/>
      <c r="S680" s="276"/>
      <c r="T680" s="276"/>
      <c r="U680" s="276"/>
      <c r="V680" s="276"/>
      <c r="W680" s="276"/>
      <c r="X680" s="276"/>
      <c r="Y680" s="276"/>
      <c r="Z680" s="276"/>
    </row>
    <row r="681" spans="1:26" ht="14.25" customHeight="1" x14ac:dyDescent="0.3">
      <c r="A681" s="307"/>
      <c r="B681" s="276"/>
      <c r="C681" s="276"/>
      <c r="D681" s="276"/>
      <c r="E681" s="276"/>
      <c r="F681" s="276"/>
      <c r="G681" s="276"/>
      <c r="H681" s="276"/>
      <c r="I681" s="276"/>
      <c r="J681" s="276"/>
      <c r="K681" s="276"/>
      <c r="L681" s="276"/>
      <c r="M681" s="276"/>
      <c r="N681" s="276"/>
      <c r="O681" s="276"/>
      <c r="P681" s="276"/>
      <c r="Q681" s="276"/>
      <c r="R681" s="276"/>
      <c r="S681" s="276"/>
      <c r="T681" s="276"/>
      <c r="U681" s="276"/>
      <c r="V681" s="276"/>
      <c r="W681" s="276"/>
      <c r="X681" s="276"/>
      <c r="Y681" s="276"/>
      <c r="Z681" s="276"/>
    </row>
    <row r="682" spans="1:26" ht="14.25" customHeight="1" x14ac:dyDescent="0.3">
      <c r="A682" s="307"/>
      <c r="B682" s="276"/>
      <c r="C682" s="276"/>
      <c r="D682" s="276"/>
      <c r="E682" s="276"/>
      <c r="F682" s="276"/>
      <c r="G682" s="276"/>
      <c r="H682" s="276"/>
      <c r="I682" s="276"/>
      <c r="J682" s="276"/>
      <c r="K682" s="276"/>
      <c r="L682" s="276"/>
      <c r="M682" s="276"/>
      <c r="N682" s="276"/>
      <c r="O682" s="276"/>
      <c r="P682" s="276"/>
      <c r="Q682" s="276"/>
      <c r="R682" s="276"/>
      <c r="S682" s="276"/>
      <c r="T682" s="276"/>
      <c r="U682" s="276"/>
      <c r="V682" s="276"/>
      <c r="W682" s="276"/>
      <c r="X682" s="276"/>
      <c r="Y682" s="276"/>
      <c r="Z682" s="276"/>
    </row>
    <row r="683" spans="1:26" ht="14.25" customHeight="1" x14ac:dyDescent="0.3">
      <c r="A683" s="307"/>
      <c r="B683" s="276"/>
      <c r="C683" s="276"/>
      <c r="D683" s="276"/>
      <c r="E683" s="276"/>
      <c r="F683" s="276"/>
      <c r="G683" s="276"/>
      <c r="H683" s="276"/>
      <c r="I683" s="276"/>
      <c r="J683" s="276"/>
      <c r="K683" s="276"/>
      <c r="L683" s="276"/>
      <c r="M683" s="276"/>
      <c r="N683" s="276"/>
      <c r="O683" s="276"/>
      <c r="P683" s="276"/>
      <c r="Q683" s="276"/>
      <c r="R683" s="276"/>
      <c r="S683" s="276"/>
      <c r="T683" s="276"/>
      <c r="U683" s="276"/>
      <c r="V683" s="276"/>
      <c r="W683" s="276"/>
      <c r="X683" s="276"/>
      <c r="Y683" s="276"/>
      <c r="Z683" s="276"/>
    </row>
    <row r="684" spans="1:26" ht="14.25" customHeight="1" x14ac:dyDescent="0.3">
      <c r="A684" s="307"/>
      <c r="B684" s="276"/>
      <c r="C684" s="276"/>
      <c r="D684" s="276"/>
      <c r="E684" s="276"/>
      <c r="F684" s="276"/>
      <c r="G684" s="276"/>
      <c r="H684" s="276"/>
      <c r="I684" s="276"/>
      <c r="J684" s="276"/>
      <c r="K684" s="276"/>
      <c r="L684" s="276"/>
      <c r="M684" s="276"/>
      <c r="N684" s="276"/>
      <c r="O684" s="276"/>
      <c r="P684" s="276"/>
      <c r="Q684" s="276"/>
      <c r="R684" s="276"/>
      <c r="S684" s="276"/>
      <c r="T684" s="276"/>
      <c r="U684" s="276"/>
      <c r="V684" s="276"/>
      <c r="W684" s="276"/>
      <c r="X684" s="276"/>
      <c r="Y684" s="276"/>
      <c r="Z684" s="276"/>
    </row>
    <row r="685" spans="1:26" ht="14.25" customHeight="1" x14ac:dyDescent="0.3">
      <c r="A685" s="307"/>
      <c r="B685" s="276"/>
      <c r="C685" s="276"/>
      <c r="D685" s="276"/>
      <c r="E685" s="276"/>
      <c r="F685" s="276"/>
      <c r="G685" s="276"/>
      <c r="H685" s="276"/>
      <c r="I685" s="276"/>
      <c r="J685" s="276"/>
      <c r="K685" s="276"/>
      <c r="L685" s="276"/>
      <c r="M685" s="276"/>
      <c r="N685" s="276"/>
      <c r="O685" s="276"/>
      <c r="P685" s="276"/>
      <c r="Q685" s="276"/>
      <c r="R685" s="276"/>
      <c r="S685" s="276"/>
      <c r="T685" s="276"/>
      <c r="U685" s="276"/>
      <c r="V685" s="276"/>
      <c r="W685" s="276"/>
      <c r="X685" s="276"/>
      <c r="Y685" s="276"/>
      <c r="Z685" s="276"/>
    </row>
    <row r="686" spans="1:26" ht="14.25" customHeight="1" x14ac:dyDescent="0.3">
      <c r="A686" s="307"/>
      <c r="B686" s="276"/>
      <c r="C686" s="276"/>
      <c r="D686" s="276"/>
      <c r="E686" s="276"/>
      <c r="F686" s="276"/>
      <c r="G686" s="276"/>
      <c r="H686" s="276"/>
      <c r="I686" s="276"/>
      <c r="J686" s="276"/>
      <c r="K686" s="276"/>
      <c r="L686" s="276"/>
      <c r="M686" s="276"/>
      <c r="N686" s="276"/>
      <c r="O686" s="276"/>
      <c r="P686" s="276"/>
      <c r="Q686" s="276"/>
      <c r="R686" s="276"/>
      <c r="S686" s="276"/>
      <c r="T686" s="276"/>
      <c r="U686" s="276"/>
      <c r="V686" s="276"/>
      <c r="W686" s="276"/>
      <c r="X686" s="276"/>
      <c r="Y686" s="276"/>
      <c r="Z686" s="276"/>
    </row>
    <row r="687" spans="1:26" ht="14.25" customHeight="1" x14ac:dyDescent="0.3">
      <c r="A687" s="307"/>
      <c r="B687" s="276"/>
      <c r="C687" s="276"/>
      <c r="D687" s="276"/>
      <c r="E687" s="276"/>
      <c r="F687" s="276"/>
      <c r="G687" s="276"/>
      <c r="H687" s="276"/>
      <c r="I687" s="276"/>
      <c r="J687" s="276"/>
      <c r="K687" s="276"/>
      <c r="L687" s="276"/>
      <c r="M687" s="276"/>
      <c r="N687" s="276"/>
      <c r="O687" s="276"/>
      <c r="P687" s="276"/>
      <c r="Q687" s="276"/>
      <c r="R687" s="276"/>
      <c r="S687" s="276"/>
      <c r="T687" s="276"/>
      <c r="U687" s="276"/>
      <c r="V687" s="276"/>
      <c r="W687" s="276"/>
      <c r="X687" s="276"/>
      <c r="Y687" s="276"/>
      <c r="Z687" s="276"/>
    </row>
    <row r="688" spans="1:26" ht="14.25" customHeight="1" x14ac:dyDescent="0.3">
      <c r="A688" s="307"/>
      <c r="B688" s="276"/>
      <c r="C688" s="276"/>
      <c r="D688" s="276"/>
      <c r="E688" s="276"/>
      <c r="F688" s="276"/>
      <c r="G688" s="276"/>
      <c r="H688" s="276"/>
      <c r="I688" s="276"/>
      <c r="J688" s="276"/>
      <c r="K688" s="276"/>
      <c r="L688" s="276"/>
      <c r="M688" s="276"/>
      <c r="N688" s="276"/>
      <c r="O688" s="276"/>
      <c r="P688" s="276"/>
      <c r="Q688" s="276"/>
      <c r="R688" s="276"/>
      <c r="S688" s="276"/>
      <c r="T688" s="276"/>
      <c r="U688" s="276"/>
      <c r="V688" s="276"/>
      <c r="W688" s="276"/>
      <c r="X688" s="276"/>
      <c r="Y688" s="276"/>
      <c r="Z688" s="276"/>
    </row>
    <row r="689" spans="1:26" ht="14.25" customHeight="1" x14ac:dyDescent="0.3">
      <c r="A689" s="307"/>
      <c r="B689" s="276"/>
      <c r="C689" s="276"/>
      <c r="D689" s="276"/>
      <c r="E689" s="276"/>
      <c r="F689" s="276"/>
      <c r="G689" s="276"/>
      <c r="H689" s="276"/>
      <c r="I689" s="276"/>
      <c r="J689" s="276"/>
      <c r="K689" s="276"/>
      <c r="L689" s="276"/>
      <c r="M689" s="276"/>
      <c r="N689" s="276"/>
      <c r="O689" s="276"/>
      <c r="P689" s="276"/>
      <c r="Q689" s="276"/>
      <c r="R689" s="276"/>
      <c r="S689" s="276"/>
      <c r="T689" s="276"/>
      <c r="U689" s="276"/>
      <c r="V689" s="276"/>
      <c r="W689" s="276"/>
      <c r="X689" s="276"/>
      <c r="Y689" s="276"/>
      <c r="Z689" s="276"/>
    </row>
    <row r="690" spans="1:26" ht="14.25" customHeight="1" x14ac:dyDescent="0.3">
      <c r="A690" s="307"/>
      <c r="B690" s="276"/>
      <c r="C690" s="276"/>
      <c r="D690" s="276"/>
      <c r="E690" s="276"/>
      <c r="F690" s="276"/>
      <c r="G690" s="276"/>
      <c r="H690" s="276"/>
      <c r="I690" s="276"/>
      <c r="J690" s="276"/>
      <c r="K690" s="276"/>
      <c r="L690" s="276"/>
      <c r="M690" s="276"/>
      <c r="N690" s="276"/>
      <c r="O690" s="276"/>
      <c r="P690" s="276"/>
      <c r="Q690" s="276"/>
      <c r="R690" s="276"/>
      <c r="S690" s="276"/>
      <c r="T690" s="276"/>
      <c r="U690" s="276"/>
      <c r="V690" s="276"/>
      <c r="W690" s="276"/>
      <c r="X690" s="276"/>
      <c r="Y690" s="276"/>
      <c r="Z690" s="276"/>
    </row>
    <row r="691" spans="1:26" ht="14.25" customHeight="1" x14ac:dyDescent="0.3">
      <c r="A691" s="307"/>
      <c r="B691" s="276"/>
      <c r="C691" s="276"/>
      <c r="D691" s="276"/>
      <c r="E691" s="276"/>
      <c r="F691" s="276"/>
      <c r="G691" s="276"/>
      <c r="H691" s="276"/>
      <c r="I691" s="276"/>
      <c r="J691" s="276"/>
      <c r="K691" s="276"/>
      <c r="L691" s="276"/>
      <c r="M691" s="276"/>
      <c r="N691" s="276"/>
      <c r="O691" s="276"/>
      <c r="P691" s="276"/>
      <c r="Q691" s="276"/>
      <c r="R691" s="276"/>
      <c r="S691" s="276"/>
      <c r="T691" s="276"/>
      <c r="U691" s="276"/>
      <c r="V691" s="276"/>
      <c r="W691" s="276"/>
      <c r="X691" s="276"/>
      <c r="Y691" s="276"/>
      <c r="Z691" s="276"/>
    </row>
    <row r="692" spans="1:26" ht="14.25" customHeight="1" x14ac:dyDescent="0.3">
      <c r="A692" s="307"/>
      <c r="B692" s="276"/>
      <c r="C692" s="276"/>
      <c r="D692" s="276"/>
      <c r="E692" s="276"/>
      <c r="F692" s="276"/>
      <c r="G692" s="276"/>
      <c r="H692" s="276"/>
      <c r="I692" s="276"/>
      <c r="J692" s="276"/>
      <c r="K692" s="276"/>
      <c r="L692" s="276"/>
      <c r="M692" s="276"/>
      <c r="N692" s="276"/>
      <c r="O692" s="276"/>
      <c r="P692" s="276"/>
      <c r="Q692" s="276"/>
      <c r="R692" s="276"/>
      <c r="S692" s="276"/>
      <c r="T692" s="276"/>
      <c r="U692" s="276"/>
      <c r="V692" s="276"/>
      <c r="W692" s="276"/>
      <c r="X692" s="276"/>
      <c r="Y692" s="276"/>
      <c r="Z692" s="276"/>
    </row>
    <row r="693" spans="1:26" ht="14.25" customHeight="1" x14ac:dyDescent="0.3">
      <c r="A693" s="307"/>
      <c r="B693" s="276"/>
      <c r="C693" s="276"/>
      <c r="D693" s="276"/>
      <c r="E693" s="276"/>
      <c r="F693" s="276"/>
      <c r="G693" s="276"/>
      <c r="H693" s="276"/>
      <c r="I693" s="276"/>
      <c r="J693" s="276"/>
      <c r="K693" s="276"/>
      <c r="L693" s="276"/>
      <c r="M693" s="276"/>
      <c r="N693" s="276"/>
      <c r="O693" s="276"/>
      <c r="P693" s="276"/>
      <c r="Q693" s="276"/>
      <c r="R693" s="276"/>
      <c r="S693" s="276"/>
      <c r="T693" s="276"/>
      <c r="U693" s="276"/>
      <c r="V693" s="276"/>
      <c r="W693" s="276"/>
      <c r="X693" s="276"/>
      <c r="Y693" s="276"/>
      <c r="Z693" s="276"/>
    </row>
    <row r="694" spans="1:26" ht="14.25" customHeight="1" x14ac:dyDescent="0.3">
      <c r="A694" s="307"/>
      <c r="B694" s="276"/>
      <c r="C694" s="276"/>
      <c r="D694" s="276"/>
      <c r="E694" s="276"/>
      <c r="F694" s="276"/>
      <c r="G694" s="276"/>
      <c r="H694" s="276"/>
      <c r="I694" s="276"/>
      <c r="J694" s="276"/>
      <c r="K694" s="276"/>
      <c r="L694" s="276"/>
      <c r="M694" s="276"/>
      <c r="N694" s="276"/>
      <c r="O694" s="276"/>
      <c r="P694" s="276"/>
      <c r="Q694" s="276"/>
      <c r="R694" s="276"/>
      <c r="S694" s="276"/>
      <c r="T694" s="276"/>
      <c r="U694" s="276"/>
      <c r="V694" s="276"/>
      <c r="W694" s="276"/>
      <c r="X694" s="276"/>
      <c r="Y694" s="276"/>
      <c r="Z694" s="276"/>
    </row>
    <row r="695" spans="1:26" ht="14.25" customHeight="1" x14ac:dyDescent="0.3">
      <c r="A695" s="307"/>
      <c r="B695" s="276"/>
      <c r="C695" s="276"/>
      <c r="D695" s="276"/>
      <c r="E695" s="276"/>
      <c r="F695" s="276"/>
      <c r="G695" s="276"/>
      <c r="H695" s="276"/>
      <c r="I695" s="276"/>
      <c r="J695" s="276"/>
      <c r="K695" s="276"/>
      <c r="L695" s="276"/>
      <c r="M695" s="276"/>
      <c r="N695" s="276"/>
      <c r="O695" s="276"/>
      <c r="P695" s="276"/>
      <c r="Q695" s="276"/>
      <c r="R695" s="276"/>
      <c r="S695" s="276"/>
      <c r="T695" s="276"/>
      <c r="U695" s="276"/>
      <c r="V695" s="276"/>
      <c r="W695" s="276"/>
      <c r="X695" s="276"/>
      <c r="Y695" s="276"/>
      <c r="Z695" s="276"/>
    </row>
    <row r="696" spans="1:26" ht="14.25" customHeight="1" x14ac:dyDescent="0.3">
      <c r="A696" s="307"/>
      <c r="B696" s="276"/>
      <c r="C696" s="276"/>
      <c r="D696" s="276"/>
      <c r="E696" s="276"/>
      <c r="F696" s="276"/>
      <c r="G696" s="276"/>
      <c r="H696" s="276"/>
      <c r="I696" s="276"/>
      <c r="J696" s="276"/>
      <c r="K696" s="276"/>
      <c r="L696" s="276"/>
      <c r="M696" s="276"/>
      <c r="N696" s="276"/>
      <c r="O696" s="276"/>
      <c r="P696" s="276"/>
      <c r="Q696" s="276"/>
      <c r="R696" s="276"/>
      <c r="S696" s="276"/>
      <c r="T696" s="276"/>
      <c r="U696" s="276"/>
      <c r="V696" s="276"/>
      <c r="W696" s="276"/>
      <c r="X696" s="276"/>
      <c r="Y696" s="276"/>
      <c r="Z696" s="276"/>
    </row>
    <row r="697" spans="1:26" ht="14.25" customHeight="1" x14ac:dyDescent="0.3">
      <c r="A697" s="307"/>
      <c r="B697" s="276"/>
      <c r="C697" s="276"/>
      <c r="D697" s="276"/>
      <c r="E697" s="276"/>
      <c r="F697" s="276"/>
      <c r="G697" s="276"/>
      <c r="H697" s="276"/>
      <c r="I697" s="276"/>
      <c r="J697" s="276"/>
      <c r="K697" s="276"/>
      <c r="L697" s="276"/>
      <c r="M697" s="276"/>
      <c r="N697" s="276"/>
      <c r="O697" s="276"/>
      <c r="P697" s="276"/>
      <c r="Q697" s="276"/>
      <c r="R697" s="276"/>
      <c r="S697" s="276"/>
      <c r="T697" s="276"/>
      <c r="U697" s="276"/>
      <c r="V697" s="276"/>
      <c r="W697" s="276"/>
      <c r="X697" s="276"/>
      <c r="Y697" s="276"/>
      <c r="Z697" s="276"/>
    </row>
    <row r="698" spans="1:26" ht="14.25" customHeight="1" x14ac:dyDescent="0.3">
      <c r="A698" s="307"/>
      <c r="B698" s="276"/>
      <c r="C698" s="276"/>
      <c r="D698" s="276"/>
      <c r="E698" s="276"/>
      <c r="F698" s="276"/>
      <c r="G698" s="276"/>
      <c r="H698" s="276"/>
      <c r="I698" s="276"/>
      <c r="J698" s="276"/>
      <c r="K698" s="276"/>
      <c r="L698" s="276"/>
      <c r="M698" s="276"/>
      <c r="N698" s="276"/>
      <c r="O698" s="276"/>
      <c r="P698" s="276"/>
      <c r="Q698" s="276"/>
      <c r="R698" s="276"/>
      <c r="S698" s="276"/>
      <c r="T698" s="276"/>
      <c r="U698" s="276"/>
      <c r="V698" s="276"/>
      <c r="W698" s="276"/>
      <c r="X698" s="276"/>
      <c r="Y698" s="276"/>
      <c r="Z698" s="276"/>
    </row>
    <row r="699" spans="1:26" ht="14.25" customHeight="1" x14ac:dyDescent="0.3">
      <c r="A699" s="307"/>
      <c r="B699" s="276"/>
      <c r="C699" s="276"/>
      <c r="D699" s="276"/>
      <c r="E699" s="276"/>
      <c r="F699" s="276"/>
      <c r="G699" s="276"/>
      <c r="H699" s="276"/>
      <c r="I699" s="276"/>
      <c r="J699" s="276"/>
      <c r="K699" s="276"/>
      <c r="L699" s="276"/>
      <c r="M699" s="276"/>
      <c r="N699" s="276"/>
      <c r="O699" s="276"/>
      <c r="P699" s="276"/>
      <c r="Q699" s="276"/>
      <c r="R699" s="276"/>
      <c r="S699" s="276"/>
      <c r="T699" s="276"/>
      <c r="U699" s="276"/>
      <c r="V699" s="276"/>
      <c r="W699" s="276"/>
      <c r="X699" s="276"/>
      <c r="Y699" s="276"/>
      <c r="Z699" s="276"/>
    </row>
    <row r="700" spans="1:26" ht="14.25" customHeight="1" x14ac:dyDescent="0.3">
      <c r="A700" s="307"/>
      <c r="B700" s="276"/>
      <c r="C700" s="276"/>
      <c r="D700" s="276"/>
      <c r="E700" s="276"/>
      <c r="F700" s="276"/>
      <c r="G700" s="276"/>
      <c r="H700" s="276"/>
      <c r="I700" s="276"/>
      <c r="J700" s="276"/>
      <c r="K700" s="276"/>
      <c r="L700" s="276"/>
      <c r="M700" s="276"/>
      <c r="N700" s="276"/>
      <c r="O700" s="276"/>
      <c r="P700" s="276"/>
      <c r="Q700" s="276"/>
      <c r="R700" s="276"/>
      <c r="S700" s="276"/>
      <c r="T700" s="276"/>
      <c r="U700" s="276"/>
      <c r="V700" s="276"/>
      <c r="W700" s="276"/>
      <c r="X700" s="276"/>
      <c r="Y700" s="276"/>
      <c r="Z700" s="276"/>
    </row>
    <row r="701" spans="1:26" ht="14.25" customHeight="1" x14ac:dyDescent="0.3">
      <c r="A701" s="307"/>
      <c r="B701" s="276"/>
      <c r="C701" s="276"/>
      <c r="D701" s="276"/>
      <c r="E701" s="276"/>
      <c r="F701" s="276"/>
      <c r="G701" s="276"/>
      <c r="H701" s="276"/>
      <c r="I701" s="276"/>
      <c r="J701" s="276"/>
      <c r="K701" s="276"/>
      <c r="L701" s="276"/>
      <c r="M701" s="276"/>
      <c r="N701" s="276"/>
      <c r="O701" s="276"/>
      <c r="P701" s="276"/>
      <c r="Q701" s="276"/>
      <c r="R701" s="276"/>
      <c r="S701" s="276"/>
      <c r="T701" s="276"/>
      <c r="U701" s="276"/>
      <c r="V701" s="276"/>
      <c r="W701" s="276"/>
      <c r="X701" s="276"/>
      <c r="Y701" s="276"/>
      <c r="Z701" s="276"/>
    </row>
    <row r="702" spans="1:26" ht="14.25" customHeight="1" x14ac:dyDescent="0.3">
      <c r="A702" s="307"/>
      <c r="B702" s="276"/>
      <c r="C702" s="276"/>
      <c r="D702" s="276"/>
      <c r="E702" s="276"/>
      <c r="F702" s="276"/>
      <c r="G702" s="276"/>
      <c r="H702" s="276"/>
      <c r="I702" s="276"/>
      <c r="J702" s="276"/>
      <c r="K702" s="276"/>
      <c r="L702" s="276"/>
      <c r="M702" s="276"/>
      <c r="N702" s="276"/>
      <c r="O702" s="276"/>
      <c r="P702" s="276"/>
      <c r="Q702" s="276"/>
      <c r="R702" s="276"/>
      <c r="S702" s="276"/>
      <c r="T702" s="276"/>
      <c r="U702" s="276"/>
      <c r="V702" s="276"/>
      <c r="W702" s="276"/>
      <c r="X702" s="276"/>
      <c r="Y702" s="276"/>
      <c r="Z702" s="276"/>
    </row>
    <row r="703" spans="1:26" ht="14.25" customHeight="1" x14ac:dyDescent="0.3">
      <c r="A703" s="307"/>
      <c r="B703" s="276"/>
      <c r="C703" s="276"/>
      <c r="D703" s="276"/>
      <c r="E703" s="276"/>
      <c r="F703" s="276"/>
      <c r="G703" s="276"/>
      <c r="H703" s="276"/>
      <c r="I703" s="276"/>
      <c r="J703" s="276"/>
      <c r="K703" s="276"/>
      <c r="L703" s="276"/>
      <c r="M703" s="276"/>
      <c r="N703" s="276"/>
      <c r="O703" s="276"/>
      <c r="P703" s="276"/>
      <c r="Q703" s="276"/>
      <c r="R703" s="276"/>
      <c r="S703" s="276"/>
      <c r="T703" s="276"/>
      <c r="U703" s="276"/>
      <c r="V703" s="276"/>
      <c r="W703" s="276"/>
      <c r="X703" s="276"/>
      <c r="Y703" s="276"/>
      <c r="Z703" s="276"/>
    </row>
    <row r="704" spans="1:26" ht="14.25" customHeight="1" x14ac:dyDescent="0.3">
      <c r="A704" s="307"/>
      <c r="B704" s="276"/>
      <c r="C704" s="276"/>
      <c r="D704" s="276"/>
      <c r="E704" s="276"/>
      <c r="F704" s="276"/>
      <c r="G704" s="276"/>
      <c r="H704" s="276"/>
      <c r="I704" s="276"/>
      <c r="J704" s="276"/>
      <c r="K704" s="276"/>
      <c r="L704" s="276"/>
      <c r="M704" s="276"/>
      <c r="N704" s="276"/>
      <c r="O704" s="276"/>
      <c r="P704" s="276"/>
      <c r="Q704" s="276"/>
      <c r="R704" s="276"/>
      <c r="S704" s="276"/>
      <c r="T704" s="276"/>
      <c r="U704" s="276"/>
      <c r="V704" s="276"/>
      <c r="W704" s="276"/>
      <c r="X704" s="276"/>
      <c r="Y704" s="276"/>
      <c r="Z704" s="276"/>
    </row>
    <row r="705" spans="1:26" ht="14.25" customHeight="1" x14ac:dyDescent="0.3">
      <c r="A705" s="307"/>
      <c r="B705" s="276"/>
      <c r="C705" s="276"/>
      <c r="D705" s="276"/>
      <c r="E705" s="276"/>
      <c r="F705" s="276"/>
      <c r="G705" s="276"/>
      <c r="H705" s="276"/>
      <c r="I705" s="276"/>
      <c r="J705" s="276"/>
      <c r="K705" s="276"/>
      <c r="L705" s="276"/>
      <c r="M705" s="276"/>
      <c r="N705" s="276"/>
      <c r="O705" s="276"/>
      <c r="P705" s="276"/>
      <c r="Q705" s="276"/>
      <c r="R705" s="276"/>
      <c r="S705" s="276"/>
      <c r="T705" s="276"/>
      <c r="U705" s="276"/>
      <c r="V705" s="276"/>
      <c r="W705" s="276"/>
      <c r="X705" s="276"/>
      <c r="Y705" s="276"/>
      <c r="Z705" s="276"/>
    </row>
    <row r="706" spans="1:26" ht="14.25" customHeight="1" x14ac:dyDescent="0.3">
      <c r="A706" s="307"/>
      <c r="B706" s="276"/>
      <c r="C706" s="276"/>
      <c r="D706" s="276"/>
      <c r="E706" s="276"/>
      <c r="F706" s="276"/>
      <c r="G706" s="276"/>
      <c r="H706" s="276"/>
      <c r="I706" s="276"/>
      <c r="J706" s="276"/>
      <c r="K706" s="276"/>
      <c r="L706" s="276"/>
      <c r="M706" s="276"/>
      <c r="N706" s="276"/>
      <c r="O706" s="276"/>
      <c r="P706" s="276"/>
      <c r="Q706" s="276"/>
      <c r="R706" s="276"/>
      <c r="S706" s="276"/>
      <c r="T706" s="276"/>
      <c r="U706" s="276"/>
      <c r="V706" s="276"/>
      <c r="W706" s="276"/>
      <c r="X706" s="276"/>
      <c r="Y706" s="276"/>
      <c r="Z706" s="276"/>
    </row>
    <row r="707" spans="1:26" ht="14.25" customHeight="1" x14ac:dyDescent="0.3">
      <c r="A707" s="307"/>
      <c r="B707" s="276"/>
      <c r="C707" s="276"/>
      <c r="D707" s="276"/>
      <c r="E707" s="276"/>
      <c r="F707" s="276"/>
      <c r="G707" s="276"/>
      <c r="H707" s="276"/>
      <c r="I707" s="276"/>
      <c r="J707" s="276"/>
      <c r="K707" s="276"/>
      <c r="L707" s="276"/>
      <c r="M707" s="276"/>
      <c r="N707" s="276"/>
      <c r="O707" s="276"/>
      <c r="P707" s="276"/>
      <c r="Q707" s="276"/>
      <c r="R707" s="276"/>
      <c r="S707" s="276"/>
      <c r="T707" s="276"/>
      <c r="U707" s="276"/>
      <c r="V707" s="276"/>
      <c r="W707" s="276"/>
      <c r="X707" s="276"/>
      <c r="Y707" s="276"/>
      <c r="Z707" s="276"/>
    </row>
    <row r="708" spans="1:26" ht="14.25" customHeight="1" x14ac:dyDescent="0.3">
      <c r="A708" s="307"/>
      <c r="B708" s="276"/>
      <c r="C708" s="276"/>
      <c r="D708" s="276"/>
      <c r="E708" s="276"/>
      <c r="F708" s="276"/>
      <c r="G708" s="276"/>
      <c r="H708" s="276"/>
      <c r="I708" s="276"/>
      <c r="J708" s="276"/>
      <c r="K708" s="276"/>
      <c r="L708" s="276"/>
      <c r="M708" s="276"/>
      <c r="N708" s="276"/>
      <c r="O708" s="276"/>
      <c r="P708" s="276"/>
      <c r="Q708" s="276"/>
      <c r="R708" s="276"/>
      <c r="S708" s="276"/>
      <c r="T708" s="276"/>
      <c r="U708" s="276"/>
      <c r="V708" s="276"/>
      <c r="W708" s="276"/>
      <c r="X708" s="276"/>
      <c r="Y708" s="276"/>
      <c r="Z708" s="276"/>
    </row>
    <row r="709" spans="1:26" ht="14.25" customHeight="1" x14ac:dyDescent="0.3">
      <c r="A709" s="307"/>
      <c r="B709" s="276"/>
      <c r="C709" s="276"/>
      <c r="D709" s="276"/>
      <c r="E709" s="276"/>
      <c r="F709" s="276"/>
      <c r="G709" s="276"/>
      <c r="H709" s="276"/>
      <c r="I709" s="276"/>
      <c r="J709" s="276"/>
      <c r="K709" s="276"/>
      <c r="L709" s="276"/>
      <c r="M709" s="276"/>
      <c r="N709" s="276"/>
      <c r="O709" s="276"/>
      <c r="P709" s="276"/>
      <c r="Q709" s="276"/>
      <c r="R709" s="276"/>
      <c r="S709" s="276"/>
      <c r="T709" s="276"/>
      <c r="U709" s="276"/>
      <c r="V709" s="276"/>
      <c r="W709" s="276"/>
      <c r="X709" s="276"/>
      <c r="Y709" s="276"/>
      <c r="Z709" s="276"/>
    </row>
    <row r="710" spans="1:26" ht="14.25" customHeight="1" x14ac:dyDescent="0.3">
      <c r="A710" s="307"/>
      <c r="B710" s="276"/>
      <c r="C710" s="276"/>
      <c r="D710" s="276"/>
      <c r="E710" s="276"/>
      <c r="F710" s="276"/>
      <c r="G710" s="276"/>
      <c r="H710" s="276"/>
      <c r="I710" s="276"/>
      <c r="J710" s="276"/>
      <c r="K710" s="276"/>
      <c r="L710" s="276"/>
      <c r="M710" s="276"/>
      <c r="N710" s="276"/>
      <c r="O710" s="276"/>
      <c r="P710" s="276"/>
      <c r="Q710" s="276"/>
      <c r="R710" s="276"/>
      <c r="S710" s="276"/>
      <c r="T710" s="276"/>
      <c r="U710" s="276"/>
      <c r="V710" s="276"/>
      <c r="W710" s="276"/>
      <c r="X710" s="276"/>
      <c r="Y710" s="276"/>
      <c r="Z710" s="276"/>
    </row>
    <row r="711" spans="1:26" ht="14.25" customHeight="1" x14ac:dyDescent="0.3">
      <c r="A711" s="307"/>
      <c r="B711" s="276"/>
      <c r="C711" s="276"/>
      <c r="D711" s="276"/>
      <c r="E711" s="276"/>
      <c r="F711" s="276"/>
      <c r="G711" s="276"/>
      <c r="H711" s="276"/>
      <c r="I711" s="276"/>
      <c r="J711" s="276"/>
      <c r="K711" s="276"/>
      <c r="L711" s="276"/>
      <c r="M711" s="276"/>
      <c r="N711" s="276"/>
      <c r="O711" s="276"/>
      <c r="P711" s="276"/>
      <c r="Q711" s="276"/>
      <c r="R711" s="276"/>
      <c r="S711" s="276"/>
      <c r="T711" s="276"/>
      <c r="U711" s="276"/>
      <c r="V711" s="276"/>
      <c r="W711" s="276"/>
      <c r="X711" s="276"/>
      <c r="Y711" s="276"/>
      <c r="Z711" s="276"/>
    </row>
    <row r="712" spans="1:26" ht="14.25" customHeight="1" x14ac:dyDescent="0.3">
      <c r="A712" s="307"/>
      <c r="B712" s="276"/>
      <c r="C712" s="276"/>
      <c r="D712" s="276"/>
      <c r="E712" s="276"/>
      <c r="F712" s="276"/>
      <c r="G712" s="276"/>
      <c r="H712" s="276"/>
      <c r="I712" s="276"/>
      <c r="J712" s="276"/>
      <c r="K712" s="276"/>
      <c r="L712" s="276"/>
      <c r="M712" s="276"/>
      <c r="N712" s="276"/>
      <c r="O712" s="276"/>
      <c r="P712" s="276"/>
      <c r="Q712" s="276"/>
      <c r="R712" s="276"/>
      <c r="S712" s="276"/>
      <c r="T712" s="276"/>
      <c r="U712" s="276"/>
      <c r="V712" s="276"/>
      <c r="W712" s="276"/>
      <c r="X712" s="276"/>
      <c r="Y712" s="276"/>
      <c r="Z712" s="276"/>
    </row>
    <row r="713" spans="1:26" ht="14.25" customHeight="1" x14ac:dyDescent="0.3">
      <c r="A713" s="307"/>
      <c r="B713" s="276"/>
      <c r="C713" s="276"/>
      <c r="D713" s="276"/>
      <c r="E713" s="276"/>
      <c r="F713" s="276"/>
      <c r="G713" s="276"/>
      <c r="H713" s="276"/>
      <c r="I713" s="276"/>
      <c r="J713" s="276"/>
      <c r="K713" s="276"/>
      <c r="L713" s="276"/>
      <c r="M713" s="276"/>
      <c r="N713" s="276"/>
      <c r="O713" s="276"/>
      <c r="P713" s="276"/>
      <c r="Q713" s="276"/>
      <c r="R713" s="276"/>
      <c r="S713" s="276"/>
      <c r="T713" s="276"/>
      <c r="U713" s="276"/>
      <c r="V713" s="276"/>
      <c r="W713" s="276"/>
      <c r="X713" s="276"/>
      <c r="Y713" s="276"/>
      <c r="Z713" s="276"/>
    </row>
    <row r="714" spans="1:26" ht="14.25" customHeight="1" x14ac:dyDescent="0.3">
      <c r="A714" s="307"/>
      <c r="B714" s="276"/>
      <c r="C714" s="276"/>
      <c r="D714" s="276"/>
      <c r="E714" s="276"/>
      <c r="F714" s="276"/>
      <c r="G714" s="276"/>
      <c r="H714" s="276"/>
      <c r="I714" s="276"/>
      <c r="J714" s="276"/>
      <c r="K714" s="276"/>
      <c r="L714" s="276"/>
      <c r="M714" s="276"/>
      <c r="N714" s="276"/>
      <c r="O714" s="276"/>
      <c r="P714" s="276"/>
      <c r="Q714" s="276"/>
      <c r="R714" s="276"/>
      <c r="S714" s="276"/>
      <c r="T714" s="276"/>
      <c r="U714" s="276"/>
      <c r="V714" s="276"/>
      <c r="W714" s="276"/>
      <c r="X714" s="276"/>
      <c r="Y714" s="276"/>
      <c r="Z714" s="276"/>
    </row>
    <row r="715" spans="1:26" ht="14.25" customHeight="1" x14ac:dyDescent="0.3">
      <c r="A715" s="307"/>
      <c r="B715" s="276"/>
      <c r="C715" s="276"/>
      <c r="D715" s="276"/>
      <c r="E715" s="276"/>
      <c r="F715" s="276"/>
      <c r="G715" s="276"/>
      <c r="H715" s="276"/>
      <c r="I715" s="276"/>
      <c r="J715" s="276"/>
      <c r="K715" s="276"/>
      <c r="L715" s="276"/>
      <c r="M715" s="276"/>
      <c r="N715" s="276"/>
      <c r="O715" s="276"/>
      <c r="P715" s="276"/>
      <c r="Q715" s="276"/>
      <c r="R715" s="276"/>
      <c r="S715" s="276"/>
      <c r="T715" s="276"/>
      <c r="U715" s="276"/>
      <c r="V715" s="276"/>
      <c r="W715" s="276"/>
      <c r="X715" s="276"/>
      <c r="Y715" s="276"/>
      <c r="Z715" s="276"/>
    </row>
    <row r="716" spans="1:26" ht="14.25" customHeight="1" x14ac:dyDescent="0.3">
      <c r="A716" s="307"/>
      <c r="B716" s="276"/>
      <c r="C716" s="276"/>
      <c r="D716" s="276"/>
      <c r="E716" s="276"/>
      <c r="F716" s="276"/>
      <c r="G716" s="276"/>
      <c r="H716" s="276"/>
      <c r="I716" s="276"/>
      <c r="J716" s="276"/>
      <c r="K716" s="276"/>
      <c r="L716" s="276"/>
      <c r="M716" s="276"/>
      <c r="N716" s="276"/>
      <c r="O716" s="276"/>
      <c r="P716" s="276"/>
      <c r="Q716" s="276"/>
      <c r="R716" s="276"/>
      <c r="S716" s="276"/>
      <c r="T716" s="276"/>
      <c r="U716" s="276"/>
      <c r="V716" s="276"/>
      <c r="W716" s="276"/>
      <c r="X716" s="276"/>
      <c r="Y716" s="276"/>
      <c r="Z716" s="276"/>
    </row>
    <row r="717" spans="1:26" ht="14.25" customHeight="1" x14ac:dyDescent="0.3">
      <c r="A717" s="307"/>
      <c r="B717" s="276"/>
      <c r="C717" s="276"/>
      <c r="D717" s="276"/>
      <c r="E717" s="276"/>
      <c r="F717" s="276"/>
      <c r="G717" s="276"/>
      <c r="H717" s="276"/>
      <c r="I717" s="276"/>
      <c r="J717" s="276"/>
      <c r="K717" s="276"/>
      <c r="L717" s="276"/>
      <c r="M717" s="276"/>
      <c r="N717" s="276"/>
      <c r="O717" s="276"/>
      <c r="P717" s="276"/>
      <c r="Q717" s="276"/>
      <c r="R717" s="276"/>
      <c r="S717" s="276"/>
      <c r="T717" s="276"/>
      <c r="U717" s="276"/>
      <c r="V717" s="276"/>
      <c r="W717" s="276"/>
      <c r="X717" s="276"/>
      <c r="Y717" s="276"/>
      <c r="Z717" s="276"/>
    </row>
    <row r="718" spans="1:26" ht="14.25" customHeight="1" x14ac:dyDescent="0.3">
      <c r="A718" s="307"/>
      <c r="B718" s="276"/>
      <c r="C718" s="276"/>
      <c r="D718" s="276"/>
      <c r="E718" s="276"/>
      <c r="F718" s="276"/>
      <c r="G718" s="276"/>
      <c r="H718" s="276"/>
      <c r="I718" s="276"/>
      <c r="J718" s="276"/>
      <c r="K718" s="276"/>
      <c r="L718" s="276"/>
      <c r="M718" s="276"/>
      <c r="N718" s="276"/>
      <c r="O718" s="276"/>
      <c r="P718" s="276"/>
      <c r="Q718" s="276"/>
      <c r="R718" s="276"/>
      <c r="S718" s="276"/>
      <c r="T718" s="276"/>
      <c r="U718" s="276"/>
      <c r="V718" s="276"/>
      <c r="W718" s="276"/>
      <c r="X718" s="276"/>
      <c r="Y718" s="276"/>
      <c r="Z718" s="276"/>
    </row>
    <row r="719" spans="1:26" ht="14.25" customHeight="1" x14ac:dyDescent="0.3">
      <c r="A719" s="307"/>
      <c r="B719" s="276"/>
      <c r="C719" s="276"/>
      <c r="D719" s="276"/>
      <c r="E719" s="276"/>
      <c r="F719" s="276"/>
      <c r="G719" s="276"/>
      <c r="H719" s="276"/>
      <c r="I719" s="276"/>
      <c r="J719" s="276"/>
      <c r="K719" s="276"/>
      <c r="L719" s="276"/>
      <c r="M719" s="276"/>
      <c r="N719" s="276"/>
      <c r="O719" s="276"/>
      <c r="P719" s="276"/>
      <c r="Q719" s="276"/>
      <c r="R719" s="276"/>
      <c r="S719" s="276"/>
      <c r="T719" s="276"/>
      <c r="U719" s="276"/>
      <c r="V719" s="276"/>
      <c r="W719" s="276"/>
      <c r="X719" s="276"/>
      <c r="Y719" s="276"/>
      <c r="Z719" s="276"/>
    </row>
    <row r="720" spans="1:26" ht="14.25" customHeight="1" x14ac:dyDescent="0.3">
      <c r="A720" s="307"/>
      <c r="B720" s="276"/>
      <c r="C720" s="276"/>
      <c r="D720" s="276"/>
      <c r="E720" s="276"/>
      <c r="F720" s="276"/>
      <c r="G720" s="276"/>
      <c r="H720" s="276"/>
      <c r="I720" s="276"/>
      <c r="J720" s="276"/>
      <c r="K720" s="276"/>
      <c r="L720" s="276"/>
      <c r="M720" s="276"/>
      <c r="N720" s="276"/>
      <c r="O720" s="276"/>
      <c r="P720" s="276"/>
      <c r="Q720" s="276"/>
      <c r="R720" s="276"/>
      <c r="S720" s="276"/>
      <c r="T720" s="276"/>
      <c r="U720" s="276"/>
      <c r="V720" s="276"/>
      <c r="W720" s="276"/>
      <c r="X720" s="276"/>
      <c r="Y720" s="276"/>
      <c r="Z720" s="276"/>
    </row>
    <row r="721" spans="1:26" ht="14.25" customHeight="1" x14ac:dyDescent="0.3">
      <c r="A721" s="307"/>
      <c r="B721" s="276"/>
      <c r="C721" s="276"/>
      <c r="D721" s="276"/>
      <c r="E721" s="276"/>
      <c r="F721" s="276"/>
      <c r="G721" s="276"/>
      <c r="H721" s="276"/>
      <c r="I721" s="276"/>
      <c r="J721" s="276"/>
      <c r="K721" s="276"/>
      <c r="L721" s="276"/>
      <c r="M721" s="276"/>
      <c r="N721" s="276"/>
      <c r="O721" s="276"/>
      <c r="P721" s="276"/>
      <c r="Q721" s="276"/>
      <c r="R721" s="276"/>
      <c r="S721" s="276"/>
      <c r="T721" s="276"/>
      <c r="U721" s="276"/>
      <c r="V721" s="276"/>
      <c r="W721" s="276"/>
      <c r="X721" s="276"/>
      <c r="Y721" s="276"/>
      <c r="Z721" s="276"/>
    </row>
    <row r="722" spans="1:26" ht="14.25" customHeight="1" x14ac:dyDescent="0.3">
      <c r="A722" s="307"/>
      <c r="B722" s="276"/>
      <c r="C722" s="276"/>
      <c r="D722" s="276"/>
      <c r="E722" s="276"/>
      <c r="F722" s="276"/>
      <c r="G722" s="276"/>
      <c r="H722" s="276"/>
      <c r="I722" s="276"/>
      <c r="J722" s="276"/>
      <c r="K722" s="276"/>
      <c r="L722" s="276"/>
      <c r="M722" s="276"/>
      <c r="N722" s="276"/>
      <c r="O722" s="276"/>
      <c r="P722" s="276"/>
      <c r="Q722" s="276"/>
      <c r="R722" s="276"/>
      <c r="S722" s="276"/>
      <c r="T722" s="276"/>
      <c r="U722" s="276"/>
      <c r="V722" s="276"/>
      <c r="W722" s="276"/>
      <c r="X722" s="276"/>
      <c r="Y722" s="276"/>
      <c r="Z722" s="276"/>
    </row>
    <row r="723" spans="1:26" ht="14.25" customHeight="1" x14ac:dyDescent="0.3">
      <c r="A723" s="307"/>
      <c r="B723" s="276"/>
      <c r="C723" s="276"/>
      <c r="D723" s="276"/>
      <c r="E723" s="276"/>
      <c r="F723" s="276"/>
      <c r="G723" s="276"/>
      <c r="H723" s="276"/>
      <c r="I723" s="276"/>
      <c r="J723" s="276"/>
      <c r="K723" s="276"/>
      <c r="L723" s="276"/>
      <c r="M723" s="276"/>
      <c r="N723" s="276"/>
      <c r="O723" s="276"/>
      <c r="P723" s="276"/>
      <c r="Q723" s="276"/>
      <c r="R723" s="276"/>
      <c r="S723" s="276"/>
      <c r="T723" s="276"/>
      <c r="U723" s="276"/>
      <c r="V723" s="276"/>
      <c r="W723" s="276"/>
      <c r="X723" s="276"/>
      <c r="Y723" s="276"/>
      <c r="Z723" s="276"/>
    </row>
    <row r="724" spans="1:26" ht="14.25" customHeight="1" x14ac:dyDescent="0.3">
      <c r="A724" s="307"/>
      <c r="B724" s="276"/>
      <c r="C724" s="276"/>
      <c r="D724" s="276"/>
      <c r="E724" s="276"/>
      <c r="F724" s="276"/>
      <c r="G724" s="276"/>
      <c r="H724" s="276"/>
      <c r="I724" s="276"/>
      <c r="J724" s="276"/>
      <c r="K724" s="276"/>
      <c r="L724" s="276"/>
      <c r="M724" s="276"/>
      <c r="N724" s="276"/>
      <c r="O724" s="276"/>
      <c r="P724" s="276"/>
      <c r="Q724" s="276"/>
      <c r="R724" s="276"/>
      <c r="S724" s="276"/>
      <c r="T724" s="276"/>
      <c r="U724" s="276"/>
      <c r="V724" s="276"/>
      <c r="W724" s="276"/>
      <c r="X724" s="276"/>
      <c r="Y724" s="276"/>
      <c r="Z724" s="276"/>
    </row>
    <row r="725" spans="1:26" ht="14.25" customHeight="1" x14ac:dyDescent="0.3">
      <c r="A725" s="307"/>
      <c r="B725" s="276"/>
      <c r="C725" s="276"/>
      <c r="D725" s="276"/>
      <c r="E725" s="276"/>
      <c r="F725" s="276"/>
      <c r="G725" s="276"/>
      <c r="H725" s="276"/>
      <c r="I725" s="276"/>
      <c r="J725" s="276"/>
      <c r="K725" s="276"/>
      <c r="L725" s="276"/>
      <c r="M725" s="276"/>
      <c r="N725" s="276"/>
      <c r="O725" s="276"/>
      <c r="P725" s="276"/>
      <c r="Q725" s="276"/>
      <c r="R725" s="276"/>
      <c r="S725" s="276"/>
      <c r="T725" s="276"/>
      <c r="U725" s="276"/>
      <c r="V725" s="276"/>
      <c r="W725" s="276"/>
      <c r="X725" s="276"/>
      <c r="Y725" s="276"/>
      <c r="Z725" s="276"/>
    </row>
    <row r="726" spans="1:26" ht="14.25" customHeight="1" x14ac:dyDescent="0.3">
      <c r="A726" s="307"/>
      <c r="B726" s="276"/>
      <c r="C726" s="276"/>
      <c r="D726" s="276"/>
      <c r="E726" s="276"/>
      <c r="F726" s="276"/>
      <c r="G726" s="276"/>
      <c r="H726" s="276"/>
      <c r="I726" s="276"/>
      <c r="J726" s="276"/>
      <c r="K726" s="276"/>
      <c r="L726" s="276"/>
      <c r="M726" s="276"/>
      <c r="N726" s="276"/>
      <c r="O726" s="276"/>
      <c r="P726" s="276"/>
      <c r="Q726" s="276"/>
      <c r="R726" s="276"/>
      <c r="S726" s="276"/>
      <c r="T726" s="276"/>
      <c r="U726" s="276"/>
      <c r="V726" s="276"/>
      <c r="W726" s="276"/>
      <c r="X726" s="276"/>
      <c r="Y726" s="276"/>
      <c r="Z726" s="276"/>
    </row>
    <row r="727" spans="1:26" ht="14.25" customHeight="1" x14ac:dyDescent="0.3">
      <c r="A727" s="307"/>
      <c r="B727" s="276"/>
      <c r="C727" s="276"/>
      <c r="D727" s="276"/>
      <c r="E727" s="276"/>
      <c r="F727" s="276"/>
      <c r="G727" s="276"/>
      <c r="H727" s="276"/>
      <c r="I727" s="276"/>
      <c r="J727" s="276"/>
      <c r="K727" s="276"/>
      <c r="L727" s="276"/>
      <c r="M727" s="276"/>
      <c r="N727" s="276"/>
      <c r="O727" s="276"/>
      <c r="P727" s="276"/>
      <c r="Q727" s="276"/>
      <c r="R727" s="276"/>
      <c r="S727" s="276"/>
      <c r="T727" s="276"/>
      <c r="U727" s="276"/>
      <c r="V727" s="276"/>
      <c r="W727" s="276"/>
      <c r="X727" s="276"/>
      <c r="Y727" s="276"/>
      <c r="Z727" s="276"/>
    </row>
    <row r="728" spans="1:26" ht="14.25" customHeight="1" x14ac:dyDescent="0.3">
      <c r="A728" s="307"/>
      <c r="B728" s="276"/>
      <c r="C728" s="276"/>
      <c r="D728" s="276"/>
      <c r="E728" s="276"/>
      <c r="F728" s="276"/>
      <c r="G728" s="276"/>
      <c r="H728" s="276"/>
      <c r="I728" s="276"/>
      <c r="J728" s="276"/>
      <c r="K728" s="276"/>
      <c r="L728" s="276"/>
      <c r="M728" s="276"/>
      <c r="N728" s="276"/>
      <c r="O728" s="276"/>
      <c r="P728" s="276"/>
      <c r="Q728" s="276"/>
      <c r="R728" s="276"/>
      <c r="S728" s="276"/>
      <c r="T728" s="276"/>
      <c r="U728" s="276"/>
      <c r="V728" s="276"/>
      <c r="W728" s="276"/>
      <c r="X728" s="276"/>
      <c r="Y728" s="276"/>
      <c r="Z728" s="276"/>
    </row>
    <row r="729" spans="1:26" ht="14.25" customHeight="1" x14ac:dyDescent="0.3">
      <c r="A729" s="307"/>
      <c r="B729" s="276"/>
      <c r="C729" s="276"/>
      <c r="D729" s="276"/>
      <c r="E729" s="276"/>
      <c r="F729" s="276"/>
      <c r="G729" s="276"/>
      <c r="H729" s="276"/>
      <c r="I729" s="276"/>
      <c r="J729" s="276"/>
      <c r="K729" s="276"/>
      <c r="L729" s="276"/>
      <c r="M729" s="276"/>
      <c r="N729" s="276"/>
      <c r="O729" s="276"/>
      <c r="P729" s="276"/>
      <c r="Q729" s="276"/>
      <c r="R729" s="276"/>
      <c r="S729" s="276"/>
      <c r="T729" s="276"/>
      <c r="U729" s="276"/>
      <c r="V729" s="276"/>
      <c r="W729" s="276"/>
      <c r="X729" s="276"/>
      <c r="Y729" s="276"/>
      <c r="Z729" s="276"/>
    </row>
    <row r="730" spans="1:26" ht="14.25" customHeight="1" x14ac:dyDescent="0.3">
      <c r="A730" s="307"/>
      <c r="B730" s="276"/>
      <c r="C730" s="276"/>
      <c r="D730" s="276"/>
      <c r="E730" s="276"/>
      <c r="F730" s="276"/>
      <c r="G730" s="276"/>
      <c r="H730" s="276"/>
      <c r="I730" s="276"/>
      <c r="J730" s="276"/>
      <c r="K730" s="276"/>
      <c r="L730" s="276"/>
      <c r="M730" s="276"/>
      <c r="N730" s="276"/>
      <c r="O730" s="276"/>
      <c r="P730" s="276"/>
      <c r="Q730" s="276"/>
      <c r="R730" s="276"/>
      <c r="S730" s="276"/>
      <c r="T730" s="276"/>
      <c r="U730" s="276"/>
      <c r="V730" s="276"/>
      <c r="W730" s="276"/>
      <c r="X730" s="276"/>
      <c r="Y730" s="276"/>
      <c r="Z730" s="276"/>
    </row>
    <row r="731" spans="1:26" ht="14.25" customHeight="1" x14ac:dyDescent="0.3">
      <c r="A731" s="307"/>
      <c r="B731" s="276"/>
      <c r="C731" s="276"/>
      <c r="D731" s="276"/>
      <c r="E731" s="276"/>
      <c r="F731" s="276"/>
      <c r="G731" s="276"/>
      <c r="H731" s="276"/>
      <c r="I731" s="276"/>
      <c r="J731" s="276"/>
      <c r="K731" s="276"/>
      <c r="L731" s="276"/>
      <c r="M731" s="276"/>
      <c r="N731" s="276"/>
      <c r="O731" s="276"/>
      <c r="P731" s="276"/>
      <c r="Q731" s="276"/>
      <c r="R731" s="276"/>
      <c r="S731" s="276"/>
      <c r="T731" s="276"/>
      <c r="U731" s="276"/>
      <c r="V731" s="276"/>
      <c r="W731" s="276"/>
      <c r="X731" s="276"/>
      <c r="Y731" s="276"/>
      <c r="Z731" s="276"/>
    </row>
    <row r="732" spans="1:26" ht="14.25" customHeight="1" x14ac:dyDescent="0.3">
      <c r="A732" s="307"/>
      <c r="B732" s="276"/>
      <c r="C732" s="276"/>
      <c r="D732" s="276"/>
      <c r="E732" s="276"/>
      <c r="F732" s="276"/>
      <c r="G732" s="276"/>
      <c r="H732" s="276"/>
      <c r="I732" s="276"/>
      <c r="J732" s="276"/>
      <c r="K732" s="276"/>
      <c r="L732" s="276"/>
      <c r="M732" s="276"/>
      <c r="N732" s="276"/>
      <c r="O732" s="276"/>
      <c r="P732" s="276"/>
      <c r="Q732" s="276"/>
      <c r="R732" s="276"/>
      <c r="S732" s="276"/>
      <c r="T732" s="276"/>
      <c r="U732" s="276"/>
      <c r="V732" s="276"/>
      <c r="W732" s="276"/>
      <c r="X732" s="276"/>
      <c r="Y732" s="276"/>
      <c r="Z732" s="276"/>
    </row>
    <row r="733" spans="1:26" ht="14.25" customHeight="1" x14ac:dyDescent="0.3">
      <c r="A733" s="307"/>
      <c r="B733" s="276"/>
      <c r="C733" s="276"/>
      <c r="D733" s="276"/>
      <c r="E733" s="276"/>
      <c r="F733" s="276"/>
      <c r="G733" s="276"/>
      <c r="H733" s="276"/>
      <c r="I733" s="276"/>
      <c r="J733" s="276"/>
      <c r="K733" s="276"/>
      <c r="L733" s="276"/>
      <c r="M733" s="276"/>
      <c r="N733" s="276"/>
      <c r="O733" s="276"/>
      <c r="P733" s="276"/>
      <c r="Q733" s="276"/>
      <c r="R733" s="276"/>
      <c r="S733" s="276"/>
      <c r="T733" s="276"/>
      <c r="U733" s="276"/>
      <c r="V733" s="276"/>
      <c r="W733" s="276"/>
      <c r="X733" s="276"/>
      <c r="Y733" s="276"/>
      <c r="Z733" s="276"/>
    </row>
    <row r="734" spans="1:26" ht="14.25" customHeight="1" x14ac:dyDescent="0.3">
      <c r="A734" s="307"/>
      <c r="B734" s="276"/>
      <c r="C734" s="276"/>
      <c r="D734" s="276"/>
      <c r="E734" s="276"/>
      <c r="F734" s="276"/>
      <c r="G734" s="276"/>
      <c r="H734" s="276"/>
      <c r="I734" s="276"/>
      <c r="J734" s="276"/>
      <c r="K734" s="276"/>
      <c r="L734" s="276"/>
      <c r="M734" s="276"/>
      <c r="N734" s="276"/>
      <c r="O734" s="276"/>
      <c r="P734" s="276"/>
      <c r="Q734" s="276"/>
      <c r="R734" s="276"/>
      <c r="S734" s="276"/>
      <c r="T734" s="276"/>
      <c r="U734" s="276"/>
      <c r="V734" s="276"/>
      <c r="W734" s="276"/>
      <c r="X734" s="276"/>
      <c r="Y734" s="276"/>
      <c r="Z734" s="276"/>
    </row>
    <row r="735" spans="1:26" ht="14.25" customHeight="1" x14ac:dyDescent="0.3">
      <c r="A735" s="307"/>
      <c r="B735" s="276"/>
      <c r="C735" s="276"/>
      <c r="D735" s="276"/>
      <c r="E735" s="276"/>
      <c r="F735" s="276"/>
      <c r="G735" s="276"/>
      <c r="H735" s="276"/>
      <c r="I735" s="276"/>
      <c r="J735" s="276"/>
      <c r="K735" s="276"/>
      <c r="L735" s="276"/>
      <c r="M735" s="276"/>
      <c r="N735" s="276"/>
      <c r="O735" s="276"/>
      <c r="P735" s="276"/>
      <c r="Q735" s="276"/>
      <c r="R735" s="276"/>
      <c r="S735" s="276"/>
      <c r="T735" s="276"/>
      <c r="U735" s="276"/>
      <c r="V735" s="276"/>
      <c r="W735" s="276"/>
      <c r="X735" s="276"/>
      <c r="Y735" s="276"/>
      <c r="Z735" s="276"/>
    </row>
    <row r="736" spans="1:26" ht="14.25" customHeight="1" x14ac:dyDescent="0.3">
      <c r="A736" s="307"/>
      <c r="B736" s="276"/>
      <c r="C736" s="276"/>
      <c r="D736" s="276"/>
      <c r="E736" s="276"/>
      <c r="F736" s="276"/>
      <c r="G736" s="276"/>
      <c r="H736" s="276"/>
      <c r="I736" s="276"/>
      <c r="J736" s="276"/>
      <c r="K736" s="276"/>
      <c r="L736" s="276"/>
      <c r="M736" s="276"/>
      <c r="N736" s="276"/>
      <c r="O736" s="276"/>
      <c r="P736" s="276"/>
      <c r="Q736" s="276"/>
      <c r="R736" s="276"/>
      <c r="S736" s="276"/>
      <c r="T736" s="276"/>
      <c r="U736" s="276"/>
      <c r="V736" s="276"/>
      <c r="W736" s="276"/>
      <c r="X736" s="276"/>
      <c r="Y736" s="276"/>
      <c r="Z736" s="276"/>
    </row>
    <row r="737" spans="1:26" ht="14.25" customHeight="1" x14ac:dyDescent="0.3">
      <c r="A737" s="307"/>
      <c r="B737" s="276"/>
      <c r="C737" s="276"/>
      <c r="D737" s="276"/>
      <c r="E737" s="276"/>
      <c r="F737" s="276"/>
      <c r="G737" s="276"/>
      <c r="H737" s="276"/>
      <c r="I737" s="276"/>
      <c r="J737" s="276"/>
      <c r="K737" s="276"/>
      <c r="L737" s="276"/>
      <c r="M737" s="276"/>
      <c r="N737" s="276"/>
      <c r="O737" s="276"/>
      <c r="P737" s="276"/>
      <c r="Q737" s="276"/>
      <c r="R737" s="276"/>
      <c r="S737" s="276"/>
      <c r="T737" s="276"/>
      <c r="U737" s="276"/>
      <c r="V737" s="276"/>
      <c r="W737" s="276"/>
      <c r="X737" s="276"/>
      <c r="Y737" s="276"/>
      <c r="Z737" s="276"/>
    </row>
    <row r="738" spans="1:26" ht="14.25" customHeight="1" x14ac:dyDescent="0.3">
      <c r="A738" s="307"/>
      <c r="B738" s="276"/>
      <c r="C738" s="276"/>
      <c r="D738" s="276"/>
      <c r="E738" s="276"/>
      <c r="F738" s="276"/>
      <c r="G738" s="276"/>
      <c r="H738" s="276"/>
      <c r="I738" s="276"/>
      <c r="J738" s="276"/>
      <c r="K738" s="276"/>
      <c r="L738" s="276"/>
      <c r="M738" s="276"/>
      <c r="N738" s="276"/>
      <c r="O738" s="276"/>
      <c r="P738" s="276"/>
      <c r="Q738" s="276"/>
      <c r="R738" s="276"/>
      <c r="S738" s="276"/>
      <c r="T738" s="276"/>
      <c r="U738" s="276"/>
      <c r="V738" s="276"/>
      <c r="W738" s="276"/>
      <c r="X738" s="276"/>
      <c r="Y738" s="276"/>
      <c r="Z738" s="276"/>
    </row>
    <row r="739" spans="1:26" ht="14.25" customHeight="1" x14ac:dyDescent="0.3">
      <c r="A739" s="307"/>
      <c r="B739" s="276"/>
      <c r="C739" s="276"/>
      <c r="D739" s="276"/>
      <c r="E739" s="276"/>
      <c r="F739" s="276"/>
      <c r="G739" s="276"/>
      <c r="H739" s="276"/>
      <c r="I739" s="276"/>
      <c r="J739" s="276"/>
      <c r="K739" s="276"/>
      <c r="L739" s="276"/>
      <c r="M739" s="276"/>
      <c r="N739" s="276"/>
      <c r="O739" s="276"/>
      <c r="P739" s="276"/>
      <c r="Q739" s="276"/>
      <c r="R739" s="276"/>
      <c r="S739" s="276"/>
      <c r="T739" s="276"/>
      <c r="U739" s="276"/>
      <c r="V739" s="276"/>
      <c r="W739" s="276"/>
      <c r="X739" s="276"/>
      <c r="Y739" s="276"/>
      <c r="Z739" s="276"/>
    </row>
    <row r="740" spans="1:26" ht="14.25" customHeight="1" x14ac:dyDescent="0.3">
      <c r="A740" s="307"/>
      <c r="B740" s="276"/>
      <c r="C740" s="276"/>
      <c r="D740" s="276"/>
      <c r="E740" s="276"/>
      <c r="F740" s="276"/>
      <c r="G740" s="276"/>
      <c r="H740" s="276"/>
      <c r="I740" s="276"/>
      <c r="J740" s="276"/>
      <c r="K740" s="276"/>
      <c r="L740" s="276"/>
      <c r="M740" s="276"/>
      <c r="N740" s="276"/>
      <c r="O740" s="276"/>
      <c r="P740" s="276"/>
      <c r="Q740" s="276"/>
      <c r="R740" s="276"/>
      <c r="S740" s="276"/>
      <c r="T740" s="276"/>
      <c r="U740" s="276"/>
      <c r="V740" s="276"/>
      <c r="W740" s="276"/>
      <c r="X740" s="276"/>
      <c r="Y740" s="276"/>
      <c r="Z740" s="276"/>
    </row>
    <row r="741" spans="1:26" ht="14.25" customHeight="1" x14ac:dyDescent="0.3">
      <c r="A741" s="307"/>
      <c r="B741" s="276"/>
      <c r="C741" s="276"/>
      <c r="D741" s="276"/>
      <c r="E741" s="276"/>
      <c r="F741" s="276"/>
      <c r="G741" s="276"/>
      <c r="H741" s="276"/>
      <c r="I741" s="276"/>
      <c r="J741" s="276"/>
      <c r="K741" s="276"/>
      <c r="L741" s="276"/>
      <c r="M741" s="276"/>
      <c r="N741" s="276"/>
      <c r="O741" s="276"/>
      <c r="P741" s="276"/>
      <c r="Q741" s="276"/>
      <c r="R741" s="276"/>
      <c r="S741" s="276"/>
      <c r="T741" s="276"/>
      <c r="U741" s="276"/>
      <c r="V741" s="276"/>
      <c r="W741" s="276"/>
      <c r="X741" s="276"/>
      <c r="Y741" s="276"/>
      <c r="Z741" s="276"/>
    </row>
    <row r="742" spans="1:26" ht="14.25" customHeight="1" x14ac:dyDescent="0.3">
      <c r="A742" s="307"/>
      <c r="B742" s="276"/>
      <c r="C742" s="276"/>
      <c r="D742" s="276"/>
      <c r="E742" s="276"/>
      <c r="F742" s="276"/>
      <c r="G742" s="276"/>
      <c r="H742" s="276"/>
      <c r="I742" s="276"/>
      <c r="J742" s="276"/>
      <c r="K742" s="276"/>
      <c r="L742" s="276"/>
      <c r="M742" s="276"/>
      <c r="N742" s="276"/>
      <c r="O742" s="276"/>
      <c r="P742" s="276"/>
      <c r="Q742" s="276"/>
      <c r="R742" s="276"/>
      <c r="S742" s="276"/>
      <c r="T742" s="276"/>
      <c r="U742" s="276"/>
      <c r="V742" s="276"/>
      <c r="W742" s="276"/>
      <c r="X742" s="276"/>
      <c r="Y742" s="276"/>
      <c r="Z742" s="276"/>
    </row>
    <row r="743" spans="1:26" ht="14.25" customHeight="1" x14ac:dyDescent="0.3">
      <c r="A743" s="307"/>
      <c r="B743" s="276"/>
      <c r="C743" s="276"/>
      <c r="D743" s="276"/>
      <c r="E743" s="276"/>
      <c r="F743" s="276"/>
      <c r="G743" s="276"/>
      <c r="H743" s="276"/>
      <c r="I743" s="276"/>
      <c r="J743" s="276"/>
      <c r="K743" s="276"/>
      <c r="L743" s="276"/>
      <c r="M743" s="276"/>
      <c r="N743" s="276"/>
      <c r="O743" s="276"/>
      <c r="P743" s="276"/>
      <c r="Q743" s="276"/>
      <c r="R743" s="276"/>
      <c r="S743" s="276"/>
      <c r="T743" s="276"/>
      <c r="U743" s="276"/>
      <c r="V743" s="276"/>
      <c r="W743" s="276"/>
      <c r="X743" s="276"/>
      <c r="Y743" s="276"/>
      <c r="Z743" s="276"/>
    </row>
    <row r="744" spans="1:26" ht="14.25" customHeight="1" x14ac:dyDescent="0.3">
      <c r="A744" s="307"/>
      <c r="B744" s="276"/>
      <c r="C744" s="276"/>
      <c r="D744" s="276"/>
      <c r="E744" s="276"/>
      <c r="F744" s="276"/>
      <c r="G744" s="276"/>
      <c r="H744" s="276"/>
      <c r="I744" s="276"/>
      <c r="J744" s="276"/>
      <c r="K744" s="276"/>
      <c r="L744" s="276"/>
      <c r="M744" s="276"/>
      <c r="N744" s="276"/>
      <c r="O744" s="276"/>
      <c r="P744" s="276"/>
      <c r="Q744" s="276"/>
      <c r="R744" s="276"/>
      <c r="S744" s="276"/>
      <c r="T744" s="276"/>
      <c r="U744" s="276"/>
      <c r="V744" s="276"/>
      <c r="W744" s="276"/>
      <c r="X744" s="276"/>
      <c r="Y744" s="276"/>
      <c r="Z744" s="276"/>
    </row>
    <row r="745" spans="1:26" ht="14.25" customHeight="1" x14ac:dyDescent="0.3">
      <c r="A745" s="307"/>
      <c r="B745" s="276"/>
      <c r="C745" s="276"/>
      <c r="D745" s="276"/>
      <c r="E745" s="276"/>
      <c r="F745" s="276"/>
      <c r="G745" s="276"/>
      <c r="H745" s="276"/>
      <c r="I745" s="276"/>
      <c r="J745" s="276"/>
      <c r="K745" s="276"/>
      <c r="L745" s="276"/>
      <c r="M745" s="276"/>
      <c r="N745" s="276"/>
      <c r="O745" s="276"/>
      <c r="P745" s="276"/>
      <c r="Q745" s="276"/>
      <c r="R745" s="276"/>
      <c r="S745" s="276"/>
      <c r="T745" s="276"/>
      <c r="U745" s="276"/>
      <c r="V745" s="276"/>
      <c r="W745" s="276"/>
      <c r="X745" s="276"/>
      <c r="Y745" s="276"/>
      <c r="Z745" s="276"/>
    </row>
    <row r="746" spans="1:26" ht="14.25" customHeight="1" x14ac:dyDescent="0.3">
      <c r="A746" s="307"/>
      <c r="B746" s="276"/>
      <c r="C746" s="276"/>
      <c r="D746" s="276"/>
      <c r="E746" s="276"/>
      <c r="F746" s="276"/>
      <c r="G746" s="276"/>
      <c r="H746" s="276"/>
      <c r="I746" s="276"/>
      <c r="J746" s="276"/>
      <c r="K746" s="276"/>
      <c r="L746" s="276"/>
      <c r="M746" s="276"/>
      <c r="N746" s="276"/>
      <c r="O746" s="276"/>
      <c r="P746" s="276"/>
      <c r="Q746" s="276"/>
      <c r="R746" s="276"/>
      <c r="S746" s="276"/>
      <c r="T746" s="276"/>
      <c r="U746" s="276"/>
      <c r="V746" s="276"/>
      <c r="W746" s="276"/>
      <c r="X746" s="276"/>
      <c r="Y746" s="276"/>
      <c r="Z746" s="276"/>
    </row>
    <row r="747" spans="1:26" ht="14.25" customHeight="1" x14ac:dyDescent="0.3">
      <c r="A747" s="307"/>
      <c r="B747" s="276"/>
      <c r="C747" s="276"/>
      <c r="D747" s="276"/>
      <c r="E747" s="276"/>
      <c r="F747" s="276"/>
      <c r="G747" s="276"/>
      <c r="H747" s="276"/>
      <c r="I747" s="276"/>
      <c r="J747" s="276"/>
      <c r="K747" s="276"/>
      <c r="L747" s="276"/>
      <c r="M747" s="276"/>
      <c r="N747" s="276"/>
      <c r="O747" s="276"/>
      <c r="P747" s="276"/>
      <c r="Q747" s="276"/>
      <c r="R747" s="276"/>
      <c r="S747" s="276"/>
      <c r="T747" s="276"/>
      <c r="U747" s="276"/>
      <c r="V747" s="276"/>
      <c r="W747" s="276"/>
      <c r="X747" s="276"/>
      <c r="Y747" s="276"/>
      <c r="Z747" s="276"/>
    </row>
    <row r="748" spans="1:26" ht="14.25" customHeight="1" x14ac:dyDescent="0.3">
      <c r="A748" s="307"/>
      <c r="B748" s="276"/>
      <c r="C748" s="276"/>
      <c r="D748" s="276"/>
      <c r="E748" s="276"/>
      <c r="F748" s="276"/>
      <c r="G748" s="276"/>
      <c r="H748" s="276"/>
      <c r="I748" s="276"/>
      <c r="J748" s="276"/>
      <c r="K748" s="276"/>
      <c r="L748" s="276"/>
      <c r="M748" s="276"/>
      <c r="N748" s="276"/>
      <c r="O748" s="276"/>
      <c r="P748" s="276"/>
      <c r="Q748" s="276"/>
      <c r="R748" s="276"/>
      <c r="S748" s="276"/>
      <c r="T748" s="276"/>
      <c r="U748" s="276"/>
      <c r="V748" s="276"/>
      <c r="W748" s="276"/>
      <c r="X748" s="276"/>
      <c r="Y748" s="276"/>
      <c r="Z748" s="276"/>
    </row>
    <row r="749" spans="1:26" ht="14.25" customHeight="1" x14ac:dyDescent="0.3">
      <c r="A749" s="307"/>
      <c r="B749" s="276"/>
      <c r="C749" s="276"/>
      <c r="D749" s="276"/>
      <c r="E749" s="276"/>
      <c r="F749" s="276"/>
      <c r="G749" s="276"/>
      <c r="H749" s="276"/>
      <c r="I749" s="276"/>
      <c r="J749" s="276"/>
      <c r="K749" s="276"/>
      <c r="L749" s="276"/>
      <c r="M749" s="276"/>
      <c r="N749" s="276"/>
      <c r="O749" s="276"/>
      <c r="P749" s="276"/>
      <c r="Q749" s="276"/>
      <c r="R749" s="276"/>
      <c r="S749" s="276"/>
      <c r="T749" s="276"/>
      <c r="U749" s="276"/>
      <c r="V749" s="276"/>
      <c r="W749" s="276"/>
      <c r="X749" s="276"/>
      <c r="Y749" s="276"/>
      <c r="Z749" s="276"/>
    </row>
    <row r="750" spans="1:26" ht="14.25" customHeight="1" x14ac:dyDescent="0.3">
      <c r="A750" s="307"/>
      <c r="B750" s="276"/>
      <c r="C750" s="276"/>
      <c r="D750" s="276"/>
      <c r="E750" s="276"/>
      <c r="F750" s="276"/>
      <c r="G750" s="276"/>
      <c r="H750" s="276"/>
      <c r="I750" s="276"/>
      <c r="J750" s="276"/>
      <c r="K750" s="276"/>
      <c r="L750" s="276"/>
      <c r="M750" s="276"/>
      <c r="N750" s="276"/>
      <c r="O750" s="276"/>
      <c r="P750" s="276"/>
      <c r="Q750" s="276"/>
      <c r="R750" s="276"/>
      <c r="S750" s="276"/>
      <c r="T750" s="276"/>
      <c r="U750" s="276"/>
      <c r="V750" s="276"/>
      <c r="W750" s="276"/>
      <c r="X750" s="276"/>
      <c r="Y750" s="276"/>
      <c r="Z750" s="276"/>
    </row>
    <row r="751" spans="1:26" ht="14.25" customHeight="1" x14ac:dyDescent="0.3">
      <c r="A751" s="307"/>
      <c r="B751" s="276"/>
      <c r="C751" s="276"/>
      <c r="D751" s="276"/>
      <c r="E751" s="276"/>
      <c r="F751" s="276"/>
      <c r="G751" s="276"/>
      <c r="H751" s="276"/>
      <c r="I751" s="276"/>
      <c r="J751" s="276"/>
      <c r="K751" s="276"/>
      <c r="L751" s="276"/>
      <c r="M751" s="276"/>
      <c r="N751" s="276"/>
      <c r="O751" s="276"/>
      <c r="P751" s="276"/>
      <c r="Q751" s="276"/>
      <c r="R751" s="276"/>
      <c r="S751" s="276"/>
      <c r="T751" s="276"/>
      <c r="U751" s="276"/>
      <c r="V751" s="276"/>
      <c r="W751" s="276"/>
      <c r="X751" s="276"/>
      <c r="Y751" s="276"/>
      <c r="Z751" s="276"/>
    </row>
    <row r="752" spans="1:26" ht="14.25" customHeight="1" x14ac:dyDescent="0.3">
      <c r="A752" s="307"/>
      <c r="B752" s="276"/>
      <c r="C752" s="276"/>
      <c r="D752" s="276"/>
      <c r="E752" s="276"/>
      <c r="F752" s="276"/>
      <c r="G752" s="276"/>
      <c r="H752" s="276"/>
      <c r="I752" s="276"/>
      <c r="J752" s="276"/>
      <c r="K752" s="276"/>
      <c r="L752" s="276"/>
      <c r="M752" s="276"/>
      <c r="N752" s="276"/>
      <c r="O752" s="276"/>
      <c r="P752" s="276"/>
      <c r="Q752" s="276"/>
      <c r="R752" s="276"/>
      <c r="S752" s="276"/>
      <c r="T752" s="276"/>
      <c r="U752" s="276"/>
      <c r="V752" s="276"/>
      <c r="W752" s="276"/>
      <c r="X752" s="276"/>
      <c r="Y752" s="276"/>
      <c r="Z752" s="276"/>
    </row>
    <row r="753" spans="1:26" ht="14.25" customHeight="1" x14ac:dyDescent="0.3">
      <c r="A753" s="307"/>
      <c r="B753" s="276"/>
      <c r="C753" s="276"/>
      <c r="D753" s="276"/>
      <c r="E753" s="276"/>
      <c r="F753" s="276"/>
      <c r="G753" s="276"/>
      <c r="H753" s="276"/>
      <c r="I753" s="276"/>
      <c r="J753" s="276"/>
      <c r="K753" s="276"/>
      <c r="L753" s="276"/>
      <c r="M753" s="276"/>
      <c r="N753" s="276"/>
      <c r="O753" s="276"/>
      <c r="P753" s="276"/>
      <c r="Q753" s="276"/>
      <c r="R753" s="276"/>
      <c r="S753" s="276"/>
      <c r="T753" s="276"/>
      <c r="U753" s="276"/>
      <c r="V753" s="276"/>
      <c r="W753" s="276"/>
      <c r="X753" s="276"/>
      <c r="Y753" s="276"/>
      <c r="Z753" s="276"/>
    </row>
    <row r="754" spans="1:26" ht="14.25" customHeight="1" x14ac:dyDescent="0.3">
      <c r="A754" s="307"/>
      <c r="B754" s="276"/>
      <c r="C754" s="276"/>
      <c r="D754" s="276"/>
      <c r="E754" s="276"/>
      <c r="F754" s="276"/>
      <c r="G754" s="276"/>
      <c r="H754" s="276"/>
      <c r="I754" s="276"/>
      <c r="J754" s="276"/>
      <c r="K754" s="276"/>
      <c r="L754" s="276"/>
      <c r="M754" s="276"/>
      <c r="N754" s="276"/>
      <c r="O754" s="276"/>
      <c r="P754" s="276"/>
      <c r="Q754" s="276"/>
      <c r="R754" s="276"/>
      <c r="S754" s="276"/>
      <c r="T754" s="276"/>
      <c r="U754" s="276"/>
      <c r="V754" s="276"/>
      <c r="W754" s="276"/>
      <c r="X754" s="276"/>
      <c r="Y754" s="276"/>
      <c r="Z754" s="276"/>
    </row>
    <row r="755" spans="1:26" ht="14.25" customHeight="1" x14ac:dyDescent="0.3">
      <c r="A755" s="307"/>
      <c r="B755" s="276"/>
      <c r="C755" s="276"/>
      <c r="D755" s="276"/>
      <c r="E755" s="276"/>
      <c r="F755" s="276"/>
      <c r="G755" s="276"/>
      <c r="H755" s="276"/>
      <c r="I755" s="276"/>
      <c r="J755" s="276"/>
      <c r="K755" s="276"/>
      <c r="L755" s="276"/>
      <c r="M755" s="276"/>
      <c r="N755" s="276"/>
      <c r="O755" s="276"/>
      <c r="P755" s="276"/>
      <c r="Q755" s="276"/>
      <c r="R755" s="276"/>
      <c r="S755" s="276"/>
      <c r="T755" s="276"/>
      <c r="U755" s="276"/>
      <c r="V755" s="276"/>
      <c r="W755" s="276"/>
      <c r="X755" s="276"/>
      <c r="Y755" s="276"/>
      <c r="Z755" s="276"/>
    </row>
    <row r="756" spans="1:26" ht="14.25" customHeight="1" x14ac:dyDescent="0.3">
      <c r="A756" s="307"/>
      <c r="B756" s="276"/>
      <c r="C756" s="276"/>
      <c r="D756" s="276"/>
      <c r="E756" s="276"/>
      <c r="F756" s="276"/>
      <c r="G756" s="276"/>
      <c r="H756" s="276"/>
      <c r="I756" s="276"/>
      <c r="J756" s="276"/>
      <c r="K756" s="276"/>
      <c r="L756" s="276"/>
      <c r="M756" s="276"/>
      <c r="N756" s="276"/>
      <c r="O756" s="276"/>
      <c r="P756" s="276"/>
      <c r="Q756" s="276"/>
      <c r="R756" s="276"/>
      <c r="S756" s="276"/>
      <c r="T756" s="276"/>
      <c r="U756" s="276"/>
      <c r="V756" s="276"/>
      <c r="W756" s="276"/>
      <c r="X756" s="276"/>
      <c r="Y756" s="276"/>
      <c r="Z756" s="276"/>
    </row>
    <row r="757" spans="1:26" ht="14.25" customHeight="1" x14ac:dyDescent="0.3">
      <c r="A757" s="307"/>
      <c r="B757" s="276"/>
      <c r="C757" s="276"/>
      <c r="D757" s="276"/>
      <c r="E757" s="276"/>
      <c r="F757" s="276"/>
      <c r="G757" s="276"/>
      <c r="H757" s="276"/>
      <c r="I757" s="276"/>
      <c r="J757" s="276"/>
      <c r="K757" s="276"/>
      <c r="L757" s="276"/>
      <c r="M757" s="276"/>
      <c r="N757" s="276"/>
      <c r="O757" s="276"/>
      <c r="P757" s="276"/>
      <c r="Q757" s="276"/>
      <c r="R757" s="276"/>
      <c r="S757" s="276"/>
      <c r="T757" s="276"/>
      <c r="U757" s="276"/>
      <c r="V757" s="276"/>
      <c r="W757" s="276"/>
      <c r="X757" s="276"/>
      <c r="Y757" s="276"/>
      <c r="Z757" s="276"/>
    </row>
    <row r="758" spans="1:26" ht="14.25" customHeight="1" x14ac:dyDescent="0.3">
      <c r="A758" s="307"/>
      <c r="B758" s="276"/>
      <c r="C758" s="276"/>
      <c r="D758" s="276"/>
      <c r="E758" s="276"/>
      <c r="F758" s="276"/>
      <c r="G758" s="276"/>
      <c r="H758" s="276"/>
      <c r="I758" s="276"/>
      <c r="J758" s="276"/>
      <c r="K758" s="276"/>
      <c r="L758" s="276"/>
      <c r="M758" s="276"/>
      <c r="N758" s="276"/>
      <c r="O758" s="276"/>
      <c r="P758" s="276"/>
      <c r="Q758" s="276"/>
      <c r="R758" s="276"/>
      <c r="S758" s="276"/>
      <c r="T758" s="276"/>
      <c r="U758" s="276"/>
      <c r="V758" s="276"/>
      <c r="W758" s="276"/>
      <c r="X758" s="276"/>
      <c r="Y758" s="276"/>
      <c r="Z758" s="276"/>
    </row>
    <row r="759" spans="1:26" ht="14.25" customHeight="1" x14ac:dyDescent="0.3">
      <c r="A759" s="307"/>
      <c r="B759" s="276"/>
      <c r="C759" s="276"/>
      <c r="D759" s="276"/>
      <c r="E759" s="276"/>
      <c r="F759" s="276"/>
      <c r="G759" s="276"/>
      <c r="H759" s="276"/>
      <c r="I759" s="276"/>
      <c r="J759" s="276"/>
      <c r="K759" s="276"/>
      <c r="L759" s="276"/>
      <c r="M759" s="276"/>
      <c r="N759" s="276"/>
      <c r="O759" s="276"/>
      <c r="P759" s="276"/>
      <c r="Q759" s="276"/>
      <c r="R759" s="276"/>
      <c r="S759" s="276"/>
      <c r="T759" s="276"/>
      <c r="U759" s="276"/>
      <c r="V759" s="276"/>
      <c r="W759" s="276"/>
      <c r="X759" s="276"/>
      <c r="Y759" s="276"/>
      <c r="Z759" s="276"/>
    </row>
    <row r="760" spans="1:26" ht="14.25" customHeight="1" x14ac:dyDescent="0.3">
      <c r="A760" s="307"/>
      <c r="B760" s="276"/>
      <c r="C760" s="276"/>
      <c r="D760" s="276"/>
      <c r="E760" s="276"/>
      <c r="F760" s="276"/>
      <c r="G760" s="276"/>
      <c r="H760" s="276"/>
      <c r="I760" s="276"/>
      <c r="J760" s="276"/>
      <c r="K760" s="276"/>
      <c r="L760" s="276"/>
      <c r="M760" s="276"/>
      <c r="N760" s="276"/>
      <c r="O760" s="276"/>
      <c r="P760" s="276"/>
      <c r="Q760" s="276"/>
      <c r="R760" s="276"/>
      <c r="S760" s="276"/>
      <c r="T760" s="276"/>
      <c r="U760" s="276"/>
      <c r="V760" s="276"/>
      <c r="W760" s="276"/>
      <c r="X760" s="276"/>
      <c r="Y760" s="276"/>
      <c r="Z760" s="276"/>
    </row>
    <row r="761" spans="1:26" ht="14.25" customHeight="1" x14ac:dyDescent="0.3">
      <c r="A761" s="307"/>
      <c r="B761" s="276"/>
      <c r="C761" s="276"/>
      <c r="D761" s="276"/>
      <c r="E761" s="276"/>
      <c r="F761" s="276"/>
      <c r="G761" s="276"/>
      <c r="H761" s="276"/>
      <c r="I761" s="276"/>
      <c r="J761" s="276"/>
      <c r="K761" s="276"/>
      <c r="L761" s="276"/>
      <c r="M761" s="276"/>
      <c r="N761" s="276"/>
      <c r="O761" s="276"/>
      <c r="P761" s="276"/>
      <c r="Q761" s="276"/>
      <c r="R761" s="276"/>
      <c r="S761" s="276"/>
      <c r="T761" s="276"/>
      <c r="U761" s="276"/>
      <c r="V761" s="276"/>
      <c r="W761" s="276"/>
      <c r="X761" s="276"/>
      <c r="Y761" s="276"/>
      <c r="Z761" s="276"/>
    </row>
    <row r="762" spans="1:26" ht="14.25" customHeight="1" x14ac:dyDescent="0.3">
      <c r="A762" s="307"/>
      <c r="B762" s="276"/>
      <c r="C762" s="276"/>
      <c r="D762" s="276"/>
      <c r="E762" s="276"/>
      <c r="F762" s="276"/>
      <c r="G762" s="276"/>
      <c r="H762" s="276"/>
      <c r="I762" s="276"/>
      <c r="J762" s="276"/>
      <c r="K762" s="276"/>
      <c r="L762" s="276"/>
      <c r="M762" s="276"/>
      <c r="N762" s="276"/>
      <c r="O762" s="276"/>
      <c r="P762" s="276"/>
      <c r="Q762" s="276"/>
      <c r="R762" s="276"/>
      <c r="S762" s="276"/>
      <c r="T762" s="276"/>
      <c r="U762" s="276"/>
      <c r="V762" s="276"/>
      <c r="W762" s="276"/>
      <c r="X762" s="276"/>
      <c r="Y762" s="276"/>
      <c r="Z762" s="276"/>
    </row>
    <row r="763" spans="1:26" ht="14.25" customHeight="1" x14ac:dyDescent="0.3">
      <c r="A763" s="307"/>
      <c r="B763" s="276"/>
      <c r="C763" s="276"/>
      <c r="D763" s="276"/>
      <c r="E763" s="276"/>
      <c r="F763" s="276"/>
      <c r="G763" s="276"/>
      <c r="H763" s="276"/>
      <c r="I763" s="276"/>
      <c r="J763" s="276"/>
      <c r="K763" s="276"/>
      <c r="L763" s="276"/>
      <c r="M763" s="276"/>
      <c r="N763" s="276"/>
      <c r="O763" s="276"/>
      <c r="P763" s="276"/>
      <c r="Q763" s="276"/>
      <c r="R763" s="276"/>
      <c r="S763" s="276"/>
      <c r="T763" s="276"/>
      <c r="U763" s="276"/>
      <c r="V763" s="276"/>
      <c r="W763" s="276"/>
      <c r="X763" s="276"/>
      <c r="Y763" s="276"/>
      <c r="Z763" s="276"/>
    </row>
    <row r="764" spans="1:26" ht="14.25" customHeight="1" x14ac:dyDescent="0.3">
      <c r="A764" s="307"/>
      <c r="B764" s="276"/>
      <c r="C764" s="276"/>
      <c r="D764" s="276"/>
      <c r="E764" s="276"/>
      <c r="F764" s="276"/>
      <c r="G764" s="276"/>
      <c r="H764" s="276"/>
      <c r="I764" s="276"/>
      <c r="J764" s="276"/>
      <c r="K764" s="276"/>
      <c r="L764" s="276"/>
      <c r="M764" s="276"/>
      <c r="N764" s="276"/>
      <c r="O764" s="276"/>
      <c r="P764" s="276"/>
      <c r="Q764" s="276"/>
      <c r="R764" s="276"/>
      <c r="S764" s="276"/>
      <c r="T764" s="276"/>
      <c r="U764" s="276"/>
      <c r="V764" s="276"/>
      <c r="W764" s="276"/>
      <c r="X764" s="276"/>
      <c r="Y764" s="276"/>
      <c r="Z764" s="276"/>
    </row>
    <row r="765" spans="1:26" ht="14.25" customHeight="1" x14ac:dyDescent="0.3">
      <c r="A765" s="307"/>
      <c r="B765" s="276"/>
      <c r="C765" s="276"/>
      <c r="D765" s="276"/>
      <c r="E765" s="276"/>
      <c r="F765" s="276"/>
      <c r="G765" s="276"/>
      <c r="H765" s="276"/>
      <c r="I765" s="276"/>
      <c r="J765" s="276"/>
      <c r="K765" s="276"/>
      <c r="L765" s="276"/>
      <c r="M765" s="276"/>
      <c r="N765" s="276"/>
      <c r="O765" s="276"/>
      <c r="P765" s="276"/>
      <c r="Q765" s="276"/>
      <c r="R765" s="276"/>
      <c r="S765" s="276"/>
      <c r="T765" s="276"/>
      <c r="U765" s="276"/>
      <c r="V765" s="276"/>
      <c r="W765" s="276"/>
      <c r="X765" s="276"/>
      <c r="Y765" s="276"/>
      <c r="Z765" s="276"/>
    </row>
    <row r="766" spans="1:26" ht="14.25" customHeight="1" x14ac:dyDescent="0.3">
      <c r="A766" s="307"/>
      <c r="B766" s="276"/>
      <c r="C766" s="276"/>
      <c r="D766" s="276"/>
      <c r="E766" s="276"/>
      <c r="F766" s="276"/>
      <c r="G766" s="276"/>
      <c r="H766" s="276"/>
      <c r="I766" s="276"/>
      <c r="J766" s="276"/>
      <c r="K766" s="276"/>
      <c r="L766" s="276"/>
      <c r="M766" s="276"/>
      <c r="N766" s="276"/>
      <c r="O766" s="276"/>
      <c r="P766" s="276"/>
      <c r="Q766" s="276"/>
      <c r="R766" s="276"/>
      <c r="S766" s="276"/>
      <c r="T766" s="276"/>
      <c r="U766" s="276"/>
      <c r="V766" s="276"/>
      <c r="W766" s="276"/>
      <c r="X766" s="276"/>
      <c r="Y766" s="276"/>
      <c r="Z766" s="276"/>
    </row>
    <row r="767" spans="1:26" ht="14.25" customHeight="1" x14ac:dyDescent="0.3">
      <c r="A767" s="307"/>
      <c r="B767" s="276"/>
      <c r="C767" s="276"/>
      <c r="D767" s="276"/>
      <c r="E767" s="276"/>
      <c r="F767" s="276"/>
      <c r="G767" s="276"/>
      <c r="H767" s="276"/>
      <c r="I767" s="276"/>
      <c r="J767" s="276"/>
      <c r="K767" s="276"/>
      <c r="L767" s="276"/>
      <c r="M767" s="276"/>
      <c r="N767" s="276"/>
      <c r="O767" s="276"/>
      <c r="P767" s="276"/>
      <c r="Q767" s="276"/>
      <c r="R767" s="276"/>
      <c r="S767" s="276"/>
      <c r="T767" s="276"/>
      <c r="U767" s="276"/>
      <c r="V767" s="276"/>
      <c r="W767" s="276"/>
      <c r="X767" s="276"/>
      <c r="Y767" s="276"/>
      <c r="Z767" s="276"/>
    </row>
    <row r="768" spans="1:26" ht="14.25" customHeight="1" x14ac:dyDescent="0.3">
      <c r="A768" s="307"/>
      <c r="B768" s="276"/>
      <c r="C768" s="276"/>
      <c r="D768" s="276"/>
      <c r="E768" s="276"/>
      <c r="F768" s="276"/>
      <c r="G768" s="276"/>
      <c r="H768" s="276"/>
      <c r="I768" s="276"/>
      <c r="J768" s="276"/>
      <c r="K768" s="276"/>
      <c r="L768" s="276"/>
      <c r="M768" s="276"/>
      <c r="N768" s="276"/>
      <c r="O768" s="276"/>
      <c r="P768" s="276"/>
      <c r="Q768" s="276"/>
      <c r="R768" s="276"/>
      <c r="S768" s="276"/>
      <c r="T768" s="276"/>
      <c r="U768" s="276"/>
      <c r="V768" s="276"/>
      <c r="W768" s="276"/>
      <c r="X768" s="276"/>
      <c r="Y768" s="276"/>
      <c r="Z768" s="276"/>
    </row>
    <row r="769" spans="1:26" ht="14.25" customHeight="1" x14ac:dyDescent="0.3">
      <c r="A769" s="307"/>
      <c r="B769" s="276"/>
      <c r="C769" s="276"/>
      <c r="D769" s="276"/>
      <c r="E769" s="276"/>
      <c r="F769" s="276"/>
      <c r="G769" s="276"/>
      <c r="H769" s="276"/>
      <c r="I769" s="276"/>
      <c r="J769" s="276"/>
      <c r="K769" s="276"/>
      <c r="L769" s="276"/>
      <c r="M769" s="276"/>
      <c r="N769" s="276"/>
      <c r="O769" s="276"/>
      <c r="P769" s="276"/>
      <c r="Q769" s="276"/>
      <c r="R769" s="276"/>
      <c r="S769" s="276"/>
      <c r="T769" s="276"/>
      <c r="U769" s="276"/>
      <c r="V769" s="276"/>
      <c r="W769" s="276"/>
      <c r="X769" s="276"/>
      <c r="Y769" s="276"/>
      <c r="Z769" s="276"/>
    </row>
    <row r="770" spans="1:26" ht="14.25" customHeight="1" x14ac:dyDescent="0.3">
      <c r="A770" s="307"/>
      <c r="B770" s="276"/>
      <c r="C770" s="276"/>
      <c r="D770" s="276"/>
      <c r="E770" s="276"/>
      <c r="F770" s="276"/>
      <c r="G770" s="276"/>
      <c r="H770" s="276"/>
      <c r="I770" s="276"/>
      <c r="J770" s="276"/>
      <c r="K770" s="276"/>
      <c r="L770" s="276"/>
      <c r="M770" s="276"/>
      <c r="N770" s="276"/>
      <c r="O770" s="276"/>
      <c r="P770" s="276"/>
      <c r="Q770" s="276"/>
      <c r="R770" s="276"/>
      <c r="S770" s="276"/>
      <c r="T770" s="276"/>
      <c r="U770" s="276"/>
      <c r="V770" s="276"/>
      <c r="W770" s="276"/>
      <c r="X770" s="276"/>
      <c r="Y770" s="276"/>
      <c r="Z770" s="276"/>
    </row>
    <row r="771" spans="1:26" ht="14.25" customHeight="1" x14ac:dyDescent="0.3">
      <c r="A771" s="307"/>
      <c r="B771" s="276"/>
      <c r="C771" s="276"/>
      <c r="D771" s="276"/>
      <c r="E771" s="276"/>
      <c r="F771" s="276"/>
      <c r="G771" s="276"/>
      <c r="H771" s="276"/>
      <c r="I771" s="276"/>
      <c r="J771" s="276"/>
      <c r="K771" s="276"/>
      <c r="L771" s="276"/>
      <c r="M771" s="276"/>
      <c r="N771" s="276"/>
      <c r="O771" s="276"/>
      <c r="P771" s="276"/>
      <c r="Q771" s="276"/>
      <c r="R771" s="276"/>
      <c r="S771" s="276"/>
      <c r="T771" s="276"/>
      <c r="U771" s="276"/>
      <c r="V771" s="276"/>
      <c r="W771" s="276"/>
      <c r="X771" s="276"/>
      <c r="Y771" s="276"/>
      <c r="Z771" s="276"/>
    </row>
    <row r="772" spans="1:26" ht="14.25" customHeight="1" x14ac:dyDescent="0.3">
      <c r="A772" s="307"/>
      <c r="B772" s="276"/>
      <c r="C772" s="276"/>
      <c r="D772" s="276"/>
      <c r="E772" s="276"/>
      <c r="F772" s="276"/>
      <c r="G772" s="276"/>
      <c r="H772" s="276"/>
      <c r="I772" s="276"/>
      <c r="J772" s="276"/>
      <c r="K772" s="276"/>
      <c r="L772" s="276"/>
      <c r="M772" s="276"/>
      <c r="N772" s="276"/>
      <c r="O772" s="276"/>
      <c r="P772" s="276"/>
      <c r="Q772" s="276"/>
      <c r="R772" s="276"/>
      <c r="S772" s="276"/>
      <c r="T772" s="276"/>
      <c r="U772" s="276"/>
      <c r="V772" s="276"/>
      <c r="W772" s="276"/>
      <c r="X772" s="276"/>
      <c r="Y772" s="276"/>
      <c r="Z772" s="276"/>
    </row>
    <row r="773" spans="1:26" ht="14.25" customHeight="1" x14ac:dyDescent="0.3">
      <c r="A773" s="307"/>
      <c r="B773" s="276"/>
      <c r="C773" s="276"/>
      <c r="D773" s="276"/>
      <c r="E773" s="276"/>
      <c r="F773" s="276"/>
      <c r="G773" s="276"/>
      <c r="H773" s="276"/>
      <c r="I773" s="276"/>
      <c r="J773" s="276"/>
      <c r="K773" s="276"/>
      <c r="L773" s="276"/>
      <c r="M773" s="276"/>
      <c r="N773" s="276"/>
      <c r="O773" s="276"/>
      <c r="P773" s="276"/>
      <c r="Q773" s="276"/>
      <c r="R773" s="276"/>
      <c r="S773" s="276"/>
      <c r="T773" s="276"/>
      <c r="U773" s="276"/>
      <c r="V773" s="276"/>
      <c r="W773" s="276"/>
      <c r="X773" s="276"/>
      <c r="Y773" s="276"/>
      <c r="Z773" s="276"/>
    </row>
    <row r="774" spans="1:26" ht="14.25" customHeight="1" x14ac:dyDescent="0.3">
      <c r="A774" s="307"/>
      <c r="B774" s="276"/>
      <c r="C774" s="276"/>
      <c r="D774" s="276"/>
      <c r="E774" s="276"/>
      <c r="F774" s="276"/>
      <c r="G774" s="276"/>
      <c r="H774" s="276"/>
      <c r="I774" s="276"/>
      <c r="J774" s="276"/>
      <c r="K774" s="276"/>
      <c r="L774" s="276"/>
      <c r="M774" s="276"/>
      <c r="N774" s="276"/>
      <c r="O774" s="276"/>
      <c r="P774" s="276"/>
      <c r="Q774" s="276"/>
      <c r="R774" s="276"/>
      <c r="S774" s="276"/>
      <c r="T774" s="276"/>
      <c r="U774" s="276"/>
      <c r="V774" s="276"/>
      <c r="W774" s="276"/>
      <c r="X774" s="276"/>
      <c r="Y774" s="276"/>
      <c r="Z774" s="276"/>
    </row>
    <row r="775" spans="1:26" ht="14.25" customHeight="1" x14ac:dyDescent="0.3">
      <c r="A775" s="307"/>
      <c r="B775" s="276"/>
      <c r="C775" s="276"/>
      <c r="D775" s="276"/>
      <c r="E775" s="276"/>
      <c r="F775" s="276"/>
      <c r="G775" s="276"/>
      <c r="H775" s="276"/>
      <c r="I775" s="276"/>
      <c r="J775" s="276"/>
      <c r="K775" s="276"/>
      <c r="L775" s="276"/>
      <c r="M775" s="276"/>
      <c r="N775" s="276"/>
      <c r="O775" s="276"/>
      <c r="P775" s="276"/>
      <c r="Q775" s="276"/>
      <c r="R775" s="276"/>
      <c r="S775" s="276"/>
      <c r="T775" s="276"/>
      <c r="U775" s="276"/>
      <c r="V775" s="276"/>
      <c r="W775" s="276"/>
      <c r="X775" s="276"/>
      <c r="Y775" s="276"/>
      <c r="Z775" s="276"/>
    </row>
    <row r="776" spans="1:26" ht="14.25" customHeight="1" x14ac:dyDescent="0.3">
      <c r="A776" s="307"/>
      <c r="B776" s="276"/>
      <c r="C776" s="276"/>
      <c r="D776" s="276"/>
      <c r="E776" s="276"/>
      <c r="F776" s="276"/>
      <c r="G776" s="276"/>
      <c r="H776" s="276"/>
      <c r="I776" s="276"/>
      <c r="J776" s="276"/>
      <c r="K776" s="276"/>
      <c r="L776" s="276"/>
      <c r="M776" s="276"/>
      <c r="N776" s="276"/>
      <c r="O776" s="276"/>
      <c r="P776" s="276"/>
      <c r="Q776" s="276"/>
      <c r="R776" s="276"/>
      <c r="S776" s="276"/>
      <c r="T776" s="276"/>
      <c r="U776" s="276"/>
      <c r="V776" s="276"/>
      <c r="W776" s="276"/>
      <c r="X776" s="276"/>
      <c r="Y776" s="276"/>
      <c r="Z776" s="276"/>
    </row>
    <row r="777" spans="1:26" ht="14.25" customHeight="1" x14ac:dyDescent="0.3">
      <c r="A777" s="307"/>
      <c r="B777" s="276"/>
      <c r="C777" s="276"/>
      <c r="D777" s="276"/>
      <c r="E777" s="276"/>
      <c r="F777" s="276"/>
      <c r="G777" s="276"/>
      <c r="H777" s="276"/>
      <c r="I777" s="276"/>
      <c r="J777" s="276"/>
      <c r="K777" s="276"/>
      <c r="L777" s="276"/>
      <c r="M777" s="276"/>
      <c r="N777" s="276"/>
      <c r="O777" s="276"/>
      <c r="P777" s="276"/>
      <c r="Q777" s="276"/>
      <c r="R777" s="276"/>
      <c r="S777" s="276"/>
      <c r="T777" s="276"/>
      <c r="U777" s="276"/>
      <c r="V777" s="276"/>
      <c r="W777" s="276"/>
      <c r="X777" s="276"/>
      <c r="Y777" s="276"/>
      <c r="Z777" s="276"/>
    </row>
    <row r="778" spans="1:26" ht="14.25" customHeight="1" x14ac:dyDescent="0.3">
      <c r="A778" s="307"/>
      <c r="B778" s="276"/>
      <c r="C778" s="276"/>
      <c r="D778" s="276"/>
      <c r="E778" s="276"/>
      <c r="F778" s="276"/>
      <c r="G778" s="276"/>
      <c r="H778" s="276"/>
      <c r="I778" s="276"/>
      <c r="J778" s="276"/>
      <c r="K778" s="276"/>
      <c r="L778" s="276"/>
      <c r="M778" s="276"/>
      <c r="N778" s="276"/>
      <c r="O778" s="276"/>
      <c r="P778" s="276"/>
      <c r="Q778" s="276"/>
      <c r="R778" s="276"/>
      <c r="S778" s="276"/>
      <c r="T778" s="276"/>
      <c r="U778" s="276"/>
      <c r="V778" s="276"/>
      <c r="W778" s="276"/>
      <c r="X778" s="276"/>
      <c r="Y778" s="276"/>
      <c r="Z778" s="276"/>
    </row>
    <row r="779" spans="1:26" ht="14.25" customHeight="1" x14ac:dyDescent="0.3">
      <c r="A779" s="307"/>
      <c r="B779" s="276"/>
      <c r="C779" s="276"/>
      <c r="D779" s="276"/>
      <c r="E779" s="276"/>
      <c r="F779" s="276"/>
      <c r="G779" s="276"/>
      <c r="H779" s="276"/>
      <c r="I779" s="276"/>
      <c r="J779" s="276"/>
      <c r="K779" s="276"/>
      <c r="L779" s="276"/>
      <c r="M779" s="276"/>
      <c r="N779" s="276"/>
      <c r="O779" s="276"/>
      <c r="P779" s="276"/>
      <c r="Q779" s="276"/>
      <c r="R779" s="276"/>
      <c r="S779" s="276"/>
      <c r="T779" s="276"/>
      <c r="U779" s="276"/>
      <c r="V779" s="276"/>
      <c r="W779" s="276"/>
      <c r="X779" s="276"/>
      <c r="Y779" s="276"/>
      <c r="Z779" s="276"/>
    </row>
    <row r="780" spans="1:26" ht="14.25" customHeight="1" x14ac:dyDescent="0.3">
      <c r="A780" s="307"/>
      <c r="B780" s="276"/>
      <c r="C780" s="276"/>
      <c r="D780" s="276"/>
      <c r="E780" s="276"/>
      <c r="F780" s="276"/>
      <c r="G780" s="276"/>
      <c r="H780" s="276"/>
      <c r="I780" s="276"/>
      <c r="J780" s="276"/>
      <c r="K780" s="276"/>
      <c r="L780" s="276"/>
      <c r="M780" s="276"/>
      <c r="N780" s="276"/>
      <c r="O780" s="276"/>
      <c r="P780" s="276"/>
      <c r="Q780" s="276"/>
      <c r="R780" s="276"/>
      <c r="S780" s="276"/>
      <c r="T780" s="276"/>
      <c r="U780" s="276"/>
      <c r="V780" s="276"/>
      <c r="W780" s="276"/>
      <c r="X780" s="276"/>
      <c r="Y780" s="276"/>
      <c r="Z780" s="276"/>
    </row>
    <row r="781" spans="1:26" ht="14.25" customHeight="1" x14ac:dyDescent="0.3">
      <c r="A781" s="307"/>
      <c r="B781" s="276"/>
      <c r="C781" s="276"/>
      <c r="D781" s="276"/>
      <c r="E781" s="276"/>
      <c r="F781" s="276"/>
      <c r="G781" s="276"/>
      <c r="H781" s="276"/>
      <c r="I781" s="276"/>
      <c r="J781" s="276"/>
      <c r="K781" s="276"/>
      <c r="L781" s="276"/>
      <c r="M781" s="276"/>
      <c r="N781" s="276"/>
      <c r="O781" s="276"/>
      <c r="P781" s="276"/>
      <c r="Q781" s="276"/>
      <c r="R781" s="276"/>
      <c r="S781" s="276"/>
      <c r="T781" s="276"/>
      <c r="U781" s="276"/>
      <c r="V781" s="276"/>
      <c r="W781" s="276"/>
      <c r="X781" s="276"/>
      <c r="Y781" s="276"/>
      <c r="Z781" s="276"/>
    </row>
    <row r="782" spans="1:26" ht="14.25" customHeight="1" x14ac:dyDescent="0.3">
      <c r="A782" s="307"/>
      <c r="B782" s="276"/>
      <c r="C782" s="276"/>
      <c r="D782" s="276"/>
      <c r="E782" s="276"/>
      <c r="F782" s="276"/>
      <c r="G782" s="276"/>
      <c r="H782" s="276"/>
      <c r="I782" s="276"/>
      <c r="J782" s="276"/>
      <c r="K782" s="276"/>
      <c r="L782" s="276"/>
      <c r="M782" s="276"/>
      <c r="N782" s="276"/>
      <c r="O782" s="276"/>
      <c r="P782" s="276"/>
      <c r="Q782" s="276"/>
      <c r="R782" s="276"/>
      <c r="S782" s="276"/>
      <c r="T782" s="276"/>
      <c r="U782" s="276"/>
      <c r="V782" s="276"/>
      <c r="W782" s="276"/>
      <c r="X782" s="276"/>
      <c r="Y782" s="276"/>
      <c r="Z782" s="276"/>
    </row>
    <row r="783" spans="1:26" ht="14.25" customHeight="1" x14ac:dyDescent="0.3">
      <c r="A783" s="307"/>
      <c r="B783" s="276"/>
      <c r="C783" s="276"/>
      <c r="D783" s="276"/>
      <c r="E783" s="276"/>
      <c r="F783" s="276"/>
      <c r="G783" s="276"/>
      <c r="H783" s="276"/>
      <c r="I783" s="276"/>
      <c r="J783" s="276"/>
      <c r="K783" s="276"/>
      <c r="L783" s="276"/>
      <c r="M783" s="276"/>
      <c r="N783" s="276"/>
      <c r="O783" s="276"/>
      <c r="P783" s="276"/>
      <c r="Q783" s="276"/>
      <c r="R783" s="276"/>
      <c r="S783" s="276"/>
      <c r="T783" s="276"/>
      <c r="U783" s="276"/>
      <c r="V783" s="276"/>
      <c r="W783" s="276"/>
      <c r="X783" s="276"/>
      <c r="Y783" s="276"/>
      <c r="Z783" s="276"/>
    </row>
    <row r="784" spans="1:26" ht="14.25" customHeight="1" x14ac:dyDescent="0.3">
      <c r="A784" s="307"/>
      <c r="B784" s="276"/>
      <c r="C784" s="276"/>
      <c r="D784" s="276"/>
      <c r="E784" s="276"/>
      <c r="F784" s="276"/>
      <c r="G784" s="276"/>
      <c r="H784" s="276"/>
      <c r="I784" s="276"/>
      <c r="J784" s="276"/>
      <c r="K784" s="276"/>
      <c r="L784" s="276"/>
      <c r="M784" s="276"/>
      <c r="N784" s="276"/>
      <c r="O784" s="276"/>
      <c r="P784" s="276"/>
      <c r="Q784" s="276"/>
      <c r="R784" s="276"/>
      <c r="S784" s="276"/>
      <c r="T784" s="276"/>
      <c r="U784" s="276"/>
      <c r="V784" s="276"/>
      <c r="W784" s="276"/>
      <c r="X784" s="276"/>
      <c r="Y784" s="276"/>
      <c r="Z784" s="276"/>
    </row>
    <row r="785" spans="1:26" ht="14.25" customHeight="1" x14ac:dyDescent="0.3">
      <c r="A785" s="307"/>
      <c r="B785" s="276"/>
      <c r="C785" s="276"/>
      <c r="D785" s="276"/>
      <c r="E785" s="276"/>
      <c r="F785" s="276"/>
      <c r="G785" s="276"/>
      <c r="H785" s="276"/>
      <c r="I785" s="276"/>
      <c r="J785" s="276"/>
      <c r="K785" s="276"/>
      <c r="L785" s="276"/>
      <c r="M785" s="276"/>
      <c r="N785" s="276"/>
      <c r="O785" s="276"/>
      <c r="P785" s="276"/>
      <c r="Q785" s="276"/>
      <c r="R785" s="276"/>
      <c r="S785" s="276"/>
      <c r="T785" s="276"/>
      <c r="U785" s="276"/>
      <c r="V785" s="276"/>
      <c r="W785" s="276"/>
      <c r="X785" s="276"/>
      <c r="Y785" s="276"/>
      <c r="Z785" s="276"/>
    </row>
    <row r="786" spans="1:26" ht="14.25" customHeight="1" x14ac:dyDescent="0.3">
      <c r="A786" s="307"/>
      <c r="B786" s="276"/>
      <c r="C786" s="276"/>
      <c r="D786" s="276"/>
      <c r="E786" s="276"/>
      <c r="F786" s="276"/>
      <c r="G786" s="276"/>
      <c r="H786" s="276"/>
      <c r="I786" s="276"/>
      <c r="J786" s="276"/>
      <c r="K786" s="276"/>
      <c r="L786" s="276"/>
      <c r="M786" s="276"/>
      <c r="N786" s="276"/>
      <c r="O786" s="276"/>
      <c r="P786" s="276"/>
      <c r="Q786" s="276"/>
      <c r="R786" s="276"/>
      <c r="S786" s="276"/>
      <c r="T786" s="276"/>
      <c r="U786" s="276"/>
      <c r="V786" s="276"/>
      <c r="W786" s="276"/>
      <c r="X786" s="276"/>
      <c r="Y786" s="276"/>
      <c r="Z786" s="276"/>
    </row>
    <row r="787" spans="1:26" ht="14.25" customHeight="1" x14ac:dyDescent="0.3">
      <c r="A787" s="307"/>
      <c r="B787" s="276"/>
      <c r="C787" s="276"/>
      <c r="D787" s="276"/>
      <c r="E787" s="276"/>
      <c r="F787" s="276"/>
      <c r="G787" s="276"/>
      <c r="H787" s="276"/>
      <c r="I787" s="276"/>
      <c r="J787" s="276"/>
      <c r="K787" s="276"/>
      <c r="L787" s="276"/>
      <c r="M787" s="276"/>
      <c r="N787" s="276"/>
      <c r="O787" s="276"/>
      <c r="P787" s="276"/>
      <c r="Q787" s="276"/>
      <c r="R787" s="276"/>
      <c r="S787" s="276"/>
      <c r="T787" s="276"/>
      <c r="U787" s="276"/>
      <c r="V787" s="276"/>
      <c r="W787" s="276"/>
      <c r="X787" s="276"/>
      <c r="Y787" s="276"/>
      <c r="Z787" s="276"/>
    </row>
    <row r="788" spans="1:26" ht="14.25" customHeight="1" x14ac:dyDescent="0.3">
      <c r="A788" s="307"/>
      <c r="B788" s="276"/>
      <c r="C788" s="276"/>
      <c r="D788" s="276"/>
      <c r="E788" s="276"/>
      <c r="F788" s="276"/>
      <c r="G788" s="276"/>
      <c r="H788" s="276"/>
      <c r="I788" s="276"/>
      <c r="J788" s="276"/>
      <c r="K788" s="276"/>
      <c r="L788" s="276"/>
      <c r="M788" s="276"/>
      <c r="N788" s="276"/>
      <c r="O788" s="276"/>
      <c r="P788" s="276"/>
      <c r="Q788" s="276"/>
      <c r="R788" s="276"/>
      <c r="S788" s="276"/>
      <c r="T788" s="276"/>
      <c r="U788" s="276"/>
      <c r="V788" s="276"/>
      <c r="W788" s="276"/>
      <c r="X788" s="276"/>
      <c r="Y788" s="276"/>
      <c r="Z788" s="276"/>
    </row>
    <row r="789" spans="1:26" ht="14.25" customHeight="1" x14ac:dyDescent="0.3">
      <c r="A789" s="307"/>
      <c r="B789" s="276"/>
      <c r="C789" s="276"/>
      <c r="D789" s="276"/>
      <c r="E789" s="276"/>
      <c r="F789" s="276"/>
      <c r="G789" s="276"/>
      <c r="H789" s="276"/>
      <c r="I789" s="276"/>
      <c r="J789" s="276"/>
      <c r="K789" s="276"/>
      <c r="L789" s="276"/>
      <c r="M789" s="276"/>
      <c r="N789" s="276"/>
      <c r="O789" s="276"/>
      <c r="P789" s="276"/>
      <c r="Q789" s="276"/>
      <c r="R789" s="276"/>
      <c r="S789" s="276"/>
      <c r="T789" s="276"/>
      <c r="U789" s="276"/>
      <c r="V789" s="276"/>
      <c r="W789" s="276"/>
      <c r="X789" s="276"/>
      <c r="Y789" s="276"/>
      <c r="Z789" s="276"/>
    </row>
    <row r="790" spans="1:26" ht="14.25" customHeight="1" x14ac:dyDescent="0.3">
      <c r="A790" s="307"/>
      <c r="B790" s="276"/>
      <c r="C790" s="276"/>
      <c r="D790" s="276"/>
      <c r="E790" s="276"/>
      <c r="F790" s="276"/>
      <c r="G790" s="276"/>
      <c r="H790" s="276"/>
      <c r="I790" s="276"/>
      <c r="J790" s="276"/>
      <c r="K790" s="276"/>
      <c r="L790" s="276"/>
      <c r="M790" s="276"/>
      <c r="N790" s="276"/>
      <c r="O790" s="276"/>
      <c r="P790" s="276"/>
      <c r="Q790" s="276"/>
      <c r="R790" s="276"/>
      <c r="S790" s="276"/>
      <c r="T790" s="276"/>
      <c r="U790" s="276"/>
      <c r="V790" s="276"/>
      <c r="W790" s="276"/>
      <c r="X790" s="276"/>
      <c r="Y790" s="276"/>
      <c r="Z790" s="276"/>
    </row>
    <row r="791" spans="1:26" ht="14.25" customHeight="1" x14ac:dyDescent="0.3">
      <c r="A791" s="307"/>
      <c r="B791" s="276"/>
      <c r="C791" s="276"/>
      <c r="D791" s="276"/>
      <c r="E791" s="276"/>
      <c r="F791" s="276"/>
      <c r="G791" s="276"/>
      <c r="H791" s="276"/>
      <c r="I791" s="276"/>
      <c r="J791" s="276"/>
      <c r="K791" s="276"/>
      <c r="L791" s="276"/>
      <c r="M791" s="276"/>
      <c r="N791" s="276"/>
      <c r="O791" s="276"/>
      <c r="P791" s="276"/>
      <c r="Q791" s="276"/>
      <c r="R791" s="276"/>
      <c r="S791" s="276"/>
      <c r="T791" s="276"/>
      <c r="U791" s="276"/>
      <c r="V791" s="276"/>
      <c r="W791" s="276"/>
      <c r="X791" s="276"/>
      <c r="Y791" s="276"/>
      <c r="Z791" s="276"/>
    </row>
    <row r="792" spans="1:26" ht="14.25" customHeight="1" x14ac:dyDescent="0.3">
      <c r="A792" s="307"/>
      <c r="B792" s="276"/>
      <c r="C792" s="276"/>
      <c r="D792" s="276"/>
      <c r="E792" s="276"/>
      <c r="F792" s="276"/>
      <c r="G792" s="276"/>
      <c r="H792" s="276"/>
      <c r="I792" s="276"/>
      <c r="J792" s="276"/>
      <c r="K792" s="276"/>
      <c r="L792" s="276"/>
      <c r="M792" s="276"/>
      <c r="N792" s="276"/>
      <c r="O792" s="276"/>
      <c r="P792" s="276"/>
      <c r="Q792" s="276"/>
      <c r="R792" s="276"/>
      <c r="S792" s="276"/>
      <c r="T792" s="276"/>
      <c r="U792" s="276"/>
      <c r="V792" s="276"/>
      <c r="W792" s="276"/>
      <c r="X792" s="276"/>
      <c r="Y792" s="276"/>
      <c r="Z792" s="276"/>
    </row>
    <row r="793" spans="1:26" ht="14.25" customHeight="1" x14ac:dyDescent="0.3">
      <c r="A793" s="307"/>
      <c r="B793" s="276"/>
      <c r="C793" s="276"/>
      <c r="D793" s="276"/>
      <c r="E793" s="276"/>
      <c r="F793" s="276"/>
      <c r="G793" s="276"/>
      <c r="H793" s="276"/>
      <c r="I793" s="276"/>
      <c r="J793" s="276"/>
      <c r="K793" s="276"/>
      <c r="L793" s="276"/>
      <c r="M793" s="276"/>
      <c r="N793" s="276"/>
      <c r="O793" s="276"/>
      <c r="P793" s="276"/>
      <c r="Q793" s="276"/>
      <c r="R793" s="276"/>
      <c r="S793" s="276"/>
      <c r="T793" s="276"/>
      <c r="U793" s="276"/>
      <c r="V793" s="276"/>
      <c r="W793" s="276"/>
      <c r="X793" s="276"/>
      <c r="Y793" s="276"/>
      <c r="Z793" s="276"/>
    </row>
    <row r="794" spans="1:26" ht="14.25" customHeight="1" x14ac:dyDescent="0.3">
      <c r="A794" s="307"/>
      <c r="B794" s="276"/>
      <c r="C794" s="276"/>
      <c r="D794" s="276"/>
      <c r="E794" s="276"/>
      <c r="F794" s="276"/>
      <c r="G794" s="276"/>
      <c r="H794" s="276"/>
      <c r="I794" s="276"/>
      <c r="J794" s="276"/>
      <c r="K794" s="276"/>
      <c r="L794" s="276"/>
      <c r="M794" s="276"/>
      <c r="N794" s="276"/>
      <c r="O794" s="276"/>
      <c r="P794" s="276"/>
      <c r="Q794" s="276"/>
      <c r="R794" s="276"/>
      <c r="S794" s="276"/>
      <c r="T794" s="276"/>
      <c r="U794" s="276"/>
      <c r="V794" s="276"/>
      <c r="W794" s="276"/>
      <c r="X794" s="276"/>
      <c r="Y794" s="276"/>
      <c r="Z794" s="276"/>
    </row>
    <row r="795" spans="1:26" ht="14.25" customHeight="1" x14ac:dyDescent="0.3">
      <c r="A795" s="307"/>
      <c r="B795" s="276"/>
      <c r="C795" s="276"/>
      <c r="D795" s="276"/>
      <c r="E795" s="276"/>
      <c r="F795" s="276"/>
      <c r="G795" s="276"/>
      <c r="H795" s="276"/>
      <c r="I795" s="276"/>
      <c r="J795" s="276"/>
      <c r="K795" s="276"/>
      <c r="L795" s="276"/>
      <c r="M795" s="276"/>
      <c r="N795" s="276"/>
      <c r="O795" s="276"/>
      <c r="P795" s="276"/>
      <c r="Q795" s="276"/>
      <c r="R795" s="276"/>
      <c r="S795" s="276"/>
      <c r="T795" s="276"/>
      <c r="U795" s="276"/>
      <c r="V795" s="276"/>
      <c r="W795" s="276"/>
      <c r="X795" s="276"/>
      <c r="Y795" s="276"/>
      <c r="Z795" s="276"/>
    </row>
    <row r="796" spans="1:26" ht="14.25" customHeight="1" x14ac:dyDescent="0.3">
      <c r="A796" s="307"/>
      <c r="B796" s="276"/>
      <c r="C796" s="276"/>
      <c r="D796" s="276"/>
      <c r="E796" s="276"/>
      <c r="F796" s="276"/>
      <c r="G796" s="276"/>
      <c r="H796" s="276"/>
      <c r="I796" s="276"/>
      <c r="J796" s="276"/>
      <c r="K796" s="276"/>
      <c r="L796" s="276"/>
      <c r="M796" s="276"/>
      <c r="N796" s="276"/>
      <c r="O796" s="276"/>
      <c r="P796" s="276"/>
      <c r="Q796" s="276"/>
      <c r="R796" s="276"/>
      <c r="S796" s="276"/>
      <c r="T796" s="276"/>
      <c r="U796" s="276"/>
      <c r="V796" s="276"/>
      <c r="W796" s="276"/>
      <c r="X796" s="276"/>
      <c r="Y796" s="276"/>
      <c r="Z796" s="276"/>
    </row>
    <row r="797" spans="1:26" ht="14.25" customHeight="1" x14ac:dyDescent="0.3">
      <c r="A797" s="307"/>
      <c r="B797" s="276"/>
      <c r="C797" s="276"/>
      <c r="D797" s="276"/>
      <c r="E797" s="276"/>
      <c r="F797" s="276"/>
      <c r="G797" s="276"/>
      <c r="H797" s="276"/>
      <c r="I797" s="276"/>
      <c r="J797" s="276"/>
      <c r="K797" s="276"/>
      <c r="L797" s="276"/>
      <c r="M797" s="276"/>
      <c r="N797" s="276"/>
      <c r="O797" s="276"/>
      <c r="P797" s="276"/>
      <c r="Q797" s="276"/>
      <c r="R797" s="276"/>
      <c r="S797" s="276"/>
      <c r="T797" s="276"/>
      <c r="U797" s="276"/>
      <c r="V797" s="276"/>
      <c r="W797" s="276"/>
      <c r="X797" s="276"/>
      <c r="Y797" s="276"/>
      <c r="Z797" s="276"/>
    </row>
    <row r="798" spans="1:26" ht="14.25" customHeight="1" x14ac:dyDescent="0.3">
      <c r="A798" s="307"/>
      <c r="B798" s="276"/>
      <c r="C798" s="276"/>
      <c r="D798" s="276"/>
      <c r="E798" s="276"/>
      <c r="F798" s="276"/>
      <c r="G798" s="276"/>
      <c r="H798" s="276"/>
      <c r="I798" s="276"/>
      <c r="J798" s="276"/>
      <c r="K798" s="276"/>
      <c r="L798" s="276"/>
      <c r="M798" s="276"/>
      <c r="N798" s="276"/>
      <c r="O798" s="276"/>
      <c r="P798" s="276"/>
      <c r="Q798" s="276"/>
      <c r="R798" s="276"/>
      <c r="S798" s="276"/>
      <c r="T798" s="276"/>
      <c r="U798" s="276"/>
      <c r="V798" s="276"/>
      <c r="W798" s="276"/>
      <c r="X798" s="276"/>
      <c r="Y798" s="276"/>
      <c r="Z798" s="276"/>
    </row>
    <row r="799" spans="1:26" ht="14.25" customHeight="1" x14ac:dyDescent="0.3">
      <c r="A799" s="307"/>
      <c r="B799" s="276"/>
      <c r="C799" s="276"/>
      <c r="D799" s="276"/>
      <c r="E799" s="276"/>
      <c r="F799" s="276"/>
      <c r="G799" s="276"/>
      <c r="H799" s="276"/>
      <c r="I799" s="276"/>
      <c r="J799" s="276"/>
      <c r="K799" s="276"/>
      <c r="L799" s="276"/>
      <c r="M799" s="276"/>
      <c r="N799" s="276"/>
      <c r="O799" s="276"/>
      <c r="P799" s="276"/>
      <c r="Q799" s="276"/>
      <c r="R799" s="276"/>
      <c r="S799" s="276"/>
      <c r="T799" s="276"/>
      <c r="U799" s="276"/>
      <c r="V799" s="276"/>
      <c r="W799" s="276"/>
      <c r="X799" s="276"/>
      <c r="Y799" s="276"/>
      <c r="Z799" s="276"/>
    </row>
    <row r="800" spans="1:26" ht="14.25" customHeight="1" x14ac:dyDescent="0.3">
      <c r="A800" s="307"/>
      <c r="B800" s="276"/>
      <c r="C800" s="276"/>
      <c r="D800" s="276"/>
      <c r="E800" s="276"/>
      <c r="F800" s="276"/>
      <c r="G800" s="276"/>
      <c r="H800" s="276"/>
      <c r="I800" s="276"/>
      <c r="J800" s="276"/>
      <c r="K800" s="276"/>
      <c r="L800" s="276"/>
      <c r="M800" s="276"/>
      <c r="N800" s="276"/>
      <c r="O800" s="276"/>
      <c r="P800" s="276"/>
      <c r="Q800" s="276"/>
      <c r="R800" s="276"/>
      <c r="S800" s="276"/>
      <c r="T800" s="276"/>
      <c r="U800" s="276"/>
      <c r="V800" s="276"/>
      <c r="W800" s="276"/>
      <c r="X800" s="276"/>
      <c r="Y800" s="276"/>
      <c r="Z800" s="276"/>
    </row>
    <row r="801" spans="1:26" ht="14.25" customHeight="1" x14ac:dyDescent="0.3">
      <c r="A801" s="307"/>
      <c r="B801" s="276"/>
      <c r="C801" s="276"/>
      <c r="D801" s="276"/>
      <c r="E801" s="276"/>
      <c r="F801" s="276"/>
      <c r="G801" s="276"/>
      <c r="H801" s="276"/>
      <c r="I801" s="276"/>
      <c r="J801" s="276"/>
      <c r="K801" s="276"/>
      <c r="L801" s="276"/>
      <c r="M801" s="276"/>
      <c r="N801" s="276"/>
      <c r="O801" s="276"/>
      <c r="P801" s="276"/>
      <c r="Q801" s="276"/>
      <c r="R801" s="276"/>
      <c r="S801" s="276"/>
      <c r="T801" s="276"/>
      <c r="U801" s="276"/>
      <c r="V801" s="276"/>
      <c r="W801" s="276"/>
      <c r="X801" s="276"/>
      <c r="Y801" s="276"/>
      <c r="Z801" s="276"/>
    </row>
    <row r="802" spans="1:26" ht="14.25" customHeight="1" x14ac:dyDescent="0.3">
      <c r="A802" s="307"/>
      <c r="B802" s="276"/>
      <c r="C802" s="276"/>
      <c r="D802" s="276"/>
      <c r="E802" s="276"/>
      <c r="F802" s="276"/>
      <c r="G802" s="276"/>
      <c r="H802" s="276"/>
      <c r="I802" s="276"/>
      <c r="J802" s="276"/>
      <c r="K802" s="276"/>
      <c r="L802" s="276"/>
      <c r="M802" s="276"/>
      <c r="N802" s="276"/>
      <c r="O802" s="276"/>
      <c r="P802" s="276"/>
      <c r="Q802" s="276"/>
      <c r="R802" s="276"/>
      <c r="S802" s="276"/>
      <c r="T802" s="276"/>
      <c r="U802" s="276"/>
      <c r="V802" s="276"/>
      <c r="W802" s="276"/>
      <c r="X802" s="276"/>
      <c r="Y802" s="276"/>
      <c r="Z802" s="276"/>
    </row>
    <row r="803" spans="1:26" ht="14.25" customHeight="1" x14ac:dyDescent="0.3">
      <c r="A803" s="307"/>
      <c r="B803" s="276"/>
      <c r="C803" s="276"/>
      <c r="D803" s="276"/>
      <c r="E803" s="276"/>
      <c r="F803" s="276"/>
      <c r="G803" s="276"/>
      <c r="H803" s="276"/>
      <c r="I803" s="276"/>
      <c r="J803" s="276"/>
      <c r="K803" s="276"/>
      <c r="L803" s="276"/>
      <c r="M803" s="276"/>
      <c r="N803" s="276"/>
      <c r="O803" s="276"/>
      <c r="P803" s="276"/>
      <c r="Q803" s="276"/>
      <c r="R803" s="276"/>
      <c r="S803" s="276"/>
      <c r="T803" s="276"/>
      <c r="U803" s="276"/>
      <c r="V803" s="276"/>
      <c r="W803" s="276"/>
      <c r="X803" s="276"/>
      <c r="Y803" s="276"/>
      <c r="Z803" s="276"/>
    </row>
    <row r="804" spans="1:26" ht="14.25" customHeight="1" x14ac:dyDescent="0.3">
      <c r="A804" s="307"/>
      <c r="B804" s="276"/>
      <c r="C804" s="276"/>
      <c r="D804" s="276"/>
      <c r="E804" s="276"/>
      <c r="F804" s="276"/>
      <c r="G804" s="276"/>
      <c r="H804" s="276"/>
      <c r="I804" s="276"/>
      <c r="J804" s="276"/>
      <c r="K804" s="276"/>
      <c r="L804" s="276"/>
      <c r="M804" s="276"/>
      <c r="N804" s="276"/>
      <c r="O804" s="276"/>
      <c r="P804" s="276"/>
      <c r="Q804" s="276"/>
      <c r="R804" s="276"/>
      <c r="S804" s="276"/>
      <c r="T804" s="276"/>
      <c r="U804" s="276"/>
      <c r="V804" s="276"/>
      <c r="W804" s="276"/>
      <c r="X804" s="276"/>
      <c r="Y804" s="276"/>
      <c r="Z804" s="276"/>
    </row>
    <row r="805" spans="1:26" ht="14.25" customHeight="1" x14ac:dyDescent="0.3">
      <c r="A805" s="307"/>
      <c r="B805" s="276"/>
      <c r="C805" s="276"/>
      <c r="D805" s="276"/>
      <c r="E805" s="276"/>
      <c r="F805" s="276"/>
      <c r="G805" s="276"/>
      <c r="H805" s="276"/>
      <c r="I805" s="276"/>
      <c r="J805" s="276"/>
      <c r="K805" s="276"/>
      <c r="L805" s="276"/>
      <c r="M805" s="276"/>
      <c r="N805" s="276"/>
      <c r="O805" s="276"/>
      <c r="P805" s="276"/>
      <c r="Q805" s="276"/>
      <c r="R805" s="276"/>
      <c r="S805" s="276"/>
      <c r="T805" s="276"/>
      <c r="U805" s="276"/>
      <c r="V805" s="276"/>
      <c r="W805" s="276"/>
      <c r="X805" s="276"/>
      <c r="Y805" s="276"/>
      <c r="Z805" s="276"/>
    </row>
    <row r="806" spans="1:26" ht="14.25" customHeight="1" x14ac:dyDescent="0.3">
      <c r="A806" s="307"/>
      <c r="B806" s="276"/>
      <c r="C806" s="276"/>
      <c r="D806" s="276"/>
      <c r="E806" s="276"/>
      <c r="F806" s="276"/>
      <c r="G806" s="276"/>
      <c r="H806" s="276"/>
      <c r="I806" s="276"/>
      <c r="J806" s="276"/>
      <c r="K806" s="276"/>
      <c r="L806" s="276"/>
      <c r="M806" s="276"/>
      <c r="N806" s="276"/>
      <c r="O806" s="276"/>
      <c r="P806" s="276"/>
      <c r="Q806" s="276"/>
      <c r="R806" s="276"/>
      <c r="S806" s="276"/>
      <c r="T806" s="276"/>
      <c r="U806" s="276"/>
      <c r="V806" s="276"/>
      <c r="W806" s="276"/>
      <c r="X806" s="276"/>
      <c r="Y806" s="276"/>
      <c r="Z806" s="276"/>
    </row>
    <row r="807" spans="1:26" ht="14.25" customHeight="1" x14ac:dyDescent="0.3">
      <c r="A807" s="307"/>
      <c r="B807" s="276"/>
      <c r="C807" s="276"/>
      <c r="D807" s="276"/>
      <c r="E807" s="276"/>
      <c r="F807" s="276"/>
      <c r="G807" s="276"/>
      <c r="H807" s="276"/>
      <c r="I807" s="276"/>
      <c r="J807" s="276"/>
      <c r="K807" s="276"/>
      <c r="L807" s="276"/>
      <c r="M807" s="276"/>
      <c r="N807" s="276"/>
      <c r="O807" s="276"/>
      <c r="P807" s="276"/>
      <c r="Q807" s="276"/>
      <c r="R807" s="276"/>
      <c r="S807" s="276"/>
      <c r="T807" s="276"/>
      <c r="U807" s="276"/>
      <c r="V807" s="276"/>
      <c r="W807" s="276"/>
      <c r="X807" s="276"/>
      <c r="Y807" s="276"/>
      <c r="Z807" s="276"/>
    </row>
    <row r="808" spans="1:26" ht="14.25" customHeight="1" x14ac:dyDescent="0.3">
      <c r="A808" s="307"/>
      <c r="B808" s="276"/>
      <c r="C808" s="276"/>
      <c r="D808" s="276"/>
      <c r="E808" s="276"/>
      <c r="F808" s="276"/>
      <c r="G808" s="276"/>
      <c r="H808" s="276"/>
      <c r="I808" s="276"/>
      <c r="J808" s="276"/>
      <c r="K808" s="276"/>
      <c r="L808" s="276"/>
      <c r="M808" s="276"/>
      <c r="N808" s="276"/>
      <c r="O808" s="276"/>
      <c r="P808" s="276"/>
      <c r="Q808" s="276"/>
      <c r="R808" s="276"/>
      <c r="S808" s="276"/>
      <c r="T808" s="276"/>
      <c r="U808" s="276"/>
      <c r="V808" s="276"/>
      <c r="W808" s="276"/>
      <c r="X808" s="276"/>
      <c r="Y808" s="276"/>
      <c r="Z808" s="276"/>
    </row>
    <row r="809" spans="1:26" ht="14.25" customHeight="1" x14ac:dyDescent="0.3">
      <c r="A809" s="307"/>
      <c r="B809" s="276"/>
      <c r="C809" s="276"/>
      <c r="D809" s="276"/>
      <c r="E809" s="276"/>
      <c r="F809" s="276"/>
      <c r="G809" s="276"/>
      <c r="H809" s="276"/>
      <c r="I809" s="276"/>
      <c r="J809" s="276"/>
      <c r="K809" s="276"/>
      <c r="L809" s="276"/>
      <c r="M809" s="276"/>
      <c r="N809" s="276"/>
      <c r="O809" s="276"/>
      <c r="P809" s="276"/>
      <c r="Q809" s="276"/>
      <c r="R809" s="276"/>
      <c r="S809" s="276"/>
      <c r="T809" s="276"/>
      <c r="U809" s="276"/>
      <c r="V809" s="276"/>
      <c r="W809" s="276"/>
      <c r="X809" s="276"/>
      <c r="Y809" s="276"/>
      <c r="Z809" s="276"/>
    </row>
    <row r="810" spans="1:26" ht="14.25" customHeight="1" x14ac:dyDescent="0.3">
      <c r="A810" s="307"/>
      <c r="B810" s="276"/>
      <c r="C810" s="276"/>
      <c r="D810" s="276"/>
      <c r="E810" s="276"/>
      <c r="F810" s="276"/>
      <c r="G810" s="276"/>
      <c r="H810" s="276"/>
      <c r="I810" s="276"/>
      <c r="J810" s="276"/>
      <c r="K810" s="276"/>
      <c r="L810" s="276"/>
      <c r="M810" s="276"/>
      <c r="N810" s="276"/>
      <c r="O810" s="276"/>
      <c r="P810" s="276"/>
      <c r="Q810" s="276"/>
      <c r="R810" s="276"/>
      <c r="S810" s="276"/>
      <c r="T810" s="276"/>
      <c r="U810" s="276"/>
      <c r="V810" s="276"/>
      <c r="W810" s="276"/>
      <c r="X810" s="276"/>
      <c r="Y810" s="276"/>
      <c r="Z810" s="276"/>
    </row>
    <row r="811" spans="1:26" ht="14.25" customHeight="1" x14ac:dyDescent="0.3">
      <c r="A811" s="307"/>
      <c r="B811" s="276"/>
      <c r="C811" s="276"/>
      <c r="D811" s="276"/>
      <c r="E811" s="276"/>
      <c r="F811" s="276"/>
      <c r="G811" s="276"/>
      <c r="H811" s="276"/>
      <c r="I811" s="276"/>
      <c r="J811" s="276"/>
      <c r="K811" s="276"/>
      <c r="L811" s="276"/>
      <c r="M811" s="276"/>
      <c r="N811" s="276"/>
      <c r="O811" s="276"/>
      <c r="P811" s="276"/>
      <c r="Q811" s="276"/>
      <c r="R811" s="276"/>
      <c r="S811" s="276"/>
      <c r="T811" s="276"/>
      <c r="U811" s="276"/>
      <c r="V811" s="276"/>
      <c r="W811" s="276"/>
      <c r="X811" s="276"/>
      <c r="Y811" s="276"/>
      <c r="Z811" s="276"/>
    </row>
    <row r="812" spans="1:26" ht="14.25" customHeight="1" x14ac:dyDescent="0.3">
      <c r="A812" s="307"/>
      <c r="B812" s="276"/>
      <c r="C812" s="276"/>
      <c r="D812" s="276"/>
      <c r="E812" s="276"/>
      <c r="F812" s="276"/>
      <c r="G812" s="276"/>
      <c r="H812" s="276"/>
      <c r="I812" s="276"/>
      <c r="J812" s="276"/>
      <c r="K812" s="276"/>
      <c r="L812" s="276"/>
      <c r="M812" s="276"/>
      <c r="N812" s="276"/>
      <c r="O812" s="276"/>
      <c r="P812" s="276"/>
      <c r="Q812" s="276"/>
      <c r="R812" s="276"/>
      <c r="S812" s="276"/>
      <c r="T812" s="276"/>
      <c r="U812" s="276"/>
      <c r="V812" s="276"/>
      <c r="W812" s="276"/>
      <c r="X812" s="276"/>
      <c r="Y812" s="276"/>
      <c r="Z812" s="276"/>
    </row>
    <row r="813" spans="1:26" ht="14.25" customHeight="1" x14ac:dyDescent="0.3">
      <c r="A813" s="307"/>
      <c r="B813" s="276"/>
      <c r="C813" s="276"/>
      <c r="D813" s="276"/>
      <c r="E813" s="276"/>
      <c r="F813" s="276"/>
      <c r="G813" s="276"/>
      <c r="H813" s="276"/>
      <c r="I813" s="276"/>
      <c r="J813" s="276"/>
      <c r="K813" s="276"/>
      <c r="L813" s="276"/>
      <c r="M813" s="276"/>
      <c r="N813" s="276"/>
      <c r="O813" s="276"/>
      <c r="P813" s="276"/>
      <c r="Q813" s="276"/>
      <c r="R813" s="276"/>
      <c r="S813" s="276"/>
      <c r="T813" s="276"/>
      <c r="U813" s="276"/>
      <c r="V813" s="276"/>
      <c r="W813" s="276"/>
      <c r="X813" s="276"/>
      <c r="Y813" s="276"/>
      <c r="Z813" s="276"/>
    </row>
    <row r="814" spans="1:26" ht="14.25" customHeight="1" x14ac:dyDescent="0.3">
      <c r="A814" s="307"/>
      <c r="B814" s="276"/>
      <c r="C814" s="276"/>
      <c r="D814" s="276"/>
      <c r="E814" s="276"/>
      <c r="F814" s="276"/>
      <c r="G814" s="276"/>
      <c r="H814" s="276"/>
      <c r="I814" s="276"/>
      <c r="J814" s="276"/>
      <c r="K814" s="276"/>
      <c r="L814" s="276"/>
      <c r="M814" s="276"/>
      <c r="N814" s="276"/>
      <c r="O814" s="276"/>
      <c r="P814" s="276"/>
      <c r="Q814" s="276"/>
      <c r="R814" s="276"/>
      <c r="S814" s="276"/>
      <c r="T814" s="276"/>
      <c r="U814" s="276"/>
      <c r="V814" s="276"/>
      <c r="W814" s="276"/>
      <c r="X814" s="276"/>
      <c r="Y814" s="276"/>
      <c r="Z814" s="276"/>
    </row>
    <row r="815" spans="1:26" ht="14.25" customHeight="1" x14ac:dyDescent="0.3">
      <c r="A815" s="307"/>
      <c r="B815" s="276"/>
      <c r="C815" s="276"/>
      <c r="D815" s="276"/>
      <c r="E815" s="276"/>
      <c r="F815" s="276"/>
      <c r="G815" s="276"/>
      <c r="H815" s="276"/>
      <c r="I815" s="276"/>
      <c r="J815" s="276"/>
      <c r="K815" s="276"/>
      <c r="L815" s="276"/>
      <c r="M815" s="276"/>
      <c r="N815" s="276"/>
      <c r="O815" s="276"/>
      <c r="P815" s="276"/>
      <c r="Q815" s="276"/>
      <c r="R815" s="276"/>
      <c r="S815" s="276"/>
      <c r="T815" s="276"/>
      <c r="U815" s="276"/>
      <c r="V815" s="276"/>
      <c r="W815" s="276"/>
      <c r="X815" s="276"/>
      <c r="Y815" s="276"/>
      <c r="Z815" s="276"/>
    </row>
    <row r="816" spans="1:26" ht="14.25" customHeight="1" x14ac:dyDescent="0.3">
      <c r="A816" s="307"/>
      <c r="B816" s="276"/>
      <c r="C816" s="276"/>
      <c r="D816" s="276"/>
      <c r="E816" s="276"/>
      <c r="F816" s="276"/>
      <c r="G816" s="276"/>
      <c r="H816" s="276"/>
      <c r="I816" s="276"/>
      <c r="J816" s="276"/>
      <c r="K816" s="276"/>
      <c r="L816" s="276"/>
      <c r="M816" s="276"/>
      <c r="N816" s="276"/>
      <c r="O816" s="276"/>
      <c r="P816" s="276"/>
      <c r="Q816" s="276"/>
      <c r="R816" s="276"/>
      <c r="S816" s="276"/>
      <c r="T816" s="276"/>
      <c r="U816" s="276"/>
      <c r="V816" s="276"/>
      <c r="W816" s="276"/>
      <c r="X816" s="276"/>
      <c r="Y816" s="276"/>
      <c r="Z816" s="276"/>
    </row>
    <row r="817" spans="1:26" ht="14.25" customHeight="1" x14ac:dyDescent="0.3">
      <c r="A817" s="307"/>
      <c r="B817" s="276"/>
      <c r="C817" s="276"/>
      <c r="D817" s="276"/>
      <c r="E817" s="276"/>
      <c r="F817" s="276"/>
      <c r="G817" s="276"/>
      <c r="H817" s="276"/>
      <c r="I817" s="276"/>
      <c r="J817" s="276"/>
      <c r="K817" s="276"/>
      <c r="L817" s="276"/>
      <c r="M817" s="276"/>
      <c r="N817" s="276"/>
      <c r="O817" s="276"/>
      <c r="P817" s="276"/>
      <c r="Q817" s="276"/>
      <c r="R817" s="276"/>
      <c r="S817" s="276"/>
      <c r="T817" s="276"/>
      <c r="U817" s="276"/>
      <c r="V817" s="276"/>
      <c r="W817" s="276"/>
      <c r="X817" s="276"/>
      <c r="Y817" s="276"/>
      <c r="Z817" s="276"/>
    </row>
    <row r="818" spans="1:26" ht="14.25" customHeight="1" x14ac:dyDescent="0.3">
      <c r="A818" s="307"/>
      <c r="B818" s="276"/>
      <c r="C818" s="276"/>
      <c r="D818" s="276"/>
      <c r="E818" s="276"/>
      <c r="F818" s="276"/>
      <c r="G818" s="276"/>
      <c r="H818" s="276"/>
      <c r="I818" s="276"/>
      <c r="J818" s="276"/>
      <c r="K818" s="276"/>
      <c r="L818" s="276"/>
      <c r="M818" s="276"/>
      <c r="N818" s="276"/>
      <c r="O818" s="276"/>
      <c r="P818" s="276"/>
      <c r="Q818" s="276"/>
      <c r="R818" s="276"/>
      <c r="S818" s="276"/>
      <c r="T818" s="276"/>
      <c r="U818" s="276"/>
      <c r="V818" s="276"/>
      <c r="W818" s="276"/>
      <c r="X818" s="276"/>
      <c r="Y818" s="276"/>
      <c r="Z818" s="276"/>
    </row>
    <row r="819" spans="1:26" ht="14.25" customHeight="1" x14ac:dyDescent="0.3">
      <c r="A819" s="307"/>
      <c r="B819" s="276"/>
      <c r="C819" s="276"/>
      <c r="D819" s="276"/>
      <c r="E819" s="276"/>
      <c r="F819" s="276"/>
      <c r="G819" s="276"/>
      <c r="H819" s="276"/>
      <c r="I819" s="276"/>
      <c r="J819" s="276"/>
      <c r="K819" s="276"/>
      <c r="L819" s="276"/>
      <c r="M819" s="276"/>
      <c r="N819" s="276"/>
      <c r="O819" s="276"/>
      <c r="P819" s="276"/>
      <c r="Q819" s="276"/>
      <c r="R819" s="276"/>
      <c r="S819" s="276"/>
      <c r="T819" s="276"/>
      <c r="U819" s="276"/>
      <c r="V819" s="276"/>
      <c r="W819" s="276"/>
      <c r="X819" s="276"/>
      <c r="Y819" s="276"/>
      <c r="Z819" s="276"/>
    </row>
    <row r="820" spans="1:26" ht="14.25" customHeight="1" x14ac:dyDescent="0.3">
      <c r="A820" s="307"/>
      <c r="B820" s="276"/>
      <c r="C820" s="276"/>
      <c r="D820" s="276"/>
      <c r="E820" s="276"/>
      <c r="F820" s="276"/>
      <c r="G820" s="276"/>
      <c r="H820" s="276"/>
      <c r="I820" s="276"/>
      <c r="J820" s="276"/>
      <c r="K820" s="276"/>
      <c r="L820" s="276"/>
      <c r="M820" s="276"/>
      <c r="N820" s="276"/>
      <c r="O820" s="276"/>
      <c r="P820" s="276"/>
      <c r="Q820" s="276"/>
      <c r="R820" s="276"/>
      <c r="S820" s="276"/>
      <c r="T820" s="276"/>
      <c r="U820" s="276"/>
      <c r="V820" s="276"/>
      <c r="W820" s="276"/>
      <c r="X820" s="276"/>
      <c r="Y820" s="276"/>
      <c r="Z820" s="276"/>
    </row>
    <row r="821" spans="1:26" ht="14.25" customHeight="1" x14ac:dyDescent="0.3">
      <c r="A821" s="307"/>
      <c r="B821" s="276"/>
      <c r="C821" s="276"/>
      <c r="D821" s="276"/>
      <c r="E821" s="276"/>
      <c r="F821" s="276"/>
      <c r="G821" s="276"/>
      <c r="H821" s="276"/>
      <c r="I821" s="276"/>
      <c r="J821" s="276"/>
      <c r="K821" s="276"/>
      <c r="L821" s="276"/>
      <c r="M821" s="276"/>
      <c r="N821" s="276"/>
      <c r="O821" s="276"/>
      <c r="P821" s="276"/>
      <c r="Q821" s="276"/>
      <c r="R821" s="276"/>
      <c r="S821" s="276"/>
      <c r="T821" s="276"/>
      <c r="U821" s="276"/>
      <c r="V821" s="276"/>
      <c r="W821" s="276"/>
      <c r="X821" s="276"/>
      <c r="Y821" s="276"/>
      <c r="Z821" s="276"/>
    </row>
    <row r="822" spans="1:26" ht="14.25" customHeight="1" x14ac:dyDescent="0.3">
      <c r="A822" s="307"/>
      <c r="B822" s="276"/>
      <c r="C822" s="276"/>
      <c r="D822" s="276"/>
      <c r="E822" s="276"/>
      <c r="F822" s="276"/>
      <c r="G822" s="276"/>
      <c r="H822" s="276"/>
      <c r="I822" s="276"/>
      <c r="J822" s="276"/>
      <c r="K822" s="276"/>
      <c r="L822" s="276"/>
      <c r="M822" s="276"/>
      <c r="N822" s="276"/>
      <c r="O822" s="276"/>
      <c r="P822" s="276"/>
      <c r="Q822" s="276"/>
      <c r="R822" s="276"/>
      <c r="S822" s="276"/>
      <c r="T822" s="276"/>
      <c r="U822" s="276"/>
      <c r="V822" s="276"/>
      <c r="W822" s="276"/>
      <c r="X822" s="276"/>
      <c r="Y822" s="276"/>
      <c r="Z822" s="276"/>
    </row>
    <row r="823" spans="1:26" ht="14.25" customHeight="1" x14ac:dyDescent="0.3">
      <c r="A823" s="307"/>
      <c r="B823" s="276"/>
      <c r="C823" s="276"/>
      <c r="D823" s="276"/>
      <c r="E823" s="276"/>
      <c r="F823" s="276"/>
      <c r="G823" s="276"/>
      <c r="H823" s="276"/>
      <c r="I823" s="276"/>
      <c r="J823" s="276"/>
      <c r="K823" s="276"/>
      <c r="L823" s="276"/>
      <c r="M823" s="276"/>
      <c r="N823" s="276"/>
      <c r="O823" s="276"/>
      <c r="P823" s="276"/>
      <c r="Q823" s="276"/>
      <c r="R823" s="276"/>
      <c r="S823" s="276"/>
      <c r="T823" s="276"/>
      <c r="U823" s="276"/>
      <c r="V823" s="276"/>
      <c r="W823" s="276"/>
      <c r="X823" s="276"/>
      <c r="Y823" s="276"/>
      <c r="Z823" s="276"/>
    </row>
    <row r="824" spans="1:26" ht="14.25" customHeight="1" x14ac:dyDescent="0.3">
      <c r="A824" s="307"/>
      <c r="B824" s="276"/>
      <c r="C824" s="276"/>
      <c r="D824" s="276"/>
      <c r="E824" s="276"/>
      <c r="F824" s="276"/>
      <c r="G824" s="276"/>
      <c r="H824" s="276"/>
      <c r="I824" s="276"/>
      <c r="J824" s="276"/>
      <c r="K824" s="276"/>
      <c r="L824" s="276"/>
      <c r="M824" s="276"/>
      <c r="N824" s="276"/>
      <c r="O824" s="276"/>
      <c r="P824" s="276"/>
      <c r="Q824" s="276"/>
      <c r="R824" s="276"/>
      <c r="S824" s="276"/>
      <c r="T824" s="276"/>
      <c r="U824" s="276"/>
      <c r="V824" s="276"/>
      <c r="W824" s="276"/>
      <c r="X824" s="276"/>
      <c r="Y824" s="276"/>
      <c r="Z824" s="276"/>
    </row>
    <row r="825" spans="1:26" ht="14.25" customHeight="1" x14ac:dyDescent="0.3">
      <c r="A825" s="307"/>
      <c r="B825" s="276"/>
      <c r="C825" s="276"/>
      <c r="D825" s="276"/>
      <c r="E825" s="276"/>
      <c r="F825" s="276"/>
      <c r="G825" s="276"/>
      <c r="H825" s="276"/>
      <c r="I825" s="276"/>
      <c r="J825" s="276"/>
      <c r="K825" s="276"/>
      <c r="L825" s="276"/>
      <c r="M825" s="276"/>
      <c r="N825" s="276"/>
      <c r="O825" s="276"/>
      <c r="P825" s="276"/>
      <c r="Q825" s="276"/>
      <c r="R825" s="276"/>
      <c r="S825" s="276"/>
      <c r="T825" s="276"/>
      <c r="U825" s="276"/>
      <c r="V825" s="276"/>
      <c r="W825" s="276"/>
      <c r="X825" s="276"/>
      <c r="Y825" s="276"/>
      <c r="Z825" s="276"/>
    </row>
    <row r="826" spans="1:26" ht="14.25" customHeight="1" x14ac:dyDescent="0.3">
      <c r="A826" s="307"/>
      <c r="B826" s="276"/>
      <c r="C826" s="276"/>
      <c r="D826" s="276"/>
      <c r="E826" s="276"/>
      <c r="F826" s="276"/>
      <c r="G826" s="276"/>
      <c r="H826" s="276"/>
      <c r="I826" s="276"/>
      <c r="J826" s="276"/>
      <c r="K826" s="276"/>
      <c r="L826" s="276"/>
      <c r="M826" s="276"/>
      <c r="N826" s="276"/>
      <c r="O826" s="276"/>
      <c r="P826" s="276"/>
      <c r="Q826" s="276"/>
      <c r="R826" s="276"/>
      <c r="S826" s="276"/>
      <c r="T826" s="276"/>
      <c r="U826" s="276"/>
      <c r="V826" s="276"/>
      <c r="W826" s="276"/>
      <c r="X826" s="276"/>
      <c r="Y826" s="276"/>
      <c r="Z826" s="276"/>
    </row>
    <row r="827" spans="1:26" ht="14.25" customHeight="1" x14ac:dyDescent="0.3">
      <c r="A827" s="307"/>
      <c r="B827" s="276"/>
      <c r="C827" s="276"/>
      <c r="D827" s="276"/>
      <c r="E827" s="276"/>
      <c r="F827" s="276"/>
      <c r="G827" s="276"/>
      <c r="H827" s="276"/>
      <c r="I827" s="276"/>
      <c r="J827" s="276"/>
      <c r="K827" s="276"/>
      <c r="L827" s="276"/>
      <c r="M827" s="276"/>
      <c r="N827" s="276"/>
      <c r="O827" s="276"/>
      <c r="P827" s="276"/>
      <c r="Q827" s="276"/>
      <c r="R827" s="276"/>
      <c r="S827" s="276"/>
      <c r="T827" s="276"/>
      <c r="U827" s="276"/>
      <c r="V827" s="276"/>
      <c r="W827" s="276"/>
      <c r="X827" s="276"/>
      <c r="Y827" s="276"/>
      <c r="Z827" s="276"/>
    </row>
    <row r="828" spans="1:26" ht="14.25" customHeight="1" x14ac:dyDescent="0.3">
      <c r="A828" s="307"/>
      <c r="B828" s="276"/>
      <c r="C828" s="276"/>
      <c r="D828" s="276"/>
      <c r="E828" s="276"/>
      <c r="F828" s="276"/>
      <c r="G828" s="276"/>
      <c r="H828" s="276"/>
      <c r="I828" s="276"/>
      <c r="J828" s="276"/>
      <c r="K828" s="276"/>
      <c r="L828" s="276"/>
      <c r="M828" s="276"/>
      <c r="N828" s="276"/>
      <c r="O828" s="276"/>
      <c r="P828" s="276"/>
      <c r="Q828" s="276"/>
      <c r="R828" s="276"/>
      <c r="S828" s="276"/>
      <c r="T828" s="276"/>
      <c r="U828" s="276"/>
      <c r="V828" s="276"/>
      <c r="W828" s="276"/>
      <c r="X828" s="276"/>
      <c r="Y828" s="276"/>
      <c r="Z828" s="276"/>
    </row>
    <row r="829" spans="1:26" ht="14.25" customHeight="1" x14ac:dyDescent="0.3">
      <c r="A829" s="307"/>
      <c r="B829" s="276"/>
      <c r="C829" s="276"/>
      <c r="D829" s="276"/>
      <c r="E829" s="276"/>
      <c r="F829" s="276"/>
      <c r="G829" s="276"/>
      <c r="H829" s="276"/>
      <c r="I829" s="276"/>
      <c r="J829" s="276"/>
      <c r="K829" s="276"/>
      <c r="L829" s="276"/>
      <c r="M829" s="276"/>
      <c r="N829" s="276"/>
      <c r="O829" s="276"/>
      <c r="P829" s="276"/>
      <c r="Q829" s="276"/>
      <c r="R829" s="276"/>
      <c r="S829" s="276"/>
      <c r="T829" s="276"/>
      <c r="U829" s="276"/>
      <c r="V829" s="276"/>
      <c r="W829" s="276"/>
      <c r="X829" s="276"/>
      <c r="Y829" s="276"/>
      <c r="Z829" s="276"/>
    </row>
    <row r="830" spans="1:26" ht="14.25" customHeight="1" x14ac:dyDescent="0.3">
      <c r="A830" s="307"/>
      <c r="B830" s="276"/>
      <c r="C830" s="276"/>
      <c r="D830" s="276"/>
      <c r="E830" s="276"/>
      <c r="F830" s="276"/>
      <c r="G830" s="276"/>
      <c r="H830" s="276"/>
      <c r="I830" s="276"/>
      <c r="J830" s="276"/>
      <c r="K830" s="276"/>
      <c r="L830" s="276"/>
      <c r="M830" s="276"/>
      <c r="N830" s="276"/>
      <c r="O830" s="276"/>
      <c r="P830" s="276"/>
      <c r="Q830" s="276"/>
      <c r="R830" s="276"/>
      <c r="S830" s="276"/>
      <c r="T830" s="276"/>
      <c r="U830" s="276"/>
      <c r="V830" s="276"/>
      <c r="W830" s="276"/>
      <c r="X830" s="276"/>
      <c r="Y830" s="276"/>
      <c r="Z830" s="276"/>
    </row>
    <row r="831" spans="1:26" ht="14.25" customHeight="1" x14ac:dyDescent="0.3">
      <c r="A831" s="307"/>
      <c r="B831" s="276"/>
      <c r="C831" s="276"/>
      <c r="D831" s="276"/>
      <c r="E831" s="276"/>
      <c r="F831" s="276"/>
      <c r="G831" s="276"/>
      <c r="H831" s="276"/>
      <c r="I831" s="276"/>
      <c r="J831" s="276"/>
      <c r="K831" s="276"/>
      <c r="L831" s="276"/>
      <c r="M831" s="276"/>
      <c r="N831" s="276"/>
      <c r="O831" s="276"/>
      <c r="P831" s="276"/>
      <c r="Q831" s="276"/>
      <c r="R831" s="276"/>
      <c r="S831" s="276"/>
      <c r="T831" s="276"/>
      <c r="U831" s="276"/>
      <c r="V831" s="276"/>
      <c r="W831" s="276"/>
      <c r="X831" s="276"/>
      <c r="Y831" s="276"/>
      <c r="Z831" s="276"/>
    </row>
    <row r="832" spans="1:26" ht="14.25" customHeight="1" x14ac:dyDescent="0.3">
      <c r="A832" s="307"/>
      <c r="B832" s="276"/>
      <c r="C832" s="276"/>
      <c r="D832" s="276"/>
      <c r="E832" s="276"/>
      <c r="F832" s="276"/>
      <c r="G832" s="276"/>
      <c r="H832" s="276"/>
      <c r="I832" s="276"/>
      <c r="J832" s="276"/>
      <c r="K832" s="276"/>
      <c r="L832" s="276"/>
      <c r="M832" s="276"/>
      <c r="N832" s="276"/>
      <c r="O832" s="276"/>
      <c r="P832" s="276"/>
      <c r="Q832" s="276"/>
      <c r="R832" s="276"/>
      <c r="S832" s="276"/>
      <c r="T832" s="276"/>
      <c r="U832" s="276"/>
      <c r="V832" s="276"/>
      <c r="W832" s="276"/>
      <c r="X832" s="276"/>
      <c r="Y832" s="276"/>
      <c r="Z832" s="276"/>
    </row>
    <row r="833" spans="1:26" ht="14.25" customHeight="1" x14ac:dyDescent="0.3">
      <c r="A833" s="307"/>
      <c r="B833" s="276"/>
      <c r="C833" s="276"/>
      <c r="D833" s="276"/>
      <c r="E833" s="276"/>
      <c r="F833" s="276"/>
      <c r="G833" s="276"/>
      <c r="H833" s="276"/>
      <c r="I833" s="276"/>
      <c r="J833" s="276"/>
      <c r="K833" s="276"/>
      <c r="L833" s="276"/>
      <c r="M833" s="276"/>
      <c r="N833" s="276"/>
      <c r="O833" s="276"/>
      <c r="P833" s="276"/>
      <c r="Q833" s="276"/>
      <c r="R833" s="276"/>
      <c r="S833" s="276"/>
      <c r="T833" s="276"/>
      <c r="U833" s="276"/>
      <c r="V833" s="276"/>
      <c r="W833" s="276"/>
      <c r="X833" s="276"/>
      <c r="Y833" s="276"/>
      <c r="Z833" s="276"/>
    </row>
    <row r="834" spans="1:26" ht="14.25" customHeight="1" x14ac:dyDescent="0.3">
      <c r="A834" s="307"/>
      <c r="B834" s="276"/>
      <c r="C834" s="276"/>
      <c r="D834" s="276"/>
      <c r="E834" s="276"/>
      <c r="F834" s="276"/>
      <c r="G834" s="276"/>
      <c r="H834" s="276"/>
      <c r="I834" s="276"/>
      <c r="J834" s="276"/>
      <c r="K834" s="276"/>
      <c r="L834" s="276"/>
      <c r="M834" s="276"/>
      <c r="N834" s="276"/>
      <c r="O834" s="276"/>
      <c r="P834" s="276"/>
      <c r="Q834" s="276"/>
      <c r="R834" s="276"/>
      <c r="S834" s="276"/>
      <c r="T834" s="276"/>
      <c r="U834" s="276"/>
      <c r="V834" s="276"/>
      <c r="W834" s="276"/>
      <c r="X834" s="276"/>
      <c r="Y834" s="276"/>
      <c r="Z834" s="276"/>
    </row>
    <row r="835" spans="1:26" ht="14.25" customHeight="1" x14ac:dyDescent="0.3">
      <c r="A835" s="307"/>
      <c r="B835" s="276"/>
      <c r="C835" s="276"/>
      <c r="D835" s="276"/>
      <c r="E835" s="276"/>
      <c r="F835" s="276"/>
      <c r="G835" s="276"/>
      <c r="H835" s="276"/>
      <c r="I835" s="276"/>
      <c r="J835" s="276"/>
      <c r="K835" s="276"/>
      <c r="L835" s="276"/>
      <c r="M835" s="276"/>
      <c r="N835" s="276"/>
      <c r="O835" s="276"/>
      <c r="P835" s="276"/>
      <c r="Q835" s="276"/>
      <c r="R835" s="276"/>
      <c r="S835" s="276"/>
      <c r="T835" s="276"/>
      <c r="U835" s="276"/>
      <c r="V835" s="276"/>
      <c r="W835" s="276"/>
      <c r="X835" s="276"/>
      <c r="Y835" s="276"/>
      <c r="Z835" s="276"/>
    </row>
    <row r="836" spans="1:26" ht="14.25" customHeight="1" x14ac:dyDescent="0.3">
      <c r="A836" s="307"/>
      <c r="B836" s="276"/>
      <c r="C836" s="276"/>
      <c r="D836" s="276"/>
      <c r="E836" s="276"/>
      <c r="F836" s="276"/>
      <c r="G836" s="276"/>
      <c r="H836" s="276"/>
      <c r="I836" s="276"/>
      <c r="J836" s="276"/>
      <c r="K836" s="276"/>
      <c r="L836" s="276"/>
      <c r="M836" s="276"/>
      <c r="N836" s="276"/>
      <c r="O836" s="276"/>
      <c r="P836" s="276"/>
      <c r="Q836" s="276"/>
      <c r="R836" s="276"/>
      <c r="S836" s="276"/>
      <c r="T836" s="276"/>
      <c r="U836" s="276"/>
      <c r="V836" s="276"/>
      <c r="W836" s="276"/>
      <c r="X836" s="276"/>
      <c r="Y836" s="276"/>
      <c r="Z836" s="276"/>
    </row>
    <row r="837" spans="1:26" ht="14.25" customHeight="1" x14ac:dyDescent="0.3">
      <c r="A837" s="307"/>
      <c r="B837" s="276"/>
      <c r="C837" s="276"/>
      <c r="D837" s="276"/>
      <c r="E837" s="276"/>
      <c r="F837" s="276"/>
      <c r="G837" s="276"/>
      <c r="H837" s="276"/>
      <c r="I837" s="276"/>
      <c r="J837" s="276"/>
      <c r="K837" s="276"/>
      <c r="L837" s="276"/>
      <c r="M837" s="276"/>
      <c r="N837" s="276"/>
      <c r="O837" s="276"/>
      <c r="P837" s="276"/>
      <c r="Q837" s="276"/>
      <c r="R837" s="276"/>
      <c r="S837" s="276"/>
      <c r="T837" s="276"/>
      <c r="U837" s="276"/>
      <c r="V837" s="276"/>
      <c r="W837" s="276"/>
      <c r="X837" s="276"/>
      <c r="Y837" s="276"/>
      <c r="Z837" s="276"/>
    </row>
    <row r="838" spans="1:26" ht="14.25" customHeight="1" x14ac:dyDescent="0.3">
      <c r="A838" s="307"/>
      <c r="B838" s="276"/>
      <c r="C838" s="276"/>
      <c r="D838" s="276"/>
      <c r="E838" s="276"/>
      <c r="F838" s="276"/>
      <c r="G838" s="276"/>
      <c r="H838" s="276"/>
      <c r="I838" s="276"/>
      <c r="J838" s="276"/>
      <c r="K838" s="276"/>
      <c r="L838" s="276"/>
      <c r="M838" s="276"/>
      <c r="N838" s="276"/>
      <c r="O838" s="276"/>
      <c r="P838" s="276"/>
      <c r="Q838" s="276"/>
      <c r="R838" s="276"/>
      <c r="S838" s="276"/>
      <c r="T838" s="276"/>
      <c r="U838" s="276"/>
      <c r="V838" s="276"/>
      <c r="W838" s="276"/>
      <c r="X838" s="276"/>
      <c r="Y838" s="276"/>
      <c r="Z838" s="276"/>
    </row>
    <row r="839" spans="1:26" ht="14.25" customHeight="1" x14ac:dyDescent="0.3">
      <c r="A839" s="307"/>
      <c r="B839" s="276"/>
      <c r="C839" s="276"/>
      <c r="D839" s="276"/>
      <c r="E839" s="276"/>
      <c r="F839" s="276"/>
      <c r="G839" s="276"/>
      <c r="H839" s="276"/>
      <c r="I839" s="276"/>
      <c r="J839" s="276"/>
      <c r="K839" s="276"/>
      <c r="L839" s="276"/>
      <c r="M839" s="276"/>
      <c r="N839" s="276"/>
      <c r="O839" s="276"/>
      <c r="P839" s="276"/>
      <c r="Q839" s="276"/>
      <c r="R839" s="276"/>
      <c r="S839" s="276"/>
      <c r="T839" s="276"/>
      <c r="U839" s="276"/>
      <c r="V839" s="276"/>
      <c r="W839" s="276"/>
      <c r="X839" s="276"/>
      <c r="Y839" s="276"/>
      <c r="Z839" s="276"/>
    </row>
    <row r="840" spans="1:26" ht="14.25" customHeight="1" x14ac:dyDescent="0.3">
      <c r="A840" s="307"/>
      <c r="B840" s="276"/>
      <c r="C840" s="276"/>
      <c r="D840" s="276"/>
      <c r="E840" s="276"/>
      <c r="F840" s="276"/>
      <c r="G840" s="276"/>
      <c r="H840" s="276"/>
      <c r="I840" s="276"/>
      <c r="J840" s="276"/>
      <c r="K840" s="276"/>
      <c r="L840" s="276"/>
      <c r="M840" s="276"/>
      <c r="N840" s="276"/>
      <c r="O840" s="276"/>
      <c r="P840" s="276"/>
      <c r="Q840" s="276"/>
      <c r="R840" s="276"/>
      <c r="S840" s="276"/>
      <c r="T840" s="276"/>
      <c r="U840" s="276"/>
      <c r="V840" s="276"/>
      <c r="W840" s="276"/>
      <c r="X840" s="276"/>
      <c r="Y840" s="276"/>
      <c r="Z840" s="276"/>
    </row>
    <row r="841" spans="1:26" ht="14.25" customHeight="1" x14ac:dyDescent="0.3">
      <c r="A841" s="307"/>
      <c r="B841" s="276"/>
      <c r="C841" s="276"/>
      <c r="D841" s="276"/>
      <c r="E841" s="276"/>
      <c r="F841" s="276"/>
      <c r="G841" s="276"/>
      <c r="H841" s="276"/>
      <c r="I841" s="276"/>
      <c r="J841" s="276"/>
      <c r="K841" s="276"/>
      <c r="L841" s="276"/>
      <c r="M841" s="276"/>
      <c r="N841" s="276"/>
      <c r="O841" s="276"/>
      <c r="P841" s="276"/>
      <c r="Q841" s="276"/>
      <c r="R841" s="276"/>
      <c r="S841" s="276"/>
      <c r="T841" s="276"/>
      <c r="U841" s="276"/>
      <c r="V841" s="276"/>
      <c r="W841" s="276"/>
      <c r="X841" s="276"/>
      <c r="Y841" s="276"/>
      <c r="Z841" s="276"/>
    </row>
    <row r="842" spans="1:26" ht="14.25" customHeight="1" x14ac:dyDescent="0.3">
      <c r="A842" s="307"/>
      <c r="B842" s="276"/>
      <c r="C842" s="276"/>
      <c r="D842" s="276"/>
      <c r="E842" s="276"/>
      <c r="F842" s="276"/>
      <c r="G842" s="276"/>
      <c r="H842" s="276"/>
      <c r="I842" s="276"/>
      <c r="J842" s="276"/>
      <c r="K842" s="276"/>
      <c r="L842" s="276"/>
      <c r="M842" s="276"/>
      <c r="N842" s="276"/>
      <c r="O842" s="276"/>
      <c r="P842" s="276"/>
      <c r="Q842" s="276"/>
      <c r="R842" s="276"/>
      <c r="S842" s="276"/>
      <c r="T842" s="276"/>
      <c r="U842" s="276"/>
      <c r="V842" s="276"/>
      <c r="W842" s="276"/>
      <c r="X842" s="276"/>
      <c r="Y842" s="276"/>
      <c r="Z842" s="276"/>
    </row>
    <row r="843" spans="1:26" ht="14.25" customHeight="1" x14ac:dyDescent="0.3">
      <c r="A843" s="307"/>
      <c r="B843" s="276"/>
      <c r="C843" s="276"/>
      <c r="D843" s="276"/>
      <c r="E843" s="276"/>
      <c r="F843" s="276"/>
      <c r="G843" s="276"/>
      <c r="H843" s="276"/>
      <c r="I843" s="276"/>
      <c r="J843" s="276"/>
      <c r="K843" s="276"/>
      <c r="L843" s="276"/>
      <c r="M843" s="276"/>
      <c r="N843" s="276"/>
      <c r="O843" s="276"/>
      <c r="P843" s="276"/>
      <c r="Q843" s="276"/>
      <c r="R843" s="276"/>
      <c r="S843" s="276"/>
      <c r="T843" s="276"/>
      <c r="U843" s="276"/>
      <c r="V843" s="276"/>
      <c r="W843" s="276"/>
      <c r="X843" s="276"/>
      <c r="Y843" s="276"/>
      <c r="Z843" s="276"/>
    </row>
    <row r="844" spans="1:26" ht="14.25" customHeight="1" x14ac:dyDescent="0.3">
      <c r="A844" s="307"/>
      <c r="B844" s="276"/>
      <c r="C844" s="276"/>
      <c r="D844" s="276"/>
      <c r="E844" s="276"/>
      <c r="F844" s="276"/>
      <c r="G844" s="276"/>
      <c r="H844" s="276"/>
      <c r="I844" s="276"/>
      <c r="J844" s="276"/>
      <c r="K844" s="276"/>
      <c r="L844" s="276"/>
      <c r="M844" s="276"/>
      <c r="N844" s="276"/>
      <c r="O844" s="276"/>
      <c r="P844" s="276"/>
      <c r="Q844" s="276"/>
      <c r="R844" s="276"/>
      <c r="S844" s="276"/>
      <c r="T844" s="276"/>
      <c r="U844" s="276"/>
      <c r="V844" s="276"/>
      <c r="W844" s="276"/>
      <c r="X844" s="276"/>
      <c r="Y844" s="276"/>
      <c r="Z844" s="276"/>
    </row>
    <row r="845" spans="1:26" ht="14.25" customHeight="1" x14ac:dyDescent="0.3">
      <c r="A845" s="307"/>
      <c r="B845" s="276"/>
      <c r="C845" s="276"/>
      <c r="D845" s="276"/>
      <c r="E845" s="276"/>
      <c r="F845" s="276"/>
      <c r="G845" s="276"/>
      <c r="H845" s="276"/>
      <c r="I845" s="276"/>
      <c r="J845" s="276"/>
      <c r="K845" s="276"/>
      <c r="L845" s="276"/>
      <c r="M845" s="276"/>
      <c r="N845" s="276"/>
      <c r="O845" s="276"/>
      <c r="P845" s="276"/>
      <c r="Q845" s="276"/>
      <c r="R845" s="276"/>
      <c r="S845" s="276"/>
      <c r="T845" s="276"/>
      <c r="U845" s="276"/>
      <c r="V845" s="276"/>
      <c r="W845" s="276"/>
      <c r="X845" s="276"/>
      <c r="Y845" s="276"/>
      <c r="Z845" s="276"/>
    </row>
    <row r="846" spans="1:26" ht="14.25" customHeight="1" x14ac:dyDescent="0.3">
      <c r="A846" s="307"/>
      <c r="B846" s="276"/>
      <c r="C846" s="276"/>
      <c r="D846" s="276"/>
      <c r="E846" s="276"/>
      <c r="F846" s="276"/>
      <c r="G846" s="276"/>
      <c r="H846" s="276"/>
      <c r="I846" s="276"/>
      <c r="J846" s="276"/>
      <c r="K846" s="276"/>
      <c r="L846" s="276"/>
      <c r="M846" s="276"/>
      <c r="N846" s="276"/>
      <c r="O846" s="276"/>
      <c r="P846" s="276"/>
      <c r="Q846" s="276"/>
      <c r="R846" s="276"/>
      <c r="S846" s="276"/>
      <c r="T846" s="276"/>
      <c r="U846" s="276"/>
      <c r="V846" s="276"/>
      <c r="W846" s="276"/>
      <c r="X846" s="276"/>
      <c r="Y846" s="276"/>
      <c r="Z846" s="276"/>
    </row>
    <row r="847" spans="1:26" ht="14.25" customHeight="1" x14ac:dyDescent="0.3">
      <c r="A847" s="307"/>
      <c r="B847" s="276"/>
      <c r="C847" s="276"/>
      <c r="D847" s="276"/>
      <c r="E847" s="276"/>
      <c r="F847" s="276"/>
      <c r="G847" s="276"/>
      <c r="H847" s="276"/>
      <c r="I847" s="276"/>
      <c r="J847" s="276"/>
      <c r="K847" s="276"/>
      <c r="L847" s="276"/>
      <c r="M847" s="276"/>
      <c r="N847" s="276"/>
      <c r="O847" s="276"/>
      <c r="P847" s="276"/>
      <c r="Q847" s="276"/>
      <c r="R847" s="276"/>
      <c r="S847" s="276"/>
      <c r="T847" s="276"/>
      <c r="U847" s="276"/>
      <c r="V847" s="276"/>
      <c r="W847" s="276"/>
      <c r="X847" s="276"/>
      <c r="Y847" s="276"/>
      <c r="Z847" s="276"/>
    </row>
    <row r="848" spans="1:26" ht="14.25" customHeight="1" x14ac:dyDescent="0.3">
      <c r="A848" s="307"/>
      <c r="B848" s="276"/>
      <c r="C848" s="276"/>
      <c r="D848" s="276"/>
      <c r="E848" s="276"/>
      <c r="F848" s="276"/>
      <c r="G848" s="276"/>
      <c r="H848" s="276"/>
      <c r="I848" s="276"/>
      <c r="J848" s="276"/>
      <c r="K848" s="276"/>
      <c r="L848" s="276"/>
      <c r="M848" s="276"/>
      <c r="N848" s="276"/>
      <c r="O848" s="276"/>
      <c r="P848" s="276"/>
      <c r="Q848" s="276"/>
      <c r="R848" s="276"/>
      <c r="S848" s="276"/>
      <c r="T848" s="276"/>
      <c r="U848" s="276"/>
      <c r="V848" s="276"/>
      <c r="W848" s="276"/>
      <c r="X848" s="276"/>
      <c r="Y848" s="276"/>
      <c r="Z848" s="276"/>
    </row>
    <row r="849" spans="1:26" ht="14.25" customHeight="1" x14ac:dyDescent="0.3">
      <c r="A849" s="307"/>
      <c r="B849" s="276"/>
      <c r="C849" s="276"/>
      <c r="D849" s="276"/>
      <c r="E849" s="276"/>
      <c r="F849" s="276"/>
      <c r="G849" s="276"/>
      <c r="H849" s="276"/>
      <c r="I849" s="276"/>
      <c r="J849" s="276"/>
      <c r="K849" s="276"/>
      <c r="L849" s="276"/>
      <c r="M849" s="276"/>
      <c r="N849" s="276"/>
      <c r="O849" s="276"/>
      <c r="P849" s="276"/>
      <c r="Q849" s="276"/>
      <c r="R849" s="276"/>
      <c r="S849" s="276"/>
      <c r="T849" s="276"/>
      <c r="U849" s="276"/>
      <c r="V849" s="276"/>
      <c r="W849" s="276"/>
      <c r="X849" s="276"/>
      <c r="Y849" s="276"/>
      <c r="Z849" s="276"/>
    </row>
    <row r="850" spans="1:26" ht="14.25" customHeight="1" x14ac:dyDescent="0.3">
      <c r="A850" s="307"/>
      <c r="B850" s="276"/>
      <c r="C850" s="276"/>
      <c r="D850" s="276"/>
      <c r="E850" s="276"/>
      <c r="F850" s="276"/>
      <c r="G850" s="276"/>
      <c r="H850" s="276"/>
      <c r="I850" s="276"/>
      <c r="J850" s="276"/>
      <c r="K850" s="276"/>
      <c r="L850" s="276"/>
      <c r="M850" s="276"/>
      <c r="N850" s="276"/>
      <c r="O850" s="276"/>
      <c r="P850" s="276"/>
      <c r="Q850" s="276"/>
      <c r="R850" s="276"/>
      <c r="S850" s="276"/>
      <c r="T850" s="276"/>
      <c r="U850" s="276"/>
      <c r="V850" s="276"/>
      <c r="W850" s="276"/>
      <c r="X850" s="276"/>
      <c r="Y850" s="276"/>
      <c r="Z850" s="276"/>
    </row>
    <row r="851" spans="1:26" ht="14.25" customHeight="1" x14ac:dyDescent="0.3">
      <c r="A851" s="307"/>
      <c r="B851" s="276"/>
      <c r="C851" s="276"/>
      <c r="D851" s="276"/>
      <c r="E851" s="276"/>
      <c r="F851" s="276"/>
      <c r="G851" s="276"/>
      <c r="H851" s="276"/>
      <c r="I851" s="276"/>
      <c r="J851" s="276"/>
      <c r="K851" s="276"/>
      <c r="L851" s="276"/>
      <c r="M851" s="276"/>
      <c r="N851" s="276"/>
      <c r="O851" s="276"/>
      <c r="P851" s="276"/>
      <c r="Q851" s="276"/>
      <c r="R851" s="276"/>
      <c r="S851" s="276"/>
      <c r="T851" s="276"/>
      <c r="U851" s="276"/>
      <c r="V851" s="276"/>
      <c r="W851" s="276"/>
      <c r="X851" s="276"/>
      <c r="Y851" s="276"/>
      <c r="Z851" s="276"/>
    </row>
    <row r="852" spans="1:26" ht="14.25" customHeight="1" x14ac:dyDescent="0.3">
      <c r="A852" s="307"/>
      <c r="B852" s="276"/>
      <c r="C852" s="276"/>
      <c r="D852" s="276"/>
      <c r="E852" s="276"/>
      <c r="F852" s="276"/>
      <c r="G852" s="276"/>
      <c r="H852" s="276"/>
      <c r="I852" s="276"/>
      <c r="J852" s="276"/>
      <c r="K852" s="276"/>
      <c r="L852" s="276"/>
      <c r="M852" s="276"/>
      <c r="N852" s="276"/>
      <c r="O852" s="276"/>
      <c r="P852" s="276"/>
      <c r="Q852" s="276"/>
      <c r="R852" s="276"/>
      <c r="S852" s="276"/>
      <c r="T852" s="276"/>
      <c r="U852" s="276"/>
      <c r="V852" s="276"/>
      <c r="W852" s="276"/>
      <c r="X852" s="276"/>
      <c r="Y852" s="276"/>
      <c r="Z852" s="276"/>
    </row>
    <row r="853" spans="1:26" ht="14.25" customHeight="1" x14ac:dyDescent="0.3">
      <c r="A853" s="307"/>
      <c r="B853" s="276"/>
      <c r="C853" s="276"/>
      <c r="D853" s="276"/>
      <c r="E853" s="276"/>
      <c r="F853" s="276"/>
      <c r="G853" s="276"/>
      <c r="H853" s="276"/>
      <c r="I853" s="276"/>
      <c r="J853" s="276"/>
      <c r="K853" s="276"/>
      <c r="L853" s="276"/>
      <c r="M853" s="276"/>
      <c r="N853" s="276"/>
      <c r="O853" s="276"/>
      <c r="P853" s="276"/>
      <c r="Q853" s="276"/>
      <c r="R853" s="276"/>
      <c r="S853" s="276"/>
      <c r="T853" s="276"/>
      <c r="U853" s="276"/>
      <c r="V853" s="276"/>
      <c r="W853" s="276"/>
      <c r="X853" s="276"/>
      <c r="Y853" s="276"/>
      <c r="Z853" s="276"/>
    </row>
    <row r="854" spans="1:26" ht="14.25" customHeight="1" x14ac:dyDescent="0.3">
      <c r="A854" s="307"/>
      <c r="B854" s="276"/>
      <c r="C854" s="276"/>
      <c r="D854" s="276"/>
      <c r="E854" s="276"/>
      <c r="F854" s="276"/>
      <c r="G854" s="276"/>
      <c r="H854" s="276"/>
      <c r="I854" s="276"/>
      <c r="J854" s="276"/>
      <c r="K854" s="276"/>
      <c r="L854" s="276"/>
      <c r="M854" s="276"/>
      <c r="N854" s="276"/>
      <c r="O854" s="276"/>
      <c r="P854" s="276"/>
      <c r="Q854" s="276"/>
      <c r="R854" s="276"/>
      <c r="S854" s="276"/>
      <c r="T854" s="276"/>
      <c r="U854" s="276"/>
      <c r="V854" s="276"/>
      <c r="W854" s="276"/>
      <c r="X854" s="276"/>
      <c r="Y854" s="276"/>
      <c r="Z854" s="276"/>
    </row>
    <row r="855" spans="1:26" ht="14.25" customHeight="1" x14ac:dyDescent="0.3">
      <c r="A855" s="307"/>
      <c r="B855" s="276"/>
      <c r="C855" s="276"/>
      <c r="D855" s="276"/>
      <c r="E855" s="276"/>
      <c r="F855" s="276"/>
      <c r="G855" s="276"/>
      <c r="H855" s="276"/>
      <c r="I855" s="276"/>
      <c r="J855" s="276"/>
      <c r="K855" s="276"/>
      <c r="L855" s="276"/>
      <c r="M855" s="276"/>
      <c r="N855" s="276"/>
      <c r="O855" s="276"/>
      <c r="P855" s="276"/>
      <c r="Q855" s="276"/>
      <c r="R855" s="276"/>
      <c r="S855" s="276"/>
      <c r="T855" s="276"/>
      <c r="U855" s="276"/>
      <c r="V855" s="276"/>
      <c r="W855" s="276"/>
      <c r="X855" s="276"/>
      <c r="Y855" s="276"/>
      <c r="Z855" s="276"/>
    </row>
    <row r="856" spans="1:26" ht="14.25" customHeight="1" x14ac:dyDescent="0.3">
      <c r="A856" s="307"/>
      <c r="B856" s="276"/>
      <c r="C856" s="276"/>
      <c r="D856" s="276"/>
      <c r="E856" s="276"/>
      <c r="F856" s="276"/>
      <c r="G856" s="276"/>
      <c r="H856" s="276"/>
      <c r="I856" s="276"/>
      <c r="J856" s="276"/>
      <c r="K856" s="276"/>
      <c r="L856" s="276"/>
      <c r="M856" s="276"/>
      <c r="N856" s="276"/>
      <c r="O856" s="276"/>
      <c r="P856" s="276"/>
      <c r="Q856" s="276"/>
      <c r="R856" s="276"/>
      <c r="S856" s="276"/>
      <c r="T856" s="276"/>
      <c r="U856" s="276"/>
      <c r="V856" s="276"/>
      <c r="W856" s="276"/>
      <c r="X856" s="276"/>
      <c r="Y856" s="276"/>
      <c r="Z856" s="276"/>
    </row>
    <row r="857" spans="1:26" ht="14.25" customHeight="1" x14ac:dyDescent="0.3">
      <c r="A857" s="307"/>
      <c r="B857" s="276"/>
      <c r="C857" s="276"/>
      <c r="D857" s="276"/>
      <c r="E857" s="276"/>
      <c r="F857" s="276"/>
      <c r="G857" s="276"/>
      <c r="H857" s="276"/>
      <c r="I857" s="276"/>
      <c r="J857" s="276"/>
      <c r="K857" s="276"/>
      <c r="L857" s="276"/>
      <c r="M857" s="276"/>
      <c r="N857" s="276"/>
      <c r="O857" s="276"/>
      <c r="P857" s="276"/>
      <c r="Q857" s="276"/>
      <c r="R857" s="276"/>
      <c r="S857" s="276"/>
      <c r="T857" s="276"/>
      <c r="U857" s="276"/>
      <c r="V857" s="276"/>
      <c r="W857" s="276"/>
      <c r="X857" s="276"/>
      <c r="Y857" s="276"/>
      <c r="Z857" s="276"/>
    </row>
    <row r="858" spans="1:26" ht="14.25" customHeight="1" x14ac:dyDescent="0.3">
      <c r="A858" s="307"/>
      <c r="B858" s="276"/>
      <c r="C858" s="276"/>
      <c r="D858" s="276"/>
      <c r="E858" s="276"/>
      <c r="F858" s="276"/>
      <c r="G858" s="276"/>
      <c r="H858" s="276"/>
      <c r="I858" s="276"/>
      <c r="J858" s="276"/>
      <c r="K858" s="276"/>
      <c r="L858" s="276"/>
      <c r="M858" s="276"/>
      <c r="N858" s="276"/>
      <c r="O858" s="276"/>
      <c r="P858" s="276"/>
      <c r="Q858" s="276"/>
      <c r="R858" s="276"/>
      <c r="S858" s="276"/>
      <c r="T858" s="276"/>
      <c r="U858" s="276"/>
      <c r="V858" s="276"/>
      <c r="W858" s="276"/>
      <c r="X858" s="276"/>
      <c r="Y858" s="276"/>
      <c r="Z858" s="276"/>
    </row>
    <row r="859" spans="1:26" ht="14.25" customHeight="1" x14ac:dyDescent="0.3">
      <c r="A859" s="307"/>
      <c r="B859" s="276"/>
      <c r="C859" s="276"/>
      <c r="D859" s="276"/>
      <c r="E859" s="276"/>
      <c r="F859" s="276"/>
      <c r="G859" s="276"/>
      <c r="H859" s="276"/>
      <c r="I859" s="276"/>
      <c r="J859" s="276"/>
      <c r="K859" s="276"/>
      <c r="L859" s="276"/>
      <c r="M859" s="276"/>
      <c r="N859" s="276"/>
      <c r="O859" s="276"/>
      <c r="P859" s="276"/>
      <c r="Q859" s="276"/>
      <c r="R859" s="276"/>
      <c r="S859" s="276"/>
      <c r="T859" s="276"/>
      <c r="U859" s="276"/>
      <c r="V859" s="276"/>
      <c r="W859" s="276"/>
      <c r="X859" s="276"/>
      <c r="Y859" s="276"/>
      <c r="Z859" s="276"/>
    </row>
    <row r="860" spans="1:26" ht="14.25" customHeight="1" x14ac:dyDescent="0.3">
      <c r="A860" s="307"/>
      <c r="B860" s="276"/>
      <c r="C860" s="276"/>
      <c r="D860" s="276"/>
      <c r="E860" s="276"/>
      <c r="F860" s="276"/>
      <c r="G860" s="276"/>
      <c r="H860" s="276"/>
      <c r="I860" s="276"/>
      <c r="J860" s="276"/>
      <c r="K860" s="276"/>
      <c r="L860" s="276"/>
      <c r="M860" s="276"/>
      <c r="N860" s="276"/>
      <c r="O860" s="276"/>
      <c r="P860" s="276"/>
      <c r="Q860" s="276"/>
      <c r="R860" s="276"/>
      <c r="S860" s="276"/>
      <c r="T860" s="276"/>
      <c r="U860" s="276"/>
      <c r="V860" s="276"/>
      <c r="W860" s="276"/>
      <c r="X860" s="276"/>
      <c r="Y860" s="276"/>
      <c r="Z860" s="276"/>
    </row>
    <row r="861" spans="1:26" ht="14.25" customHeight="1" x14ac:dyDescent="0.3">
      <c r="A861" s="307"/>
      <c r="B861" s="276"/>
      <c r="C861" s="276"/>
      <c r="D861" s="276"/>
      <c r="E861" s="276"/>
      <c r="F861" s="276"/>
      <c r="G861" s="276"/>
      <c r="H861" s="276"/>
      <c r="I861" s="276"/>
      <c r="J861" s="276"/>
      <c r="K861" s="276"/>
      <c r="L861" s="276"/>
      <c r="M861" s="276"/>
      <c r="N861" s="276"/>
      <c r="O861" s="276"/>
      <c r="P861" s="276"/>
      <c r="Q861" s="276"/>
      <c r="R861" s="276"/>
      <c r="S861" s="276"/>
      <c r="T861" s="276"/>
      <c r="U861" s="276"/>
      <c r="V861" s="276"/>
      <c r="W861" s="276"/>
      <c r="X861" s="276"/>
      <c r="Y861" s="276"/>
      <c r="Z861" s="276"/>
    </row>
    <row r="862" spans="1:26" ht="14.25" customHeight="1" x14ac:dyDescent="0.3">
      <c r="A862" s="307"/>
      <c r="B862" s="276"/>
      <c r="C862" s="276"/>
      <c r="D862" s="276"/>
      <c r="E862" s="276"/>
      <c r="F862" s="276"/>
      <c r="G862" s="276"/>
      <c r="H862" s="276"/>
      <c r="I862" s="276"/>
      <c r="J862" s="276"/>
      <c r="K862" s="276"/>
      <c r="L862" s="276"/>
      <c r="M862" s="276"/>
      <c r="N862" s="276"/>
      <c r="O862" s="276"/>
      <c r="P862" s="276"/>
      <c r="Q862" s="276"/>
      <c r="R862" s="276"/>
      <c r="S862" s="276"/>
      <c r="T862" s="276"/>
      <c r="U862" s="276"/>
      <c r="V862" s="276"/>
      <c r="W862" s="276"/>
      <c r="X862" s="276"/>
      <c r="Y862" s="276"/>
      <c r="Z862" s="276"/>
    </row>
    <row r="863" spans="1:26" ht="14.25" customHeight="1" x14ac:dyDescent="0.3">
      <c r="A863" s="307"/>
      <c r="B863" s="276"/>
      <c r="C863" s="276"/>
      <c r="D863" s="276"/>
      <c r="E863" s="276"/>
      <c r="F863" s="276"/>
      <c r="G863" s="276"/>
      <c r="H863" s="276"/>
      <c r="I863" s="276"/>
      <c r="J863" s="276"/>
      <c r="K863" s="276"/>
      <c r="L863" s="276"/>
      <c r="M863" s="276"/>
      <c r="N863" s="276"/>
      <c r="O863" s="276"/>
      <c r="P863" s="276"/>
      <c r="Q863" s="276"/>
      <c r="R863" s="276"/>
      <c r="S863" s="276"/>
      <c r="T863" s="276"/>
      <c r="U863" s="276"/>
      <c r="V863" s="276"/>
      <c r="W863" s="276"/>
      <c r="X863" s="276"/>
      <c r="Y863" s="276"/>
      <c r="Z863" s="276"/>
    </row>
    <row r="864" spans="1:26" ht="14.25" customHeight="1" x14ac:dyDescent="0.3">
      <c r="A864" s="307"/>
      <c r="B864" s="276"/>
      <c r="C864" s="276"/>
      <c r="D864" s="276"/>
      <c r="E864" s="276"/>
      <c r="F864" s="276"/>
      <c r="G864" s="276"/>
      <c r="H864" s="276"/>
      <c r="I864" s="276"/>
      <c r="J864" s="276"/>
      <c r="K864" s="276"/>
      <c r="L864" s="276"/>
      <c r="M864" s="276"/>
      <c r="N864" s="276"/>
      <c r="O864" s="276"/>
      <c r="P864" s="276"/>
      <c r="Q864" s="276"/>
      <c r="R864" s="276"/>
      <c r="S864" s="276"/>
      <c r="T864" s="276"/>
      <c r="U864" s="276"/>
      <c r="V864" s="276"/>
      <c r="W864" s="276"/>
      <c r="X864" s="276"/>
      <c r="Y864" s="276"/>
      <c r="Z864" s="276"/>
    </row>
    <row r="865" spans="1:26" ht="14.25" customHeight="1" x14ac:dyDescent="0.3">
      <c r="A865" s="307"/>
      <c r="B865" s="276"/>
      <c r="C865" s="276"/>
      <c r="D865" s="276"/>
      <c r="E865" s="276"/>
      <c r="F865" s="276"/>
      <c r="G865" s="276"/>
      <c r="H865" s="276"/>
      <c r="I865" s="276"/>
      <c r="J865" s="276"/>
      <c r="K865" s="276"/>
      <c r="L865" s="276"/>
      <c r="M865" s="276"/>
      <c r="N865" s="276"/>
      <c r="O865" s="276"/>
      <c r="P865" s="276"/>
      <c r="Q865" s="276"/>
      <c r="R865" s="276"/>
      <c r="S865" s="276"/>
      <c r="T865" s="276"/>
      <c r="U865" s="276"/>
      <c r="V865" s="276"/>
      <c r="W865" s="276"/>
      <c r="X865" s="276"/>
      <c r="Y865" s="276"/>
      <c r="Z865" s="276"/>
    </row>
    <row r="866" spans="1:26" ht="14.25" customHeight="1" x14ac:dyDescent="0.3">
      <c r="A866" s="307"/>
      <c r="B866" s="276"/>
      <c r="C866" s="276"/>
      <c r="D866" s="276"/>
      <c r="E866" s="276"/>
      <c r="F866" s="276"/>
      <c r="G866" s="276"/>
      <c r="H866" s="276"/>
      <c r="I866" s="276"/>
      <c r="J866" s="276"/>
      <c r="K866" s="276"/>
      <c r="L866" s="276"/>
      <c r="M866" s="276"/>
      <c r="N866" s="276"/>
      <c r="O866" s="276"/>
      <c r="P866" s="276"/>
      <c r="Q866" s="276"/>
      <c r="R866" s="276"/>
      <c r="S866" s="276"/>
      <c r="T866" s="276"/>
      <c r="U866" s="276"/>
      <c r="V866" s="276"/>
      <c r="W866" s="276"/>
      <c r="X866" s="276"/>
      <c r="Y866" s="276"/>
      <c r="Z866" s="276"/>
    </row>
    <row r="867" spans="1:26" ht="14.25" customHeight="1" x14ac:dyDescent="0.3">
      <c r="A867" s="307"/>
      <c r="B867" s="276"/>
      <c r="C867" s="276"/>
      <c r="D867" s="276"/>
      <c r="E867" s="276"/>
      <c r="F867" s="276"/>
      <c r="G867" s="276"/>
      <c r="H867" s="276"/>
      <c r="I867" s="276"/>
      <c r="J867" s="276"/>
      <c r="K867" s="276"/>
      <c r="L867" s="276"/>
      <c r="M867" s="276"/>
      <c r="N867" s="276"/>
      <c r="O867" s="276"/>
      <c r="P867" s="276"/>
      <c r="Q867" s="276"/>
      <c r="R867" s="276"/>
      <c r="S867" s="276"/>
      <c r="T867" s="276"/>
      <c r="U867" s="276"/>
      <c r="V867" s="276"/>
      <c r="W867" s="276"/>
      <c r="X867" s="276"/>
      <c r="Y867" s="276"/>
      <c r="Z867" s="276"/>
    </row>
    <row r="868" spans="1:26" ht="14.25" customHeight="1" x14ac:dyDescent="0.3">
      <c r="A868" s="307"/>
      <c r="B868" s="276"/>
      <c r="C868" s="276"/>
      <c r="D868" s="276"/>
      <c r="E868" s="276"/>
      <c r="F868" s="276"/>
      <c r="G868" s="276"/>
      <c r="H868" s="276"/>
      <c r="I868" s="276"/>
      <c r="J868" s="276"/>
      <c r="K868" s="276"/>
      <c r="L868" s="276"/>
      <c r="M868" s="276"/>
      <c r="N868" s="276"/>
      <c r="O868" s="276"/>
      <c r="P868" s="276"/>
      <c r="Q868" s="276"/>
      <c r="R868" s="276"/>
      <c r="S868" s="276"/>
      <c r="T868" s="276"/>
      <c r="U868" s="276"/>
      <c r="V868" s="276"/>
      <c r="W868" s="276"/>
      <c r="X868" s="276"/>
      <c r="Y868" s="276"/>
      <c r="Z868" s="276"/>
    </row>
    <row r="869" spans="1:26" ht="14.25" customHeight="1" x14ac:dyDescent="0.3">
      <c r="A869" s="307"/>
      <c r="B869" s="276"/>
      <c r="C869" s="276"/>
      <c r="D869" s="276"/>
      <c r="E869" s="276"/>
      <c r="F869" s="276"/>
      <c r="G869" s="276"/>
      <c r="H869" s="276"/>
      <c r="I869" s="276"/>
      <c r="J869" s="276"/>
      <c r="K869" s="276"/>
      <c r="L869" s="276"/>
      <c r="M869" s="276"/>
      <c r="N869" s="276"/>
      <c r="O869" s="276"/>
      <c r="P869" s="276"/>
      <c r="Q869" s="276"/>
      <c r="R869" s="276"/>
      <c r="S869" s="276"/>
      <c r="T869" s="276"/>
      <c r="U869" s="276"/>
      <c r="V869" s="276"/>
      <c r="W869" s="276"/>
      <c r="X869" s="276"/>
      <c r="Y869" s="276"/>
      <c r="Z869" s="276"/>
    </row>
    <row r="870" spans="1:26" ht="14.25" customHeight="1" x14ac:dyDescent="0.3">
      <c r="A870" s="307"/>
      <c r="B870" s="276"/>
      <c r="C870" s="276"/>
      <c r="D870" s="276"/>
      <c r="E870" s="276"/>
      <c r="F870" s="276"/>
      <c r="G870" s="276"/>
      <c r="H870" s="276"/>
      <c r="I870" s="276"/>
      <c r="J870" s="276"/>
      <c r="K870" s="276"/>
      <c r="L870" s="276"/>
      <c r="M870" s="276"/>
      <c r="N870" s="276"/>
      <c r="O870" s="276"/>
      <c r="P870" s="276"/>
      <c r="Q870" s="276"/>
      <c r="R870" s="276"/>
      <c r="S870" s="276"/>
      <c r="T870" s="276"/>
      <c r="U870" s="276"/>
      <c r="V870" s="276"/>
      <c r="W870" s="276"/>
      <c r="X870" s="276"/>
      <c r="Y870" s="276"/>
      <c r="Z870" s="276"/>
    </row>
    <row r="871" spans="1:26" ht="14.25" customHeight="1" x14ac:dyDescent="0.3">
      <c r="A871" s="307"/>
      <c r="B871" s="276"/>
      <c r="C871" s="276"/>
      <c r="D871" s="276"/>
      <c r="E871" s="276"/>
      <c r="F871" s="276"/>
      <c r="G871" s="276"/>
      <c r="H871" s="276"/>
      <c r="I871" s="276"/>
      <c r="J871" s="276"/>
      <c r="K871" s="276"/>
      <c r="L871" s="276"/>
      <c r="M871" s="276"/>
      <c r="N871" s="276"/>
      <c r="O871" s="276"/>
      <c r="P871" s="276"/>
      <c r="Q871" s="276"/>
      <c r="R871" s="276"/>
      <c r="S871" s="276"/>
      <c r="T871" s="276"/>
      <c r="U871" s="276"/>
      <c r="V871" s="276"/>
      <c r="W871" s="276"/>
      <c r="X871" s="276"/>
      <c r="Y871" s="276"/>
      <c r="Z871" s="276"/>
    </row>
    <row r="872" spans="1:26" ht="14.25" customHeight="1" x14ac:dyDescent="0.3">
      <c r="A872" s="307"/>
      <c r="B872" s="276"/>
      <c r="C872" s="276"/>
      <c r="D872" s="276"/>
      <c r="E872" s="276"/>
      <c r="F872" s="276"/>
      <c r="G872" s="276"/>
      <c r="H872" s="276"/>
      <c r="I872" s="276"/>
      <c r="J872" s="276"/>
      <c r="K872" s="276"/>
      <c r="L872" s="276"/>
      <c r="M872" s="276"/>
      <c r="N872" s="276"/>
      <c r="O872" s="276"/>
      <c r="P872" s="276"/>
      <c r="Q872" s="276"/>
      <c r="R872" s="276"/>
      <c r="S872" s="276"/>
      <c r="T872" s="276"/>
      <c r="U872" s="276"/>
      <c r="V872" s="276"/>
      <c r="W872" s="276"/>
      <c r="X872" s="276"/>
      <c r="Y872" s="276"/>
      <c r="Z872" s="276"/>
    </row>
    <row r="873" spans="1:26" ht="14.25" customHeight="1" x14ac:dyDescent="0.3">
      <c r="A873" s="307"/>
      <c r="B873" s="276"/>
      <c r="C873" s="276"/>
      <c r="D873" s="276"/>
      <c r="E873" s="276"/>
      <c r="F873" s="276"/>
      <c r="G873" s="276"/>
      <c r="H873" s="276"/>
      <c r="I873" s="276"/>
      <c r="J873" s="276"/>
      <c r="K873" s="276"/>
      <c r="L873" s="276"/>
      <c r="M873" s="276"/>
      <c r="N873" s="276"/>
      <c r="O873" s="276"/>
      <c r="P873" s="276"/>
      <c r="Q873" s="276"/>
      <c r="R873" s="276"/>
      <c r="S873" s="276"/>
      <c r="T873" s="276"/>
      <c r="U873" s="276"/>
      <c r="V873" s="276"/>
      <c r="W873" s="276"/>
      <c r="X873" s="276"/>
      <c r="Y873" s="276"/>
      <c r="Z873" s="276"/>
    </row>
    <row r="874" spans="1:26" ht="14.25" customHeight="1" x14ac:dyDescent="0.3">
      <c r="A874" s="307"/>
      <c r="B874" s="276"/>
      <c r="C874" s="276"/>
      <c r="D874" s="276"/>
      <c r="E874" s="276"/>
      <c r="F874" s="276"/>
      <c r="G874" s="276"/>
      <c r="H874" s="276"/>
      <c r="I874" s="276"/>
      <c r="J874" s="276"/>
      <c r="K874" s="276"/>
      <c r="L874" s="276"/>
      <c r="M874" s="276"/>
      <c r="N874" s="276"/>
      <c r="O874" s="276"/>
      <c r="P874" s="276"/>
      <c r="Q874" s="276"/>
      <c r="R874" s="276"/>
      <c r="S874" s="276"/>
      <c r="T874" s="276"/>
      <c r="U874" s="276"/>
      <c r="V874" s="276"/>
      <c r="W874" s="276"/>
      <c r="X874" s="276"/>
      <c r="Y874" s="276"/>
      <c r="Z874" s="276"/>
    </row>
    <row r="875" spans="1:26" ht="14.25" customHeight="1" x14ac:dyDescent="0.3">
      <c r="A875" s="307"/>
      <c r="B875" s="276"/>
      <c r="C875" s="276"/>
      <c r="D875" s="276"/>
      <c r="E875" s="276"/>
      <c r="F875" s="276"/>
      <c r="G875" s="276"/>
      <c r="H875" s="276"/>
      <c r="I875" s="276"/>
      <c r="J875" s="276"/>
      <c r="K875" s="276"/>
      <c r="L875" s="276"/>
      <c r="M875" s="276"/>
      <c r="N875" s="276"/>
      <c r="O875" s="276"/>
      <c r="P875" s="276"/>
      <c r="Q875" s="276"/>
      <c r="R875" s="276"/>
      <c r="S875" s="276"/>
      <c r="T875" s="276"/>
      <c r="U875" s="276"/>
      <c r="V875" s="276"/>
      <c r="W875" s="276"/>
      <c r="X875" s="276"/>
      <c r="Y875" s="276"/>
      <c r="Z875" s="276"/>
    </row>
    <row r="876" spans="1:26" ht="14.25" customHeight="1" x14ac:dyDescent="0.3">
      <c r="A876" s="307"/>
      <c r="B876" s="276"/>
      <c r="C876" s="276"/>
      <c r="D876" s="276"/>
      <c r="E876" s="276"/>
      <c r="F876" s="276"/>
      <c r="G876" s="276"/>
      <c r="H876" s="276"/>
      <c r="I876" s="276"/>
      <c r="J876" s="276"/>
      <c r="K876" s="276"/>
      <c r="L876" s="276"/>
      <c r="M876" s="276"/>
      <c r="N876" s="276"/>
      <c r="O876" s="276"/>
      <c r="P876" s="276"/>
      <c r="Q876" s="276"/>
      <c r="R876" s="276"/>
      <c r="S876" s="276"/>
      <c r="T876" s="276"/>
      <c r="U876" s="276"/>
      <c r="V876" s="276"/>
      <c r="W876" s="276"/>
      <c r="X876" s="276"/>
      <c r="Y876" s="276"/>
      <c r="Z876" s="276"/>
    </row>
    <row r="877" spans="1:26" ht="14.25" customHeight="1" x14ac:dyDescent="0.3">
      <c r="A877" s="307"/>
      <c r="B877" s="276"/>
      <c r="C877" s="276"/>
      <c r="D877" s="276"/>
      <c r="E877" s="276"/>
      <c r="F877" s="276"/>
      <c r="G877" s="276"/>
      <c r="H877" s="276"/>
      <c r="I877" s="276"/>
      <c r="J877" s="276"/>
      <c r="K877" s="276"/>
      <c r="L877" s="276"/>
      <c r="M877" s="276"/>
      <c r="N877" s="276"/>
      <c r="O877" s="276"/>
      <c r="P877" s="276"/>
      <c r="Q877" s="276"/>
      <c r="R877" s="276"/>
      <c r="S877" s="276"/>
      <c r="T877" s="276"/>
      <c r="U877" s="276"/>
      <c r="V877" s="276"/>
      <c r="W877" s="276"/>
      <c r="X877" s="276"/>
      <c r="Y877" s="276"/>
      <c r="Z877" s="276"/>
    </row>
    <row r="878" spans="1:26" ht="14.25" customHeight="1" x14ac:dyDescent="0.3">
      <c r="A878" s="307"/>
      <c r="B878" s="276"/>
      <c r="C878" s="276"/>
      <c r="D878" s="276"/>
      <c r="E878" s="276"/>
      <c r="F878" s="276"/>
      <c r="G878" s="276"/>
      <c r="H878" s="276"/>
      <c r="I878" s="276"/>
      <c r="J878" s="276"/>
      <c r="K878" s="276"/>
      <c r="L878" s="276"/>
      <c r="M878" s="276"/>
      <c r="N878" s="276"/>
      <c r="O878" s="276"/>
      <c r="P878" s="276"/>
      <c r="Q878" s="276"/>
      <c r="R878" s="276"/>
      <c r="S878" s="276"/>
      <c r="T878" s="276"/>
      <c r="U878" s="276"/>
      <c r="V878" s="276"/>
      <c r="W878" s="276"/>
      <c r="X878" s="276"/>
      <c r="Y878" s="276"/>
      <c r="Z878" s="276"/>
    </row>
    <row r="879" spans="1:26" ht="14.25" customHeight="1" x14ac:dyDescent="0.3">
      <c r="A879" s="307"/>
      <c r="B879" s="276"/>
      <c r="C879" s="276"/>
      <c r="D879" s="276"/>
      <c r="E879" s="276"/>
      <c r="F879" s="276"/>
      <c r="G879" s="276"/>
      <c r="H879" s="276"/>
      <c r="I879" s="276"/>
      <c r="J879" s="276"/>
      <c r="K879" s="276"/>
      <c r="L879" s="276"/>
      <c r="M879" s="276"/>
      <c r="N879" s="276"/>
      <c r="O879" s="276"/>
      <c r="P879" s="276"/>
      <c r="Q879" s="276"/>
      <c r="R879" s="276"/>
      <c r="S879" s="276"/>
      <c r="T879" s="276"/>
      <c r="U879" s="276"/>
      <c r="V879" s="276"/>
      <c r="W879" s="276"/>
      <c r="X879" s="276"/>
      <c r="Y879" s="276"/>
      <c r="Z879" s="276"/>
    </row>
    <row r="880" spans="1:26" ht="14.25" customHeight="1" x14ac:dyDescent="0.3">
      <c r="A880" s="307"/>
      <c r="B880" s="276"/>
      <c r="C880" s="276"/>
      <c r="D880" s="276"/>
      <c r="E880" s="276"/>
      <c r="F880" s="276"/>
      <c r="G880" s="276"/>
      <c r="H880" s="276"/>
      <c r="I880" s="276"/>
      <c r="J880" s="276"/>
      <c r="K880" s="276"/>
      <c r="L880" s="276"/>
      <c r="M880" s="276"/>
      <c r="N880" s="276"/>
      <c r="O880" s="276"/>
      <c r="P880" s="276"/>
      <c r="Q880" s="276"/>
      <c r="R880" s="276"/>
      <c r="S880" s="276"/>
      <c r="T880" s="276"/>
      <c r="U880" s="276"/>
      <c r="V880" s="276"/>
      <c r="W880" s="276"/>
      <c r="X880" s="276"/>
      <c r="Y880" s="276"/>
      <c r="Z880" s="276"/>
    </row>
    <row r="881" spans="1:26" ht="14.25" customHeight="1" x14ac:dyDescent="0.3">
      <c r="A881" s="307"/>
      <c r="B881" s="276"/>
      <c r="C881" s="276"/>
      <c r="D881" s="276"/>
      <c r="E881" s="276"/>
      <c r="F881" s="276"/>
      <c r="G881" s="276"/>
      <c r="H881" s="276"/>
      <c r="I881" s="276"/>
      <c r="J881" s="276"/>
      <c r="K881" s="276"/>
      <c r="L881" s="276"/>
      <c r="M881" s="276"/>
      <c r="N881" s="276"/>
      <c r="O881" s="276"/>
      <c r="P881" s="276"/>
      <c r="Q881" s="276"/>
      <c r="R881" s="276"/>
      <c r="S881" s="276"/>
      <c r="T881" s="276"/>
      <c r="U881" s="276"/>
      <c r="V881" s="276"/>
      <c r="W881" s="276"/>
      <c r="X881" s="276"/>
      <c r="Y881" s="276"/>
      <c r="Z881" s="276"/>
    </row>
    <row r="882" spans="1:26" ht="14.25" customHeight="1" x14ac:dyDescent="0.3">
      <c r="A882" s="307"/>
      <c r="B882" s="276"/>
      <c r="C882" s="276"/>
      <c r="D882" s="276"/>
      <c r="E882" s="276"/>
      <c r="F882" s="276"/>
      <c r="G882" s="276"/>
      <c r="H882" s="276"/>
      <c r="I882" s="276"/>
      <c r="J882" s="276"/>
      <c r="K882" s="276"/>
      <c r="L882" s="276"/>
      <c r="M882" s="276"/>
      <c r="N882" s="276"/>
      <c r="O882" s="276"/>
      <c r="P882" s="276"/>
      <c r="Q882" s="276"/>
      <c r="R882" s="276"/>
      <c r="S882" s="276"/>
      <c r="T882" s="276"/>
      <c r="U882" s="276"/>
      <c r="V882" s="276"/>
      <c r="W882" s="276"/>
      <c r="X882" s="276"/>
      <c r="Y882" s="276"/>
      <c r="Z882" s="276"/>
    </row>
    <row r="883" spans="1:26" ht="14.25" customHeight="1" x14ac:dyDescent="0.3">
      <c r="A883" s="307"/>
      <c r="B883" s="276"/>
      <c r="C883" s="276"/>
      <c r="D883" s="276"/>
      <c r="E883" s="276"/>
      <c r="F883" s="276"/>
      <c r="G883" s="276"/>
      <c r="H883" s="276"/>
      <c r="I883" s="276"/>
      <c r="J883" s="276"/>
      <c r="K883" s="276"/>
      <c r="L883" s="276"/>
      <c r="M883" s="276"/>
      <c r="N883" s="276"/>
      <c r="O883" s="276"/>
      <c r="P883" s="276"/>
      <c r="Q883" s="276"/>
      <c r="R883" s="276"/>
      <c r="S883" s="276"/>
      <c r="T883" s="276"/>
      <c r="U883" s="276"/>
      <c r="V883" s="276"/>
      <c r="W883" s="276"/>
      <c r="X883" s="276"/>
      <c r="Y883" s="276"/>
      <c r="Z883" s="276"/>
    </row>
    <row r="884" spans="1:26" ht="14.25" customHeight="1" x14ac:dyDescent="0.3">
      <c r="A884" s="307"/>
      <c r="B884" s="276"/>
      <c r="C884" s="276"/>
      <c r="D884" s="276"/>
      <c r="E884" s="276"/>
      <c r="F884" s="276"/>
      <c r="G884" s="276"/>
      <c r="H884" s="276"/>
      <c r="I884" s="276"/>
      <c r="J884" s="276"/>
      <c r="K884" s="276"/>
      <c r="L884" s="276"/>
      <c r="M884" s="276"/>
      <c r="N884" s="276"/>
      <c r="O884" s="276"/>
      <c r="P884" s="276"/>
      <c r="Q884" s="276"/>
      <c r="R884" s="276"/>
      <c r="S884" s="276"/>
      <c r="T884" s="276"/>
      <c r="U884" s="276"/>
      <c r="V884" s="276"/>
      <c r="W884" s="276"/>
      <c r="X884" s="276"/>
      <c r="Y884" s="276"/>
      <c r="Z884" s="276"/>
    </row>
    <row r="885" spans="1:26" ht="14.25" customHeight="1" x14ac:dyDescent="0.3">
      <c r="A885" s="307"/>
      <c r="B885" s="276"/>
      <c r="C885" s="276"/>
      <c r="D885" s="276"/>
      <c r="E885" s="276"/>
      <c r="F885" s="276"/>
      <c r="G885" s="276"/>
      <c r="H885" s="276"/>
      <c r="I885" s="276"/>
      <c r="J885" s="276"/>
      <c r="K885" s="276"/>
      <c r="L885" s="276"/>
      <c r="M885" s="276"/>
      <c r="N885" s="276"/>
      <c r="O885" s="276"/>
      <c r="P885" s="276"/>
      <c r="Q885" s="276"/>
      <c r="R885" s="276"/>
      <c r="S885" s="276"/>
      <c r="T885" s="276"/>
      <c r="U885" s="276"/>
      <c r="V885" s="276"/>
      <c r="W885" s="276"/>
      <c r="X885" s="276"/>
      <c r="Y885" s="276"/>
      <c r="Z885" s="276"/>
    </row>
    <row r="886" spans="1:26" ht="14.25" customHeight="1" x14ac:dyDescent="0.3">
      <c r="A886" s="307"/>
      <c r="B886" s="276"/>
      <c r="C886" s="276"/>
      <c r="D886" s="276"/>
      <c r="E886" s="276"/>
      <c r="F886" s="276"/>
      <c r="G886" s="276"/>
      <c r="H886" s="276"/>
      <c r="I886" s="276"/>
      <c r="J886" s="276"/>
      <c r="K886" s="276"/>
      <c r="L886" s="276"/>
      <c r="M886" s="276"/>
      <c r="N886" s="276"/>
      <c r="O886" s="276"/>
      <c r="P886" s="276"/>
      <c r="Q886" s="276"/>
      <c r="R886" s="276"/>
      <c r="S886" s="276"/>
      <c r="T886" s="276"/>
      <c r="U886" s="276"/>
      <c r="V886" s="276"/>
      <c r="W886" s="276"/>
      <c r="X886" s="276"/>
      <c r="Y886" s="276"/>
      <c r="Z886" s="276"/>
    </row>
    <row r="887" spans="1:26" ht="14.25" customHeight="1" x14ac:dyDescent="0.3">
      <c r="A887" s="307"/>
      <c r="B887" s="276"/>
      <c r="C887" s="276"/>
      <c r="D887" s="276"/>
      <c r="E887" s="276"/>
      <c r="F887" s="276"/>
      <c r="G887" s="276"/>
      <c r="H887" s="276"/>
      <c r="I887" s="276"/>
      <c r="J887" s="276"/>
      <c r="K887" s="276"/>
      <c r="L887" s="276"/>
      <c r="M887" s="276"/>
      <c r="N887" s="276"/>
      <c r="O887" s="276"/>
      <c r="P887" s="276"/>
      <c r="Q887" s="276"/>
      <c r="R887" s="276"/>
      <c r="S887" s="276"/>
      <c r="T887" s="276"/>
      <c r="U887" s="276"/>
      <c r="V887" s="276"/>
      <c r="W887" s="276"/>
      <c r="X887" s="276"/>
      <c r="Y887" s="276"/>
      <c r="Z887" s="276"/>
    </row>
    <row r="888" spans="1:26" ht="14.25" customHeight="1" x14ac:dyDescent="0.3">
      <c r="A888" s="307"/>
      <c r="B888" s="276"/>
      <c r="C888" s="276"/>
      <c r="D888" s="276"/>
      <c r="E888" s="276"/>
      <c r="F888" s="276"/>
      <c r="G888" s="276"/>
      <c r="H888" s="276"/>
      <c r="I888" s="276"/>
      <c r="J888" s="276"/>
      <c r="K888" s="276"/>
      <c r="L888" s="276"/>
      <c r="M888" s="276"/>
      <c r="N888" s="276"/>
      <c r="O888" s="276"/>
      <c r="P888" s="276"/>
      <c r="Q888" s="276"/>
      <c r="R888" s="276"/>
      <c r="S888" s="276"/>
      <c r="T888" s="276"/>
      <c r="U888" s="276"/>
      <c r="V888" s="276"/>
      <c r="W888" s="276"/>
      <c r="X888" s="276"/>
      <c r="Y888" s="276"/>
      <c r="Z888" s="276"/>
    </row>
    <row r="889" spans="1:26" ht="14.25" customHeight="1" x14ac:dyDescent="0.3">
      <c r="A889" s="307"/>
      <c r="B889" s="276"/>
      <c r="C889" s="276"/>
      <c r="D889" s="276"/>
      <c r="E889" s="276"/>
      <c r="F889" s="276"/>
      <c r="G889" s="276"/>
      <c r="H889" s="276"/>
      <c r="I889" s="276"/>
      <c r="J889" s="276"/>
      <c r="K889" s="276"/>
      <c r="L889" s="276"/>
      <c r="M889" s="276"/>
      <c r="N889" s="276"/>
      <c r="O889" s="276"/>
      <c r="P889" s="276"/>
      <c r="Q889" s="276"/>
      <c r="R889" s="276"/>
      <c r="S889" s="276"/>
      <c r="T889" s="276"/>
      <c r="U889" s="276"/>
      <c r="V889" s="276"/>
      <c r="W889" s="276"/>
      <c r="X889" s="276"/>
      <c r="Y889" s="276"/>
      <c r="Z889" s="276"/>
    </row>
    <row r="890" spans="1:26" ht="14.25" customHeight="1" x14ac:dyDescent="0.3">
      <c r="A890" s="307"/>
      <c r="B890" s="276"/>
      <c r="C890" s="276"/>
      <c r="D890" s="276"/>
      <c r="E890" s="276"/>
      <c r="F890" s="276"/>
      <c r="G890" s="276"/>
      <c r="H890" s="276"/>
      <c r="I890" s="276"/>
      <c r="J890" s="276"/>
      <c r="K890" s="276"/>
      <c r="L890" s="276"/>
      <c r="M890" s="276"/>
      <c r="N890" s="276"/>
      <c r="O890" s="276"/>
      <c r="P890" s="276"/>
      <c r="Q890" s="276"/>
      <c r="R890" s="276"/>
      <c r="S890" s="276"/>
      <c r="T890" s="276"/>
      <c r="U890" s="276"/>
      <c r="V890" s="276"/>
      <c r="W890" s="276"/>
      <c r="X890" s="276"/>
      <c r="Y890" s="276"/>
      <c r="Z890" s="276"/>
    </row>
    <row r="891" spans="1:26" ht="14.25" customHeight="1" x14ac:dyDescent="0.3">
      <c r="A891" s="307"/>
      <c r="B891" s="276"/>
      <c r="C891" s="276"/>
      <c r="D891" s="276"/>
      <c r="E891" s="276"/>
      <c r="F891" s="276"/>
      <c r="G891" s="276"/>
      <c r="H891" s="276"/>
      <c r="I891" s="276"/>
      <c r="J891" s="276"/>
      <c r="K891" s="276"/>
      <c r="L891" s="276"/>
      <c r="M891" s="276"/>
      <c r="N891" s="276"/>
      <c r="O891" s="276"/>
      <c r="P891" s="276"/>
      <c r="Q891" s="276"/>
      <c r="R891" s="276"/>
      <c r="S891" s="276"/>
      <c r="T891" s="276"/>
      <c r="U891" s="276"/>
      <c r="V891" s="276"/>
      <c r="W891" s="276"/>
      <c r="X891" s="276"/>
      <c r="Y891" s="276"/>
      <c r="Z891" s="276"/>
    </row>
    <row r="892" spans="1:26" ht="14.25" customHeight="1" x14ac:dyDescent="0.3">
      <c r="A892" s="307"/>
      <c r="B892" s="276"/>
      <c r="C892" s="276"/>
      <c r="D892" s="276"/>
      <c r="E892" s="276"/>
      <c r="F892" s="276"/>
      <c r="G892" s="276"/>
      <c r="H892" s="276"/>
      <c r="I892" s="276"/>
      <c r="J892" s="276"/>
      <c r="K892" s="276"/>
      <c r="L892" s="276"/>
      <c r="M892" s="276"/>
      <c r="N892" s="276"/>
      <c r="O892" s="276"/>
      <c r="P892" s="276"/>
      <c r="Q892" s="276"/>
      <c r="R892" s="276"/>
      <c r="S892" s="276"/>
      <c r="T892" s="276"/>
      <c r="U892" s="276"/>
      <c r="V892" s="276"/>
      <c r="W892" s="276"/>
      <c r="X892" s="276"/>
      <c r="Y892" s="276"/>
      <c r="Z892" s="276"/>
    </row>
    <row r="893" spans="1:26" ht="14.25" customHeight="1" x14ac:dyDescent="0.3">
      <c r="A893" s="307"/>
      <c r="B893" s="276"/>
      <c r="C893" s="276"/>
      <c r="D893" s="276"/>
      <c r="E893" s="276"/>
      <c r="F893" s="276"/>
      <c r="G893" s="276"/>
      <c r="H893" s="276"/>
      <c r="I893" s="276"/>
      <c r="J893" s="276"/>
      <c r="K893" s="276"/>
      <c r="L893" s="276"/>
      <c r="M893" s="276"/>
      <c r="N893" s="276"/>
      <c r="O893" s="276"/>
      <c r="P893" s="276"/>
      <c r="Q893" s="276"/>
      <c r="R893" s="276"/>
      <c r="S893" s="276"/>
      <c r="T893" s="276"/>
      <c r="U893" s="276"/>
      <c r="V893" s="276"/>
      <c r="W893" s="276"/>
      <c r="X893" s="276"/>
      <c r="Y893" s="276"/>
      <c r="Z893" s="276"/>
    </row>
    <row r="894" spans="1:26" ht="14.25" customHeight="1" x14ac:dyDescent="0.3">
      <c r="A894" s="307"/>
      <c r="B894" s="276"/>
      <c r="C894" s="276"/>
      <c r="D894" s="276"/>
      <c r="E894" s="276"/>
      <c r="F894" s="276"/>
      <c r="G894" s="276"/>
      <c r="H894" s="276"/>
      <c r="I894" s="276"/>
      <c r="J894" s="276"/>
      <c r="K894" s="276"/>
      <c r="L894" s="276"/>
      <c r="M894" s="276"/>
      <c r="N894" s="276"/>
      <c r="O894" s="276"/>
      <c r="P894" s="276"/>
      <c r="Q894" s="276"/>
      <c r="R894" s="276"/>
      <c r="S894" s="276"/>
      <c r="T894" s="276"/>
      <c r="U894" s="276"/>
      <c r="V894" s="276"/>
      <c r="W894" s="276"/>
      <c r="X894" s="276"/>
      <c r="Y894" s="276"/>
      <c r="Z894" s="276"/>
    </row>
    <row r="895" spans="1:26" ht="14.25" customHeight="1" x14ac:dyDescent="0.3">
      <c r="A895" s="307"/>
      <c r="B895" s="276"/>
      <c r="C895" s="276"/>
      <c r="D895" s="276"/>
      <c r="E895" s="276"/>
      <c r="F895" s="276"/>
      <c r="G895" s="276"/>
      <c r="H895" s="276"/>
      <c r="I895" s="276"/>
      <c r="J895" s="276"/>
      <c r="K895" s="276"/>
      <c r="L895" s="276"/>
      <c r="M895" s="276"/>
      <c r="N895" s="276"/>
      <c r="O895" s="276"/>
      <c r="P895" s="276"/>
      <c r="Q895" s="276"/>
      <c r="R895" s="276"/>
      <c r="S895" s="276"/>
      <c r="T895" s="276"/>
      <c r="U895" s="276"/>
      <c r="V895" s="276"/>
      <c r="W895" s="276"/>
      <c r="X895" s="276"/>
      <c r="Y895" s="276"/>
      <c r="Z895" s="276"/>
    </row>
    <row r="896" spans="1:26" ht="14.25" customHeight="1" x14ac:dyDescent="0.3">
      <c r="A896" s="307"/>
      <c r="B896" s="276"/>
      <c r="C896" s="276"/>
      <c r="D896" s="276"/>
      <c r="E896" s="276"/>
      <c r="F896" s="276"/>
      <c r="G896" s="276"/>
      <c r="H896" s="276"/>
      <c r="I896" s="276"/>
      <c r="J896" s="276"/>
      <c r="K896" s="276"/>
      <c r="L896" s="276"/>
      <c r="M896" s="276"/>
      <c r="N896" s="276"/>
      <c r="O896" s="276"/>
      <c r="P896" s="276"/>
      <c r="Q896" s="276"/>
      <c r="R896" s="276"/>
      <c r="S896" s="276"/>
      <c r="T896" s="276"/>
      <c r="U896" s="276"/>
      <c r="V896" s="276"/>
      <c r="W896" s="276"/>
      <c r="X896" s="276"/>
      <c r="Y896" s="276"/>
      <c r="Z896" s="276"/>
    </row>
    <row r="897" spans="1:26" ht="14.25" customHeight="1" x14ac:dyDescent="0.3">
      <c r="A897" s="307"/>
      <c r="B897" s="276"/>
      <c r="C897" s="276"/>
      <c r="D897" s="276"/>
      <c r="E897" s="276"/>
      <c r="F897" s="276"/>
      <c r="G897" s="276"/>
      <c r="H897" s="276"/>
      <c r="I897" s="276"/>
      <c r="J897" s="276"/>
      <c r="K897" s="276"/>
      <c r="L897" s="276"/>
      <c r="M897" s="276"/>
      <c r="N897" s="276"/>
      <c r="O897" s="276"/>
      <c r="P897" s="276"/>
      <c r="Q897" s="276"/>
      <c r="R897" s="276"/>
      <c r="S897" s="276"/>
      <c r="T897" s="276"/>
      <c r="U897" s="276"/>
      <c r="V897" s="276"/>
      <c r="W897" s="276"/>
      <c r="X897" s="276"/>
      <c r="Y897" s="276"/>
      <c r="Z897" s="276"/>
    </row>
    <row r="898" spans="1:26" ht="14.25" customHeight="1" x14ac:dyDescent="0.3">
      <c r="A898" s="307"/>
      <c r="B898" s="276"/>
      <c r="C898" s="276"/>
      <c r="D898" s="276"/>
      <c r="E898" s="276"/>
      <c r="F898" s="276"/>
      <c r="G898" s="276"/>
      <c r="H898" s="276"/>
      <c r="I898" s="276"/>
      <c r="J898" s="276"/>
      <c r="K898" s="276"/>
      <c r="L898" s="276"/>
      <c r="M898" s="276"/>
      <c r="N898" s="276"/>
      <c r="O898" s="276"/>
      <c r="P898" s="276"/>
      <c r="Q898" s="276"/>
      <c r="R898" s="276"/>
      <c r="S898" s="276"/>
      <c r="T898" s="276"/>
      <c r="U898" s="276"/>
      <c r="V898" s="276"/>
      <c r="W898" s="276"/>
      <c r="X898" s="276"/>
      <c r="Y898" s="276"/>
      <c r="Z898" s="276"/>
    </row>
    <row r="899" spans="1:26" ht="14.25" customHeight="1" x14ac:dyDescent="0.3">
      <c r="A899" s="307"/>
      <c r="B899" s="276"/>
      <c r="C899" s="276"/>
      <c r="D899" s="276"/>
      <c r="E899" s="276"/>
      <c r="F899" s="276"/>
      <c r="G899" s="276"/>
      <c r="H899" s="276"/>
      <c r="I899" s="276"/>
      <c r="J899" s="276"/>
      <c r="K899" s="276"/>
      <c r="L899" s="276"/>
      <c r="M899" s="276"/>
      <c r="N899" s="276"/>
      <c r="O899" s="276"/>
      <c r="P899" s="276"/>
      <c r="Q899" s="276"/>
      <c r="R899" s="276"/>
      <c r="S899" s="276"/>
      <c r="T899" s="276"/>
      <c r="U899" s="276"/>
      <c r="V899" s="276"/>
      <c r="W899" s="276"/>
      <c r="X899" s="276"/>
      <c r="Y899" s="276"/>
      <c r="Z899" s="276"/>
    </row>
    <row r="900" spans="1:26" ht="14.25" customHeight="1" x14ac:dyDescent="0.3">
      <c r="A900" s="307"/>
      <c r="B900" s="276"/>
      <c r="C900" s="276"/>
      <c r="D900" s="276"/>
      <c r="E900" s="276"/>
      <c r="F900" s="276"/>
      <c r="G900" s="276"/>
      <c r="H900" s="276"/>
      <c r="I900" s="276"/>
      <c r="J900" s="276"/>
      <c r="K900" s="276"/>
      <c r="L900" s="276"/>
      <c r="M900" s="276"/>
      <c r="N900" s="276"/>
      <c r="O900" s="276"/>
      <c r="P900" s="276"/>
      <c r="Q900" s="276"/>
      <c r="R900" s="276"/>
      <c r="S900" s="276"/>
      <c r="T900" s="276"/>
      <c r="U900" s="276"/>
      <c r="V900" s="276"/>
      <c r="W900" s="276"/>
      <c r="X900" s="276"/>
      <c r="Y900" s="276"/>
      <c r="Z900" s="276"/>
    </row>
    <row r="901" spans="1:26" ht="14.25" customHeight="1" x14ac:dyDescent="0.3">
      <c r="A901" s="307"/>
      <c r="B901" s="276"/>
      <c r="C901" s="276"/>
      <c r="D901" s="276"/>
      <c r="E901" s="276"/>
      <c r="F901" s="276"/>
      <c r="G901" s="276"/>
      <c r="H901" s="276"/>
      <c r="I901" s="276"/>
      <c r="J901" s="276"/>
      <c r="K901" s="276"/>
      <c r="L901" s="276"/>
      <c r="M901" s="276"/>
      <c r="N901" s="276"/>
      <c r="O901" s="276"/>
      <c r="P901" s="276"/>
      <c r="Q901" s="276"/>
      <c r="R901" s="276"/>
      <c r="S901" s="276"/>
      <c r="T901" s="276"/>
      <c r="U901" s="276"/>
      <c r="V901" s="276"/>
      <c r="W901" s="276"/>
      <c r="X901" s="276"/>
      <c r="Y901" s="276"/>
      <c r="Z901" s="276"/>
    </row>
    <row r="902" spans="1:26" ht="14.25" customHeight="1" x14ac:dyDescent="0.3">
      <c r="A902" s="307"/>
      <c r="B902" s="276"/>
      <c r="C902" s="276"/>
      <c r="D902" s="276"/>
      <c r="E902" s="276"/>
      <c r="F902" s="276"/>
      <c r="G902" s="276"/>
      <c r="H902" s="276"/>
      <c r="I902" s="276"/>
      <c r="J902" s="276"/>
      <c r="K902" s="276"/>
      <c r="L902" s="276"/>
      <c r="M902" s="276"/>
      <c r="N902" s="276"/>
      <c r="O902" s="276"/>
      <c r="P902" s="276"/>
      <c r="Q902" s="276"/>
      <c r="R902" s="276"/>
      <c r="S902" s="276"/>
      <c r="T902" s="276"/>
      <c r="U902" s="276"/>
      <c r="V902" s="276"/>
      <c r="W902" s="276"/>
      <c r="X902" s="276"/>
      <c r="Y902" s="276"/>
      <c r="Z902" s="276"/>
    </row>
    <row r="903" spans="1:26" ht="14.25" customHeight="1" x14ac:dyDescent="0.3">
      <c r="A903" s="307"/>
      <c r="B903" s="276"/>
      <c r="C903" s="276"/>
      <c r="D903" s="276"/>
      <c r="E903" s="276"/>
      <c r="F903" s="276"/>
      <c r="G903" s="276"/>
      <c r="H903" s="276"/>
      <c r="I903" s="276"/>
      <c r="J903" s="276"/>
      <c r="K903" s="276"/>
      <c r="L903" s="276"/>
      <c r="M903" s="276"/>
      <c r="N903" s="276"/>
      <c r="O903" s="276"/>
      <c r="P903" s="276"/>
      <c r="Q903" s="276"/>
      <c r="R903" s="276"/>
      <c r="S903" s="276"/>
      <c r="T903" s="276"/>
      <c r="U903" s="276"/>
      <c r="V903" s="276"/>
      <c r="W903" s="276"/>
      <c r="X903" s="276"/>
      <c r="Y903" s="276"/>
      <c r="Z903" s="276"/>
    </row>
    <row r="904" spans="1:26" ht="14.25" customHeight="1" x14ac:dyDescent="0.3">
      <c r="A904" s="307"/>
      <c r="B904" s="276"/>
      <c r="C904" s="276"/>
      <c r="D904" s="276"/>
      <c r="E904" s="276"/>
      <c r="F904" s="276"/>
      <c r="G904" s="276"/>
      <c r="H904" s="276"/>
      <c r="I904" s="276"/>
      <c r="J904" s="276"/>
      <c r="K904" s="276"/>
      <c r="L904" s="276"/>
      <c r="M904" s="276"/>
      <c r="N904" s="276"/>
      <c r="O904" s="276"/>
      <c r="P904" s="276"/>
      <c r="Q904" s="276"/>
      <c r="R904" s="276"/>
      <c r="S904" s="276"/>
      <c r="T904" s="276"/>
      <c r="U904" s="276"/>
      <c r="V904" s="276"/>
      <c r="W904" s="276"/>
      <c r="X904" s="276"/>
      <c r="Y904" s="276"/>
      <c r="Z904" s="276"/>
    </row>
    <row r="905" spans="1:26" ht="14.25" customHeight="1" x14ac:dyDescent="0.3">
      <c r="A905" s="307"/>
      <c r="B905" s="276"/>
      <c r="C905" s="276"/>
      <c r="D905" s="276"/>
      <c r="E905" s="276"/>
      <c r="F905" s="276"/>
      <c r="G905" s="276"/>
      <c r="H905" s="276"/>
      <c r="I905" s="276"/>
      <c r="J905" s="276"/>
      <c r="K905" s="276"/>
      <c r="L905" s="276"/>
      <c r="M905" s="276"/>
      <c r="N905" s="276"/>
      <c r="O905" s="276"/>
      <c r="P905" s="276"/>
      <c r="Q905" s="276"/>
      <c r="R905" s="276"/>
      <c r="S905" s="276"/>
      <c r="T905" s="276"/>
      <c r="U905" s="276"/>
      <c r="V905" s="276"/>
      <c r="W905" s="276"/>
      <c r="X905" s="276"/>
      <c r="Y905" s="276"/>
      <c r="Z905" s="276"/>
    </row>
    <row r="906" spans="1:26" ht="14.25" customHeight="1" x14ac:dyDescent="0.3">
      <c r="A906" s="307"/>
      <c r="B906" s="276"/>
      <c r="C906" s="276"/>
      <c r="D906" s="276"/>
      <c r="E906" s="276"/>
      <c r="F906" s="276"/>
      <c r="G906" s="276"/>
      <c r="H906" s="276"/>
      <c r="I906" s="276"/>
      <c r="J906" s="276"/>
      <c r="K906" s="276"/>
      <c r="L906" s="276"/>
      <c r="M906" s="276"/>
      <c r="N906" s="276"/>
      <c r="O906" s="276"/>
      <c r="P906" s="276"/>
      <c r="Q906" s="276"/>
      <c r="R906" s="276"/>
      <c r="S906" s="276"/>
      <c r="T906" s="276"/>
      <c r="U906" s="276"/>
      <c r="V906" s="276"/>
      <c r="W906" s="276"/>
      <c r="X906" s="276"/>
      <c r="Y906" s="276"/>
      <c r="Z906" s="276"/>
    </row>
    <row r="907" spans="1:26" ht="14.25" customHeight="1" x14ac:dyDescent="0.3">
      <c r="A907" s="307"/>
      <c r="B907" s="276"/>
      <c r="C907" s="276"/>
      <c r="D907" s="276"/>
      <c r="E907" s="276"/>
      <c r="F907" s="276"/>
      <c r="G907" s="276"/>
      <c r="H907" s="276"/>
      <c r="I907" s="276"/>
      <c r="J907" s="276"/>
      <c r="K907" s="276"/>
      <c r="L907" s="276"/>
      <c r="M907" s="276"/>
      <c r="N907" s="276"/>
      <c r="O907" s="276"/>
      <c r="P907" s="276"/>
      <c r="Q907" s="276"/>
      <c r="R907" s="276"/>
      <c r="S907" s="276"/>
      <c r="T907" s="276"/>
      <c r="U907" s="276"/>
      <c r="V907" s="276"/>
      <c r="W907" s="276"/>
      <c r="X907" s="276"/>
      <c r="Y907" s="276"/>
      <c r="Z907" s="276"/>
    </row>
    <row r="908" spans="1:26" ht="14.25" customHeight="1" x14ac:dyDescent="0.3">
      <c r="A908" s="307"/>
      <c r="B908" s="276"/>
      <c r="C908" s="276"/>
      <c r="D908" s="276"/>
      <c r="E908" s="276"/>
      <c r="F908" s="276"/>
      <c r="G908" s="276"/>
      <c r="H908" s="276"/>
      <c r="I908" s="276"/>
      <c r="J908" s="276"/>
      <c r="K908" s="276"/>
      <c r="L908" s="276"/>
      <c r="M908" s="276"/>
      <c r="N908" s="276"/>
      <c r="O908" s="276"/>
      <c r="P908" s="276"/>
      <c r="Q908" s="276"/>
      <c r="R908" s="276"/>
      <c r="S908" s="276"/>
      <c r="T908" s="276"/>
      <c r="U908" s="276"/>
      <c r="V908" s="276"/>
      <c r="W908" s="276"/>
      <c r="X908" s="276"/>
      <c r="Y908" s="276"/>
      <c r="Z908" s="276"/>
    </row>
    <row r="909" spans="1:26" ht="14.25" customHeight="1" x14ac:dyDescent="0.3">
      <c r="A909" s="307"/>
      <c r="B909" s="276"/>
      <c r="C909" s="276"/>
      <c r="D909" s="276"/>
      <c r="E909" s="276"/>
      <c r="F909" s="276"/>
      <c r="G909" s="276"/>
      <c r="H909" s="276"/>
      <c r="I909" s="276"/>
      <c r="J909" s="276"/>
      <c r="K909" s="276"/>
      <c r="L909" s="276"/>
      <c r="M909" s="276"/>
      <c r="N909" s="276"/>
      <c r="O909" s="276"/>
      <c r="P909" s="276"/>
      <c r="Q909" s="276"/>
      <c r="R909" s="276"/>
      <c r="S909" s="276"/>
      <c r="T909" s="276"/>
      <c r="U909" s="276"/>
      <c r="V909" s="276"/>
      <c r="W909" s="276"/>
      <c r="X909" s="276"/>
      <c r="Y909" s="276"/>
      <c r="Z909" s="276"/>
    </row>
    <row r="910" spans="1:26" ht="14.25" customHeight="1" x14ac:dyDescent="0.3">
      <c r="A910" s="307"/>
      <c r="B910" s="276"/>
      <c r="C910" s="276"/>
      <c r="D910" s="276"/>
      <c r="E910" s="276"/>
      <c r="F910" s="276"/>
      <c r="G910" s="276"/>
      <c r="H910" s="276"/>
      <c r="I910" s="276"/>
      <c r="J910" s="276"/>
      <c r="K910" s="276"/>
      <c r="L910" s="276"/>
      <c r="M910" s="276"/>
      <c r="N910" s="276"/>
      <c r="O910" s="276"/>
      <c r="P910" s="276"/>
      <c r="Q910" s="276"/>
      <c r="R910" s="276"/>
      <c r="S910" s="276"/>
      <c r="T910" s="276"/>
      <c r="U910" s="276"/>
      <c r="V910" s="276"/>
      <c r="W910" s="276"/>
      <c r="X910" s="276"/>
      <c r="Y910" s="276"/>
      <c r="Z910" s="276"/>
    </row>
    <row r="911" spans="1:26" ht="14.25" customHeight="1" x14ac:dyDescent="0.3">
      <c r="A911" s="307"/>
      <c r="B911" s="276"/>
      <c r="C911" s="276"/>
      <c r="D911" s="276"/>
      <c r="E911" s="276"/>
      <c r="F911" s="276"/>
      <c r="G911" s="276"/>
      <c r="H911" s="276"/>
      <c r="I911" s="276"/>
      <c r="J911" s="276"/>
      <c r="K911" s="276"/>
      <c r="L911" s="276"/>
      <c r="M911" s="276"/>
      <c r="N911" s="276"/>
      <c r="O911" s="276"/>
      <c r="P911" s="276"/>
      <c r="Q911" s="276"/>
      <c r="R911" s="276"/>
      <c r="S911" s="276"/>
      <c r="T911" s="276"/>
      <c r="U911" s="276"/>
      <c r="V911" s="276"/>
      <c r="W911" s="276"/>
      <c r="X911" s="276"/>
      <c r="Y911" s="276"/>
      <c r="Z911" s="276"/>
    </row>
    <row r="912" spans="1:26" ht="14.25" customHeight="1" x14ac:dyDescent="0.3">
      <c r="A912" s="307"/>
      <c r="B912" s="276"/>
      <c r="C912" s="276"/>
      <c r="D912" s="276"/>
      <c r="E912" s="276"/>
      <c r="F912" s="276"/>
      <c r="G912" s="276"/>
      <c r="H912" s="276"/>
      <c r="I912" s="276"/>
      <c r="J912" s="276"/>
      <c r="K912" s="276"/>
      <c r="L912" s="276"/>
      <c r="M912" s="276"/>
      <c r="N912" s="276"/>
      <c r="O912" s="276"/>
      <c r="P912" s="276"/>
      <c r="Q912" s="276"/>
      <c r="R912" s="276"/>
      <c r="S912" s="276"/>
      <c r="T912" s="276"/>
      <c r="U912" s="276"/>
      <c r="V912" s="276"/>
      <c r="W912" s="276"/>
      <c r="X912" s="276"/>
      <c r="Y912" s="276"/>
      <c r="Z912" s="276"/>
    </row>
    <row r="913" spans="1:26" ht="14.25" customHeight="1" x14ac:dyDescent="0.3">
      <c r="A913" s="307"/>
      <c r="B913" s="276"/>
      <c r="C913" s="276"/>
      <c r="D913" s="276"/>
      <c r="E913" s="276"/>
      <c r="F913" s="276"/>
      <c r="G913" s="276"/>
      <c r="H913" s="276"/>
      <c r="I913" s="276"/>
      <c r="J913" s="276"/>
      <c r="K913" s="276"/>
      <c r="L913" s="276"/>
      <c r="M913" s="276"/>
      <c r="N913" s="276"/>
      <c r="O913" s="276"/>
      <c r="P913" s="276"/>
      <c r="Q913" s="276"/>
      <c r="R913" s="276"/>
      <c r="S913" s="276"/>
      <c r="T913" s="276"/>
      <c r="U913" s="276"/>
      <c r="V913" s="276"/>
      <c r="W913" s="276"/>
      <c r="X913" s="276"/>
      <c r="Y913" s="276"/>
      <c r="Z913" s="276"/>
    </row>
    <row r="914" spans="1:26" ht="14.25" customHeight="1" x14ac:dyDescent="0.3">
      <c r="A914" s="307"/>
      <c r="B914" s="276"/>
      <c r="C914" s="276"/>
      <c r="D914" s="276"/>
      <c r="E914" s="276"/>
      <c r="F914" s="276"/>
      <c r="G914" s="276"/>
      <c r="H914" s="276"/>
      <c r="I914" s="276"/>
      <c r="J914" s="276"/>
      <c r="K914" s="276"/>
      <c r="L914" s="276"/>
      <c r="M914" s="276"/>
      <c r="N914" s="276"/>
      <c r="O914" s="276"/>
      <c r="P914" s="276"/>
      <c r="Q914" s="276"/>
      <c r="R914" s="276"/>
      <c r="S914" s="276"/>
      <c r="T914" s="276"/>
      <c r="U914" s="276"/>
      <c r="V914" s="276"/>
      <c r="W914" s="276"/>
      <c r="X914" s="276"/>
      <c r="Y914" s="276"/>
      <c r="Z914" s="276"/>
    </row>
    <row r="915" spans="1:26" ht="14.25" customHeight="1" x14ac:dyDescent="0.3">
      <c r="A915" s="307"/>
      <c r="B915" s="276"/>
      <c r="C915" s="276"/>
      <c r="D915" s="276"/>
      <c r="E915" s="276"/>
      <c r="F915" s="276"/>
      <c r="G915" s="276"/>
      <c r="H915" s="276"/>
      <c r="I915" s="276"/>
      <c r="J915" s="276"/>
      <c r="K915" s="276"/>
      <c r="L915" s="276"/>
      <c r="M915" s="276"/>
      <c r="N915" s="276"/>
      <c r="O915" s="276"/>
      <c r="P915" s="276"/>
      <c r="Q915" s="276"/>
      <c r="R915" s="276"/>
      <c r="S915" s="276"/>
      <c r="T915" s="276"/>
      <c r="U915" s="276"/>
      <c r="V915" s="276"/>
      <c r="W915" s="276"/>
      <c r="X915" s="276"/>
      <c r="Y915" s="276"/>
      <c r="Z915" s="276"/>
    </row>
    <row r="916" spans="1:26" ht="14.25" customHeight="1" x14ac:dyDescent="0.3">
      <c r="A916" s="307"/>
      <c r="B916" s="276"/>
      <c r="C916" s="276"/>
      <c r="D916" s="276"/>
      <c r="E916" s="276"/>
      <c r="F916" s="276"/>
      <c r="G916" s="276"/>
      <c r="H916" s="276"/>
      <c r="I916" s="276"/>
      <c r="J916" s="276"/>
      <c r="K916" s="276"/>
      <c r="L916" s="276"/>
      <c r="M916" s="276"/>
      <c r="N916" s="276"/>
      <c r="O916" s="276"/>
      <c r="P916" s="276"/>
      <c r="Q916" s="276"/>
      <c r="R916" s="276"/>
      <c r="S916" s="276"/>
      <c r="T916" s="276"/>
      <c r="U916" s="276"/>
      <c r="V916" s="276"/>
      <c r="W916" s="276"/>
      <c r="X916" s="276"/>
      <c r="Y916" s="276"/>
      <c r="Z916" s="276"/>
    </row>
    <row r="917" spans="1:26" ht="14.25" customHeight="1" x14ac:dyDescent="0.3">
      <c r="A917" s="307"/>
      <c r="B917" s="276"/>
      <c r="C917" s="276"/>
      <c r="D917" s="276"/>
      <c r="E917" s="276"/>
      <c r="F917" s="276"/>
      <c r="G917" s="276"/>
      <c r="H917" s="276"/>
      <c r="I917" s="276"/>
      <c r="J917" s="276"/>
      <c r="K917" s="276"/>
      <c r="L917" s="276"/>
      <c r="M917" s="276"/>
      <c r="N917" s="276"/>
      <c r="O917" s="276"/>
      <c r="P917" s="276"/>
      <c r="Q917" s="276"/>
      <c r="R917" s="276"/>
      <c r="S917" s="276"/>
      <c r="T917" s="276"/>
      <c r="U917" s="276"/>
      <c r="V917" s="276"/>
      <c r="W917" s="276"/>
      <c r="X917" s="276"/>
      <c r="Y917" s="276"/>
      <c r="Z917" s="276"/>
    </row>
    <row r="918" spans="1:26" ht="14.25" customHeight="1" x14ac:dyDescent="0.3">
      <c r="A918" s="307"/>
      <c r="B918" s="276"/>
      <c r="C918" s="276"/>
      <c r="D918" s="276"/>
      <c r="E918" s="276"/>
      <c r="F918" s="276"/>
      <c r="G918" s="276"/>
      <c r="H918" s="276"/>
      <c r="I918" s="276"/>
      <c r="J918" s="276"/>
      <c r="K918" s="276"/>
      <c r="L918" s="276"/>
      <c r="M918" s="276"/>
      <c r="N918" s="276"/>
      <c r="O918" s="276"/>
      <c r="P918" s="276"/>
      <c r="Q918" s="276"/>
      <c r="R918" s="276"/>
      <c r="S918" s="276"/>
      <c r="T918" s="276"/>
      <c r="U918" s="276"/>
      <c r="V918" s="276"/>
      <c r="W918" s="276"/>
      <c r="X918" s="276"/>
      <c r="Y918" s="276"/>
      <c r="Z918" s="276"/>
    </row>
    <row r="919" spans="1:26" ht="14.25" customHeight="1" x14ac:dyDescent="0.3">
      <c r="A919" s="307"/>
      <c r="B919" s="276"/>
      <c r="C919" s="276"/>
      <c r="D919" s="276"/>
      <c r="E919" s="276"/>
      <c r="F919" s="276"/>
      <c r="G919" s="276"/>
      <c r="H919" s="276"/>
      <c r="I919" s="276"/>
      <c r="J919" s="276"/>
      <c r="K919" s="276"/>
      <c r="L919" s="276"/>
      <c r="M919" s="276"/>
      <c r="N919" s="276"/>
      <c r="O919" s="276"/>
      <c r="P919" s="276"/>
      <c r="Q919" s="276"/>
      <c r="R919" s="276"/>
      <c r="S919" s="276"/>
      <c r="T919" s="276"/>
      <c r="U919" s="276"/>
      <c r="V919" s="276"/>
      <c r="W919" s="276"/>
      <c r="X919" s="276"/>
      <c r="Y919" s="276"/>
      <c r="Z919" s="276"/>
    </row>
    <row r="920" spans="1:26" ht="14.25" customHeight="1" x14ac:dyDescent="0.3">
      <c r="A920" s="307"/>
      <c r="B920" s="276"/>
      <c r="C920" s="276"/>
      <c r="D920" s="276"/>
      <c r="E920" s="276"/>
      <c r="F920" s="276"/>
      <c r="G920" s="276"/>
      <c r="H920" s="276"/>
      <c r="I920" s="276"/>
      <c r="J920" s="276"/>
      <c r="K920" s="276"/>
      <c r="L920" s="276"/>
      <c r="M920" s="276"/>
      <c r="N920" s="276"/>
      <c r="O920" s="276"/>
      <c r="P920" s="276"/>
      <c r="Q920" s="276"/>
      <c r="R920" s="276"/>
      <c r="S920" s="276"/>
      <c r="T920" s="276"/>
      <c r="U920" s="276"/>
      <c r="V920" s="276"/>
      <c r="W920" s="276"/>
      <c r="X920" s="276"/>
      <c r="Y920" s="276"/>
      <c r="Z920" s="276"/>
    </row>
    <row r="921" spans="1:26" ht="14.25" customHeight="1" x14ac:dyDescent="0.3">
      <c r="A921" s="307"/>
      <c r="B921" s="276"/>
      <c r="C921" s="276"/>
      <c r="D921" s="276"/>
      <c r="E921" s="276"/>
      <c r="F921" s="276"/>
      <c r="G921" s="276"/>
      <c r="H921" s="276"/>
      <c r="I921" s="276"/>
      <c r="J921" s="276"/>
      <c r="K921" s="276"/>
      <c r="L921" s="276"/>
      <c r="M921" s="276"/>
      <c r="N921" s="276"/>
      <c r="O921" s="276"/>
      <c r="P921" s="276"/>
      <c r="Q921" s="276"/>
      <c r="R921" s="276"/>
      <c r="S921" s="276"/>
      <c r="T921" s="276"/>
      <c r="U921" s="276"/>
      <c r="V921" s="276"/>
      <c r="W921" s="276"/>
      <c r="X921" s="276"/>
      <c r="Y921" s="276"/>
      <c r="Z921" s="276"/>
    </row>
    <row r="922" spans="1:26" ht="14.25" customHeight="1" x14ac:dyDescent="0.3">
      <c r="A922" s="307"/>
      <c r="B922" s="276"/>
      <c r="C922" s="276"/>
      <c r="D922" s="276"/>
      <c r="E922" s="276"/>
      <c r="F922" s="276"/>
      <c r="G922" s="276"/>
      <c r="H922" s="276"/>
      <c r="I922" s="276"/>
      <c r="J922" s="276"/>
      <c r="K922" s="276"/>
      <c r="L922" s="276"/>
      <c r="M922" s="276"/>
      <c r="N922" s="276"/>
      <c r="O922" s="276"/>
      <c r="P922" s="276"/>
      <c r="Q922" s="276"/>
      <c r="R922" s="276"/>
      <c r="S922" s="276"/>
      <c r="T922" s="276"/>
      <c r="U922" s="276"/>
      <c r="V922" s="276"/>
      <c r="W922" s="276"/>
      <c r="X922" s="276"/>
      <c r="Y922" s="276"/>
      <c r="Z922" s="276"/>
    </row>
    <row r="923" spans="1:26" ht="14.25" customHeight="1" x14ac:dyDescent="0.3">
      <c r="A923" s="307"/>
      <c r="B923" s="276"/>
      <c r="C923" s="276"/>
      <c r="D923" s="276"/>
      <c r="E923" s="276"/>
      <c r="F923" s="276"/>
      <c r="G923" s="276"/>
      <c r="H923" s="276"/>
      <c r="I923" s="276"/>
      <c r="J923" s="276"/>
      <c r="K923" s="276"/>
      <c r="L923" s="276"/>
      <c r="M923" s="276"/>
      <c r="N923" s="276"/>
      <c r="O923" s="276"/>
      <c r="P923" s="276"/>
      <c r="Q923" s="276"/>
      <c r="R923" s="276"/>
      <c r="S923" s="276"/>
      <c r="T923" s="276"/>
      <c r="U923" s="276"/>
      <c r="V923" s="276"/>
      <c r="W923" s="276"/>
      <c r="X923" s="276"/>
      <c r="Y923" s="276"/>
      <c r="Z923" s="276"/>
    </row>
    <row r="924" spans="1:26" ht="14.25" customHeight="1" x14ac:dyDescent="0.3">
      <c r="A924" s="307"/>
      <c r="B924" s="276"/>
      <c r="C924" s="276"/>
      <c r="D924" s="276"/>
      <c r="E924" s="276"/>
      <c r="F924" s="276"/>
      <c r="G924" s="276"/>
      <c r="H924" s="276"/>
      <c r="I924" s="276"/>
      <c r="J924" s="276"/>
      <c r="K924" s="276"/>
      <c r="L924" s="276"/>
      <c r="M924" s="276"/>
      <c r="N924" s="276"/>
      <c r="O924" s="276"/>
      <c r="P924" s="276"/>
      <c r="Q924" s="276"/>
      <c r="R924" s="276"/>
      <c r="S924" s="276"/>
      <c r="T924" s="276"/>
      <c r="U924" s="276"/>
      <c r="V924" s="276"/>
      <c r="W924" s="276"/>
      <c r="X924" s="276"/>
      <c r="Y924" s="276"/>
      <c r="Z924" s="276"/>
    </row>
    <row r="925" spans="1:26" ht="14.25" customHeight="1" x14ac:dyDescent="0.3">
      <c r="A925" s="307"/>
      <c r="B925" s="276"/>
      <c r="C925" s="276"/>
      <c r="D925" s="276"/>
      <c r="E925" s="276"/>
      <c r="F925" s="276"/>
      <c r="G925" s="276"/>
      <c r="H925" s="276"/>
      <c r="I925" s="276"/>
      <c r="J925" s="276"/>
      <c r="K925" s="276"/>
      <c r="L925" s="276"/>
      <c r="M925" s="276"/>
      <c r="N925" s="276"/>
      <c r="O925" s="276"/>
      <c r="P925" s="276"/>
      <c r="Q925" s="276"/>
      <c r="R925" s="276"/>
      <c r="S925" s="276"/>
      <c r="T925" s="276"/>
      <c r="U925" s="276"/>
      <c r="V925" s="276"/>
      <c r="W925" s="276"/>
      <c r="X925" s="276"/>
      <c r="Y925" s="276"/>
      <c r="Z925" s="276"/>
    </row>
    <row r="926" spans="1:26" ht="14.25" customHeight="1" x14ac:dyDescent="0.3">
      <c r="A926" s="307"/>
      <c r="B926" s="276"/>
      <c r="C926" s="276"/>
      <c r="D926" s="276"/>
      <c r="E926" s="276"/>
      <c r="F926" s="276"/>
      <c r="G926" s="276"/>
      <c r="H926" s="276"/>
      <c r="I926" s="276"/>
      <c r="J926" s="276"/>
      <c r="K926" s="276"/>
      <c r="L926" s="276"/>
      <c r="M926" s="276"/>
      <c r="N926" s="276"/>
      <c r="O926" s="276"/>
      <c r="P926" s="276"/>
      <c r="Q926" s="276"/>
      <c r="R926" s="276"/>
      <c r="S926" s="276"/>
      <c r="T926" s="276"/>
      <c r="U926" s="276"/>
      <c r="V926" s="276"/>
      <c r="W926" s="276"/>
      <c r="X926" s="276"/>
      <c r="Y926" s="276"/>
      <c r="Z926" s="276"/>
    </row>
    <row r="927" spans="1:26" ht="14.25" customHeight="1" x14ac:dyDescent="0.3">
      <c r="A927" s="307"/>
      <c r="B927" s="276"/>
      <c r="C927" s="276"/>
      <c r="D927" s="276"/>
      <c r="E927" s="276"/>
      <c r="F927" s="276"/>
      <c r="G927" s="276"/>
      <c r="H927" s="276"/>
      <c r="I927" s="276"/>
      <c r="J927" s="276"/>
      <c r="K927" s="276"/>
      <c r="L927" s="276"/>
      <c r="M927" s="276"/>
      <c r="N927" s="276"/>
      <c r="O927" s="276"/>
      <c r="P927" s="276"/>
      <c r="Q927" s="276"/>
      <c r="R927" s="276"/>
      <c r="S927" s="276"/>
      <c r="T927" s="276"/>
      <c r="U927" s="276"/>
      <c r="V927" s="276"/>
      <c r="W927" s="276"/>
      <c r="X927" s="276"/>
      <c r="Y927" s="276"/>
      <c r="Z927" s="276"/>
    </row>
    <row r="928" spans="1:26" ht="14.25" customHeight="1" x14ac:dyDescent="0.3">
      <c r="A928" s="307"/>
      <c r="B928" s="276"/>
      <c r="C928" s="276"/>
      <c r="D928" s="276"/>
      <c r="E928" s="276"/>
      <c r="F928" s="276"/>
      <c r="G928" s="276"/>
      <c r="H928" s="276"/>
      <c r="I928" s="276"/>
      <c r="J928" s="276"/>
      <c r="K928" s="276"/>
      <c r="L928" s="276"/>
      <c r="M928" s="276"/>
      <c r="N928" s="276"/>
      <c r="O928" s="276"/>
      <c r="P928" s="276"/>
      <c r="Q928" s="276"/>
      <c r="R928" s="276"/>
      <c r="S928" s="276"/>
      <c r="T928" s="276"/>
      <c r="U928" s="276"/>
      <c r="V928" s="276"/>
      <c r="W928" s="276"/>
      <c r="X928" s="276"/>
      <c r="Y928" s="276"/>
      <c r="Z928" s="276"/>
    </row>
    <row r="929" spans="1:26" ht="14.25" customHeight="1" x14ac:dyDescent="0.3">
      <c r="A929" s="307"/>
      <c r="B929" s="276"/>
      <c r="C929" s="276"/>
      <c r="D929" s="276"/>
      <c r="E929" s="276"/>
      <c r="F929" s="276"/>
      <c r="G929" s="276"/>
      <c r="H929" s="276"/>
      <c r="I929" s="276"/>
      <c r="J929" s="276"/>
      <c r="K929" s="276"/>
      <c r="L929" s="276"/>
      <c r="M929" s="276"/>
      <c r="N929" s="276"/>
      <c r="O929" s="276"/>
      <c r="P929" s="276"/>
      <c r="Q929" s="276"/>
      <c r="R929" s="276"/>
      <c r="S929" s="276"/>
      <c r="T929" s="276"/>
      <c r="U929" s="276"/>
      <c r="V929" s="276"/>
      <c r="W929" s="276"/>
      <c r="X929" s="276"/>
      <c r="Y929" s="276"/>
      <c r="Z929" s="276"/>
    </row>
    <row r="930" spans="1:26" ht="14.25" customHeight="1" x14ac:dyDescent="0.3">
      <c r="A930" s="307"/>
      <c r="B930" s="276"/>
      <c r="C930" s="276"/>
      <c r="D930" s="276"/>
      <c r="E930" s="276"/>
      <c r="F930" s="276"/>
      <c r="G930" s="276"/>
      <c r="H930" s="276"/>
      <c r="I930" s="276"/>
      <c r="J930" s="276"/>
      <c r="K930" s="276"/>
      <c r="L930" s="276"/>
      <c r="M930" s="276"/>
      <c r="N930" s="276"/>
      <c r="O930" s="276"/>
      <c r="P930" s="276"/>
      <c r="Q930" s="276"/>
      <c r="R930" s="276"/>
      <c r="S930" s="276"/>
      <c r="T930" s="276"/>
      <c r="U930" s="276"/>
      <c r="V930" s="276"/>
      <c r="W930" s="276"/>
      <c r="X930" s="276"/>
      <c r="Y930" s="276"/>
      <c r="Z930" s="276"/>
    </row>
    <row r="931" spans="1:26" ht="14.25" customHeight="1" x14ac:dyDescent="0.3">
      <c r="A931" s="307"/>
      <c r="B931" s="276"/>
      <c r="C931" s="276"/>
      <c r="D931" s="276"/>
      <c r="E931" s="276"/>
      <c r="F931" s="276"/>
      <c r="G931" s="276"/>
      <c r="H931" s="276"/>
      <c r="I931" s="276"/>
      <c r="J931" s="276"/>
      <c r="K931" s="276"/>
      <c r="L931" s="276"/>
      <c r="M931" s="276"/>
      <c r="N931" s="276"/>
      <c r="O931" s="276"/>
      <c r="P931" s="276"/>
      <c r="Q931" s="276"/>
      <c r="R931" s="276"/>
      <c r="S931" s="276"/>
      <c r="T931" s="276"/>
      <c r="U931" s="276"/>
      <c r="V931" s="276"/>
      <c r="W931" s="276"/>
      <c r="X931" s="276"/>
      <c r="Y931" s="276"/>
      <c r="Z931" s="276"/>
    </row>
    <row r="932" spans="1:26" ht="14.25" customHeight="1" x14ac:dyDescent="0.3">
      <c r="A932" s="307"/>
      <c r="B932" s="276"/>
      <c r="C932" s="276"/>
      <c r="D932" s="276"/>
      <c r="E932" s="276"/>
      <c r="F932" s="276"/>
      <c r="G932" s="276"/>
      <c r="H932" s="276"/>
      <c r="I932" s="276"/>
      <c r="J932" s="276"/>
      <c r="K932" s="276"/>
      <c r="L932" s="276"/>
      <c r="M932" s="276"/>
      <c r="N932" s="276"/>
      <c r="O932" s="276"/>
      <c r="P932" s="276"/>
      <c r="Q932" s="276"/>
      <c r="R932" s="276"/>
      <c r="S932" s="276"/>
      <c r="T932" s="276"/>
      <c r="U932" s="276"/>
      <c r="V932" s="276"/>
      <c r="W932" s="276"/>
      <c r="X932" s="276"/>
      <c r="Y932" s="276"/>
      <c r="Z932" s="276"/>
    </row>
    <row r="933" spans="1:26" ht="14.25" customHeight="1" x14ac:dyDescent="0.3">
      <c r="A933" s="307"/>
      <c r="B933" s="276"/>
      <c r="C933" s="276"/>
      <c r="D933" s="276"/>
      <c r="E933" s="276"/>
      <c r="F933" s="276"/>
      <c r="G933" s="276"/>
      <c r="H933" s="276"/>
      <c r="I933" s="276"/>
      <c r="J933" s="276"/>
      <c r="K933" s="276"/>
      <c r="L933" s="276"/>
      <c r="M933" s="276"/>
      <c r="N933" s="276"/>
      <c r="O933" s="276"/>
      <c r="P933" s="276"/>
      <c r="Q933" s="276"/>
      <c r="R933" s="276"/>
      <c r="S933" s="276"/>
      <c r="T933" s="276"/>
      <c r="U933" s="276"/>
      <c r="V933" s="276"/>
      <c r="W933" s="276"/>
      <c r="X933" s="276"/>
      <c r="Y933" s="276"/>
      <c r="Z933" s="276"/>
    </row>
    <row r="934" spans="1:26" ht="14.25" customHeight="1" x14ac:dyDescent="0.3">
      <c r="A934" s="307"/>
      <c r="B934" s="276"/>
      <c r="C934" s="276"/>
      <c r="D934" s="276"/>
      <c r="E934" s="276"/>
      <c r="F934" s="276"/>
      <c r="G934" s="276"/>
      <c r="H934" s="276"/>
      <c r="I934" s="276"/>
      <c r="J934" s="276"/>
      <c r="K934" s="276"/>
      <c r="L934" s="276"/>
      <c r="M934" s="276"/>
      <c r="N934" s="276"/>
      <c r="O934" s="276"/>
      <c r="P934" s="276"/>
      <c r="Q934" s="276"/>
      <c r="R934" s="276"/>
      <c r="S934" s="276"/>
      <c r="T934" s="276"/>
      <c r="U934" s="276"/>
      <c r="V934" s="276"/>
      <c r="W934" s="276"/>
      <c r="X934" s="276"/>
      <c r="Y934" s="276"/>
      <c r="Z934" s="276"/>
    </row>
    <row r="935" spans="1:26" ht="14.25" customHeight="1" x14ac:dyDescent="0.3">
      <c r="A935" s="307"/>
      <c r="B935" s="276"/>
      <c r="C935" s="276"/>
      <c r="D935" s="276"/>
      <c r="E935" s="276"/>
      <c r="F935" s="276"/>
      <c r="G935" s="276"/>
      <c r="H935" s="276"/>
      <c r="I935" s="276"/>
      <c r="J935" s="276"/>
      <c r="K935" s="276"/>
      <c r="L935" s="276"/>
      <c r="M935" s="276"/>
      <c r="N935" s="276"/>
      <c r="O935" s="276"/>
      <c r="P935" s="276"/>
      <c r="Q935" s="276"/>
      <c r="R935" s="276"/>
      <c r="S935" s="276"/>
      <c r="T935" s="276"/>
      <c r="U935" s="276"/>
      <c r="V935" s="276"/>
      <c r="W935" s="276"/>
      <c r="X935" s="276"/>
      <c r="Y935" s="276"/>
      <c r="Z935" s="276"/>
    </row>
    <row r="936" spans="1:26" ht="14.25" customHeight="1" x14ac:dyDescent="0.3">
      <c r="A936" s="307"/>
      <c r="B936" s="276"/>
      <c r="C936" s="276"/>
      <c r="D936" s="276"/>
      <c r="E936" s="276"/>
      <c r="F936" s="276"/>
      <c r="G936" s="276"/>
      <c r="H936" s="276"/>
      <c r="I936" s="276"/>
      <c r="J936" s="276"/>
      <c r="K936" s="276"/>
      <c r="L936" s="276"/>
      <c r="M936" s="276"/>
      <c r="N936" s="276"/>
      <c r="O936" s="276"/>
      <c r="P936" s="276"/>
      <c r="Q936" s="276"/>
      <c r="R936" s="276"/>
      <c r="S936" s="276"/>
      <c r="T936" s="276"/>
      <c r="U936" s="276"/>
      <c r="V936" s="276"/>
      <c r="W936" s="276"/>
      <c r="X936" s="276"/>
      <c r="Y936" s="276"/>
      <c r="Z936" s="276"/>
    </row>
    <row r="937" spans="1:26" ht="14.25" customHeight="1" x14ac:dyDescent="0.3">
      <c r="A937" s="307"/>
      <c r="B937" s="276"/>
      <c r="C937" s="276"/>
      <c r="D937" s="276"/>
      <c r="E937" s="276"/>
      <c r="F937" s="276"/>
      <c r="G937" s="276"/>
      <c r="H937" s="276"/>
      <c r="I937" s="276"/>
      <c r="J937" s="276"/>
      <c r="K937" s="276"/>
      <c r="L937" s="276"/>
      <c r="M937" s="276"/>
      <c r="N937" s="276"/>
      <c r="O937" s="276"/>
      <c r="P937" s="276"/>
      <c r="Q937" s="276"/>
      <c r="R937" s="276"/>
      <c r="S937" s="276"/>
      <c r="T937" s="276"/>
      <c r="U937" s="276"/>
      <c r="V937" s="276"/>
      <c r="W937" s="276"/>
      <c r="X937" s="276"/>
      <c r="Y937" s="276"/>
      <c r="Z937" s="276"/>
    </row>
    <row r="938" spans="1:26" ht="14.25" customHeight="1" x14ac:dyDescent="0.3">
      <c r="A938" s="307"/>
      <c r="B938" s="276"/>
      <c r="C938" s="276"/>
      <c r="D938" s="276"/>
      <c r="E938" s="276"/>
      <c r="F938" s="276"/>
      <c r="G938" s="276"/>
      <c r="H938" s="276"/>
      <c r="I938" s="276"/>
      <c r="J938" s="276"/>
      <c r="K938" s="276"/>
      <c r="L938" s="276"/>
      <c r="M938" s="276"/>
      <c r="N938" s="276"/>
      <c r="O938" s="276"/>
      <c r="P938" s="276"/>
      <c r="Q938" s="276"/>
      <c r="R938" s="276"/>
      <c r="S938" s="276"/>
      <c r="T938" s="276"/>
      <c r="U938" s="276"/>
      <c r="V938" s="276"/>
      <c r="W938" s="276"/>
      <c r="X938" s="276"/>
      <c r="Y938" s="276"/>
      <c r="Z938" s="276"/>
    </row>
    <row r="939" spans="1:26" ht="14.25" customHeight="1" x14ac:dyDescent="0.3">
      <c r="A939" s="307"/>
      <c r="B939" s="276"/>
      <c r="C939" s="276"/>
      <c r="D939" s="276"/>
      <c r="E939" s="276"/>
      <c r="F939" s="276"/>
      <c r="G939" s="276"/>
      <c r="H939" s="276"/>
      <c r="I939" s="276"/>
      <c r="J939" s="276"/>
      <c r="K939" s="276"/>
      <c r="L939" s="276"/>
      <c r="M939" s="276"/>
      <c r="N939" s="276"/>
      <c r="O939" s="276"/>
      <c r="P939" s="276"/>
      <c r="Q939" s="276"/>
      <c r="R939" s="276"/>
      <c r="S939" s="276"/>
      <c r="T939" s="276"/>
      <c r="U939" s="276"/>
      <c r="V939" s="276"/>
      <c r="W939" s="276"/>
      <c r="X939" s="276"/>
      <c r="Y939" s="276"/>
      <c r="Z939" s="276"/>
    </row>
    <row r="940" spans="1:26" ht="14.25" customHeight="1" x14ac:dyDescent="0.3">
      <c r="A940" s="307"/>
      <c r="B940" s="276"/>
      <c r="C940" s="276"/>
      <c r="D940" s="276"/>
      <c r="E940" s="276"/>
      <c r="F940" s="276"/>
      <c r="G940" s="276"/>
      <c r="H940" s="276"/>
      <c r="I940" s="276"/>
      <c r="J940" s="276"/>
      <c r="K940" s="276"/>
      <c r="L940" s="276"/>
      <c r="M940" s="276"/>
      <c r="N940" s="276"/>
      <c r="O940" s="276"/>
      <c r="P940" s="276"/>
      <c r="Q940" s="276"/>
      <c r="R940" s="276"/>
      <c r="S940" s="276"/>
      <c r="T940" s="276"/>
      <c r="U940" s="276"/>
      <c r="V940" s="276"/>
      <c r="W940" s="276"/>
      <c r="X940" s="276"/>
      <c r="Y940" s="276"/>
      <c r="Z940" s="276"/>
    </row>
    <row r="941" spans="1:26" ht="14.25" customHeight="1" x14ac:dyDescent="0.3">
      <c r="A941" s="307"/>
      <c r="B941" s="276"/>
      <c r="C941" s="276"/>
      <c r="D941" s="276"/>
      <c r="E941" s="276"/>
      <c r="F941" s="276"/>
      <c r="G941" s="276"/>
      <c r="H941" s="276"/>
      <c r="I941" s="276"/>
      <c r="J941" s="276"/>
      <c r="K941" s="276"/>
      <c r="L941" s="276"/>
      <c r="M941" s="276"/>
      <c r="N941" s="276"/>
      <c r="O941" s="276"/>
      <c r="P941" s="276"/>
      <c r="Q941" s="276"/>
      <c r="R941" s="276"/>
      <c r="S941" s="276"/>
      <c r="T941" s="276"/>
      <c r="U941" s="276"/>
      <c r="V941" s="276"/>
      <c r="W941" s="276"/>
      <c r="X941" s="276"/>
      <c r="Y941" s="276"/>
      <c r="Z941" s="276"/>
    </row>
    <row r="942" spans="1:26" ht="14.25" customHeight="1" x14ac:dyDescent="0.3">
      <c r="A942" s="307"/>
      <c r="B942" s="276"/>
      <c r="C942" s="276"/>
      <c r="D942" s="276"/>
      <c r="E942" s="276"/>
      <c r="F942" s="276"/>
      <c r="G942" s="276"/>
      <c r="H942" s="276"/>
      <c r="I942" s="276"/>
      <c r="J942" s="276"/>
      <c r="K942" s="276"/>
      <c r="L942" s="276"/>
      <c r="M942" s="276"/>
      <c r="N942" s="276"/>
      <c r="O942" s="276"/>
      <c r="P942" s="276"/>
      <c r="Q942" s="276"/>
      <c r="R942" s="276"/>
      <c r="S942" s="276"/>
      <c r="T942" s="276"/>
      <c r="U942" s="276"/>
      <c r="V942" s="276"/>
      <c r="W942" s="276"/>
      <c r="X942" s="276"/>
      <c r="Y942" s="276"/>
      <c r="Z942" s="276"/>
    </row>
    <row r="943" spans="1:26" ht="14.25" customHeight="1" x14ac:dyDescent="0.3">
      <c r="A943" s="307"/>
      <c r="B943" s="276"/>
      <c r="C943" s="276"/>
      <c r="D943" s="276"/>
      <c r="E943" s="276"/>
      <c r="F943" s="276"/>
      <c r="G943" s="276"/>
      <c r="H943" s="276"/>
      <c r="I943" s="276"/>
      <c r="J943" s="276"/>
      <c r="K943" s="276"/>
      <c r="L943" s="276"/>
      <c r="M943" s="276"/>
      <c r="N943" s="276"/>
      <c r="O943" s="276"/>
      <c r="P943" s="276"/>
      <c r="Q943" s="276"/>
      <c r="R943" s="276"/>
      <c r="S943" s="276"/>
      <c r="T943" s="276"/>
      <c r="U943" s="276"/>
      <c r="V943" s="276"/>
      <c r="W943" s="276"/>
      <c r="X943" s="276"/>
      <c r="Y943" s="276"/>
      <c r="Z943" s="276"/>
    </row>
    <row r="944" spans="1:26" ht="14.25" customHeight="1" x14ac:dyDescent="0.3">
      <c r="A944" s="307"/>
      <c r="B944" s="276"/>
      <c r="C944" s="276"/>
      <c r="D944" s="276"/>
      <c r="E944" s="276"/>
      <c r="F944" s="276"/>
      <c r="G944" s="276"/>
      <c r="H944" s="276"/>
      <c r="I944" s="276"/>
      <c r="J944" s="276"/>
      <c r="K944" s="276"/>
      <c r="L944" s="276"/>
      <c r="M944" s="276"/>
      <c r="N944" s="276"/>
      <c r="O944" s="276"/>
      <c r="P944" s="276"/>
      <c r="Q944" s="276"/>
      <c r="R944" s="276"/>
      <c r="S944" s="276"/>
      <c r="T944" s="276"/>
      <c r="U944" s="276"/>
      <c r="V944" s="276"/>
      <c r="W944" s="276"/>
      <c r="X944" s="276"/>
      <c r="Y944" s="276"/>
      <c r="Z944" s="276"/>
    </row>
    <row r="945" spans="1:26" ht="14.25" customHeight="1" x14ac:dyDescent="0.3">
      <c r="A945" s="307"/>
      <c r="B945" s="276"/>
      <c r="C945" s="276"/>
      <c r="D945" s="276"/>
      <c r="E945" s="276"/>
      <c r="F945" s="276"/>
      <c r="G945" s="276"/>
      <c r="H945" s="276"/>
      <c r="I945" s="276"/>
      <c r="J945" s="276"/>
      <c r="K945" s="276"/>
      <c r="L945" s="276"/>
      <c r="M945" s="276"/>
      <c r="N945" s="276"/>
      <c r="O945" s="276"/>
      <c r="P945" s="276"/>
      <c r="Q945" s="276"/>
      <c r="R945" s="276"/>
      <c r="S945" s="276"/>
      <c r="T945" s="276"/>
      <c r="U945" s="276"/>
      <c r="V945" s="276"/>
      <c r="W945" s="276"/>
      <c r="X945" s="276"/>
      <c r="Y945" s="276"/>
      <c r="Z945" s="276"/>
    </row>
    <row r="946" spans="1:26" ht="14.25" customHeight="1" x14ac:dyDescent="0.3">
      <c r="A946" s="307"/>
      <c r="B946" s="276"/>
      <c r="C946" s="276"/>
      <c r="D946" s="276"/>
      <c r="E946" s="276"/>
      <c r="F946" s="276"/>
      <c r="G946" s="276"/>
      <c r="H946" s="276"/>
      <c r="I946" s="276"/>
      <c r="J946" s="276"/>
      <c r="K946" s="276"/>
      <c r="L946" s="276"/>
      <c r="M946" s="276"/>
      <c r="N946" s="276"/>
      <c r="O946" s="276"/>
      <c r="P946" s="276"/>
      <c r="Q946" s="276"/>
      <c r="R946" s="276"/>
      <c r="S946" s="276"/>
      <c r="T946" s="276"/>
      <c r="U946" s="276"/>
      <c r="V946" s="276"/>
      <c r="W946" s="276"/>
      <c r="X946" s="276"/>
      <c r="Y946" s="276"/>
      <c r="Z946" s="276"/>
    </row>
    <row r="947" spans="1:26" ht="14.25" customHeight="1" x14ac:dyDescent="0.3">
      <c r="A947" s="307"/>
      <c r="B947" s="276"/>
      <c r="C947" s="276"/>
      <c r="D947" s="276"/>
      <c r="E947" s="276"/>
      <c r="F947" s="276"/>
      <c r="G947" s="276"/>
      <c r="H947" s="276"/>
      <c r="I947" s="276"/>
      <c r="J947" s="276"/>
      <c r="K947" s="276"/>
      <c r="L947" s="276"/>
      <c r="M947" s="276"/>
      <c r="N947" s="276"/>
      <c r="O947" s="276"/>
      <c r="P947" s="276"/>
      <c r="Q947" s="276"/>
      <c r="R947" s="276"/>
      <c r="S947" s="276"/>
      <c r="T947" s="276"/>
      <c r="U947" s="276"/>
      <c r="V947" s="276"/>
      <c r="W947" s="276"/>
      <c r="X947" s="276"/>
      <c r="Y947" s="276"/>
      <c r="Z947" s="276"/>
    </row>
    <row r="948" spans="1:26" ht="14.25" customHeight="1" x14ac:dyDescent="0.3">
      <c r="A948" s="307"/>
      <c r="B948" s="276"/>
      <c r="C948" s="276"/>
      <c r="D948" s="276"/>
      <c r="E948" s="276"/>
      <c r="F948" s="276"/>
      <c r="G948" s="276"/>
      <c r="H948" s="276"/>
      <c r="I948" s="276"/>
      <c r="J948" s="276"/>
      <c r="K948" s="276"/>
      <c r="L948" s="276"/>
      <c r="M948" s="276"/>
      <c r="N948" s="276"/>
      <c r="O948" s="276"/>
      <c r="P948" s="276"/>
      <c r="Q948" s="276"/>
      <c r="R948" s="276"/>
      <c r="S948" s="276"/>
      <c r="T948" s="276"/>
      <c r="U948" s="276"/>
      <c r="V948" s="276"/>
      <c r="W948" s="276"/>
      <c r="X948" s="276"/>
      <c r="Y948" s="276"/>
      <c r="Z948" s="276"/>
    </row>
    <row r="949" spans="1:26" ht="14.25" customHeight="1" x14ac:dyDescent="0.3">
      <c r="A949" s="307"/>
      <c r="B949" s="276"/>
      <c r="C949" s="276"/>
      <c r="D949" s="276"/>
      <c r="E949" s="276"/>
      <c r="F949" s="276"/>
      <c r="G949" s="276"/>
      <c r="H949" s="276"/>
      <c r="I949" s="276"/>
      <c r="J949" s="276"/>
      <c r="K949" s="276"/>
      <c r="L949" s="276"/>
      <c r="M949" s="276"/>
      <c r="N949" s="276"/>
      <c r="O949" s="276"/>
      <c r="P949" s="276"/>
      <c r="Q949" s="276"/>
      <c r="R949" s="276"/>
      <c r="S949" s="276"/>
      <c r="T949" s="276"/>
      <c r="U949" s="276"/>
      <c r="V949" s="276"/>
      <c r="W949" s="276"/>
      <c r="X949" s="276"/>
      <c r="Y949" s="276"/>
      <c r="Z949" s="276"/>
    </row>
    <row r="950" spans="1:26" ht="14.25" customHeight="1" x14ac:dyDescent="0.3">
      <c r="A950" s="307"/>
      <c r="B950" s="276"/>
      <c r="C950" s="276"/>
      <c r="D950" s="276"/>
      <c r="E950" s="276"/>
      <c r="F950" s="276"/>
      <c r="G950" s="276"/>
      <c r="H950" s="276"/>
      <c r="I950" s="276"/>
      <c r="J950" s="276"/>
      <c r="K950" s="276"/>
      <c r="L950" s="276"/>
      <c r="M950" s="276"/>
      <c r="N950" s="276"/>
      <c r="O950" s="276"/>
      <c r="P950" s="276"/>
      <c r="Q950" s="276"/>
      <c r="R950" s="276"/>
      <c r="S950" s="276"/>
      <c r="T950" s="276"/>
      <c r="U950" s="276"/>
      <c r="V950" s="276"/>
      <c r="W950" s="276"/>
      <c r="X950" s="276"/>
      <c r="Y950" s="276"/>
      <c r="Z950" s="276"/>
    </row>
    <row r="951" spans="1:26" ht="14.25" customHeight="1" x14ac:dyDescent="0.3">
      <c r="A951" s="307"/>
      <c r="B951" s="276"/>
      <c r="C951" s="276"/>
      <c r="D951" s="276"/>
      <c r="E951" s="276"/>
      <c r="F951" s="276"/>
      <c r="G951" s="276"/>
      <c r="H951" s="276"/>
      <c r="I951" s="276"/>
      <c r="J951" s="276"/>
      <c r="K951" s="276"/>
      <c r="L951" s="276"/>
      <c r="M951" s="276"/>
      <c r="N951" s="276"/>
      <c r="O951" s="276"/>
      <c r="P951" s="276"/>
      <c r="Q951" s="276"/>
      <c r="R951" s="276"/>
      <c r="S951" s="276"/>
      <c r="T951" s="276"/>
      <c r="U951" s="276"/>
      <c r="V951" s="276"/>
      <c r="W951" s="276"/>
      <c r="X951" s="276"/>
      <c r="Y951" s="276"/>
      <c r="Z951" s="276"/>
    </row>
    <row r="952" spans="1:26" ht="14.25" customHeight="1" x14ac:dyDescent="0.3">
      <c r="A952" s="307"/>
      <c r="B952" s="276"/>
      <c r="C952" s="276"/>
      <c r="D952" s="276"/>
      <c r="E952" s="276"/>
      <c r="F952" s="276"/>
      <c r="G952" s="276"/>
      <c r="H952" s="276"/>
      <c r="I952" s="276"/>
      <c r="J952" s="276"/>
      <c r="K952" s="276"/>
      <c r="L952" s="276"/>
      <c r="M952" s="276"/>
      <c r="N952" s="276"/>
      <c r="O952" s="276"/>
      <c r="P952" s="276"/>
      <c r="Q952" s="276"/>
      <c r="R952" s="276"/>
      <c r="S952" s="276"/>
      <c r="T952" s="276"/>
      <c r="U952" s="276"/>
      <c r="V952" s="276"/>
      <c r="W952" s="276"/>
      <c r="X952" s="276"/>
      <c r="Y952" s="276"/>
      <c r="Z952" s="276"/>
    </row>
    <row r="953" spans="1:26" ht="14.25" customHeight="1" x14ac:dyDescent="0.3">
      <c r="A953" s="307"/>
      <c r="B953" s="276"/>
      <c r="C953" s="276"/>
      <c r="D953" s="276"/>
      <c r="E953" s="276"/>
      <c r="F953" s="276"/>
      <c r="G953" s="276"/>
      <c r="H953" s="276"/>
      <c r="I953" s="276"/>
      <c r="J953" s="276"/>
      <c r="K953" s="276"/>
      <c r="L953" s="276"/>
      <c r="M953" s="276"/>
      <c r="N953" s="276"/>
      <c r="O953" s="276"/>
      <c r="P953" s="276"/>
      <c r="Q953" s="276"/>
      <c r="R953" s="276"/>
      <c r="S953" s="276"/>
      <c r="T953" s="276"/>
      <c r="U953" s="276"/>
      <c r="V953" s="276"/>
      <c r="W953" s="276"/>
      <c r="X953" s="276"/>
      <c r="Y953" s="276"/>
      <c r="Z953" s="276"/>
    </row>
    <row r="954" spans="1:26" ht="14.25" customHeight="1" x14ac:dyDescent="0.3">
      <c r="A954" s="307"/>
      <c r="B954" s="276"/>
      <c r="C954" s="276"/>
      <c r="D954" s="276"/>
      <c r="E954" s="276"/>
      <c r="F954" s="276"/>
      <c r="G954" s="276"/>
      <c r="H954" s="276"/>
      <c r="I954" s="276"/>
      <c r="J954" s="276"/>
      <c r="K954" s="276"/>
      <c r="L954" s="276"/>
      <c r="M954" s="276"/>
      <c r="N954" s="276"/>
      <c r="O954" s="276"/>
      <c r="P954" s="276"/>
      <c r="Q954" s="276"/>
      <c r="R954" s="276"/>
      <c r="S954" s="276"/>
      <c r="T954" s="276"/>
      <c r="U954" s="276"/>
      <c r="V954" s="276"/>
      <c r="W954" s="276"/>
      <c r="X954" s="276"/>
      <c r="Y954" s="276"/>
      <c r="Z954" s="276"/>
    </row>
    <row r="955" spans="1:26" ht="14.25" customHeight="1" x14ac:dyDescent="0.3">
      <c r="A955" s="307"/>
      <c r="B955" s="276"/>
      <c r="C955" s="276"/>
      <c r="D955" s="276"/>
      <c r="E955" s="276"/>
      <c r="F955" s="276"/>
      <c r="G955" s="276"/>
      <c r="H955" s="276"/>
      <c r="I955" s="276"/>
      <c r="J955" s="276"/>
      <c r="K955" s="276"/>
      <c r="L955" s="276"/>
      <c r="M955" s="276"/>
      <c r="N955" s="276"/>
      <c r="O955" s="276"/>
      <c r="P955" s="276"/>
      <c r="Q955" s="276"/>
      <c r="R955" s="276"/>
      <c r="S955" s="276"/>
      <c r="T955" s="276"/>
      <c r="U955" s="276"/>
      <c r="V955" s="276"/>
      <c r="W955" s="276"/>
      <c r="X955" s="276"/>
      <c r="Y955" s="276"/>
      <c r="Z955" s="276"/>
    </row>
    <row r="956" spans="1:26" ht="14.25" customHeight="1" x14ac:dyDescent="0.3">
      <c r="A956" s="307"/>
      <c r="B956" s="276"/>
      <c r="C956" s="276"/>
      <c r="D956" s="276"/>
      <c r="E956" s="276"/>
      <c r="F956" s="276"/>
      <c r="G956" s="276"/>
      <c r="H956" s="276"/>
      <c r="I956" s="276"/>
      <c r="J956" s="276"/>
      <c r="K956" s="276"/>
      <c r="L956" s="276"/>
      <c r="M956" s="276"/>
      <c r="N956" s="276"/>
      <c r="O956" s="276"/>
      <c r="P956" s="276"/>
      <c r="Q956" s="276"/>
      <c r="R956" s="276"/>
      <c r="S956" s="276"/>
      <c r="T956" s="276"/>
      <c r="U956" s="276"/>
      <c r="V956" s="276"/>
      <c r="W956" s="276"/>
      <c r="X956" s="276"/>
      <c r="Y956" s="276"/>
      <c r="Z956" s="276"/>
    </row>
    <row r="957" spans="1:26" ht="14.25" customHeight="1" x14ac:dyDescent="0.3">
      <c r="A957" s="307"/>
      <c r="B957" s="276"/>
      <c r="C957" s="276"/>
      <c r="D957" s="276"/>
      <c r="E957" s="276"/>
      <c r="F957" s="276"/>
      <c r="G957" s="276"/>
      <c r="H957" s="276"/>
      <c r="I957" s="276"/>
      <c r="J957" s="276"/>
      <c r="K957" s="276"/>
      <c r="L957" s="276"/>
      <c r="M957" s="276"/>
      <c r="N957" s="276"/>
      <c r="O957" s="276"/>
      <c r="P957" s="276"/>
      <c r="Q957" s="276"/>
      <c r="R957" s="276"/>
      <c r="S957" s="276"/>
      <c r="T957" s="276"/>
      <c r="U957" s="276"/>
      <c r="V957" s="276"/>
      <c r="W957" s="276"/>
      <c r="X957" s="276"/>
      <c r="Y957" s="276"/>
      <c r="Z957" s="276"/>
    </row>
    <row r="958" spans="1:26" ht="14.25" customHeight="1" x14ac:dyDescent="0.3">
      <c r="A958" s="307"/>
      <c r="B958" s="276"/>
      <c r="C958" s="276"/>
      <c r="D958" s="276"/>
      <c r="E958" s="276"/>
      <c r="F958" s="276"/>
      <c r="G958" s="276"/>
      <c r="H958" s="276"/>
      <c r="I958" s="276"/>
      <c r="J958" s="276"/>
      <c r="K958" s="276"/>
      <c r="L958" s="276"/>
      <c r="M958" s="276"/>
      <c r="N958" s="276"/>
      <c r="O958" s="276"/>
      <c r="P958" s="276"/>
      <c r="Q958" s="276"/>
      <c r="R958" s="276"/>
      <c r="S958" s="276"/>
      <c r="T958" s="276"/>
      <c r="U958" s="276"/>
      <c r="V958" s="276"/>
      <c r="W958" s="276"/>
      <c r="X958" s="276"/>
      <c r="Y958" s="276"/>
      <c r="Z958" s="276"/>
    </row>
    <row r="959" spans="1:26" ht="14.25" customHeight="1" x14ac:dyDescent="0.3">
      <c r="A959" s="307"/>
      <c r="B959" s="276"/>
      <c r="C959" s="276"/>
      <c r="D959" s="276"/>
      <c r="E959" s="276"/>
      <c r="F959" s="276"/>
      <c r="G959" s="276"/>
      <c r="H959" s="276"/>
      <c r="I959" s="276"/>
      <c r="J959" s="276"/>
      <c r="K959" s="276"/>
      <c r="L959" s="276"/>
      <c r="M959" s="276"/>
      <c r="N959" s="276"/>
      <c r="O959" s="276"/>
      <c r="P959" s="276"/>
      <c r="Q959" s="276"/>
      <c r="R959" s="276"/>
      <c r="S959" s="276"/>
      <c r="T959" s="276"/>
      <c r="U959" s="276"/>
      <c r="V959" s="276"/>
      <c r="W959" s="276"/>
      <c r="X959" s="276"/>
      <c r="Y959" s="276"/>
      <c r="Z959" s="276"/>
    </row>
    <row r="960" spans="1:26" ht="14.25" customHeight="1" x14ac:dyDescent="0.3">
      <c r="A960" s="307"/>
      <c r="B960" s="276"/>
      <c r="C960" s="276"/>
      <c r="D960" s="276"/>
      <c r="E960" s="276"/>
      <c r="F960" s="276"/>
      <c r="G960" s="276"/>
      <c r="H960" s="276"/>
      <c r="I960" s="276"/>
      <c r="J960" s="276"/>
      <c r="K960" s="276"/>
      <c r="L960" s="276"/>
      <c r="M960" s="276"/>
      <c r="N960" s="276"/>
      <c r="O960" s="276"/>
      <c r="P960" s="276"/>
      <c r="Q960" s="276"/>
      <c r="R960" s="276"/>
      <c r="S960" s="276"/>
      <c r="T960" s="276"/>
      <c r="U960" s="276"/>
      <c r="V960" s="276"/>
      <c r="W960" s="276"/>
      <c r="X960" s="276"/>
      <c r="Y960" s="276"/>
      <c r="Z960" s="276"/>
    </row>
    <row r="961" spans="1:26" ht="14.25" customHeight="1" x14ac:dyDescent="0.3">
      <c r="A961" s="307"/>
      <c r="B961" s="276"/>
      <c r="C961" s="276"/>
      <c r="D961" s="276"/>
      <c r="E961" s="276"/>
      <c r="F961" s="276"/>
      <c r="G961" s="276"/>
      <c r="H961" s="276"/>
      <c r="I961" s="276"/>
      <c r="J961" s="276"/>
      <c r="K961" s="276"/>
      <c r="L961" s="276"/>
      <c r="M961" s="276"/>
      <c r="N961" s="276"/>
      <c r="O961" s="276"/>
      <c r="P961" s="276"/>
      <c r="Q961" s="276"/>
      <c r="R961" s="276"/>
      <c r="S961" s="276"/>
      <c r="T961" s="276"/>
      <c r="U961" s="276"/>
      <c r="V961" s="276"/>
      <c r="W961" s="276"/>
      <c r="X961" s="276"/>
      <c r="Y961" s="276"/>
      <c r="Z961" s="276"/>
    </row>
    <row r="962" spans="1:26" ht="14.25" customHeight="1" x14ac:dyDescent="0.3">
      <c r="A962" s="307"/>
      <c r="B962" s="276"/>
      <c r="C962" s="276"/>
      <c r="D962" s="276"/>
      <c r="E962" s="276"/>
      <c r="F962" s="276"/>
      <c r="G962" s="276"/>
      <c r="H962" s="276"/>
      <c r="I962" s="276"/>
      <c r="J962" s="276"/>
      <c r="K962" s="276"/>
      <c r="L962" s="276"/>
      <c r="M962" s="276"/>
      <c r="N962" s="276"/>
      <c r="O962" s="276"/>
      <c r="P962" s="276"/>
      <c r="Q962" s="276"/>
      <c r="R962" s="276"/>
      <c r="S962" s="276"/>
      <c r="T962" s="276"/>
      <c r="U962" s="276"/>
      <c r="V962" s="276"/>
      <c r="W962" s="276"/>
      <c r="X962" s="276"/>
      <c r="Y962" s="276"/>
      <c r="Z962" s="276"/>
    </row>
    <row r="963" spans="1:26" ht="14.25" customHeight="1" x14ac:dyDescent="0.3">
      <c r="A963" s="307"/>
      <c r="B963" s="276"/>
      <c r="C963" s="276"/>
      <c r="D963" s="276"/>
      <c r="E963" s="276"/>
      <c r="F963" s="276"/>
      <c r="G963" s="276"/>
      <c r="H963" s="276"/>
      <c r="I963" s="276"/>
      <c r="J963" s="276"/>
      <c r="K963" s="276"/>
      <c r="L963" s="276"/>
      <c r="M963" s="276"/>
      <c r="N963" s="276"/>
      <c r="O963" s="276"/>
      <c r="P963" s="276"/>
      <c r="Q963" s="276"/>
      <c r="R963" s="276"/>
      <c r="S963" s="276"/>
      <c r="T963" s="276"/>
      <c r="U963" s="276"/>
      <c r="V963" s="276"/>
      <c r="W963" s="276"/>
      <c r="X963" s="276"/>
      <c r="Y963" s="276"/>
      <c r="Z963" s="276"/>
    </row>
    <row r="964" spans="1:26" ht="14.25" customHeight="1" x14ac:dyDescent="0.3">
      <c r="A964" s="307"/>
      <c r="B964" s="276"/>
      <c r="C964" s="276"/>
      <c r="D964" s="276"/>
      <c r="E964" s="276"/>
      <c r="F964" s="276"/>
      <c r="G964" s="276"/>
      <c r="H964" s="276"/>
      <c r="I964" s="276"/>
      <c r="J964" s="276"/>
      <c r="K964" s="276"/>
      <c r="L964" s="276"/>
      <c r="M964" s="276"/>
      <c r="N964" s="276"/>
      <c r="O964" s="276"/>
      <c r="P964" s="276"/>
      <c r="Q964" s="276"/>
      <c r="R964" s="276"/>
      <c r="S964" s="276"/>
      <c r="T964" s="276"/>
      <c r="U964" s="276"/>
      <c r="V964" s="276"/>
      <c r="W964" s="276"/>
      <c r="X964" s="276"/>
      <c r="Y964" s="276"/>
      <c r="Z964" s="276"/>
    </row>
    <row r="965" spans="1:26" ht="14.25" customHeight="1" x14ac:dyDescent="0.3">
      <c r="A965" s="307"/>
      <c r="B965" s="276"/>
      <c r="C965" s="276"/>
      <c r="D965" s="276"/>
      <c r="E965" s="276"/>
      <c r="F965" s="276"/>
      <c r="G965" s="276"/>
      <c r="H965" s="276"/>
      <c r="I965" s="276"/>
      <c r="J965" s="276"/>
      <c r="K965" s="276"/>
      <c r="L965" s="276"/>
      <c r="M965" s="276"/>
      <c r="N965" s="276"/>
      <c r="O965" s="276"/>
      <c r="P965" s="276"/>
      <c r="Q965" s="276"/>
      <c r="R965" s="276"/>
      <c r="S965" s="276"/>
      <c r="T965" s="276"/>
      <c r="U965" s="276"/>
      <c r="V965" s="276"/>
      <c r="W965" s="276"/>
      <c r="X965" s="276"/>
      <c r="Y965" s="276"/>
      <c r="Z965" s="276"/>
    </row>
    <row r="966" spans="1:26" ht="14.25" customHeight="1" x14ac:dyDescent="0.3">
      <c r="A966" s="307"/>
      <c r="B966" s="276"/>
      <c r="C966" s="276"/>
      <c r="D966" s="276"/>
      <c r="E966" s="276"/>
      <c r="F966" s="276"/>
      <c r="G966" s="276"/>
      <c r="H966" s="276"/>
      <c r="I966" s="276"/>
      <c r="J966" s="276"/>
      <c r="K966" s="276"/>
      <c r="L966" s="276"/>
      <c r="M966" s="276"/>
      <c r="N966" s="276"/>
      <c r="O966" s="276"/>
      <c r="P966" s="276"/>
      <c r="Q966" s="276"/>
      <c r="R966" s="276"/>
      <c r="S966" s="276"/>
      <c r="T966" s="276"/>
      <c r="U966" s="276"/>
      <c r="V966" s="276"/>
      <c r="W966" s="276"/>
      <c r="X966" s="276"/>
      <c r="Y966" s="276"/>
      <c r="Z966" s="276"/>
    </row>
    <row r="967" spans="1:26" ht="14.25" customHeight="1" x14ac:dyDescent="0.3">
      <c r="A967" s="307"/>
      <c r="B967" s="276"/>
      <c r="C967" s="276"/>
      <c r="D967" s="276"/>
      <c r="E967" s="276"/>
      <c r="F967" s="276"/>
      <c r="G967" s="276"/>
      <c r="H967" s="276"/>
      <c r="I967" s="276"/>
      <c r="J967" s="276"/>
      <c r="K967" s="276"/>
      <c r="L967" s="276"/>
      <c r="M967" s="276"/>
      <c r="N967" s="276"/>
      <c r="O967" s="276"/>
      <c r="P967" s="276"/>
      <c r="Q967" s="276"/>
      <c r="R967" s="276"/>
      <c r="S967" s="276"/>
      <c r="T967" s="276"/>
      <c r="U967" s="276"/>
      <c r="V967" s="276"/>
      <c r="W967" s="276"/>
      <c r="X967" s="276"/>
      <c r="Y967" s="276"/>
      <c r="Z967" s="276"/>
    </row>
    <row r="968" spans="1:26" ht="14.25" customHeight="1" x14ac:dyDescent="0.3">
      <c r="A968" s="307"/>
      <c r="B968" s="276"/>
      <c r="C968" s="276"/>
      <c r="D968" s="276"/>
      <c r="E968" s="276"/>
      <c r="F968" s="276"/>
      <c r="G968" s="276"/>
      <c r="H968" s="276"/>
      <c r="I968" s="276"/>
      <c r="J968" s="276"/>
      <c r="K968" s="276"/>
      <c r="L968" s="276"/>
      <c r="M968" s="276"/>
      <c r="N968" s="276"/>
      <c r="O968" s="276"/>
      <c r="P968" s="276"/>
      <c r="Q968" s="276"/>
      <c r="R968" s="276"/>
      <c r="S968" s="276"/>
      <c r="T968" s="276"/>
      <c r="U968" s="276"/>
      <c r="V968" s="276"/>
      <c r="W968" s="276"/>
      <c r="X968" s="276"/>
      <c r="Y968" s="276"/>
      <c r="Z968" s="276"/>
    </row>
    <row r="969" spans="1:26" ht="14.25" customHeight="1" x14ac:dyDescent="0.3">
      <c r="A969" s="307"/>
      <c r="B969" s="276"/>
      <c r="C969" s="276"/>
      <c r="D969" s="276"/>
      <c r="E969" s="276"/>
      <c r="F969" s="276"/>
      <c r="G969" s="276"/>
      <c r="H969" s="276"/>
      <c r="I969" s="276"/>
      <c r="J969" s="276"/>
      <c r="K969" s="276"/>
      <c r="L969" s="276"/>
      <c r="M969" s="276"/>
      <c r="N969" s="276"/>
      <c r="O969" s="276"/>
      <c r="P969" s="276"/>
      <c r="Q969" s="276"/>
      <c r="R969" s="276"/>
      <c r="S969" s="276"/>
      <c r="T969" s="276"/>
      <c r="U969" s="276"/>
      <c r="V969" s="276"/>
      <c r="W969" s="276"/>
      <c r="X969" s="276"/>
      <c r="Y969" s="276"/>
      <c r="Z969" s="276"/>
    </row>
    <row r="970" spans="1:26" ht="14.25" customHeight="1" x14ac:dyDescent="0.3">
      <c r="A970" s="307"/>
      <c r="B970" s="276"/>
      <c r="C970" s="276"/>
      <c r="D970" s="276"/>
      <c r="E970" s="276"/>
      <c r="F970" s="276"/>
      <c r="G970" s="276"/>
      <c r="H970" s="276"/>
      <c r="I970" s="276"/>
      <c r="J970" s="276"/>
      <c r="K970" s="276"/>
      <c r="L970" s="276"/>
      <c r="M970" s="276"/>
      <c r="N970" s="276"/>
      <c r="O970" s="276"/>
      <c r="P970" s="276"/>
      <c r="Q970" s="276"/>
      <c r="R970" s="276"/>
      <c r="S970" s="276"/>
      <c r="T970" s="276"/>
      <c r="U970" s="276"/>
      <c r="V970" s="276"/>
      <c r="W970" s="276"/>
      <c r="X970" s="276"/>
      <c r="Y970" s="276"/>
      <c r="Z970" s="276"/>
    </row>
    <row r="971" spans="1:26" ht="14.25" customHeight="1" x14ac:dyDescent="0.3">
      <c r="A971" s="307"/>
      <c r="B971" s="276"/>
      <c r="C971" s="276"/>
      <c r="D971" s="276"/>
      <c r="E971" s="276"/>
      <c r="F971" s="276"/>
      <c r="G971" s="276"/>
      <c r="H971" s="276"/>
      <c r="I971" s="276"/>
      <c r="J971" s="276"/>
      <c r="K971" s="276"/>
      <c r="L971" s="276"/>
      <c r="M971" s="276"/>
      <c r="N971" s="276"/>
      <c r="O971" s="276"/>
      <c r="P971" s="276"/>
      <c r="Q971" s="276"/>
      <c r="R971" s="276"/>
      <c r="S971" s="276"/>
      <c r="T971" s="276"/>
      <c r="U971" s="276"/>
      <c r="V971" s="276"/>
      <c r="W971" s="276"/>
      <c r="X971" s="276"/>
      <c r="Y971" s="276"/>
      <c r="Z971" s="276"/>
    </row>
    <row r="972" spans="1:26" ht="14.25" customHeight="1" x14ac:dyDescent="0.3">
      <c r="A972" s="307"/>
      <c r="B972" s="276"/>
      <c r="C972" s="276"/>
      <c r="D972" s="276"/>
      <c r="E972" s="276"/>
      <c r="F972" s="276"/>
      <c r="G972" s="276"/>
      <c r="H972" s="276"/>
      <c r="I972" s="276"/>
      <c r="J972" s="276"/>
      <c r="K972" s="276"/>
      <c r="L972" s="276"/>
      <c r="M972" s="276"/>
      <c r="N972" s="276"/>
      <c r="O972" s="276"/>
      <c r="P972" s="276"/>
      <c r="Q972" s="276"/>
      <c r="R972" s="276"/>
      <c r="S972" s="276"/>
      <c r="T972" s="276"/>
      <c r="U972" s="276"/>
      <c r="V972" s="276"/>
      <c r="W972" s="276"/>
      <c r="X972" s="276"/>
      <c r="Y972" s="276"/>
      <c r="Z972" s="276"/>
    </row>
    <row r="973" spans="1:26" ht="14.25" customHeight="1" x14ac:dyDescent="0.3">
      <c r="A973" s="307"/>
      <c r="B973" s="276"/>
      <c r="C973" s="276"/>
      <c r="D973" s="276"/>
      <c r="E973" s="276"/>
      <c r="F973" s="276"/>
      <c r="G973" s="276"/>
      <c r="H973" s="276"/>
      <c r="I973" s="276"/>
      <c r="J973" s="276"/>
      <c r="K973" s="276"/>
      <c r="L973" s="276"/>
      <c r="M973" s="276"/>
      <c r="N973" s="276"/>
      <c r="O973" s="276"/>
      <c r="P973" s="276"/>
      <c r="Q973" s="276"/>
      <c r="R973" s="276"/>
      <c r="S973" s="276"/>
      <c r="T973" s="276"/>
      <c r="U973" s="276"/>
      <c r="V973" s="276"/>
      <c r="W973" s="276"/>
      <c r="X973" s="276"/>
      <c r="Y973" s="276"/>
      <c r="Z973" s="276"/>
    </row>
    <row r="974" spans="1:26" ht="14.25" customHeight="1" x14ac:dyDescent="0.3">
      <c r="A974" s="307"/>
      <c r="B974" s="276"/>
      <c r="C974" s="276"/>
      <c r="D974" s="276"/>
      <c r="E974" s="276"/>
      <c r="F974" s="276"/>
      <c r="G974" s="276"/>
      <c r="H974" s="276"/>
      <c r="I974" s="276"/>
      <c r="J974" s="276"/>
      <c r="K974" s="276"/>
      <c r="L974" s="276"/>
      <c r="M974" s="276"/>
      <c r="N974" s="276"/>
      <c r="O974" s="276"/>
      <c r="P974" s="276"/>
      <c r="Q974" s="276"/>
      <c r="R974" s="276"/>
      <c r="S974" s="276"/>
      <c r="T974" s="276"/>
      <c r="U974" s="276"/>
      <c r="V974" s="276"/>
      <c r="W974" s="276"/>
      <c r="X974" s="276"/>
      <c r="Y974" s="276"/>
      <c r="Z974" s="276"/>
    </row>
    <row r="975" spans="1:26" ht="14.25" customHeight="1" x14ac:dyDescent="0.3">
      <c r="A975" s="307"/>
      <c r="B975" s="276"/>
      <c r="C975" s="276"/>
      <c r="D975" s="276"/>
      <c r="E975" s="276"/>
      <c r="F975" s="276"/>
      <c r="G975" s="276"/>
      <c r="H975" s="276"/>
      <c r="I975" s="276"/>
      <c r="J975" s="276"/>
      <c r="K975" s="276"/>
      <c r="L975" s="276"/>
      <c r="M975" s="276"/>
      <c r="N975" s="276"/>
      <c r="O975" s="276"/>
      <c r="P975" s="276"/>
      <c r="Q975" s="276"/>
      <c r="R975" s="276"/>
      <c r="S975" s="276"/>
      <c r="T975" s="276"/>
      <c r="U975" s="276"/>
      <c r="V975" s="276"/>
      <c r="W975" s="276"/>
      <c r="X975" s="276"/>
      <c r="Y975" s="276"/>
      <c r="Z975" s="276"/>
    </row>
    <row r="976" spans="1:26" ht="14.25" customHeight="1" x14ac:dyDescent="0.3">
      <c r="A976" s="307"/>
      <c r="B976" s="276"/>
      <c r="C976" s="276"/>
      <c r="D976" s="276"/>
      <c r="E976" s="276"/>
      <c r="F976" s="276"/>
      <c r="G976" s="276"/>
      <c r="H976" s="276"/>
      <c r="I976" s="276"/>
      <c r="J976" s="276"/>
      <c r="K976" s="276"/>
      <c r="L976" s="276"/>
      <c r="M976" s="276"/>
      <c r="N976" s="276"/>
      <c r="O976" s="276"/>
      <c r="P976" s="276"/>
      <c r="Q976" s="276"/>
      <c r="R976" s="276"/>
      <c r="S976" s="276"/>
      <c r="T976" s="276"/>
      <c r="U976" s="276"/>
      <c r="V976" s="276"/>
      <c r="W976" s="276"/>
      <c r="X976" s="276"/>
      <c r="Y976" s="276"/>
      <c r="Z976" s="276"/>
    </row>
    <row r="977" spans="1:26" ht="14.25" customHeight="1" x14ac:dyDescent="0.3">
      <c r="A977" s="307"/>
      <c r="B977" s="276"/>
      <c r="C977" s="276"/>
      <c r="D977" s="276"/>
      <c r="E977" s="276"/>
      <c r="F977" s="276"/>
      <c r="G977" s="276"/>
      <c r="H977" s="276"/>
      <c r="I977" s="276"/>
      <c r="J977" s="276"/>
      <c r="K977" s="276"/>
      <c r="L977" s="276"/>
      <c r="M977" s="276"/>
      <c r="N977" s="276"/>
      <c r="O977" s="276"/>
      <c r="P977" s="276"/>
      <c r="Q977" s="276"/>
      <c r="R977" s="276"/>
      <c r="S977" s="276"/>
      <c r="T977" s="276"/>
      <c r="U977" s="276"/>
      <c r="V977" s="276"/>
      <c r="W977" s="276"/>
      <c r="X977" s="276"/>
      <c r="Y977" s="276"/>
      <c r="Z977" s="276"/>
    </row>
    <row r="978" spans="1:26" ht="14.25" customHeight="1" x14ac:dyDescent="0.3">
      <c r="A978" s="307"/>
      <c r="B978" s="276"/>
      <c r="C978" s="276"/>
      <c r="D978" s="276"/>
      <c r="E978" s="276"/>
      <c r="F978" s="276"/>
      <c r="G978" s="276"/>
      <c r="H978" s="276"/>
      <c r="I978" s="276"/>
      <c r="J978" s="276"/>
      <c r="K978" s="276"/>
      <c r="L978" s="276"/>
      <c r="M978" s="276"/>
      <c r="N978" s="276"/>
      <c r="O978" s="276"/>
      <c r="P978" s="276"/>
      <c r="Q978" s="276"/>
      <c r="R978" s="276"/>
      <c r="S978" s="276"/>
      <c r="T978" s="276"/>
      <c r="U978" s="276"/>
      <c r="V978" s="276"/>
      <c r="W978" s="276"/>
      <c r="X978" s="276"/>
      <c r="Y978" s="276"/>
      <c r="Z978" s="276"/>
    </row>
    <row r="979" spans="1:26" ht="14.25" customHeight="1" x14ac:dyDescent="0.3">
      <c r="A979" s="307"/>
      <c r="B979" s="276"/>
      <c r="C979" s="276"/>
      <c r="D979" s="276"/>
      <c r="E979" s="276"/>
      <c r="F979" s="276"/>
      <c r="G979" s="276"/>
      <c r="H979" s="276"/>
      <c r="I979" s="276"/>
      <c r="J979" s="276"/>
      <c r="K979" s="276"/>
      <c r="L979" s="276"/>
      <c r="M979" s="276"/>
      <c r="N979" s="276"/>
      <c r="O979" s="276"/>
      <c r="P979" s="276"/>
      <c r="Q979" s="276"/>
      <c r="R979" s="276"/>
      <c r="S979" s="276"/>
      <c r="T979" s="276"/>
      <c r="U979" s="276"/>
      <c r="V979" s="276"/>
      <c r="W979" s="276"/>
      <c r="X979" s="276"/>
      <c r="Y979" s="276"/>
      <c r="Z979" s="276"/>
    </row>
    <row r="980" spans="1:26" ht="14.25" customHeight="1" x14ac:dyDescent="0.3">
      <c r="A980" s="307"/>
      <c r="B980" s="276"/>
      <c r="C980" s="276"/>
      <c r="D980" s="276"/>
      <c r="E980" s="276"/>
      <c r="F980" s="276"/>
      <c r="G980" s="276"/>
      <c r="H980" s="276"/>
      <c r="I980" s="276"/>
      <c r="J980" s="276"/>
      <c r="K980" s="276"/>
      <c r="L980" s="276"/>
      <c r="M980" s="276"/>
      <c r="N980" s="276"/>
      <c r="O980" s="276"/>
      <c r="P980" s="276"/>
      <c r="Q980" s="276"/>
      <c r="R980" s="276"/>
      <c r="S980" s="276"/>
      <c r="T980" s="276"/>
      <c r="U980" s="276"/>
      <c r="V980" s="276"/>
      <c r="W980" s="276"/>
      <c r="X980" s="276"/>
      <c r="Y980" s="276"/>
      <c r="Z980" s="276"/>
    </row>
    <row r="981" spans="1:26" ht="14.25" customHeight="1" x14ac:dyDescent="0.3">
      <c r="A981" s="307"/>
      <c r="B981" s="276"/>
      <c r="C981" s="276"/>
      <c r="D981" s="276"/>
      <c r="E981" s="276"/>
      <c r="F981" s="276"/>
      <c r="G981" s="276"/>
      <c r="H981" s="276"/>
      <c r="I981" s="276"/>
      <c r="J981" s="276"/>
      <c r="K981" s="276"/>
      <c r="L981" s="276"/>
      <c r="M981" s="276"/>
      <c r="N981" s="276"/>
      <c r="O981" s="276"/>
      <c r="P981" s="276"/>
      <c r="Q981" s="276"/>
      <c r="R981" s="276"/>
      <c r="S981" s="276"/>
      <c r="T981" s="276"/>
      <c r="U981" s="276"/>
      <c r="V981" s="276"/>
      <c r="W981" s="276"/>
      <c r="X981" s="276"/>
      <c r="Y981" s="276"/>
      <c r="Z981" s="276"/>
    </row>
    <row r="982" spans="1:26" ht="14.25" customHeight="1" x14ac:dyDescent="0.3">
      <c r="A982" s="307"/>
      <c r="B982" s="276"/>
      <c r="C982" s="276"/>
      <c r="D982" s="276"/>
      <c r="E982" s="276"/>
      <c r="F982" s="276"/>
      <c r="G982" s="276"/>
      <c r="H982" s="276"/>
      <c r="I982" s="276"/>
      <c r="J982" s="276"/>
      <c r="K982" s="276"/>
      <c r="L982" s="276"/>
      <c r="M982" s="276"/>
      <c r="N982" s="276"/>
      <c r="O982" s="276"/>
      <c r="P982" s="276"/>
      <c r="Q982" s="276"/>
      <c r="R982" s="276"/>
      <c r="S982" s="276"/>
      <c r="T982" s="276"/>
      <c r="U982" s="276"/>
      <c r="V982" s="276"/>
      <c r="W982" s="276"/>
      <c r="X982" s="276"/>
      <c r="Y982" s="276"/>
      <c r="Z982" s="276"/>
    </row>
    <row r="983" spans="1:26" ht="14.25" customHeight="1" x14ac:dyDescent="0.3">
      <c r="A983" s="307"/>
      <c r="B983" s="276"/>
      <c r="C983" s="276"/>
      <c r="D983" s="276"/>
      <c r="E983" s="276"/>
      <c r="F983" s="276"/>
      <c r="G983" s="276"/>
      <c r="H983" s="276"/>
      <c r="I983" s="276"/>
      <c r="J983" s="276"/>
      <c r="K983" s="276"/>
      <c r="L983" s="276"/>
      <c r="M983" s="276"/>
      <c r="N983" s="276"/>
      <c r="O983" s="276"/>
      <c r="P983" s="276"/>
      <c r="Q983" s="276"/>
      <c r="R983" s="276"/>
      <c r="S983" s="276"/>
      <c r="T983" s="276"/>
      <c r="U983" s="276"/>
      <c r="V983" s="276"/>
      <c r="W983" s="276"/>
      <c r="X983" s="276"/>
      <c r="Y983" s="276"/>
      <c r="Z983" s="276"/>
    </row>
    <row r="984" spans="1:26" ht="14.25" customHeight="1" x14ac:dyDescent="0.3">
      <c r="A984" s="307"/>
      <c r="B984" s="276"/>
      <c r="C984" s="276"/>
      <c r="D984" s="276"/>
      <c r="E984" s="276"/>
      <c r="F984" s="276"/>
      <c r="G984" s="276"/>
      <c r="H984" s="276"/>
      <c r="I984" s="276"/>
      <c r="J984" s="276"/>
      <c r="K984" s="276"/>
      <c r="L984" s="276"/>
      <c r="M984" s="276"/>
      <c r="N984" s="276"/>
      <c r="O984" s="276"/>
      <c r="P984" s="276"/>
      <c r="Q984" s="276"/>
      <c r="R984" s="276"/>
      <c r="S984" s="276"/>
      <c r="T984" s="276"/>
      <c r="U984" s="276"/>
      <c r="V984" s="276"/>
      <c r="W984" s="276"/>
      <c r="X984" s="276"/>
      <c r="Y984" s="276"/>
      <c r="Z984" s="276"/>
    </row>
    <row r="985" spans="1:26" ht="14.25" customHeight="1" x14ac:dyDescent="0.3">
      <c r="A985" s="307"/>
      <c r="B985" s="276"/>
      <c r="C985" s="276"/>
      <c r="D985" s="276"/>
      <c r="E985" s="276"/>
      <c r="F985" s="276"/>
      <c r="G985" s="276"/>
      <c r="H985" s="276"/>
      <c r="I985" s="276"/>
      <c r="J985" s="276"/>
      <c r="K985" s="276"/>
      <c r="L985" s="276"/>
      <c r="M985" s="276"/>
      <c r="N985" s="276"/>
      <c r="O985" s="276"/>
      <c r="P985" s="276"/>
      <c r="Q985" s="276"/>
      <c r="R985" s="276"/>
      <c r="S985" s="276"/>
      <c r="T985" s="276"/>
      <c r="U985" s="276"/>
      <c r="V985" s="276"/>
      <c r="W985" s="276"/>
      <c r="X985" s="276"/>
      <c r="Y985" s="276"/>
      <c r="Z985" s="276"/>
    </row>
    <row r="986" spans="1:26" ht="14.25" customHeight="1" x14ac:dyDescent="0.3">
      <c r="A986" s="307"/>
      <c r="B986" s="276"/>
      <c r="C986" s="276"/>
      <c r="D986" s="276"/>
      <c r="E986" s="276"/>
      <c r="F986" s="276"/>
      <c r="G986" s="276"/>
      <c r="H986" s="276"/>
      <c r="I986" s="276"/>
      <c r="J986" s="276"/>
      <c r="K986" s="276"/>
      <c r="L986" s="276"/>
      <c r="M986" s="276"/>
      <c r="N986" s="276"/>
      <c r="O986" s="276"/>
      <c r="P986" s="276"/>
      <c r="Q986" s="276"/>
      <c r="R986" s="276"/>
      <c r="S986" s="276"/>
      <c r="T986" s="276"/>
      <c r="U986" s="276"/>
      <c r="V986" s="276"/>
      <c r="W986" s="276"/>
      <c r="X986" s="276"/>
      <c r="Y986" s="276"/>
      <c r="Z986" s="276"/>
    </row>
    <row r="987" spans="1:26" ht="14.25" customHeight="1" x14ac:dyDescent="0.3">
      <c r="A987" s="307"/>
      <c r="B987" s="276"/>
      <c r="C987" s="276"/>
      <c r="D987" s="276"/>
      <c r="E987" s="276"/>
      <c r="F987" s="276"/>
      <c r="G987" s="276"/>
      <c r="H987" s="276"/>
      <c r="I987" s="276"/>
      <c r="J987" s="276"/>
      <c r="K987" s="276"/>
      <c r="L987" s="276"/>
      <c r="M987" s="276"/>
      <c r="N987" s="276"/>
      <c r="O987" s="276"/>
      <c r="P987" s="276"/>
      <c r="Q987" s="276"/>
      <c r="R987" s="276"/>
      <c r="S987" s="276"/>
      <c r="T987" s="276"/>
      <c r="U987" s="276"/>
      <c r="V987" s="276"/>
      <c r="W987" s="276"/>
      <c r="X987" s="276"/>
      <c r="Y987" s="276"/>
      <c r="Z987" s="276"/>
    </row>
    <row r="988" spans="1:26" ht="14.25" customHeight="1" x14ac:dyDescent="0.3">
      <c r="A988" s="307"/>
      <c r="B988" s="276"/>
      <c r="C988" s="276"/>
      <c r="D988" s="276"/>
      <c r="E988" s="276"/>
      <c r="F988" s="276"/>
      <c r="G988" s="276"/>
      <c r="H988" s="276"/>
      <c r="I988" s="276"/>
      <c r="J988" s="276"/>
      <c r="K988" s="276"/>
      <c r="L988" s="276"/>
      <c r="M988" s="276"/>
      <c r="N988" s="276"/>
      <c r="O988" s="276"/>
      <c r="P988" s="276"/>
      <c r="Q988" s="276"/>
      <c r="R988" s="276"/>
      <c r="S988" s="276"/>
      <c r="T988" s="276"/>
      <c r="U988" s="276"/>
      <c r="V988" s="276"/>
      <c r="W988" s="276"/>
      <c r="X988" s="276"/>
      <c r="Y988" s="276"/>
      <c r="Z988" s="276"/>
    </row>
    <row r="989" spans="1:26" ht="14.25" customHeight="1" x14ac:dyDescent="0.3">
      <c r="A989" s="307"/>
      <c r="B989" s="276"/>
      <c r="C989" s="276"/>
      <c r="D989" s="276"/>
      <c r="E989" s="276"/>
      <c r="F989" s="276"/>
      <c r="G989" s="276"/>
      <c r="H989" s="276"/>
      <c r="I989" s="276"/>
      <c r="J989" s="276"/>
      <c r="K989" s="276"/>
      <c r="L989" s="276"/>
      <c r="M989" s="276"/>
      <c r="N989" s="276"/>
      <c r="O989" s="276"/>
      <c r="P989" s="276"/>
      <c r="Q989" s="276"/>
      <c r="R989" s="276"/>
      <c r="S989" s="276"/>
      <c r="T989" s="276"/>
      <c r="U989" s="276"/>
      <c r="V989" s="276"/>
      <c r="W989" s="276"/>
      <c r="X989" s="276"/>
      <c r="Y989" s="276"/>
      <c r="Z989" s="276"/>
    </row>
    <row r="990" spans="1:26" ht="14.25" customHeight="1" x14ac:dyDescent="0.3">
      <c r="B990" s="276"/>
      <c r="C990" s="276"/>
      <c r="D990" s="276"/>
      <c r="E990" s="276"/>
      <c r="F990" s="276"/>
      <c r="G990" s="276"/>
      <c r="H990" s="276"/>
      <c r="I990" s="276"/>
      <c r="J990" s="276"/>
      <c r="K990" s="276"/>
      <c r="L990" s="276"/>
      <c r="M990" s="276"/>
      <c r="N990" s="276"/>
      <c r="O990" s="276"/>
      <c r="P990" s="276"/>
      <c r="Q990" s="276"/>
      <c r="R990" s="276"/>
      <c r="S990" s="276"/>
      <c r="T990" s="276"/>
      <c r="U990" s="276"/>
      <c r="V990" s="276"/>
      <c r="W990" s="276"/>
      <c r="X990" s="276"/>
      <c r="Y990" s="276"/>
      <c r="Z990" s="276"/>
    </row>
  </sheetData>
  <hyperlinks>
    <hyperlink ref="F407" r:id="rId1" display="http://pcrs/PCR_13_16062025_CYANO_diluciones_30.xls" xr:uid="{A29D8B81-530E-4CE8-B7A7-8EBDA46A30CB}"/>
    <hyperlink ref="F405" r:id="rId2" display="http://pcrs/PCR_13_16062025_CYANO_diluciones_30.xls" xr:uid="{C6BD012F-1838-4F01-87D0-665F504C94C9}"/>
    <hyperlink ref="F358" r:id="rId3" display="PCRs\PCR_20_110925_euk.xls" xr:uid="{AED4EDEA-1381-4128-AFE0-F7982A5B87A9}"/>
    <hyperlink ref="F357" r:id="rId4" display="PCRs\PCR_20_110925_euk.xls" xr:uid="{40B49079-1DC6-4B09-8E3D-FA3A43E77402}"/>
    <hyperlink ref="F356" r:id="rId5" display="PCRs\PCR_20_110925_euk.xls" xr:uid="{09FFEB94-AC84-46F5-98ED-AFAAB2775396}"/>
    <hyperlink ref="F355" r:id="rId6" display="PCRs\PCR_20_110925_euk.xls" xr:uid="{D8F4B32C-6551-4140-BC0C-EB115F4C4825}"/>
    <hyperlink ref="F354" r:id="rId7" display="PCRs\PCR_20_110925_euk.xls" xr:uid="{9B2E37D6-405C-462B-A9A1-7C80C8C89EA1}"/>
    <hyperlink ref="F353" r:id="rId8" display="PCRs\PCR_20_110925_euk.xls" xr:uid="{A335F6F1-800D-41E4-BD81-5A04096C811F}"/>
    <hyperlink ref="F351" r:id="rId9" display="PCRs\PCR_19_27062025_MACRO_ULVA.xls" xr:uid="{A221ADB0-F6D4-4512-AFF0-BEB957BB4210}"/>
    <hyperlink ref="F349" r:id="rId10" display="PCRs\PCR_19_27062025_MACRO_ULVA.xls" xr:uid="{1A899F35-4BCF-4B2D-9CA7-243645C4BE2F}"/>
    <hyperlink ref="F348" r:id="rId11" display="PCRs\PCR_19_27062025_MACRO_ULVA.xls" xr:uid="{137AB411-8423-4595-A3C8-C040214406C5}"/>
    <hyperlink ref="F347:F348" r:id="rId12" display="PCRs\PCR_19_27062025_MACRO_ULVA.xls" xr:uid="{258C1D6B-9BFD-4A2B-BE58-B0CCEC665F12}"/>
    <hyperlink ref="F346" r:id="rId13" display="PCRs\PCR_19_27062025_MACRO_ULVA.xls" xr:uid="{C398E766-01A3-4CB4-86D4-76BF3CF6B569}"/>
    <hyperlink ref="F345" r:id="rId14" display="PCRs\PCR_19_27062025_MACRO_ULVA.xls" xr:uid="{4CBAB245-A282-4AE3-AA49-36130F8F4E5E}"/>
    <hyperlink ref="F344" r:id="rId15" display="PCRs\PCR_19_27062025_MACRO_ULVA.xls" xr:uid="{7FD42D90-16BF-4251-A7EE-C1230E8EBF2E}"/>
    <hyperlink ref="F343" r:id="rId16" display="PCRs\PCR_19_27062025_MACRO_ULVA.xls" xr:uid="{EC36AE56-4E21-44B2-BA50-51BAF2F8D8D2}"/>
    <hyperlink ref="F342" r:id="rId17" display="PCRs\PCR_19_27062025_MACRO_ULVA.xls" xr:uid="{EA5933C6-BFB2-4B1F-B109-9DA83597642B}"/>
    <hyperlink ref="F340" r:id="rId18" display="PCRs\PCR_19_27062025_MACRO_ULVA.xls" xr:uid="{8E8378D8-27FD-451F-A230-C229C8576372}"/>
    <hyperlink ref="F339" r:id="rId19" display="PCRs\PCR_19_27062025_MACRO_ULVA.xls" xr:uid="{39A5EB84-46EE-4538-AAE0-50BCCDBF8DD4}"/>
    <hyperlink ref="F338" r:id="rId20" display="PCRs\PCR_19_27062025_MACRO_ULVA.xls" xr:uid="{D0C76E18-41EE-4E9E-9A70-789376F0816C}"/>
    <hyperlink ref="F337" r:id="rId21" display="PCRs\PCR_19_27062025_MACRO_ULVA.xls" xr:uid="{557E672C-EF38-4771-A060-0405E8709247}"/>
    <hyperlink ref="F336" r:id="rId22" display="PCRs\PCR_19_27062025_MACRO_ULVA.xls" xr:uid="{D3A157BD-8FAC-41E1-8088-895DAB486FD8}"/>
    <hyperlink ref="F335" r:id="rId23" display="PCRs\PCR_19_27062025_MACRO_ULVA.xls" xr:uid="{141E30BB-0267-4221-9BAF-6C6C5BF96F8A}"/>
    <hyperlink ref="F334" r:id="rId24" display="PCRs\PCR_11_23062025_CYANO.xls" xr:uid="{8C56471E-1B59-4EC5-A238-B51F4782354A}"/>
    <hyperlink ref="F333" r:id="rId25" display="PCRs\PCR_11_23062025_CYANO.xls" xr:uid="{6D3D8458-86A3-467E-9D39-252DFE32AAC8}"/>
    <hyperlink ref="F332" r:id="rId26" display="PCRs\PCR_11_23062025_CYANO.xls" xr:uid="{6F025409-4157-4F6A-839B-256A5DEC8351}"/>
    <hyperlink ref="F330" r:id="rId27" display="PCRs\PCR_11_23062025_CYANO.xls" xr:uid="{B94E2778-CE8A-4B3E-B846-40D744EE318E}"/>
    <hyperlink ref="F328" r:id="rId28" display="PCRs\PCR_16_25062025_MACRO_ULVA.xls" xr:uid="{68CF9504-A502-4390-BA73-0A7DD0CC6EB7}"/>
    <hyperlink ref="F273" r:id="rId29" display="http://pcrs/PCR_4_11062025_FELICIANA.xls" xr:uid="{8AE52BB8-3CBF-495B-92DC-4CC2C91542DD}"/>
    <hyperlink ref="F269" r:id="rId30" display="http://pcrs/PCR_20_110925_euk.xls" xr:uid="{0CFF9F01-631D-4D45-B1DB-3AEFD90B1B12}"/>
    <hyperlink ref="F268" r:id="rId31" display="http://pcrs/PCR_20_110925_euk.xls" xr:uid="{5632CB3E-D5EE-4417-93A1-BCFE125F49D8}"/>
    <hyperlink ref="F264" r:id="rId32" display="http://pcrs/PCR_20_110925_euk.xls" xr:uid="{ACB9B176-B241-4E3B-B401-87F27C122ACD}"/>
    <hyperlink ref="O261" r:id="rId33" display="about:blank" xr:uid="{013726B0-9867-43F1-9FAA-4D0D09264D43}"/>
    <hyperlink ref="F261" r:id="rId34" display="http://pcrs/PCR_19_27062025_MACRO_ULVA.xls" xr:uid="{531F72A8-9716-4645-B91E-F0A0DEE82B88}"/>
    <hyperlink ref="F256" r:id="rId35" display="http://pcrs/PCR_8_16062025_CYANO.xls" xr:uid="{165E1AC0-162A-49EB-9B71-914D6E2C90DC}"/>
    <hyperlink ref="F255" r:id="rId36" display="http://pcrs/PCR_19_27062025_MACRO_ULVA.xls" xr:uid="{98B0DF57-7AAB-4661-95D5-A0DEF51497F9}"/>
    <hyperlink ref="F253" r:id="rId37" display="http://pcrs/PCR_13_16062025_CYANO_diluciones_30.xls" xr:uid="{855844CC-1058-4635-852B-B879ACE78430}"/>
    <hyperlink ref="F252" r:id="rId38" display="http://pcrs/PCR_19_27062025_MACRO_ULVA.xls" xr:uid="{55158AB7-F0FC-4F4C-A2BC-1039824319BD}"/>
    <hyperlink ref="F251" r:id="rId39" display="http://pcrs/PCR_19_27062025_MACRO_ULVA.xls" xr:uid="{3D21E26D-228A-45C7-ADB2-F1C69F3B4F06}"/>
    <hyperlink ref="O250" r:id="rId40" xr:uid="{F0619004-9152-482C-8AF2-A3340F55771F}"/>
    <hyperlink ref="F250" r:id="rId41" display="http://pcrs/PCR_19_27062025_MACRO_ULVA.xls" xr:uid="{56B3DB5B-FFD4-45CC-BA79-6637B9447C5E}"/>
    <hyperlink ref="F249" r:id="rId42" display="http://pcrs/PCR_19_27062025_MACRO_ULVA.xls" xr:uid="{ABB1E48D-E31C-4E38-81CD-BD08E02EC967}"/>
    <hyperlink ref="F248" r:id="rId43" display="http://pcrs/PCR_13_16062025_CYANO_diluciones_30.xls" xr:uid="{E7B8B973-85CD-417B-9CF9-134B24F414EC}"/>
    <hyperlink ref="F247" r:id="rId44" display="http://pcrs/PCR_8_16062025_CYANO.xls" xr:uid="{58BA2E40-12D9-4898-99FF-3E828FFF1952}"/>
    <hyperlink ref="O246" r:id="rId45" xr:uid="{1180D0CF-26D1-4D5F-8BB2-8936429E8B58}"/>
    <hyperlink ref="F246" r:id="rId46" display="http://pcrs/PCR_19_27062025_MACRO_ULVA.xls" xr:uid="{B839E5A0-AB4A-42F4-9E6B-9F7BA99CC90C}"/>
    <hyperlink ref="F245" r:id="rId47" display="http://pcrs/PCR_19_27062025_MACRO_ULVA.xls" xr:uid="{44F6ABEE-555F-468D-9AA3-15D46196F170}"/>
    <hyperlink ref="F244" r:id="rId48" display="http://pcrs/PCR_13_16062025_CYANO_diluciones_30.xls" xr:uid="{20B76E38-6AA5-42EA-BFE0-8ACA737AED6A}"/>
    <hyperlink ref="F242" r:id="rId49" display="http://pcrs/PCR_19_27062025_MACRO_ULVA.xls" xr:uid="{E249975F-E550-466E-A0A6-A0FDD2175457}"/>
    <hyperlink ref="O241" r:id="rId50" xr:uid="{963F6AE4-68B0-4E41-8B3B-02C822D4F5AB}"/>
    <hyperlink ref="F241" r:id="rId51" display="http://pcrs/PCR_19_27062025_MACRO_ULVA.xls" xr:uid="{7077F9E8-CC13-4FEA-8BB7-DD126A78F38C}"/>
    <hyperlink ref="F240" r:id="rId52" display="http://pcrs/PCR_19_27062025_MACRO_ULVA.xls" xr:uid="{CF27A4C1-4F6B-4FC2-8B27-5C8E57F63136}"/>
    <hyperlink ref="F239" r:id="rId53" display="http://pcrs/PCR_19_27062025_MACRO_ULVA.xls" xr:uid="{288401FF-14C2-4117-9B87-5F3D5C72CB86}"/>
    <hyperlink ref="F238" r:id="rId54" display="http://pcrs/PCR_19_27062025_MACRO_ULVA.xls" xr:uid="{0DC3E940-F68D-47BD-8799-EC63423E27F9}"/>
    <hyperlink ref="F237" r:id="rId55" display="http://pcrs/PCR_19_27062025_MACRO_ULVA.xls" xr:uid="{3D99C2C6-068A-4F8B-9FA4-92368B10CBF3}"/>
    <hyperlink ref="O234" r:id="rId56" xr:uid="{B6E968C4-1F2F-4DC6-957E-4911958094DE}"/>
    <hyperlink ref="F234" r:id="rId57" display="http://pcrs/PCR_19_27062025_MACRO_ULVA.xls" xr:uid="{2879819E-4304-42F9-B0B4-D8090380F922}"/>
    <hyperlink ref="O233" r:id="rId58" xr:uid="{DABC5E21-C5C4-4834-8237-C8B505CCC20B}"/>
    <hyperlink ref="F233" r:id="rId59" display="http://pcrs/PCR_5_12062025_CYANO.xls" xr:uid="{540272E2-8793-481E-B829-A4FA0FB972D6}"/>
    <hyperlink ref="F231" r:id="rId60" display="http://pcrs/PCR_19_27062025_MACRO_ULVA.xls" xr:uid="{4EDE22E9-07E3-4270-9DC4-4573725AD048}"/>
    <hyperlink ref="F230" r:id="rId61" display="http://pcrs/PCR_11_23062025_CYANO.xls" xr:uid="{3B96F764-1F37-45C8-8468-B908A39F50DB}"/>
    <hyperlink ref="F227" r:id="rId62" display="http://pcrs/PCR_11_23062025_CYANO.xls" xr:uid="{C7A7B6C5-856D-438A-9356-5633BC06CD6C}"/>
    <hyperlink ref="F226" r:id="rId63" display="http://pcrs/PCR_13_16062025_CYANO_diluciones_30.xls" xr:uid="{D27AA426-8F85-4604-B1B9-2F279D1BE409}"/>
    <hyperlink ref="O224" r:id="rId64" display="about:blank" xr:uid="{9B514E02-3DEF-41B4-B36C-58163C49792D}"/>
    <hyperlink ref="F222" r:id="rId65" display="http://pcrs/PCR_5_12062025_CYANO.xls" xr:uid="{2413AC26-6ADE-4D99-A9CB-81EAC886CD24}"/>
    <hyperlink ref="F218" r:id="rId66" display="http://pcrs/PCR_16_25062025_MACRO_ULVA.xls" xr:uid="{CFF747B5-401A-45DC-9302-41A50B77229E}"/>
    <hyperlink ref="F217" r:id="rId67" display="http://pcrs/PCR_16_25062025_MACRO_ULVA.xls" xr:uid="{5D35371D-D5B1-4E28-B5BF-D2C6E5ADEA8A}"/>
    <hyperlink ref="F216" r:id="rId68" display="http://pcrs/PCR_16_25062025_MACRO_ULVA.xls" xr:uid="{6FADE44F-0F43-436D-B3A3-6E1466F0C53D}"/>
    <hyperlink ref="F215" r:id="rId69" display="http://pcrs/PCR_16_25062025_MACRO_ULVA.xls" xr:uid="{97621E68-615C-4939-BE46-90CD0E3BCB99}"/>
    <hyperlink ref="F214" r:id="rId70" display="http://pcrs/PCR_16_25062025_MACRO_ULVA.xls" xr:uid="{3A43C92B-0BF6-427B-8200-D6A0C6C30C73}"/>
    <hyperlink ref="F213" r:id="rId71" display="http://pcrs/PCR_16_25062025_MACRO_ULVA.xls" xr:uid="{1A702484-E33D-4AF9-8D47-C6CC645DA054}"/>
    <hyperlink ref="F212" r:id="rId72" display="http://pcrs/PCR_17_25062025_MACRO_ULVA.xls" xr:uid="{1347A174-D822-4C8D-A4C4-5A8412456A88}"/>
    <hyperlink ref="O211" r:id="rId73" display="about:blank" xr:uid="{D066B764-659A-4324-BB3D-3CC37700F0B4}"/>
    <hyperlink ref="F211" r:id="rId74" display="http://pcrs/PCR_17_25062025_MACRO_ULVA.xls" xr:uid="{9F97F676-03D9-4427-A121-61272180EE35}"/>
    <hyperlink ref="F210" r:id="rId75" display="http://pcrs/PCR_17_25062025_MACRO_ULVA.xls" xr:uid="{79345F6A-F504-43F2-8CC2-10FAC60CAB3B}"/>
    <hyperlink ref="F209" r:id="rId76" display="http://pcrs/PCR_4_11062025_FELICIANA.xls" xr:uid="{08924EA5-A993-4E2C-9ECA-6242F48425C1}"/>
    <hyperlink ref="F208" r:id="rId77" display="http://pcrs/PCR_5_12062025_CYANO.xls" xr:uid="{27AB66B8-14C8-496A-A26C-E17C48E5EA09}"/>
    <hyperlink ref="F156" r:id="rId78" display="http://pcrs/PCR_19_27062025_MACRO_ULVA.xls" xr:uid="{3498D671-DE84-421E-BE8A-EB730EC27398}"/>
    <hyperlink ref="F153" r:id="rId79" display="http://pcrs/PCR_17_25062025_MACRO_ULVA.xls" xr:uid="{2B2A4A20-1D5D-47C7-8C64-6FB41D0AE9D9}"/>
    <hyperlink ref="F150" r:id="rId80" display="http://pcrs/PCR_19_27062025_MACRO_ULVA.xls" xr:uid="{4A984E5B-B0AD-4863-8F04-905E42AC3690}"/>
    <hyperlink ref="F149" r:id="rId81" display="http://pcrs/PCR_8_16062025_CYANO.xls" xr:uid="{449860AD-EE2F-46AB-8CCF-D166DF24F22A}"/>
    <hyperlink ref="F148" r:id="rId82" display="http://pcrs/PCR_8_16062025_CYANO.xls" xr:uid="{F7255E15-841A-41B8-ABE7-E93E2B42C4D3}"/>
    <hyperlink ref="F147" r:id="rId83" display="http://pcrs/PCR_19_27062025_MACRO_ULVA.xls" xr:uid="{669F745E-FF0C-40CA-9832-3AD6C88A1591}"/>
    <hyperlink ref="F146" r:id="rId84" display="http://pcrs/PCR_8_16062025_CYANO.xls" xr:uid="{E26087F6-274A-4584-A70C-5F8976DA68D8}"/>
    <hyperlink ref="F145" r:id="rId85" display="http://pcrs/PCR_8_16062025_CYANO.xls" xr:uid="{C5BAE5A0-3665-4098-8233-2FFD3F2A5E99}"/>
    <hyperlink ref="F138" r:id="rId86" display="http://pcrs/PCR_19_27062025_MACRO_ULVA.xls" xr:uid="{0D9AF8D8-613B-4F52-A457-F09A2495EBDC}"/>
    <hyperlink ref="F137" r:id="rId87" display="http://pcrs/PCR_11_23062025_CYANO.xls" xr:uid="{6D216923-159B-4811-90AD-F05728EB1F99}"/>
    <hyperlink ref="F136" r:id="rId88" display="http://pcrs/PCR_8_16062025_CYANO.xls" xr:uid="{664C3B74-23BF-4C4A-9B0C-EC17E995B5D1}"/>
    <hyperlink ref="F135" r:id="rId89" display="http://pcrs/PCR_8_16062025_CYANO.xls" xr:uid="{22154ACE-73D8-4411-8D27-A83CD1DA4806}"/>
    <hyperlink ref="F134" r:id="rId90" display="http://pcrs/PCR_19_27062025_MACRO_ULVA.xls" xr:uid="{757AA044-71D2-4CE8-A145-95C9F497C4F9}"/>
    <hyperlink ref="F133" r:id="rId91" display="http://pcrs/PCR_19_27062025_MACRO_ULVA.xls" xr:uid="{F4FA2FDE-4263-4A65-A32A-8E31A3924502}"/>
    <hyperlink ref="F132" r:id="rId92" display="http://pcrs/PCR_13_16062025_CYANO_diluciones_30.xls" xr:uid="{7C0BB2DB-5F9D-44A0-8B73-28E3B0ED86D9}"/>
    <hyperlink ref="F131" r:id="rId93" display="http://pcrs/PCR_8_16062025_CYANO.xls" xr:uid="{849ACB48-63C3-473C-A775-048E4C36F09C}"/>
    <hyperlink ref="F130" r:id="rId94" display="http://pcrs/PCR_13_16062025_CYANO_diluciones_30.xls" xr:uid="{517F20EB-4AEE-4A1F-8CEC-96A8F2C10492}"/>
    <hyperlink ref="F129" r:id="rId95" display="http://pcrs/PCR_13_16062025_CYANO_diluciones_30.xls" xr:uid="{A1AAB32A-21CF-4CF8-8282-8921EEEBAAA1}"/>
    <hyperlink ref="F128" r:id="rId96" display="http://pcrs/PCR_8_16062025_CYANO.xls" xr:uid="{D5AA41F7-110B-40DC-8151-A316BF205D3C}"/>
    <hyperlink ref="F126" r:id="rId97" display="http://pcrs/PCR_8_16062025_CYANO.xls" xr:uid="{E6336036-1337-4487-980A-8BFFEA5C04E9}"/>
    <hyperlink ref="F124" r:id="rId98" display="http://pcrs/PCR_19_27062025_MACRO_ULVA.xls" xr:uid="{9A05FA7D-FDFC-47C0-B70D-2789C4109928}"/>
    <hyperlink ref="F123" r:id="rId99" display="http://pcrs/PCR_13_16062025_CYANO_diluciones_30.xls" xr:uid="{22287141-CD14-41F2-9818-772D410FF5A4}"/>
    <hyperlink ref="F122" r:id="rId100" display="http://pcrs/PCR_19_27062025_MACRO_ULVA.xls" xr:uid="{4BC4A3DD-8871-4BA0-9356-05448B82636C}"/>
    <hyperlink ref="F121" r:id="rId101" display="http://pcrs/PCR_8_16062025_CYANO.xls" xr:uid="{0E7EB42A-10A2-4BF1-B9EB-513EADEC5F7E}"/>
    <hyperlink ref="F120" r:id="rId102" display="http://pcrs/PCR_19_27062025_MACRO_ULVA.xls" xr:uid="{0FB34375-7245-47D8-B233-20A71A814B01}"/>
    <hyperlink ref="F118" r:id="rId103" display="http://pcrs/PCR_19_27062025_MACRO_ULVA.xls" xr:uid="{6BD577A3-9D30-488F-B99F-FE8BC6D319DE}"/>
    <hyperlink ref="F116" r:id="rId104" display="http://pcrs/PCR_19_27062025_MACRO_ULVA.xls" xr:uid="{12C76CA7-9AE2-47CD-8EA2-9D5F39A44B0A}"/>
    <hyperlink ref="F115" r:id="rId105" display="http://pcrs/PCR_13_16062025_CYANO_diluciones_30.xls" xr:uid="{061EFB10-A9A4-46B0-8AB2-5D3A2B9520F5}"/>
    <hyperlink ref="F114" r:id="rId106" display="http://pcrs/PCR_19_27062025_MACRO_ULVA.xls" xr:uid="{8DAD890D-01BF-442C-BC39-6579F947219A}"/>
    <hyperlink ref="F113" r:id="rId107" display="http://pcrs/PCR_19_27062025_MACRO_ULVA.xls" xr:uid="{70EF84D3-051F-402B-8A08-CB0379845B52}"/>
    <hyperlink ref="F112" r:id="rId108" display="http://pcrs/PCR_19_27062025_MACRO_ULVA.xls" xr:uid="{EC9BA685-6995-4B9F-A945-D66DCC56B98E}"/>
    <hyperlink ref="F111" r:id="rId109" display="http://pcrs/PCR_13_16062025_CYANO_diluciones_30.xls" xr:uid="{2EEF2B11-ABD9-4031-A125-46FD783FECFA}"/>
    <hyperlink ref="F110" r:id="rId110" display="http://pcrs/PCR_13_16062025_CYANO_diluciones_30.xls" xr:uid="{A5570643-C46F-4A0A-9C5C-1B4FC02A3526}"/>
    <hyperlink ref="F109" r:id="rId111" display="http://pcrs/PCR_17_25062025_MACRO_ULVA.xls" xr:uid="{CDA7DC55-6B0C-479B-8D25-56F2D11154E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2E04C-D71D-4235-BAE1-1161D4AF2307}">
  <dimension ref="A1:D1510"/>
  <sheetViews>
    <sheetView workbookViewId="0">
      <selection activeCell="B3" sqref="B3"/>
    </sheetView>
  </sheetViews>
  <sheetFormatPr baseColWidth="10" defaultColWidth="32.5546875" defaultRowHeight="14.4" x14ac:dyDescent="0.3"/>
  <cols>
    <col min="1" max="1" width="17.6640625" customWidth="1"/>
    <col min="2" max="2" width="38.6640625" bestFit="1" customWidth="1"/>
    <col min="3" max="4" width="10" bestFit="1" customWidth="1"/>
  </cols>
  <sheetData>
    <row r="1" spans="1:4" s="254" customFormat="1" x14ac:dyDescent="0.3">
      <c r="A1" s="254" t="s">
        <v>3464</v>
      </c>
      <c r="B1" s="254" t="s">
        <v>3465</v>
      </c>
      <c r="C1" s="254" t="s">
        <v>2356</v>
      </c>
      <c r="D1" s="254" t="s">
        <v>2828</v>
      </c>
    </row>
    <row r="2" spans="1:4" x14ac:dyDescent="0.3">
      <c r="A2" t="s">
        <v>1609</v>
      </c>
      <c r="B2" s="406" t="s">
        <v>1685</v>
      </c>
      <c r="C2" t="s">
        <v>2357</v>
      </c>
      <c r="D2" t="s">
        <v>85</v>
      </c>
    </row>
    <row r="3" spans="1:4" x14ac:dyDescent="0.3">
      <c r="A3" t="s">
        <v>1610</v>
      </c>
      <c r="B3" s="406" t="s">
        <v>1685</v>
      </c>
      <c r="C3" t="s">
        <v>2357</v>
      </c>
      <c r="D3" t="s">
        <v>85</v>
      </c>
    </row>
    <row r="4" spans="1:4" x14ac:dyDescent="0.3">
      <c r="A4" t="s">
        <v>1611</v>
      </c>
      <c r="B4" s="406" t="s">
        <v>1685</v>
      </c>
      <c r="C4" t="s">
        <v>2357</v>
      </c>
      <c r="D4" t="s">
        <v>85</v>
      </c>
    </row>
    <row r="5" spans="1:4" x14ac:dyDescent="0.3">
      <c r="A5" t="s">
        <v>1612</v>
      </c>
      <c r="B5" s="406" t="s">
        <v>1685</v>
      </c>
      <c r="C5" t="s">
        <v>2357</v>
      </c>
      <c r="D5" t="s">
        <v>85</v>
      </c>
    </row>
    <row r="6" spans="1:4" x14ac:dyDescent="0.3">
      <c r="A6" t="s">
        <v>1613</v>
      </c>
      <c r="B6" s="406" t="s">
        <v>1685</v>
      </c>
      <c r="C6" t="s">
        <v>2357</v>
      </c>
      <c r="D6" t="s">
        <v>85</v>
      </c>
    </row>
    <row r="7" spans="1:4" x14ac:dyDescent="0.3">
      <c r="A7" t="s">
        <v>1614</v>
      </c>
      <c r="B7" s="406" t="s">
        <v>1685</v>
      </c>
      <c r="C7" t="s">
        <v>2357</v>
      </c>
      <c r="D7" t="s">
        <v>85</v>
      </c>
    </row>
    <row r="8" spans="1:4" x14ac:dyDescent="0.3">
      <c r="A8" t="s">
        <v>1615</v>
      </c>
      <c r="B8" s="406" t="s">
        <v>1685</v>
      </c>
      <c r="C8" t="s">
        <v>2357</v>
      </c>
      <c r="D8" t="s">
        <v>85</v>
      </c>
    </row>
    <row r="9" spans="1:4" x14ac:dyDescent="0.3">
      <c r="A9" t="s">
        <v>1616</v>
      </c>
      <c r="B9" s="406" t="s">
        <v>1685</v>
      </c>
      <c r="C9" t="s">
        <v>2357</v>
      </c>
      <c r="D9" t="s">
        <v>85</v>
      </c>
    </row>
    <row r="10" spans="1:4" x14ac:dyDescent="0.3">
      <c r="A10" t="s">
        <v>1151</v>
      </c>
      <c r="B10" s="406" t="s">
        <v>1685</v>
      </c>
      <c r="C10" t="s">
        <v>2357</v>
      </c>
      <c r="D10" t="s">
        <v>85</v>
      </c>
    </row>
    <row r="11" spans="1:4" x14ac:dyDescent="0.3">
      <c r="A11" t="s">
        <v>1617</v>
      </c>
      <c r="B11" s="406" t="s">
        <v>1685</v>
      </c>
      <c r="C11" t="s">
        <v>2357</v>
      </c>
      <c r="D11" t="s">
        <v>85</v>
      </c>
    </row>
    <row r="12" spans="1:4" x14ac:dyDescent="0.3">
      <c r="A12" t="s">
        <v>1618</v>
      </c>
      <c r="B12" s="406" t="s">
        <v>1685</v>
      </c>
      <c r="C12" t="s">
        <v>2357</v>
      </c>
      <c r="D12" t="s">
        <v>85</v>
      </c>
    </row>
    <row r="13" spans="1:4" x14ac:dyDescent="0.3">
      <c r="A13" t="s">
        <v>1103</v>
      </c>
      <c r="B13" s="406" t="s">
        <v>1685</v>
      </c>
      <c r="C13" t="s">
        <v>2357</v>
      </c>
      <c r="D13" t="s">
        <v>85</v>
      </c>
    </row>
    <row r="14" spans="1:4" x14ac:dyDescent="0.3">
      <c r="A14" t="s">
        <v>1619</v>
      </c>
      <c r="B14" s="406" t="s">
        <v>1685</v>
      </c>
      <c r="C14" t="s">
        <v>2357</v>
      </c>
      <c r="D14" t="s">
        <v>85</v>
      </c>
    </row>
    <row r="15" spans="1:4" x14ac:dyDescent="0.3">
      <c r="A15" t="s">
        <v>1130</v>
      </c>
      <c r="B15" s="406" t="s">
        <v>1685</v>
      </c>
      <c r="C15" t="s">
        <v>2357</v>
      </c>
      <c r="D15" t="s">
        <v>85</v>
      </c>
    </row>
    <row r="16" spans="1:4" x14ac:dyDescent="0.3">
      <c r="A16" t="s">
        <v>1620</v>
      </c>
      <c r="B16" s="406" t="s">
        <v>1685</v>
      </c>
      <c r="C16" t="s">
        <v>2357</v>
      </c>
      <c r="D16" t="s">
        <v>85</v>
      </c>
    </row>
    <row r="17" spans="1:4" x14ac:dyDescent="0.3">
      <c r="A17" t="s">
        <v>1621</v>
      </c>
      <c r="B17" s="406" t="s">
        <v>1685</v>
      </c>
      <c r="C17" t="s">
        <v>2357</v>
      </c>
      <c r="D17" t="s">
        <v>85</v>
      </c>
    </row>
    <row r="18" spans="1:4" x14ac:dyDescent="0.3">
      <c r="A18" t="s">
        <v>1622</v>
      </c>
      <c r="B18" s="406" t="s">
        <v>1685</v>
      </c>
      <c r="C18" t="s">
        <v>2357</v>
      </c>
      <c r="D18" t="s">
        <v>85</v>
      </c>
    </row>
    <row r="19" spans="1:4" x14ac:dyDescent="0.3">
      <c r="A19" t="s">
        <v>1623</v>
      </c>
      <c r="B19" s="406" t="s">
        <v>1685</v>
      </c>
      <c r="C19" t="s">
        <v>2357</v>
      </c>
      <c r="D19" t="s">
        <v>85</v>
      </c>
    </row>
    <row r="20" spans="1:4" x14ac:dyDescent="0.3">
      <c r="A20" t="s">
        <v>1624</v>
      </c>
      <c r="B20" s="406" t="s">
        <v>1685</v>
      </c>
      <c r="C20" t="s">
        <v>2357</v>
      </c>
      <c r="D20" t="s">
        <v>85</v>
      </c>
    </row>
    <row r="21" spans="1:4" x14ac:dyDescent="0.3">
      <c r="A21" t="s">
        <v>1061</v>
      </c>
      <c r="B21" s="406" t="s">
        <v>1685</v>
      </c>
      <c r="C21" t="s">
        <v>2357</v>
      </c>
      <c r="D21" t="s">
        <v>85</v>
      </c>
    </row>
    <row r="22" spans="1:4" x14ac:dyDescent="0.3">
      <c r="A22" t="s">
        <v>605</v>
      </c>
      <c r="B22" s="406" t="s">
        <v>1685</v>
      </c>
      <c r="C22" t="s">
        <v>2357</v>
      </c>
      <c r="D22" t="s">
        <v>85</v>
      </c>
    </row>
    <row r="23" spans="1:4" x14ac:dyDescent="0.3">
      <c r="A23" t="s">
        <v>1625</v>
      </c>
      <c r="B23" s="406" t="s">
        <v>1685</v>
      </c>
      <c r="C23" t="s">
        <v>2357</v>
      </c>
      <c r="D23" t="s">
        <v>85</v>
      </c>
    </row>
    <row r="24" spans="1:4" x14ac:dyDescent="0.3">
      <c r="A24" t="s">
        <v>1626</v>
      </c>
      <c r="B24" s="406" t="s">
        <v>1685</v>
      </c>
      <c r="C24" t="s">
        <v>2357</v>
      </c>
      <c r="D24" t="s">
        <v>85</v>
      </c>
    </row>
    <row r="25" spans="1:4" x14ac:dyDescent="0.3">
      <c r="A25" t="s">
        <v>1627</v>
      </c>
      <c r="B25" s="406" t="s">
        <v>1685</v>
      </c>
      <c r="C25" t="s">
        <v>2357</v>
      </c>
      <c r="D25" t="s">
        <v>85</v>
      </c>
    </row>
    <row r="26" spans="1:4" x14ac:dyDescent="0.3">
      <c r="A26" t="s">
        <v>1628</v>
      </c>
      <c r="B26" s="406" t="s">
        <v>1685</v>
      </c>
      <c r="C26" t="s">
        <v>2357</v>
      </c>
      <c r="D26" t="s">
        <v>85</v>
      </c>
    </row>
    <row r="27" spans="1:4" x14ac:dyDescent="0.3">
      <c r="A27" t="s">
        <v>1629</v>
      </c>
      <c r="B27" s="406" t="s">
        <v>1685</v>
      </c>
      <c r="C27" t="s">
        <v>2357</v>
      </c>
      <c r="D27" t="s">
        <v>85</v>
      </c>
    </row>
    <row r="28" spans="1:4" x14ac:dyDescent="0.3">
      <c r="A28" t="s">
        <v>1630</v>
      </c>
      <c r="B28" s="406" t="s">
        <v>1685</v>
      </c>
      <c r="C28" t="s">
        <v>2357</v>
      </c>
      <c r="D28" t="s">
        <v>85</v>
      </c>
    </row>
    <row r="29" spans="1:4" x14ac:dyDescent="0.3">
      <c r="A29" t="s">
        <v>1631</v>
      </c>
      <c r="B29" s="406" t="s">
        <v>1685</v>
      </c>
      <c r="C29" t="s">
        <v>2357</v>
      </c>
      <c r="D29" t="s">
        <v>85</v>
      </c>
    </row>
    <row r="30" spans="1:4" x14ac:dyDescent="0.3">
      <c r="A30" t="s">
        <v>1632</v>
      </c>
      <c r="B30" s="406" t="s">
        <v>1685</v>
      </c>
      <c r="C30" t="s">
        <v>2357</v>
      </c>
      <c r="D30" t="s">
        <v>85</v>
      </c>
    </row>
    <row r="31" spans="1:4" x14ac:dyDescent="0.3">
      <c r="A31" t="s">
        <v>1633</v>
      </c>
      <c r="B31" s="406" t="s">
        <v>1685</v>
      </c>
      <c r="C31" t="s">
        <v>2357</v>
      </c>
      <c r="D31" t="s">
        <v>85</v>
      </c>
    </row>
    <row r="32" spans="1:4" x14ac:dyDescent="0.3">
      <c r="A32" t="s">
        <v>1634</v>
      </c>
      <c r="B32" s="406" t="s">
        <v>1685</v>
      </c>
      <c r="C32" t="s">
        <v>2357</v>
      </c>
      <c r="D32" t="s">
        <v>85</v>
      </c>
    </row>
    <row r="33" spans="1:4" x14ac:dyDescent="0.3">
      <c r="A33" t="s">
        <v>1635</v>
      </c>
      <c r="B33" s="406" t="s">
        <v>1685</v>
      </c>
      <c r="C33" t="s">
        <v>2357</v>
      </c>
      <c r="D33" t="s">
        <v>85</v>
      </c>
    </row>
    <row r="34" spans="1:4" x14ac:dyDescent="0.3">
      <c r="A34" t="s">
        <v>831</v>
      </c>
      <c r="B34" s="406" t="s">
        <v>1685</v>
      </c>
      <c r="C34" t="s">
        <v>2357</v>
      </c>
      <c r="D34" t="s">
        <v>85</v>
      </c>
    </row>
    <row r="35" spans="1:4" x14ac:dyDescent="0.3">
      <c r="A35" t="s">
        <v>788</v>
      </c>
      <c r="B35" s="406" t="s">
        <v>1685</v>
      </c>
      <c r="C35" t="s">
        <v>2357</v>
      </c>
      <c r="D35" t="s">
        <v>85</v>
      </c>
    </row>
    <row r="36" spans="1:4" x14ac:dyDescent="0.3">
      <c r="A36" t="s">
        <v>1636</v>
      </c>
      <c r="B36" s="406" t="s">
        <v>1685</v>
      </c>
      <c r="C36" t="s">
        <v>2357</v>
      </c>
      <c r="D36" t="s">
        <v>85</v>
      </c>
    </row>
    <row r="37" spans="1:4" x14ac:dyDescent="0.3">
      <c r="A37" t="s">
        <v>1637</v>
      </c>
      <c r="B37" s="406" t="s">
        <v>1685</v>
      </c>
      <c r="C37" t="s">
        <v>2357</v>
      </c>
      <c r="D37" t="s">
        <v>85</v>
      </c>
    </row>
    <row r="38" spans="1:4" x14ac:dyDescent="0.3">
      <c r="A38" t="s">
        <v>1638</v>
      </c>
      <c r="B38" s="406" t="s">
        <v>1685</v>
      </c>
      <c r="C38" t="s">
        <v>2357</v>
      </c>
      <c r="D38" t="s">
        <v>85</v>
      </c>
    </row>
    <row r="39" spans="1:4" x14ac:dyDescent="0.3">
      <c r="A39" t="s">
        <v>1639</v>
      </c>
      <c r="B39" s="406" t="s">
        <v>1685</v>
      </c>
      <c r="C39" t="s">
        <v>2357</v>
      </c>
      <c r="D39" t="s">
        <v>85</v>
      </c>
    </row>
    <row r="40" spans="1:4" x14ac:dyDescent="0.3">
      <c r="A40" t="s">
        <v>1640</v>
      </c>
      <c r="B40" s="406" t="s">
        <v>1685</v>
      </c>
      <c r="C40" t="s">
        <v>2357</v>
      </c>
      <c r="D40" t="s">
        <v>85</v>
      </c>
    </row>
    <row r="41" spans="1:4" x14ac:dyDescent="0.3">
      <c r="A41" t="s">
        <v>1641</v>
      </c>
      <c r="B41" s="406" t="s">
        <v>1685</v>
      </c>
      <c r="C41" t="s">
        <v>2357</v>
      </c>
      <c r="D41" t="s">
        <v>85</v>
      </c>
    </row>
    <row r="42" spans="1:4" x14ac:dyDescent="0.3">
      <c r="A42" t="s">
        <v>1642</v>
      </c>
      <c r="B42" s="406" t="s">
        <v>1685</v>
      </c>
      <c r="C42" t="s">
        <v>2357</v>
      </c>
      <c r="D42" t="s">
        <v>85</v>
      </c>
    </row>
    <row r="43" spans="1:4" x14ac:dyDescent="0.3">
      <c r="A43" t="s">
        <v>1643</v>
      </c>
      <c r="B43" s="406" t="s">
        <v>1685</v>
      </c>
      <c r="C43" t="s">
        <v>2357</v>
      </c>
      <c r="D43" t="s">
        <v>85</v>
      </c>
    </row>
    <row r="44" spans="1:4" x14ac:dyDescent="0.3">
      <c r="A44" t="s">
        <v>1644</v>
      </c>
      <c r="B44" s="406" t="s">
        <v>1685</v>
      </c>
      <c r="C44" t="s">
        <v>2357</v>
      </c>
      <c r="D44" t="s">
        <v>85</v>
      </c>
    </row>
    <row r="45" spans="1:4" x14ac:dyDescent="0.3">
      <c r="A45" t="s">
        <v>1645</v>
      </c>
      <c r="B45" s="406" t="s">
        <v>1685</v>
      </c>
      <c r="C45" t="s">
        <v>2357</v>
      </c>
      <c r="D45" t="s">
        <v>85</v>
      </c>
    </row>
    <row r="46" spans="1:4" x14ac:dyDescent="0.3">
      <c r="A46" t="s">
        <v>824</v>
      </c>
      <c r="B46" s="407" t="s">
        <v>1684</v>
      </c>
      <c r="C46" t="s">
        <v>2357</v>
      </c>
      <c r="D46" t="s">
        <v>85</v>
      </c>
    </row>
    <row r="47" spans="1:4" x14ac:dyDescent="0.3">
      <c r="A47" t="s">
        <v>826</v>
      </c>
      <c r="B47" s="407" t="s">
        <v>1686</v>
      </c>
      <c r="C47" t="s">
        <v>2357</v>
      </c>
      <c r="D47" t="s">
        <v>85</v>
      </c>
    </row>
    <row r="48" spans="1:4" x14ac:dyDescent="0.3">
      <c r="A48" t="s">
        <v>1646</v>
      </c>
      <c r="B48" s="407" t="s">
        <v>1687</v>
      </c>
      <c r="C48" t="s">
        <v>2357</v>
      </c>
      <c r="D48" t="s">
        <v>85</v>
      </c>
    </row>
    <row r="49" spans="1:4" x14ac:dyDescent="0.3">
      <c r="A49" t="s">
        <v>1647</v>
      </c>
      <c r="B49" s="407" t="s">
        <v>1688</v>
      </c>
      <c r="C49" t="s">
        <v>2357</v>
      </c>
      <c r="D49" t="s">
        <v>85</v>
      </c>
    </row>
    <row r="50" spans="1:4" x14ac:dyDescent="0.3">
      <c r="A50" t="s">
        <v>1639</v>
      </c>
      <c r="B50" s="407" t="s">
        <v>1689</v>
      </c>
      <c r="C50" t="s">
        <v>2357</v>
      </c>
      <c r="D50" t="s">
        <v>85</v>
      </c>
    </row>
    <row r="51" spans="1:4" x14ac:dyDescent="0.3">
      <c r="A51" t="s">
        <v>1648</v>
      </c>
      <c r="B51" s="407" t="s">
        <v>1690</v>
      </c>
      <c r="C51" t="s">
        <v>2357</v>
      </c>
      <c r="D51" t="s">
        <v>85</v>
      </c>
    </row>
    <row r="52" spans="1:4" x14ac:dyDescent="0.3">
      <c r="A52" t="s">
        <v>848</v>
      </c>
      <c r="B52" s="407" t="s">
        <v>1691</v>
      </c>
      <c r="C52" t="s">
        <v>2357</v>
      </c>
      <c r="D52" t="s">
        <v>85</v>
      </c>
    </row>
    <row r="53" spans="1:4" x14ac:dyDescent="0.3">
      <c r="A53" t="s">
        <v>1649</v>
      </c>
      <c r="B53" s="407" t="s">
        <v>1692</v>
      </c>
      <c r="C53" t="s">
        <v>2357</v>
      </c>
      <c r="D53" t="s">
        <v>85</v>
      </c>
    </row>
    <row r="54" spans="1:4" x14ac:dyDescent="0.3">
      <c r="A54" t="s">
        <v>1650</v>
      </c>
      <c r="B54" s="407" t="s">
        <v>1693</v>
      </c>
      <c r="C54" t="s">
        <v>2357</v>
      </c>
      <c r="D54" t="s">
        <v>85</v>
      </c>
    </row>
    <row r="55" spans="1:4" x14ac:dyDescent="0.3">
      <c r="A55" t="s">
        <v>1651</v>
      </c>
      <c r="B55" s="407" t="s">
        <v>1694</v>
      </c>
      <c r="C55" t="s">
        <v>2357</v>
      </c>
      <c r="D55" t="s">
        <v>85</v>
      </c>
    </row>
    <row r="56" spans="1:4" x14ac:dyDescent="0.3">
      <c r="A56" t="s">
        <v>1652</v>
      </c>
      <c r="B56" s="407" t="s">
        <v>1695</v>
      </c>
      <c r="C56" t="s">
        <v>2357</v>
      </c>
      <c r="D56" t="s">
        <v>85</v>
      </c>
    </row>
    <row r="57" spans="1:4" x14ac:dyDescent="0.3">
      <c r="A57" t="s">
        <v>1653</v>
      </c>
      <c r="B57" s="407" t="s">
        <v>1696</v>
      </c>
      <c r="C57" t="s">
        <v>2357</v>
      </c>
      <c r="D57" t="s">
        <v>85</v>
      </c>
    </row>
    <row r="58" spans="1:4" x14ac:dyDescent="0.3">
      <c r="A58" t="s">
        <v>1223</v>
      </c>
      <c r="B58" s="407" t="s">
        <v>1697</v>
      </c>
      <c r="C58" t="s">
        <v>2357</v>
      </c>
      <c r="D58" t="s">
        <v>85</v>
      </c>
    </row>
    <row r="59" spans="1:4" x14ac:dyDescent="0.3">
      <c r="A59" t="s">
        <v>1654</v>
      </c>
      <c r="B59" s="407" t="s">
        <v>1698</v>
      </c>
      <c r="C59" t="s">
        <v>2357</v>
      </c>
      <c r="D59" t="s">
        <v>85</v>
      </c>
    </row>
    <row r="60" spans="1:4" x14ac:dyDescent="0.3">
      <c r="A60" t="s">
        <v>1655</v>
      </c>
      <c r="B60" s="407" t="s">
        <v>1699</v>
      </c>
      <c r="C60" t="s">
        <v>2357</v>
      </c>
      <c r="D60" t="s">
        <v>85</v>
      </c>
    </row>
    <row r="61" spans="1:4" x14ac:dyDescent="0.3">
      <c r="A61" t="s">
        <v>1656</v>
      </c>
      <c r="B61" s="407" t="s">
        <v>1700</v>
      </c>
      <c r="C61" t="s">
        <v>2357</v>
      </c>
      <c r="D61" t="s">
        <v>85</v>
      </c>
    </row>
    <row r="62" spans="1:4" x14ac:dyDescent="0.3">
      <c r="A62" t="s">
        <v>1657</v>
      </c>
      <c r="B62" s="407" t="s">
        <v>1701</v>
      </c>
      <c r="C62" t="s">
        <v>2357</v>
      </c>
      <c r="D62" t="s">
        <v>85</v>
      </c>
    </row>
    <row r="63" spans="1:4" x14ac:dyDescent="0.3">
      <c r="A63" t="s">
        <v>1658</v>
      </c>
      <c r="B63" s="407" t="s">
        <v>1702</v>
      </c>
      <c r="C63" t="s">
        <v>2357</v>
      </c>
      <c r="D63" t="s">
        <v>85</v>
      </c>
    </row>
    <row r="64" spans="1:4" x14ac:dyDescent="0.3">
      <c r="A64" t="s">
        <v>1659</v>
      </c>
      <c r="B64" s="407" t="s">
        <v>1703</v>
      </c>
      <c r="C64" t="s">
        <v>2357</v>
      </c>
      <c r="D64" t="s">
        <v>85</v>
      </c>
    </row>
    <row r="65" spans="1:4" x14ac:dyDescent="0.3">
      <c r="A65" t="s">
        <v>1660</v>
      </c>
      <c r="B65" s="407" t="s">
        <v>1704</v>
      </c>
      <c r="C65" t="s">
        <v>2357</v>
      </c>
      <c r="D65" t="s">
        <v>85</v>
      </c>
    </row>
    <row r="66" spans="1:4" x14ac:dyDescent="0.3">
      <c r="A66" t="s">
        <v>1222</v>
      </c>
      <c r="B66" s="407" t="s">
        <v>1705</v>
      </c>
      <c r="C66" t="s">
        <v>2357</v>
      </c>
      <c r="D66" t="s">
        <v>85</v>
      </c>
    </row>
    <row r="67" spans="1:4" x14ac:dyDescent="0.3">
      <c r="A67" t="s">
        <v>1661</v>
      </c>
      <c r="B67" s="407" t="s">
        <v>1706</v>
      </c>
      <c r="C67" t="s">
        <v>2357</v>
      </c>
      <c r="D67" t="s">
        <v>85</v>
      </c>
    </row>
    <row r="68" spans="1:4" x14ac:dyDescent="0.3">
      <c r="A68" t="s">
        <v>1662</v>
      </c>
      <c r="B68" s="407" t="s">
        <v>1707</v>
      </c>
      <c r="C68" t="s">
        <v>2357</v>
      </c>
      <c r="D68" t="s">
        <v>85</v>
      </c>
    </row>
    <row r="69" spans="1:4" x14ac:dyDescent="0.3">
      <c r="A69" t="s">
        <v>1663</v>
      </c>
      <c r="B69" s="407" t="s">
        <v>1708</v>
      </c>
      <c r="C69" t="s">
        <v>2357</v>
      </c>
      <c r="D69" t="s">
        <v>85</v>
      </c>
    </row>
    <row r="70" spans="1:4" x14ac:dyDescent="0.3">
      <c r="A70" t="s">
        <v>1664</v>
      </c>
      <c r="B70" s="407" t="s">
        <v>1709</v>
      </c>
      <c r="C70" t="s">
        <v>2357</v>
      </c>
      <c r="D70" t="s">
        <v>85</v>
      </c>
    </row>
    <row r="71" spans="1:4" x14ac:dyDescent="0.3">
      <c r="A71" t="s">
        <v>1665</v>
      </c>
      <c r="B71" s="407" t="s">
        <v>1710</v>
      </c>
      <c r="C71" t="s">
        <v>2357</v>
      </c>
      <c r="D71" t="s">
        <v>85</v>
      </c>
    </row>
    <row r="72" spans="1:4" x14ac:dyDescent="0.3">
      <c r="A72" t="s">
        <v>1666</v>
      </c>
      <c r="B72" s="407" t="s">
        <v>1711</v>
      </c>
      <c r="C72" t="s">
        <v>2357</v>
      </c>
      <c r="D72" t="s">
        <v>85</v>
      </c>
    </row>
    <row r="73" spans="1:4" x14ac:dyDescent="0.3">
      <c r="A73" t="s">
        <v>1153</v>
      </c>
      <c r="B73" s="407" t="s">
        <v>1712</v>
      </c>
      <c r="C73" t="s">
        <v>2357</v>
      </c>
      <c r="D73" t="s">
        <v>85</v>
      </c>
    </row>
    <row r="74" spans="1:4" x14ac:dyDescent="0.3">
      <c r="A74" t="s">
        <v>882</v>
      </c>
      <c r="B74" s="407" t="s">
        <v>1713</v>
      </c>
      <c r="C74" t="s">
        <v>2357</v>
      </c>
      <c r="D74" t="s">
        <v>85</v>
      </c>
    </row>
    <row r="75" spans="1:4" x14ac:dyDescent="0.3">
      <c r="A75" t="s">
        <v>1667</v>
      </c>
      <c r="B75" s="407" t="s">
        <v>1714</v>
      </c>
      <c r="C75" t="s">
        <v>2357</v>
      </c>
      <c r="D75" t="s">
        <v>85</v>
      </c>
    </row>
    <row r="76" spans="1:4" x14ac:dyDescent="0.3">
      <c r="A76" t="s">
        <v>882</v>
      </c>
      <c r="B76" s="407" t="s">
        <v>1715</v>
      </c>
      <c r="C76" t="s">
        <v>2357</v>
      </c>
      <c r="D76" t="s">
        <v>85</v>
      </c>
    </row>
    <row r="77" spans="1:4" x14ac:dyDescent="0.3">
      <c r="A77" t="s">
        <v>884</v>
      </c>
      <c r="B77" s="407" t="s">
        <v>1716</v>
      </c>
      <c r="C77" t="s">
        <v>2357</v>
      </c>
      <c r="D77" t="s">
        <v>85</v>
      </c>
    </row>
    <row r="78" spans="1:4" x14ac:dyDescent="0.3">
      <c r="A78" t="s">
        <v>1668</v>
      </c>
      <c r="B78" s="407" t="s">
        <v>1717</v>
      </c>
      <c r="C78" t="s">
        <v>2357</v>
      </c>
      <c r="D78" t="s">
        <v>85</v>
      </c>
    </row>
    <row r="79" spans="1:4" x14ac:dyDescent="0.3">
      <c r="A79" t="s">
        <v>887</v>
      </c>
      <c r="B79" s="407" t="s">
        <v>1718</v>
      </c>
      <c r="C79" t="s">
        <v>2357</v>
      </c>
      <c r="D79" t="s">
        <v>85</v>
      </c>
    </row>
    <row r="80" spans="1:4" x14ac:dyDescent="0.3">
      <c r="A80" t="s">
        <v>1154</v>
      </c>
      <c r="B80" s="407" t="s">
        <v>1719</v>
      </c>
      <c r="C80" t="s">
        <v>2357</v>
      </c>
      <c r="D80" t="s">
        <v>85</v>
      </c>
    </row>
    <row r="81" spans="1:4" x14ac:dyDescent="0.3">
      <c r="A81" t="s">
        <v>890</v>
      </c>
      <c r="B81" s="407" t="s">
        <v>1720</v>
      </c>
      <c r="C81" t="s">
        <v>2357</v>
      </c>
      <c r="D81" t="s">
        <v>85</v>
      </c>
    </row>
    <row r="82" spans="1:4" x14ac:dyDescent="0.3">
      <c r="A82" t="s">
        <v>1669</v>
      </c>
      <c r="B82" s="407" t="s">
        <v>1721</v>
      </c>
      <c r="C82" t="s">
        <v>2357</v>
      </c>
      <c r="D82" t="s">
        <v>85</v>
      </c>
    </row>
    <row r="83" spans="1:4" x14ac:dyDescent="0.3">
      <c r="A83" t="s">
        <v>1051</v>
      </c>
      <c r="B83" s="407" t="s">
        <v>1722</v>
      </c>
      <c r="C83" t="s">
        <v>2357</v>
      </c>
      <c r="D83" t="s">
        <v>85</v>
      </c>
    </row>
    <row r="84" spans="1:4" x14ac:dyDescent="0.3">
      <c r="A84" t="s">
        <v>895</v>
      </c>
      <c r="B84" s="407" t="s">
        <v>1723</v>
      </c>
      <c r="C84" t="s">
        <v>2357</v>
      </c>
      <c r="D84" t="s">
        <v>85</v>
      </c>
    </row>
    <row r="85" spans="1:4" x14ac:dyDescent="0.3">
      <c r="A85" t="s">
        <v>1156</v>
      </c>
      <c r="B85" s="407" t="s">
        <v>1724</v>
      </c>
      <c r="C85" t="s">
        <v>2357</v>
      </c>
      <c r="D85" t="s">
        <v>85</v>
      </c>
    </row>
    <row r="86" spans="1:4" x14ac:dyDescent="0.3">
      <c r="A86" t="s">
        <v>898</v>
      </c>
      <c r="B86" s="407" t="s">
        <v>1725</v>
      </c>
      <c r="C86" t="s">
        <v>2357</v>
      </c>
      <c r="D86" t="s">
        <v>85</v>
      </c>
    </row>
    <row r="87" spans="1:4" x14ac:dyDescent="0.3">
      <c r="A87" t="s">
        <v>1063</v>
      </c>
      <c r="B87" s="407" t="s">
        <v>1726</v>
      </c>
      <c r="C87" t="s">
        <v>2357</v>
      </c>
      <c r="D87" t="s">
        <v>85</v>
      </c>
    </row>
    <row r="88" spans="1:4" x14ac:dyDescent="0.3">
      <c r="A88" t="s">
        <v>1670</v>
      </c>
      <c r="B88" s="407" t="s">
        <v>1727</v>
      </c>
      <c r="C88" t="s">
        <v>2357</v>
      </c>
      <c r="D88" t="s">
        <v>85</v>
      </c>
    </row>
    <row r="89" spans="1:4" x14ac:dyDescent="0.3">
      <c r="A89" t="s">
        <v>904</v>
      </c>
      <c r="B89" s="407" t="s">
        <v>1728</v>
      </c>
      <c r="C89" t="s">
        <v>2357</v>
      </c>
      <c r="D89" t="s">
        <v>85</v>
      </c>
    </row>
    <row r="90" spans="1:4" x14ac:dyDescent="0.3">
      <c r="A90" t="s">
        <v>1158</v>
      </c>
      <c r="B90" s="407" t="s">
        <v>1729</v>
      </c>
      <c r="C90" t="s">
        <v>2357</v>
      </c>
      <c r="D90" t="s">
        <v>85</v>
      </c>
    </row>
    <row r="91" spans="1:4" x14ac:dyDescent="0.3">
      <c r="A91" t="s">
        <v>1671</v>
      </c>
      <c r="B91" s="407" t="s">
        <v>1730</v>
      </c>
      <c r="C91" t="s">
        <v>2357</v>
      </c>
      <c r="D91" t="s">
        <v>85</v>
      </c>
    </row>
    <row r="92" spans="1:4" x14ac:dyDescent="0.3">
      <c r="A92" t="s">
        <v>1672</v>
      </c>
      <c r="B92" s="407" t="s">
        <v>1731</v>
      </c>
      <c r="C92" t="s">
        <v>2357</v>
      </c>
      <c r="D92" t="s">
        <v>85</v>
      </c>
    </row>
    <row r="93" spans="1:4" x14ac:dyDescent="0.3">
      <c r="A93" t="s">
        <v>1673</v>
      </c>
      <c r="B93" s="407" t="s">
        <v>1732</v>
      </c>
      <c r="C93" t="s">
        <v>2357</v>
      </c>
      <c r="D93" t="s">
        <v>85</v>
      </c>
    </row>
    <row r="94" spans="1:4" x14ac:dyDescent="0.3">
      <c r="A94" t="s">
        <v>1623</v>
      </c>
      <c r="B94" s="407" t="s">
        <v>1733</v>
      </c>
      <c r="C94" t="s">
        <v>2357</v>
      </c>
      <c r="D94" t="s">
        <v>85</v>
      </c>
    </row>
    <row r="95" spans="1:4" x14ac:dyDescent="0.3">
      <c r="A95" t="s">
        <v>1674</v>
      </c>
      <c r="B95" s="407" t="s">
        <v>1734</v>
      </c>
      <c r="C95" t="s">
        <v>2357</v>
      </c>
      <c r="D95" t="s">
        <v>85</v>
      </c>
    </row>
    <row r="96" spans="1:4" x14ac:dyDescent="0.3">
      <c r="A96" t="s">
        <v>1675</v>
      </c>
      <c r="B96" s="407" t="s">
        <v>1735</v>
      </c>
      <c r="C96" t="s">
        <v>2357</v>
      </c>
      <c r="D96" t="s">
        <v>85</v>
      </c>
    </row>
    <row r="97" spans="1:4" x14ac:dyDescent="0.3">
      <c r="A97" t="s">
        <v>1676</v>
      </c>
      <c r="B97" s="407" t="s">
        <v>1736</v>
      </c>
      <c r="C97" t="s">
        <v>2357</v>
      </c>
      <c r="D97" t="s">
        <v>85</v>
      </c>
    </row>
    <row r="98" spans="1:4" x14ac:dyDescent="0.3">
      <c r="A98" t="s">
        <v>1677</v>
      </c>
      <c r="B98" s="407" t="s">
        <v>1737</v>
      </c>
      <c r="C98" t="s">
        <v>2357</v>
      </c>
      <c r="D98" t="s">
        <v>85</v>
      </c>
    </row>
    <row r="99" spans="1:4" x14ac:dyDescent="0.3">
      <c r="A99" t="s">
        <v>699</v>
      </c>
      <c r="B99" s="407" t="s">
        <v>1738</v>
      </c>
      <c r="C99" t="s">
        <v>2357</v>
      </c>
      <c r="D99" t="s">
        <v>85</v>
      </c>
    </row>
    <row r="100" spans="1:4" x14ac:dyDescent="0.3">
      <c r="A100" t="s">
        <v>1678</v>
      </c>
      <c r="B100" s="407" t="s">
        <v>1739</v>
      </c>
      <c r="C100" t="s">
        <v>2357</v>
      </c>
      <c r="D100" t="s">
        <v>85</v>
      </c>
    </row>
    <row r="101" spans="1:4" x14ac:dyDescent="0.3">
      <c r="A101" t="s">
        <v>1679</v>
      </c>
      <c r="B101" s="407" t="s">
        <v>1740</v>
      </c>
      <c r="C101" t="s">
        <v>2357</v>
      </c>
      <c r="D101" t="s">
        <v>85</v>
      </c>
    </row>
    <row r="102" spans="1:4" x14ac:dyDescent="0.3">
      <c r="A102" t="s">
        <v>1680</v>
      </c>
      <c r="B102" s="407" t="s">
        <v>1741</v>
      </c>
      <c r="C102" t="s">
        <v>2357</v>
      </c>
      <c r="D102" t="s">
        <v>85</v>
      </c>
    </row>
    <row r="103" spans="1:4" x14ac:dyDescent="0.3">
      <c r="A103" t="s">
        <v>1677</v>
      </c>
      <c r="B103" s="407" t="s">
        <v>1742</v>
      </c>
      <c r="C103" t="s">
        <v>2357</v>
      </c>
      <c r="D103" t="s">
        <v>85</v>
      </c>
    </row>
    <row r="104" spans="1:4" x14ac:dyDescent="0.3">
      <c r="A104" t="s">
        <v>1681</v>
      </c>
      <c r="B104" s="407" t="s">
        <v>1743</v>
      </c>
      <c r="C104" t="s">
        <v>2357</v>
      </c>
      <c r="D104" t="s">
        <v>85</v>
      </c>
    </row>
    <row r="105" spans="1:4" x14ac:dyDescent="0.3">
      <c r="A105" t="s">
        <v>1674</v>
      </c>
      <c r="B105" s="407" t="s">
        <v>1744</v>
      </c>
      <c r="C105" t="s">
        <v>2357</v>
      </c>
      <c r="D105" t="s">
        <v>85</v>
      </c>
    </row>
    <row r="106" spans="1:4" x14ac:dyDescent="0.3">
      <c r="A106" t="s">
        <v>1682</v>
      </c>
      <c r="B106" s="407" t="s">
        <v>1745</v>
      </c>
      <c r="C106" t="s">
        <v>2357</v>
      </c>
      <c r="D106" t="s">
        <v>85</v>
      </c>
    </row>
    <row r="107" spans="1:4" x14ac:dyDescent="0.3">
      <c r="A107" t="s">
        <v>1683</v>
      </c>
      <c r="B107" s="407" t="s">
        <v>1746</v>
      </c>
      <c r="C107" t="s">
        <v>2357</v>
      </c>
      <c r="D107" t="s">
        <v>85</v>
      </c>
    </row>
    <row r="108" spans="1:4" x14ac:dyDescent="0.3">
      <c r="A108" t="s">
        <v>1748</v>
      </c>
      <c r="B108" s="407" t="s">
        <v>1747</v>
      </c>
      <c r="C108" t="s">
        <v>2357</v>
      </c>
      <c r="D108" t="s">
        <v>85</v>
      </c>
    </row>
    <row r="109" spans="1:4" x14ac:dyDescent="0.3">
      <c r="A109" t="s">
        <v>1749</v>
      </c>
      <c r="B109" s="407" t="s">
        <v>1750</v>
      </c>
      <c r="C109" t="s">
        <v>2357</v>
      </c>
      <c r="D109" t="s">
        <v>85</v>
      </c>
    </row>
    <row r="110" spans="1:4" x14ac:dyDescent="0.3">
      <c r="A110" t="s">
        <v>1767</v>
      </c>
      <c r="B110" s="407" t="s">
        <v>1751</v>
      </c>
      <c r="C110" t="s">
        <v>2357</v>
      </c>
      <c r="D110" t="s">
        <v>85</v>
      </c>
    </row>
    <row r="111" spans="1:4" x14ac:dyDescent="0.3">
      <c r="A111" t="s">
        <v>1768</v>
      </c>
      <c r="B111" s="407" t="s">
        <v>1752</v>
      </c>
      <c r="C111" t="s">
        <v>2357</v>
      </c>
      <c r="D111" t="s">
        <v>85</v>
      </c>
    </row>
    <row r="112" spans="1:4" x14ac:dyDescent="0.3">
      <c r="A112" t="s">
        <v>1769</v>
      </c>
      <c r="B112" s="407" t="s">
        <v>1753</v>
      </c>
      <c r="C112" t="s">
        <v>2357</v>
      </c>
      <c r="D112" t="s">
        <v>85</v>
      </c>
    </row>
    <row r="113" spans="1:4" x14ac:dyDescent="0.3">
      <c r="A113" t="s">
        <v>1770</v>
      </c>
      <c r="B113" s="407" t="s">
        <v>1754</v>
      </c>
      <c r="C113" t="s">
        <v>2357</v>
      </c>
      <c r="D113" t="s">
        <v>85</v>
      </c>
    </row>
    <row r="114" spans="1:4" x14ac:dyDescent="0.3">
      <c r="A114" t="s">
        <v>1771</v>
      </c>
      <c r="B114" s="407" t="s">
        <v>1755</v>
      </c>
      <c r="C114" t="s">
        <v>2357</v>
      </c>
      <c r="D114" t="s">
        <v>85</v>
      </c>
    </row>
    <row r="115" spans="1:4" x14ac:dyDescent="0.3">
      <c r="A115" t="s">
        <v>1772</v>
      </c>
      <c r="B115" s="407" t="s">
        <v>1756</v>
      </c>
      <c r="C115" t="s">
        <v>2357</v>
      </c>
      <c r="D115" t="s">
        <v>85</v>
      </c>
    </row>
    <row r="116" spans="1:4" x14ac:dyDescent="0.3">
      <c r="A116" t="s">
        <v>1773</v>
      </c>
      <c r="B116" s="407" t="s">
        <v>1757</v>
      </c>
      <c r="C116" t="s">
        <v>2357</v>
      </c>
      <c r="D116" t="s">
        <v>85</v>
      </c>
    </row>
    <row r="117" spans="1:4" x14ac:dyDescent="0.3">
      <c r="A117" t="s">
        <v>1774</v>
      </c>
      <c r="B117" s="407" t="s">
        <v>1758</v>
      </c>
      <c r="C117" t="s">
        <v>2357</v>
      </c>
      <c r="D117" t="s">
        <v>85</v>
      </c>
    </row>
    <row r="118" spans="1:4" x14ac:dyDescent="0.3">
      <c r="A118" t="s">
        <v>1775</v>
      </c>
      <c r="B118" s="407" t="s">
        <v>1759</v>
      </c>
      <c r="C118" t="s">
        <v>2357</v>
      </c>
      <c r="D118" t="s">
        <v>85</v>
      </c>
    </row>
    <row r="119" spans="1:4" x14ac:dyDescent="0.3">
      <c r="A119" t="s">
        <v>1776</v>
      </c>
      <c r="B119" s="407" t="s">
        <v>1760</v>
      </c>
      <c r="C119" t="s">
        <v>2357</v>
      </c>
      <c r="D119" t="s">
        <v>85</v>
      </c>
    </row>
    <row r="120" spans="1:4" x14ac:dyDescent="0.3">
      <c r="A120" t="s">
        <v>1777</v>
      </c>
      <c r="B120" s="407" t="s">
        <v>1761</v>
      </c>
      <c r="C120" t="s">
        <v>2357</v>
      </c>
      <c r="D120" t="s">
        <v>85</v>
      </c>
    </row>
    <row r="121" spans="1:4" x14ac:dyDescent="0.3">
      <c r="A121" t="s">
        <v>1778</v>
      </c>
      <c r="B121" s="407" t="s">
        <v>1762</v>
      </c>
      <c r="C121" t="s">
        <v>2357</v>
      </c>
      <c r="D121" t="s">
        <v>85</v>
      </c>
    </row>
    <row r="122" spans="1:4" x14ac:dyDescent="0.3">
      <c r="A122" t="s">
        <v>1779</v>
      </c>
      <c r="B122" s="407" t="s">
        <v>1763</v>
      </c>
      <c r="C122" t="s">
        <v>2357</v>
      </c>
      <c r="D122" t="s">
        <v>85</v>
      </c>
    </row>
    <row r="123" spans="1:4" x14ac:dyDescent="0.3">
      <c r="A123" t="s">
        <v>491</v>
      </c>
      <c r="B123" s="407" t="s">
        <v>1764</v>
      </c>
      <c r="C123" t="s">
        <v>2357</v>
      </c>
      <c r="D123" t="s">
        <v>85</v>
      </c>
    </row>
    <row r="124" spans="1:4" x14ac:dyDescent="0.3">
      <c r="A124" t="s">
        <v>1780</v>
      </c>
      <c r="B124" s="407" t="s">
        <v>1765</v>
      </c>
      <c r="C124" t="s">
        <v>2357</v>
      </c>
      <c r="D124" t="s">
        <v>85</v>
      </c>
    </row>
    <row r="125" spans="1:4" x14ac:dyDescent="0.3">
      <c r="A125" t="s">
        <v>502</v>
      </c>
      <c r="B125" s="407" t="s">
        <v>1766</v>
      </c>
      <c r="C125" t="s">
        <v>2357</v>
      </c>
      <c r="D125" t="s">
        <v>85</v>
      </c>
    </row>
    <row r="126" spans="1:4" x14ac:dyDescent="0.3">
      <c r="A126" t="s">
        <v>1781</v>
      </c>
      <c r="B126" s="407" t="s">
        <v>1822</v>
      </c>
      <c r="C126" t="s">
        <v>2357</v>
      </c>
      <c r="D126" t="s">
        <v>85</v>
      </c>
    </row>
    <row r="127" spans="1:4" x14ac:dyDescent="0.3">
      <c r="A127" t="s">
        <v>1782</v>
      </c>
      <c r="B127" s="407" t="s">
        <v>1823</v>
      </c>
      <c r="C127" t="s">
        <v>2357</v>
      </c>
      <c r="D127" t="s">
        <v>85</v>
      </c>
    </row>
    <row r="128" spans="1:4" x14ac:dyDescent="0.3">
      <c r="A128" t="s">
        <v>1783</v>
      </c>
      <c r="B128" s="407" t="s">
        <v>1824</v>
      </c>
      <c r="C128" t="s">
        <v>2357</v>
      </c>
      <c r="D128" t="s">
        <v>85</v>
      </c>
    </row>
    <row r="129" spans="1:4" x14ac:dyDescent="0.3">
      <c r="A129" t="s">
        <v>1784</v>
      </c>
      <c r="B129" s="407" t="s">
        <v>1825</v>
      </c>
      <c r="C129" t="s">
        <v>2357</v>
      </c>
      <c r="D129" t="s">
        <v>85</v>
      </c>
    </row>
    <row r="130" spans="1:4" x14ac:dyDescent="0.3">
      <c r="A130" t="s">
        <v>1785</v>
      </c>
      <c r="B130" s="407" t="s">
        <v>1826</v>
      </c>
      <c r="C130" t="s">
        <v>2357</v>
      </c>
      <c r="D130" t="s">
        <v>85</v>
      </c>
    </row>
    <row r="131" spans="1:4" x14ac:dyDescent="0.3">
      <c r="A131" t="s">
        <v>579</v>
      </c>
      <c r="B131" s="407" t="s">
        <v>1827</v>
      </c>
      <c r="C131" t="s">
        <v>2357</v>
      </c>
      <c r="D131" t="s">
        <v>85</v>
      </c>
    </row>
    <row r="132" spans="1:4" x14ac:dyDescent="0.3">
      <c r="A132" t="s">
        <v>1786</v>
      </c>
      <c r="B132" s="407" t="s">
        <v>1828</v>
      </c>
      <c r="C132" t="s">
        <v>2357</v>
      </c>
      <c r="D132" t="s">
        <v>85</v>
      </c>
    </row>
    <row r="133" spans="1:4" x14ac:dyDescent="0.3">
      <c r="A133" t="s">
        <v>1787</v>
      </c>
      <c r="B133" s="407" t="s">
        <v>1829</v>
      </c>
      <c r="C133" t="s">
        <v>2357</v>
      </c>
      <c r="D133" t="s">
        <v>85</v>
      </c>
    </row>
    <row r="134" spans="1:4" x14ac:dyDescent="0.3">
      <c r="A134" t="s">
        <v>1630</v>
      </c>
      <c r="B134" s="407" t="s">
        <v>1830</v>
      </c>
      <c r="C134" t="s">
        <v>2357</v>
      </c>
      <c r="D134" t="s">
        <v>85</v>
      </c>
    </row>
    <row r="135" spans="1:4" x14ac:dyDescent="0.3">
      <c r="A135" t="s">
        <v>738</v>
      </c>
      <c r="B135" s="407" t="s">
        <v>1831</v>
      </c>
      <c r="C135" t="s">
        <v>2357</v>
      </c>
      <c r="D135" t="s">
        <v>85</v>
      </c>
    </row>
    <row r="136" spans="1:4" x14ac:dyDescent="0.3">
      <c r="A136" t="s">
        <v>1150</v>
      </c>
      <c r="B136" s="407" t="s">
        <v>1832</v>
      </c>
      <c r="C136" t="s">
        <v>2357</v>
      </c>
      <c r="D136" t="s">
        <v>85</v>
      </c>
    </row>
    <row r="137" spans="1:4" x14ac:dyDescent="0.3">
      <c r="A137" t="s">
        <v>1066</v>
      </c>
      <c r="B137" s="407" t="s">
        <v>1833</v>
      </c>
      <c r="C137" t="s">
        <v>2357</v>
      </c>
      <c r="D137" t="s">
        <v>85</v>
      </c>
    </row>
    <row r="138" spans="1:4" x14ac:dyDescent="0.3">
      <c r="A138" t="s">
        <v>1788</v>
      </c>
      <c r="B138" s="407" t="s">
        <v>1834</v>
      </c>
      <c r="C138" t="s">
        <v>2357</v>
      </c>
      <c r="D138" t="s">
        <v>85</v>
      </c>
    </row>
    <row r="139" spans="1:4" x14ac:dyDescent="0.3">
      <c r="A139" t="s">
        <v>1789</v>
      </c>
      <c r="B139" s="407" t="s">
        <v>1835</v>
      </c>
      <c r="C139" t="s">
        <v>2357</v>
      </c>
      <c r="D139" t="s">
        <v>85</v>
      </c>
    </row>
    <row r="140" spans="1:4" x14ac:dyDescent="0.3">
      <c r="A140" t="s">
        <v>1790</v>
      </c>
      <c r="B140" s="407" t="s">
        <v>1836</v>
      </c>
      <c r="C140" t="s">
        <v>2357</v>
      </c>
      <c r="D140" t="s">
        <v>85</v>
      </c>
    </row>
    <row r="141" spans="1:4" x14ac:dyDescent="0.3">
      <c r="A141" t="s">
        <v>1791</v>
      </c>
      <c r="B141" s="407" t="s">
        <v>1837</v>
      </c>
      <c r="C141" t="s">
        <v>2357</v>
      </c>
      <c r="D141" t="s">
        <v>85</v>
      </c>
    </row>
    <row r="142" spans="1:4" x14ac:dyDescent="0.3">
      <c r="A142" t="s">
        <v>574</v>
      </c>
      <c r="B142" s="407" t="s">
        <v>1838</v>
      </c>
      <c r="C142" t="s">
        <v>2357</v>
      </c>
      <c r="D142" t="s">
        <v>85</v>
      </c>
    </row>
    <row r="143" spans="1:4" x14ac:dyDescent="0.3">
      <c r="A143" t="s">
        <v>1120</v>
      </c>
      <c r="B143" s="407" t="s">
        <v>1839</v>
      </c>
      <c r="C143" t="s">
        <v>2357</v>
      </c>
      <c r="D143" t="s">
        <v>85</v>
      </c>
    </row>
    <row r="144" spans="1:4" x14ac:dyDescent="0.3">
      <c r="A144" t="s">
        <v>1792</v>
      </c>
      <c r="B144" s="407" t="s">
        <v>1840</v>
      </c>
      <c r="C144" t="s">
        <v>2357</v>
      </c>
      <c r="D144" t="s">
        <v>85</v>
      </c>
    </row>
    <row r="145" spans="1:4" x14ac:dyDescent="0.3">
      <c r="A145" t="s">
        <v>1793</v>
      </c>
      <c r="B145" s="407" t="s">
        <v>1841</v>
      </c>
      <c r="C145" t="s">
        <v>2357</v>
      </c>
      <c r="D145" t="s">
        <v>85</v>
      </c>
    </row>
    <row r="146" spans="1:4" x14ac:dyDescent="0.3">
      <c r="A146" t="s">
        <v>1794</v>
      </c>
      <c r="B146" s="407" t="s">
        <v>1842</v>
      </c>
      <c r="C146" t="s">
        <v>2357</v>
      </c>
      <c r="D146" t="s">
        <v>85</v>
      </c>
    </row>
    <row r="147" spans="1:4" x14ac:dyDescent="0.3">
      <c r="A147" t="s">
        <v>1795</v>
      </c>
      <c r="B147" s="407" t="s">
        <v>1843</v>
      </c>
      <c r="C147" t="s">
        <v>2357</v>
      </c>
      <c r="D147" t="s">
        <v>85</v>
      </c>
    </row>
    <row r="148" spans="1:4" x14ac:dyDescent="0.3">
      <c r="A148" t="s">
        <v>1796</v>
      </c>
      <c r="B148" s="407" t="s">
        <v>1844</v>
      </c>
      <c r="C148" t="s">
        <v>2357</v>
      </c>
      <c r="D148" t="s">
        <v>85</v>
      </c>
    </row>
    <row r="149" spans="1:4" x14ac:dyDescent="0.3">
      <c r="A149" t="s">
        <v>1797</v>
      </c>
      <c r="B149" s="407" t="s">
        <v>1845</v>
      </c>
      <c r="C149" t="s">
        <v>2357</v>
      </c>
      <c r="D149" t="s">
        <v>85</v>
      </c>
    </row>
    <row r="150" spans="1:4" x14ac:dyDescent="0.3">
      <c r="A150" t="s">
        <v>1145</v>
      </c>
      <c r="B150" s="407" t="s">
        <v>1846</v>
      </c>
      <c r="C150" t="s">
        <v>2357</v>
      </c>
      <c r="D150" t="s">
        <v>85</v>
      </c>
    </row>
    <row r="151" spans="1:4" x14ac:dyDescent="0.3">
      <c r="A151" t="s">
        <v>1798</v>
      </c>
      <c r="B151" s="407" t="s">
        <v>1847</v>
      </c>
      <c r="C151" t="s">
        <v>2357</v>
      </c>
      <c r="D151" t="s">
        <v>85</v>
      </c>
    </row>
    <row r="152" spans="1:4" x14ac:dyDescent="0.3">
      <c r="A152" t="s">
        <v>1799</v>
      </c>
      <c r="B152" s="407" t="s">
        <v>1848</v>
      </c>
      <c r="C152" t="s">
        <v>2357</v>
      </c>
      <c r="D152" t="s">
        <v>85</v>
      </c>
    </row>
    <row r="153" spans="1:4" x14ac:dyDescent="0.3">
      <c r="A153" t="s">
        <v>1800</v>
      </c>
      <c r="B153" s="407" t="s">
        <v>1849</v>
      </c>
      <c r="C153" t="s">
        <v>2357</v>
      </c>
      <c r="D153" t="s">
        <v>85</v>
      </c>
    </row>
    <row r="154" spans="1:4" x14ac:dyDescent="0.3">
      <c r="A154" t="s">
        <v>1801</v>
      </c>
      <c r="B154" s="407" t="s">
        <v>1850</v>
      </c>
      <c r="C154" t="s">
        <v>2357</v>
      </c>
      <c r="D154" t="s">
        <v>85</v>
      </c>
    </row>
    <row r="155" spans="1:4" x14ac:dyDescent="0.3">
      <c r="A155" t="s">
        <v>1802</v>
      </c>
      <c r="B155" s="407" t="s">
        <v>1851</v>
      </c>
      <c r="C155" t="s">
        <v>2357</v>
      </c>
      <c r="D155" t="s">
        <v>85</v>
      </c>
    </row>
    <row r="156" spans="1:4" x14ac:dyDescent="0.3">
      <c r="A156" t="s">
        <v>1803</v>
      </c>
      <c r="B156" s="407" t="s">
        <v>1852</v>
      </c>
      <c r="C156" t="s">
        <v>2357</v>
      </c>
      <c r="D156" t="s">
        <v>85</v>
      </c>
    </row>
    <row r="157" spans="1:4" x14ac:dyDescent="0.3">
      <c r="A157" t="s">
        <v>1804</v>
      </c>
      <c r="B157" s="407" t="s">
        <v>1853</v>
      </c>
      <c r="C157" t="s">
        <v>2357</v>
      </c>
      <c r="D157" t="s">
        <v>85</v>
      </c>
    </row>
    <row r="158" spans="1:4" x14ac:dyDescent="0.3">
      <c r="A158" t="s">
        <v>1805</v>
      </c>
      <c r="B158" s="407" t="s">
        <v>1854</v>
      </c>
      <c r="C158" t="s">
        <v>2357</v>
      </c>
      <c r="D158" t="s">
        <v>85</v>
      </c>
    </row>
    <row r="159" spans="1:4" x14ac:dyDescent="0.3">
      <c r="A159" t="s">
        <v>786</v>
      </c>
      <c r="B159" s="407" t="s">
        <v>1855</v>
      </c>
      <c r="C159" t="s">
        <v>2357</v>
      </c>
      <c r="D159" t="s">
        <v>85</v>
      </c>
    </row>
    <row r="160" spans="1:4" x14ac:dyDescent="0.3">
      <c r="A160" t="s">
        <v>1056</v>
      </c>
      <c r="B160" s="407" t="s">
        <v>1856</v>
      </c>
      <c r="C160" t="s">
        <v>2357</v>
      </c>
      <c r="D160" t="s">
        <v>85</v>
      </c>
    </row>
    <row r="161" spans="1:4" x14ac:dyDescent="0.3">
      <c r="A161" t="s">
        <v>1806</v>
      </c>
      <c r="B161" s="407" t="s">
        <v>1857</v>
      </c>
      <c r="C161" t="s">
        <v>2357</v>
      </c>
      <c r="D161" t="s">
        <v>85</v>
      </c>
    </row>
    <row r="162" spans="1:4" x14ac:dyDescent="0.3">
      <c r="A162" t="s">
        <v>1807</v>
      </c>
      <c r="B162" s="407" t="s">
        <v>1858</v>
      </c>
      <c r="C162" t="s">
        <v>2357</v>
      </c>
      <c r="D162" t="s">
        <v>85</v>
      </c>
    </row>
    <row r="163" spans="1:4" x14ac:dyDescent="0.3">
      <c r="A163" t="s">
        <v>1790</v>
      </c>
      <c r="B163" s="407" t="s">
        <v>1859</v>
      </c>
      <c r="C163" t="s">
        <v>2357</v>
      </c>
      <c r="D163" t="s">
        <v>85</v>
      </c>
    </row>
    <row r="164" spans="1:4" x14ac:dyDescent="0.3">
      <c r="A164" t="s">
        <v>1799</v>
      </c>
      <c r="B164" s="407" t="s">
        <v>1860</v>
      </c>
      <c r="C164" t="s">
        <v>2357</v>
      </c>
      <c r="D164" t="s">
        <v>85</v>
      </c>
    </row>
    <row r="165" spans="1:4" x14ac:dyDescent="0.3">
      <c r="A165" t="s">
        <v>1809</v>
      </c>
      <c r="B165" s="407" t="s">
        <v>1861</v>
      </c>
      <c r="C165" t="s">
        <v>2357</v>
      </c>
      <c r="D165" t="s">
        <v>85</v>
      </c>
    </row>
    <row r="166" spans="1:4" x14ac:dyDescent="0.3">
      <c r="A166" t="s">
        <v>1810</v>
      </c>
      <c r="B166" s="407" t="s">
        <v>1862</v>
      </c>
      <c r="C166" t="s">
        <v>2357</v>
      </c>
      <c r="D166" t="s">
        <v>85</v>
      </c>
    </row>
    <row r="167" spans="1:4" x14ac:dyDescent="0.3">
      <c r="A167" t="s">
        <v>1811</v>
      </c>
      <c r="B167" s="407" t="s">
        <v>1863</v>
      </c>
      <c r="C167" t="s">
        <v>2357</v>
      </c>
      <c r="D167" t="s">
        <v>85</v>
      </c>
    </row>
    <row r="168" spans="1:4" x14ac:dyDescent="0.3">
      <c r="A168" t="s">
        <v>1812</v>
      </c>
      <c r="B168" s="407" t="s">
        <v>1864</v>
      </c>
      <c r="C168" t="s">
        <v>2357</v>
      </c>
      <c r="D168" t="s">
        <v>85</v>
      </c>
    </row>
    <row r="169" spans="1:4" x14ac:dyDescent="0.3">
      <c r="A169" t="s">
        <v>1813</v>
      </c>
      <c r="B169" s="407" t="s">
        <v>1865</v>
      </c>
      <c r="C169" t="s">
        <v>2357</v>
      </c>
      <c r="D169" t="s">
        <v>85</v>
      </c>
    </row>
    <row r="170" spans="1:4" x14ac:dyDescent="0.3">
      <c r="A170" t="s">
        <v>1814</v>
      </c>
      <c r="B170" s="407" t="s">
        <v>1866</v>
      </c>
      <c r="C170" t="s">
        <v>2357</v>
      </c>
      <c r="D170" t="s">
        <v>85</v>
      </c>
    </row>
    <row r="171" spans="1:4" x14ac:dyDescent="0.3">
      <c r="A171" t="s">
        <v>1815</v>
      </c>
      <c r="B171" s="407" t="s">
        <v>1867</v>
      </c>
      <c r="C171" t="s">
        <v>2357</v>
      </c>
      <c r="D171" t="s">
        <v>85</v>
      </c>
    </row>
    <row r="172" spans="1:4" x14ac:dyDescent="0.3">
      <c r="A172" t="s">
        <v>1816</v>
      </c>
      <c r="B172" s="407" t="s">
        <v>1868</v>
      </c>
      <c r="C172" t="s">
        <v>2357</v>
      </c>
      <c r="D172" t="s">
        <v>85</v>
      </c>
    </row>
    <row r="173" spans="1:4" x14ac:dyDescent="0.3">
      <c r="A173" t="s">
        <v>1817</v>
      </c>
      <c r="B173" s="407" t="s">
        <v>1869</v>
      </c>
      <c r="C173" t="s">
        <v>2357</v>
      </c>
      <c r="D173" t="s">
        <v>85</v>
      </c>
    </row>
    <row r="174" spans="1:4" x14ac:dyDescent="0.3">
      <c r="A174" t="s">
        <v>1818</v>
      </c>
      <c r="B174" s="407" t="s">
        <v>1870</v>
      </c>
      <c r="C174" t="s">
        <v>2357</v>
      </c>
      <c r="D174" t="s">
        <v>85</v>
      </c>
    </row>
    <row r="175" spans="1:4" x14ac:dyDescent="0.3">
      <c r="A175" t="s">
        <v>568</v>
      </c>
      <c r="B175" s="407" t="s">
        <v>1871</v>
      </c>
      <c r="C175" t="s">
        <v>2357</v>
      </c>
      <c r="D175" t="s">
        <v>85</v>
      </c>
    </row>
    <row r="176" spans="1:4" x14ac:dyDescent="0.3">
      <c r="A176" t="s">
        <v>1819</v>
      </c>
      <c r="B176" s="407" t="s">
        <v>1872</v>
      </c>
      <c r="C176" t="s">
        <v>2357</v>
      </c>
      <c r="D176" t="s">
        <v>85</v>
      </c>
    </row>
    <row r="177" spans="1:4" x14ac:dyDescent="0.3">
      <c r="A177" t="s">
        <v>1820</v>
      </c>
      <c r="B177" s="407" t="s">
        <v>1873</v>
      </c>
      <c r="C177" t="s">
        <v>2357</v>
      </c>
      <c r="D177" t="s">
        <v>85</v>
      </c>
    </row>
    <row r="178" spans="1:4" x14ac:dyDescent="0.3">
      <c r="A178" t="s">
        <v>738</v>
      </c>
      <c r="B178" s="407" t="s">
        <v>1874</v>
      </c>
      <c r="C178" t="s">
        <v>2357</v>
      </c>
      <c r="D178" t="s">
        <v>85</v>
      </c>
    </row>
    <row r="179" spans="1:4" x14ac:dyDescent="0.3">
      <c r="A179" t="s">
        <v>1821</v>
      </c>
      <c r="B179" s="407" t="s">
        <v>1875</v>
      </c>
      <c r="C179" t="s">
        <v>2357</v>
      </c>
      <c r="D179" t="s">
        <v>85</v>
      </c>
    </row>
    <row r="180" spans="1:4" x14ac:dyDescent="0.3">
      <c r="A180" t="s">
        <v>1877</v>
      </c>
      <c r="B180" s="408" t="s">
        <v>1876</v>
      </c>
      <c r="C180" t="s">
        <v>2358</v>
      </c>
      <c r="D180" t="s">
        <v>85</v>
      </c>
    </row>
    <row r="181" spans="1:4" x14ac:dyDescent="0.3">
      <c r="A181" t="s">
        <v>1878</v>
      </c>
      <c r="B181" s="408" t="s">
        <v>1876</v>
      </c>
      <c r="C181" t="s">
        <v>2358</v>
      </c>
      <c r="D181" t="s">
        <v>85</v>
      </c>
    </row>
    <row r="182" spans="1:4" x14ac:dyDescent="0.3">
      <c r="A182" t="s">
        <v>1879</v>
      </c>
      <c r="B182" s="408" t="s">
        <v>1876</v>
      </c>
      <c r="C182" t="s">
        <v>2358</v>
      </c>
      <c r="D182" t="s">
        <v>85</v>
      </c>
    </row>
    <row r="183" spans="1:4" x14ac:dyDescent="0.3">
      <c r="A183" t="s">
        <v>1880</v>
      </c>
      <c r="B183" s="408" t="s">
        <v>1876</v>
      </c>
      <c r="C183" t="s">
        <v>2358</v>
      </c>
      <c r="D183" t="s">
        <v>85</v>
      </c>
    </row>
    <row r="184" spans="1:4" x14ac:dyDescent="0.3">
      <c r="A184" t="s">
        <v>1881</v>
      </c>
      <c r="B184" s="408" t="s">
        <v>1876</v>
      </c>
      <c r="C184" t="s">
        <v>2358</v>
      </c>
      <c r="D184" t="s">
        <v>85</v>
      </c>
    </row>
    <row r="185" spans="1:4" x14ac:dyDescent="0.3">
      <c r="A185" t="s">
        <v>1882</v>
      </c>
      <c r="B185" s="408" t="s">
        <v>1876</v>
      </c>
      <c r="C185" t="s">
        <v>2358</v>
      </c>
      <c r="D185" t="s">
        <v>85</v>
      </c>
    </row>
    <row r="186" spans="1:4" x14ac:dyDescent="0.3">
      <c r="A186" t="s">
        <v>1883</v>
      </c>
      <c r="B186" s="408" t="s">
        <v>1876</v>
      </c>
      <c r="C186" t="s">
        <v>2358</v>
      </c>
      <c r="D186" t="s">
        <v>85</v>
      </c>
    </row>
    <row r="187" spans="1:4" x14ac:dyDescent="0.3">
      <c r="A187" t="s">
        <v>1884</v>
      </c>
      <c r="B187" s="408" t="s">
        <v>1876</v>
      </c>
      <c r="C187" t="s">
        <v>2358</v>
      </c>
      <c r="D187" t="s">
        <v>85</v>
      </c>
    </row>
    <row r="188" spans="1:4" x14ac:dyDescent="0.3">
      <c r="A188" t="s">
        <v>1885</v>
      </c>
      <c r="B188" s="408" t="s">
        <v>1876</v>
      </c>
      <c r="C188" t="s">
        <v>2358</v>
      </c>
      <c r="D188" t="s">
        <v>85</v>
      </c>
    </row>
    <row r="189" spans="1:4" x14ac:dyDescent="0.3">
      <c r="A189" t="s">
        <v>1886</v>
      </c>
      <c r="B189" s="408" t="s">
        <v>1876</v>
      </c>
      <c r="C189" t="s">
        <v>2358</v>
      </c>
      <c r="D189" t="s">
        <v>85</v>
      </c>
    </row>
    <row r="190" spans="1:4" x14ac:dyDescent="0.3">
      <c r="A190" t="s">
        <v>1887</v>
      </c>
      <c r="B190" s="408" t="s">
        <v>1876</v>
      </c>
      <c r="C190" t="s">
        <v>2358</v>
      </c>
      <c r="D190" t="s">
        <v>85</v>
      </c>
    </row>
    <row r="191" spans="1:4" x14ac:dyDescent="0.3">
      <c r="A191" t="s">
        <v>1888</v>
      </c>
      <c r="B191" s="408" t="s">
        <v>1876</v>
      </c>
      <c r="C191" t="s">
        <v>2358</v>
      </c>
      <c r="D191" t="s">
        <v>85</v>
      </c>
    </row>
    <row r="192" spans="1:4" x14ac:dyDescent="0.3">
      <c r="A192" t="s">
        <v>1889</v>
      </c>
      <c r="B192" s="408" t="s">
        <v>1876</v>
      </c>
      <c r="C192" t="s">
        <v>2358</v>
      </c>
      <c r="D192" t="s">
        <v>85</v>
      </c>
    </row>
    <row r="193" spans="1:4" x14ac:dyDescent="0.3">
      <c r="A193" t="s">
        <v>1890</v>
      </c>
      <c r="B193" s="408" t="s">
        <v>1876</v>
      </c>
      <c r="C193" t="s">
        <v>2358</v>
      </c>
      <c r="D193" t="s">
        <v>85</v>
      </c>
    </row>
    <row r="194" spans="1:4" x14ac:dyDescent="0.3">
      <c r="A194" t="s">
        <v>1891</v>
      </c>
      <c r="B194" s="408" t="s">
        <v>1876</v>
      </c>
      <c r="C194" t="s">
        <v>2358</v>
      </c>
      <c r="D194" t="s">
        <v>85</v>
      </c>
    </row>
    <row r="195" spans="1:4" x14ac:dyDescent="0.3">
      <c r="A195" t="s">
        <v>1892</v>
      </c>
      <c r="B195" s="409" t="s">
        <v>1911</v>
      </c>
      <c r="C195" t="s">
        <v>2358</v>
      </c>
      <c r="D195" t="s">
        <v>85</v>
      </c>
    </row>
    <row r="196" spans="1:4" x14ac:dyDescent="0.3">
      <c r="A196" t="s">
        <v>1893</v>
      </c>
      <c r="B196" s="409" t="s">
        <v>1911</v>
      </c>
      <c r="C196" t="s">
        <v>2358</v>
      </c>
      <c r="D196" t="s">
        <v>85</v>
      </c>
    </row>
    <row r="197" spans="1:4" x14ac:dyDescent="0.3">
      <c r="A197" t="s">
        <v>793</v>
      </c>
      <c r="B197" s="409" t="s">
        <v>1911</v>
      </c>
      <c r="C197" t="s">
        <v>2358</v>
      </c>
      <c r="D197" t="s">
        <v>85</v>
      </c>
    </row>
    <row r="198" spans="1:4" x14ac:dyDescent="0.3">
      <c r="A198" t="s">
        <v>795</v>
      </c>
      <c r="B198" s="409" t="s">
        <v>1911</v>
      </c>
      <c r="C198" t="s">
        <v>2358</v>
      </c>
      <c r="D198" t="s">
        <v>85</v>
      </c>
    </row>
    <row r="199" spans="1:4" x14ac:dyDescent="0.3">
      <c r="A199" t="s">
        <v>797</v>
      </c>
      <c r="B199" s="409" t="s">
        <v>1911</v>
      </c>
      <c r="C199" t="s">
        <v>2358</v>
      </c>
      <c r="D199" t="s">
        <v>85</v>
      </c>
    </row>
    <row r="200" spans="1:4" x14ac:dyDescent="0.3">
      <c r="A200" t="s">
        <v>1894</v>
      </c>
      <c r="B200" s="409" t="s">
        <v>1911</v>
      </c>
      <c r="C200" t="s">
        <v>2358</v>
      </c>
      <c r="D200" t="s">
        <v>85</v>
      </c>
    </row>
    <row r="201" spans="1:4" x14ac:dyDescent="0.3">
      <c r="A201" t="s">
        <v>1895</v>
      </c>
      <c r="B201" s="409" t="s">
        <v>1911</v>
      </c>
      <c r="C201" t="s">
        <v>2358</v>
      </c>
      <c r="D201" t="s">
        <v>85</v>
      </c>
    </row>
    <row r="202" spans="1:4" x14ac:dyDescent="0.3">
      <c r="A202" t="s">
        <v>1896</v>
      </c>
      <c r="B202" s="409" t="s">
        <v>1911</v>
      </c>
      <c r="C202" t="s">
        <v>2358</v>
      </c>
      <c r="D202" t="s">
        <v>85</v>
      </c>
    </row>
    <row r="203" spans="1:4" x14ac:dyDescent="0.3">
      <c r="A203" t="s">
        <v>1897</v>
      </c>
      <c r="B203" s="409" t="s">
        <v>1911</v>
      </c>
      <c r="C203" t="s">
        <v>2358</v>
      </c>
      <c r="D203" t="s">
        <v>85</v>
      </c>
    </row>
    <row r="204" spans="1:4" x14ac:dyDescent="0.3">
      <c r="A204" t="s">
        <v>1898</v>
      </c>
      <c r="B204" s="409" t="s">
        <v>1911</v>
      </c>
      <c r="C204" t="s">
        <v>2358</v>
      </c>
      <c r="D204" t="s">
        <v>85</v>
      </c>
    </row>
    <row r="205" spans="1:4" x14ac:dyDescent="0.3">
      <c r="A205" t="s">
        <v>1899</v>
      </c>
      <c r="B205" s="409" t="s">
        <v>1911</v>
      </c>
      <c r="C205" t="s">
        <v>2358</v>
      </c>
      <c r="D205" t="s">
        <v>85</v>
      </c>
    </row>
    <row r="206" spans="1:4" x14ac:dyDescent="0.3">
      <c r="A206" t="s">
        <v>1900</v>
      </c>
      <c r="B206" s="409" t="s">
        <v>1911</v>
      </c>
      <c r="C206" t="s">
        <v>2358</v>
      </c>
      <c r="D206" t="s">
        <v>85</v>
      </c>
    </row>
    <row r="207" spans="1:4" x14ac:dyDescent="0.3">
      <c r="A207" t="s">
        <v>1901</v>
      </c>
      <c r="B207" s="409" t="s">
        <v>1911</v>
      </c>
      <c r="C207" t="s">
        <v>2358</v>
      </c>
      <c r="D207" t="s">
        <v>85</v>
      </c>
    </row>
    <row r="208" spans="1:4" x14ac:dyDescent="0.3">
      <c r="A208" t="s">
        <v>480</v>
      </c>
      <c r="B208" s="409" t="s">
        <v>1911</v>
      </c>
      <c r="C208" t="s">
        <v>2358</v>
      </c>
      <c r="D208" t="s">
        <v>85</v>
      </c>
    </row>
    <row r="209" spans="1:4" x14ac:dyDescent="0.3">
      <c r="A209" t="s">
        <v>1902</v>
      </c>
      <c r="B209" s="409" t="s">
        <v>1911</v>
      </c>
      <c r="C209" t="s">
        <v>2358</v>
      </c>
      <c r="D209" t="s">
        <v>85</v>
      </c>
    </row>
    <row r="210" spans="1:4" x14ac:dyDescent="0.3">
      <c r="A210" t="s">
        <v>1903</v>
      </c>
      <c r="B210" s="409" t="s">
        <v>1911</v>
      </c>
      <c r="C210" t="s">
        <v>2358</v>
      </c>
      <c r="D210" t="s">
        <v>85</v>
      </c>
    </row>
    <row r="211" spans="1:4" x14ac:dyDescent="0.3">
      <c r="A211" t="s">
        <v>1904</v>
      </c>
      <c r="B211" s="409" t="s">
        <v>1911</v>
      </c>
      <c r="C211" t="s">
        <v>2358</v>
      </c>
      <c r="D211" t="s">
        <v>85</v>
      </c>
    </row>
    <row r="212" spans="1:4" x14ac:dyDescent="0.3">
      <c r="A212" t="s">
        <v>1896</v>
      </c>
      <c r="B212" s="409" t="s">
        <v>1911</v>
      </c>
      <c r="C212" t="s">
        <v>2358</v>
      </c>
      <c r="D212" t="s">
        <v>85</v>
      </c>
    </row>
    <row r="213" spans="1:4" x14ac:dyDescent="0.3">
      <c r="A213" t="s">
        <v>1905</v>
      </c>
      <c r="B213" s="409" t="s">
        <v>1911</v>
      </c>
      <c r="C213" t="s">
        <v>2358</v>
      </c>
      <c r="D213" t="s">
        <v>85</v>
      </c>
    </row>
    <row r="214" spans="1:4" x14ac:dyDescent="0.3">
      <c r="A214" t="s">
        <v>1906</v>
      </c>
      <c r="B214" s="409" t="s">
        <v>1911</v>
      </c>
      <c r="C214" t="s">
        <v>2358</v>
      </c>
      <c r="D214" t="s">
        <v>85</v>
      </c>
    </row>
    <row r="215" spans="1:4" x14ac:dyDescent="0.3">
      <c r="A215" t="s">
        <v>1627</v>
      </c>
      <c r="B215" s="409" t="s">
        <v>1911</v>
      </c>
      <c r="C215" t="s">
        <v>2358</v>
      </c>
      <c r="D215" t="s">
        <v>85</v>
      </c>
    </row>
    <row r="216" spans="1:4" x14ac:dyDescent="0.3">
      <c r="A216" t="s">
        <v>1907</v>
      </c>
      <c r="B216" s="409" t="s">
        <v>1911</v>
      </c>
      <c r="C216" t="s">
        <v>2358</v>
      </c>
      <c r="D216" t="s">
        <v>85</v>
      </c>
    </row>
    <row r="217" spans="1:4" x14ac:dyDescent="0.3">
      <c r="A217" t="s">
        <v>1902</v>
      </c>
      <c r="B217" s="409" t="s">
        <v>1911</v>
      </c>
      <c r="C217" t="s">
        <v>2358</v>
      </c>
      <c r="D217" t="s">
        <v>85</v>
      </c>
    </row>
    <row r="218" spans="1:4" x14ac:dyDescent="0.3">
      <c r="A218" t="s">
        <v>761</v>
      </c>
      <c r="B218" s="409" t="s">
        <v>1911</v>
      </c>
      <c r="C218" t="s">
        <v>2358</v>
      </c>
      <c r="D218" t="s">
        <v>85</v>
      </c>
    </row>
    <row r="219" spans="1:4" x14ac:dyDescent="0.3">
      <c r="A219" t="s">
        <v>788</v>
      </c>
      <c r="B219" s="409" t="s">
        <v>1911</v>
      </c>
      <c r="C219" t="s">
        <v>2358</v>
      </c>
      <c r="D219" t="s">
        <v>85</v>
      </c>
    </row>
    <row r="220" spans="1:4" x14ac:dyDescent="0.3">
      <c r="A220" t="s">
        <v>1908</v>
      </c>
      <c r="B220" s="409" t="s">
        <v>1911</v>
      </c>
      <c r="C220" t="s">
        <v>2358</v>
      </c>
      <c r="D220" t="s">
        <v>85</v>
      </c>
    </row>
    <row r="221" spans="1:4" x14ac:dyDescent="0.3">
      <c r="A221" t="s">
        <v>788</v>
      </c>
      <c r="B221" s="409" t="s">
        <v>1911</v>
      </c>
      <c r="C221" t="s">
        <v>2358</v>
      </c>
      <c r="D221" t="s">
        <v>85</v>
      </c>
    </row>
    <row r="222" spans="1:4" x14ac:dyDescent="0.3">
      <c r="A222" t="s">
        <v>1622</v>
      </c>
      <c r="B222" s="409" t="s">
        <v>1911</v>
      </c>
      <c r="C222" t="s">
        <v>2358</v>
      </c>
      <c r="D222" t="s">
        <v>85</v>
      </c>
    </row>
    <row r="223" spans="1:4" x14ac:dyDescent="0.3">
      <c r="A223" t="s">
        <v>1909</v>
      </c>
      <c r="B223" s="409" t="s">
        <v>1911</v>
      </c>
      <c r="C223" t="s">
        <v>2358</v>
      </c>
      <c r="D223" t="s">
        <v>85</v>
      </c>
    </row>
    <row r="224" spans="1:4" x14ac:dyDescent="0.3">
      <c r="A224" t="s">
        <v>1907</v>
      </c>
      <c r="B224" s="409" t="s">
        <v>1911</v>
      </c>
      <c r="C224" t="s">
        <v>2358</v>
      </c>
      <c r="D224" t="s">
        <v>85</v>
      </c>
    </row>
    <row r="225" spans="1:4" x14ac:dyDescent="0.3">
      <c r="A225" t="s">
        <v>740</v>
      </c>
      <c r="B225" s="409" t="s">
        <v>1911</v>
      </c>
      <c r="C225" t="s">
        <v>2358</v>
      </c>
      <c r="D225" t="s">
        <v>85</v>
      </c>
    </row>
    <row r="226" spans="1:4" x14ac:dyDescent="0.3">
      <c r="A226" t="s">
        <v>1061</v>
      </c>
      <c r="B226" s="409" t="s">
        <v>1911</v>
      </c>
      <c r="C226" t="s">
        <v>2358</v>
      </c>
      <c r="D226" t="s">
        <v>85</v>
      </c>
    </row>
    <row r="227" spans="1:4" x14ac:dyDescent="0.3">
      <c r="A227" t="s">
        <v>626</v>
      </c>
      <c r="B227" s="409" t="s">
        <v>1911</v>
      </c>
      <c r="C227" t="s">
        <v>2358</v>
      </c>
      <c r="D227" t="s">
        <v>85</v>
      </c>
    </row>
    <row r="228" spans="1:4" x14ac:dyDescent="0.3">
      <c r="A228" t="s">
        <v>1910</v>
      </c>
      <c r="B228" s="409" t="s">
        <v>1911</v>
      </c>
      <c r="C228" t="s">
        <v>2358</v>
      </c>
      <c r="D228" t="s">
        <v>85</v>
      </c>
    </row>
    <row r="229" spans="1:4" x14ac:dyDescent="0.3">
      <c r="A229" t="s">
        <v>1913</v>
      </c>
      <c r="B229" s="409" t="s">
        <v>1912</v>
      </c>
      <c r="C229" t="s">
        <v>2358</v>
      </c>
      <c r="D229" t="s">
        <v>85</v>
      </c>
    </row>
    <row r="230" spans="1:4" x14ac:dyDescent="0.3">
      <c r="A230" t="s">
        <v>1914</v>
      </c>
      <c r="B230" s="409" t="s">
        <v>1912</v>
      </c>
      <c r="C230" t="s">
        <v>2358</v>
      </c>
      <c r="D230" t="s">
        <v>85</v>
      </c>
    </row>
    <row r="231" spans="1:4" x14ac:dyDescent="0.3">
      <c r="A231" t="s">
        <v>1915</v>
      </c>
      <c r="B231" s="409" t="s">
        <v>1912</v>
      </c>
      <c r="C231" t="s">
        <v>2358</v>
      </c>
      <c r="D231" t="s">
        <v>85</v>
      </c>
    </row>
    <row r="232" spans="1:4" x14ac:dyDescent="0.3">
      <c r="A232" t="s">
        <v>1916</v>
      </c>
      <c r="B232" s="409" t="s">
        <v>1912</v>
      </c>
      <c r="C232" t="s">
        <v>2358</v>
      </c>
      <c r="D232" t="s">
        <v>85</v>
      </c>
    </row>
    <row r="233" spans="1:4" x14ac:dyDescent="0.3">
      <c r="A233" t="s">
        <v>1917</v>
      </c>
      <c r="B233" s="409" t="s">
        <v>1912</v>
      </c>
      <c r="C233" t="s">
        <v>2358</v>
      </c>
      <c r="D233" t="s">
        <v>85</v>
      </c>
    </row>
    <row r="234" spans="1:4" x14ac:dyDescent="0.3">
      <c r="A234" t="s">
        <v>1918</v>
      </c>
      <c r="B234" s="409" t="s">
        <v>1912</v>
      </c>
      <c r="C234" t="s">
        <v>2358</v>
      </c>
      <c r="D234" t="s">
        <v>85</v>
      </c>
    </row>
    <row r="235" spans="1:4" x14ac:dyDescent="0.3">
      <c r="A235" t="s">
        <v>1919</v>
      </c>
      <c r="B235" s="409" t="s">
        <v>1912</v>
      </c>
      <c r="C235" t="s">
        <v>2358</v>
      </c>
      <c r="D235" t="s">
        <v>85</v>
      </c>
    </row>
    <row r="236" spans="1:4" x14ac:dyDescent="0.3">
      <c r="A236" t="s">
        <v>1920</v>
      </c>
      <c r="B236" s="409" t="s">
        <v>1912</v>
      </c>
      <c r="C236" t="s">
        <v>2358</v>
      </c>
      <c r="D236" t="s">
        <v>85</v>
      </c>
    </row>
    <row r="237" spans="1:4" x14ac:dyDescent="0.3">
      <c r="A237" t="s">
        <v>1921</v>
      </c>
      <c r="B237" s="409" t="s">
        <v>1912</v>
      </c>
      <c r="C237" t="s">
        <v>2358</v>
      </c>
      <c r="D237" t="s">
        <v>85</v>
      </c>
    </row>
    <row r="238" spans="1:4" x14ac:dyDescent="0.3">
      <c r="A238" t="s">
        <v>1922</v>
      </c>
      <c r="B238" s="409" t="s">
        <v>1912</v>
      </c>
      <c r="C238" t="s">
        <v>2358</v>
      </c>
      <c r="D238" t="s">
        <v>85</v>
      </c>
    </row>
    <row r="239" spans="1:4" x14ac:dyDescent="0.3">
      <c r="A239" t="s">
        <v>1786</v>
      </c>
      <c r="B239" s="409" t="s">
        <v>1912</v>
      </c>
      <c r="C239" t="s">
        <v>2358</v>
      </c>
      <c r="D239" t="s">
        <v>85</v>
      </c>
    </row>
    <row r="240" spans="1:4" x14ac:dyDescent="0.3">
      <c r="A240" t="s">
        <v>1923</v>
      </c>
      <c r="B240" s="409" t="s">
        <v>1912</v>
      </c>
      <c r="C240" t="s">
        <v>2358</v>
      </c>
      <c r="D240" t="s">
        <v>85</v>
      </c>
    </row>
    <row r="241" spans="1:4" x14ac:dyDescent="0.3">
      <c r="A241" t="s">
        <v>1922</v>
      </c>
      <c r="B241" s="409" t="s">
        <v>1912</v>
      </c>
      <c r="C241" t="s">
        <v>2358</v>
      </c>
      <c r="D241" t="s">
        <v>85</v>
      </c>
    </row>
    <row r="242" spans="1:4" x14ac:dyDescent="0.3">
      <c r="A242" t="s">
        <v>1924</v>
      </c>
      <c r="B242" s="409" t="s">
        <v>1912</v>
      </c>
      <c r="C242" t="s">
        <v>2358</v>
      </c>
      <c r="D242" t="s">
        <v>85</v>
      </c>
    </row>
    <row r="243" spans="1:4" x14ac:dyDescent="0.3">
      <c r="A243" t="s">
        <v>1925</v>
      </c>
      <c r="B243" s="409" t="s">
        <v>1912</v>
      </c>
      <c r="C243" t="s">
        <v>2358</v>
      </c>
      <c r="D243" t="s">
        <v>85</v>
      </c>
    </row>
    <row r="244" spans="1:4" x14ac:dyDescent="0.3">
      <c r="A244" t="s">
        <v>1625</v>
      </c>
      <c r="B244" s="409" t="s">
        <v>1912</v>
      </c>
      <c r="C244" t="s">
        <v>2358</v>
      </c>
      <c r="D244" t="s">
        <v>85</v>
      </c>
    </row>
    <row r="245" spans="1:4" x14ac:dyDescent="0.3">
      <c r="A245" t="s">
        <v>1676</v>
      </c>
      <c r="B245" s="409" t="s">
        <v>1927</v>
      </c>
      <c r="C245" t="s">
        <v>2358</v>
      </c>
      <c r="D245" t="s">
        <v>85</v>
      </c>
    </row>
    <row r="246" spans="1:4" x14ac:dyDescent="0.3">
      <c r="A246" t="s">
        <v>1910</v>
      </c>
      <c r="B246" s="409" t="s">
        <v>1927</v>
      </c>
      <c r="C246" t="s">
        <v>2358</v>
      </c>
      <c r="D246" t="s">
        <v>85</v>
      </c>
    </row>
    <row r="247" spans="1:4" x14ac:dyDescent="0.3">
      <c r="A247" t="s">
        <v>1905</v>
      </c>
      <c r="B247" s="409" t="s">
        <v>1927</v>
      </c>
      <c r="C247" t="s">
        <v>2358</v>
      </c>
      <c r="D247" t="s">
        <v>85</v>
      </c>
    </row>
    <row r="248" spans="1:4" x14ac:dyDescent="0.3">
      <c r="A248" t="s">
        <v>1130</v>
      </c>
      <c r="B248" s="409" t="s">
        <v>1927</v>
      </c>
      <c r="C248" t="s">
        <v>2358</v>
      </c>
      <c r="D248" t="s">
        <v>85</v>
      </c>
    </row>
    <row r="249" spans="1:4" x14ac:dyDescent="0.3">
      <c r="A249" t="s">
        <v>793</v>
      </c>
      <c r="B249" s="409" t="s">
        <v>1927</v>
      </c>
      <c r="C249" t="s">
        <v>2358</v>
      </c>
      <c r="D249" t="s">
        <v>85</v>
      </c>
    </row>
    <row r="250" spans="1:4" x14ac:dyDescent="0.3">
      <c r="A250" t="s">
        <v>1928</v>
      </c>
      <c r="B250" s="409" t="s">
        <v>1927</v>
      </c>
      <c r="C250" t="s">
        <v>2358</v>
      </c>
      <c r="D250" t="s">
        <v>85</v>
      </c>
    </row>
    <row r="251" spans="1:4" x14ac:dyDescent="0.3">
      <c r="A251" t="s">
        <v>797</v>
      </c>
      <c r="B251" s="409" t="s">
        <v>1927</v>
      </c>
      <c r="C251" t="s">
        <v>2358</v>
      </c>
      <c r="D251" t="s">
        <v>85</v>
      </c>
    </row>
    <row r="252" spans="1:4" x14ac:dyDescent="0.3">
      <c r="A252" t="s">
        <v>803</v>
      </c>
      <c r="B252" s="409" t="s">
        <v>1927</v>
      </c>
      <c r="C252" t="s">
        <v>2358</v>
      </c>
      <c r="D252" t="s">
        <v>85</v>
      </c>
    </row>
    <row r="253" spans="1:4" x14ac:dyDescent="0.3">
      <c r="A253" t="s">
        <v>1929</v>
      </c>
      <c r="B253" s="409" t="s">
        <v>1927</v>
      </c>
      <c r="C253" t="s">
        <v>2358</v>
      </c>
      <c r="D253" t="s">
        <v>85</v>
      </c>
    </row>
    <row r="254" spans="1:4" x14ac:dyDescent="0.3">
      <c r="A254" t="s">
        <v>807</v>
      </c>
      <c r="B254" s="409" t="s">
        <v>1927</v>
      </c>
      <c r="C254" t="s">
        <v>2358</v>
      </c>
      <c r="D254" t="s">
        <v>85</v>
      </c>
    </row>
    <row r="255" spans="1:4" x14ac:dyDescent="0.3">
      <c r="A255" t="s">
        <v>812</v>
      </c>
      <c r="B255" s="409" t="s">
        <v>1927</v>
      </c>
      <c r="C255" t="s">
        <v>2358</v>
      </c>
      <c r="D255" t="s">
        <v>85</v>
      </c>
    </row>
    <row r="256" spans="1:4" x14ac:dyDescent="0.3">
      <c r="A256" t="s">
        <v>1930</v>
      </c>
      <c r="B256" s="409" t="s">
        <v>1927</v>
      </c>
      <c r="C256" t="s">
        <v>2358</v>
      </c>
      <c r="D256" t="s">
        <v>85</v>
      </c>
    </row>
    <row r="257" spans="1:4" x14ac:dyDescent="0.3">
      <c r="A257" t="s">
        <v>824</v>
      </c>
      <c r="B257" s="409" t="s">
        <v>1927</v>
      </c>
      <c r="C257" t="s">
        <v>2358</v>
      </c>
      <c r="D257" t="s">
        <v>85</v>
      </c>
    </row>
    <row r="258" spans="1:4" x14ac:dyDescent="0.3">
      <c r="A258" t="s">
        <v>884</v>
      </c>
      <c r="B258" s="409" t="s">
        <v>1927</v>
      </c>
      <c r="C258" t="s">
        <v>2358</v>
      </c>
      <c r="D258" t="s">
        <v>85</v>
      </c>
    </row>
    <row r="259" spans="1:4" x14ac:dyDescent="0.3">
      <c r="A259" t="s">
        <v>1051</v>
      </c>
      <c r="B259" s="409" t="s">
        <v>1927</v>
      </c>
      <c r="C259" t="s">
        <v>2358</v>
      </c>
      <c r="D259" t="s">
        <v>85</v>
      </c>
    </row>
    <row r="260" spans="1:4" x14ac:dyDescent="0.3">
      <c r="A260" t="s">
        <v>898</v>
      </c>
      <c r="B260" s="409" t="s">
        <v>1927</v>
      </c>
      <c r="C260" t="s">
        <v>2358</v>
      </c>
      <c r="D260" t="s">
        <v>85</v>
      </c>
    </row>
    <row r="261" spans="1:4" x14ac:dyDescent="0.3">
      <c r="A261" t="s">
        <v>904</v>
      </c>
      <c r="B261" s="409" t="s">
        <v>1927</v>
      </c>
      <c r="C261" t="s">
        <v>2358</v>
      </c>
      <c r="D261" t="s">
        <v>85</v>
      </c>
    </row>
    <row r="262" spans="1:4" x14ac:dyDescent="0.3">
      <c r="A262" t="s">
        <v>474</v>
      </c>
      <c r="B262" s="409" t="s">
        <v>1927</v>
      </c>
      <c r="C262" t="s">
        <v>2358</v>
      </c>
      <c r="D262" t="s">
        <v>85</v>
      </c>
    </row>
    <row r="263" spans="1:4" x14ac:dyDescent="0.3">
      <c r="A263" t="s">
        <v>1931</v>
      </c>
      <c r="B263" s="409" t="s">
        <v>1927</v>
      </c>
      <c r="C263" t="s">
        <v>2358</v>
      </c>
      <c r="D263" t="s">
        <v>85</v>
      </c>
    </row>
    <row r="264" spans="1:4" x14ac:dyDescent="0.3">
      <c r="A264" t="s">
        <v>1932</v>
      </c>
      <c r="B264" s="409" t="s">
        <v>1927</v>
      </c>
      <c r="C264" t="s">
        <v>2358</v>
      </c>
      <c r="D264" t="s">
        <v>85</v>
      </c>
    </row>
    <row r="265" spans="1:4" x14ac:dyDescent="0.3">
      <c r="A265" t="s">
        <v>1933</v>
      </c>
      <c r="B265" s="409" t="s">
        <v>1927</v>
      </c>
      <c r="C265" t="s">
        <v>2358</v>
      </c>
      <c r="D265" t="s">
        <v>85</v>
      </c>
    </row>
    <row r="266" spans="1:4" x14ac:dyDescent="0.3">
      <c r="A266" t="s">
        <v>626</v>
      </c>
      <c r="B266" s="409" t="s">
        <v>1927</v>
      </c>
      <c r="C266" t="s">
        <v>2358</v>
      </c>
      <c r="D266" t="s">
        <v>85</v>
      </c>
    </row>
    <row r="267" spans="1:4" x14ac:dyDescent="0.3">
      <c r="A267" t="s">
        <v>1934</v>
      </c>
      <c r="B267" s="409" t="s">
        <v>1927</v>
      </c>
      <c r="C267" t="s">
        <v>2358</v>
      </c>
      <c r="D267" t="s">
        <v>85</v>
      </c>
    </row>
    <row r="268" spans="1:4" x14ac:dyDescent="0.3">
      <c r="A268" t="s">
        <v>1935</v>
      </c>
      <c r="B268" s="409" t="s">
        <v>1927</v>
      </c>
      <c r="C268" t="s">
        <v>2358</v>
      </c>
      <c r="D268" t="s">
        <v>85</v>
      </c>
    </row>
    <row r="269" spans="1:4" x14ac:dyDescent="0.3">
      <c r="A269" t="s">
        <v>1936</v>
      </c>
      <c r="B269" s="409" t="s">
        <v>1927</v>
      </c>
      <c r="C269" t="s">
        <v>2358</v>
      </c>
      <c r="D269" t="s">
        <v>85</v>
      </c>
    </row>
    <row r="270" spans="1:4" x14ac:dyDescent="0.3">
      <c r="A270" t="s">
        <v>675</v>
      </c>
      <c r="B270" s="409" t="s">
        <v>1927</v>
      </c>
      <c r="C270" t="s">
        <v>2358</v>
      </c>
      <c r="D270" t="s">
        <v>85</v>
      </c>
    </row>
    <row r="271" spans="1:4" x14ac:dyDescent="0.3">
      <c r="A271" t="s">
        <v>1065</v>
      </c>
      <c r="B271" s="409" t="s">
        <v>1927</v>
      </c>
      <c r="C271" t="s">
        <v>2358</v>
      </c>
      <c r="D271" t="s">
        <v>85</v>
      </c>
    </row>
    <row r="272" spans="1:4" x14ac:dyDescent="0.3">
      <c r="A272" t="s">
        <v>690</v>
      </c>
      <c r="B272" s="409" t="s">
        <v>1927</v>
      </c>
      <c r="C272" t="s">
        <v>2358</v>
      </c>
      <c r="D272" t="s">
        <v>85</v>
      </c>
    </row>
    <row r="273" spans="1:4" x14ac:dyDescent="0.3">
      <c r="A273" t="s">
        <v>699</v>
      </c>
      <c r="B273" s="409" t="s">
        <v>1927</v>
      </c>
      <c r="C273" t="s">
        <v>2358</v>
      </c>
      <c r="D273" t="s">
        <v>85</v>
      </c>
    </row>
    <row r="274" spans="1:4" x14ac:dyDescent="0.3">
      <c r="A274" t="s">
        <v>1066</v>
      </c>
      <c r="B274" s="409" t="s">
        <v>1927</v>
      </c>
      <c r="C274" t="s">
        <v>2358</v>
      </c>
      <c r="D274" t="s">
        <v>85</v>
      </c>
    </row>
    <row r="275" spans="1:4" x14ac:dyDescent="0.3">
      <c r="A275" t="s">
        <v>1067</v>
      </c>
      <c r="B275" s="409" t="s">
        <v>1927</v>
      </c>
      <c r="C275" t="s">
        <v>2358</v>
      </c>
      <c r="D275" t="s">
        <v>85</v>
      </c>
    </row>
    <row r="276" spans="1:4" x14ac:dyDescent="0.3">
      <c r="A276" t="s">
        <v>1937</v>
      </c>
      <c r="B276" s="409" t="s">
        <v>1927</v>
      </c>
      <c r="C276" t="s">
        <v>2358</v>
      </c>
      <c r="D276" t="s">
        <v>85</v>
      </c>
    </row>
    <row r="277" spans="1:4" x14ac:dyDescent="0.3">
      <c r="A277" t="s">
        <v>1800</v>
      </c>
      <c r="B277" s="409" t="s">
        <v>1927</v>
      </c>
      <c r="C277" t="s">
        <v>2358</v>
      </c>
      <c r="D277" t="s">
        <v>85</v>
      </c>
    </row>
    <row r="278" spans="1:4" x14ac:dyDescent="0.3">
      <c r="A278" t="s">
        <v>1801</v>
      </c>
      <c r="B278" s="409" t="s">
        <v>1927</v>
      </c>
      <c r="C278" t="s">
        <v>2358</v>
      </c>
      <c r="D278" t="s">
        <v>85</v>
      </c>
    </row>
    <row r="279" spans="1:4" x14ac:dyDescent="0.3">
      <c r="A279" t="s">
        <v>738</v>
      </c>
      <c r="B279" s="409" t="s">
        <v>1927</v>
      </c>
      <c r="C279" t="s">
        <v>2358</v>
      </c>
      <c r="D279" t="s">
        <v>85</v>
      </c>
    </row>
    <row r="280" spans="1:4" x14ac:dyDescent="0.3">
      <c r="A280" t="s">
        <v>1938</v>
      </c>
      <c r="B280" s="409" t="s">
        <v>1927</v>
      </c>
      <c r="C280" t="s">
        <v>2358</v>
      </c>
      <c r="D280" t="s">
        <v>85</v>
      </c>
    </row>
    <row r="281" spans="1:4" x14ac:dyDescent="0.3">
      <c r="A281" t="s">
        <v>1787</v>
      </c>
      <c r="B281" s="409" t="s">
        <v>1927</v>
      </c>
      <c r="C281" t="s">
        <v>2358</v>
      </c>
      <c r="D281" t="s">
        <v>85</v>
      </c>
    </row>
    <row r="282" spans="1:4" x14ac:dyDescent="0.3">
      <c r="A282" t="s">
        <v>783</v>
      </c>
      <c r="B282" s="409" t="s">
        <v>1927</v>
      </c>
      <c r="C282" t="s">
        <v>2358</v>
      </c>
      <c r="D282" t="s">
        <v>85</v>
      </c>
    </row>
    <row r="283" spans="1:4" x14ac:dyDescent="0.3">
      <c r="A283" t="s">
        <v>1990</v>
      </c>
      <c r="B283" s="409" t="s">
        <v>1927</v>
      </c>
      <c r="C283" t="s">
        <v>2358</v>
      </c>
      <c r="D283" t="s">
        <v>85</v>
      </c>
    </row>
    <row r="284" spans="1:4" x14ac:dyDescent="0.3">
      <c r="A284" t="s">
        <v>1164</v>
      </c>
      <c r="B284" s="409" t="s">
        <v>1927</v>
      </c>
      <c r="C284" t="s">
        <v>2358</v>
      </c>
      <c r="D284" t="s">
        <v>85</v>
      </c>
    </row>
    <row r="285" spans="1:4" x14ac:dyDescent="0.3">
      <c r="A285" t="s">
        <v>1159</v>
      </c>
      <c r="B285" s="409" t="s">
        <v>1927</v>
      </c>
      <c r="C285" t="s">
        <v>2358</v>
      </c>
      <c r="D285" t="s">
        <v>85</v>
      </c>
    </row>
    <row r="286" spans="1:4" x14ac:dyDescent="0.3">
      <c r="A286" t="s">
        <v>1062</v>
      </c>
      <c r="B286" s="409" t="s">
        <v>1927</v>
      </c>
      <c r="C286" t="s">
        <v>2358</v>
      </c>
      <c r="D286" t="s">
        <v>85</v>
      </c>
    </row>
    <row r="287" spans="1:4" x14ac:dyDescent="0.3">
      <c r="A287" t="s">
        <v>1220</v>
      </c>
      <c r="B287" s="409" t="s">
        <v>1927</v>
      </c>
      <c r="C287" t="s">
        <v>2358</v>
      </c>
      <c r="D287" t="s">
        <v>85</v>
      </c>
    </row>
    <row r="288" spans="1:4" x14ac:dyDescent="0.3">
      <c r="A288" t="s">
        <v>1991</v>
      </c>
      <c r="B288" s="409" t="s">
        <v>1927</v>
      </c>
      <c r="C288" t="s">
        <v>2358</v>
      </c>
      <c r="D288" t="s">
        <v>85</v>
      </c>
    </row>
    <row r="289" spans="1:4" x14ac:dyDescent="0.3">
      <c r="A289" t="s">
        <v>1940</v>
      </c>
      <c r="B289" s="412" t="s">
        <v>1939</v>
      </c>
      <c r="C289" t="s">
        <v>2358</v>
      </c>
      <c r="D289" t="s">
        <v>85</v>
      </c>
    </row>
    <row r="290" spans="1:4" x14ac:dyDescent="0.3">
      <c r="A290" t="s">
        <v>1941</v>
      </c>
      <c r="B290" s="412" t="s">
        <v>1939</v>
      </c>
      <c r="C290" t="s">
        <v>2358</v>
      </c>
      <c r="D290" t="s">
        <v>85</v>
      </c>
    </row>
    <row r="291" spans="1:4" x14ac:dyDescent="0.3">
      <c r="A291" t="s">
        <v>1942</v>
      </c>
      <c r="B291" s="412" t="s">
        <v>1939</v>
      </c>
      <c r="C291" t="s">
        <v>2358</v>
      </c>
      <c r="D291" t="s">
        <v>85</v>
      </c>
    </row>
    <row r="292" spans="1:4" x14ac:dyDescent="0.3">
      <c r="A292" t="s">
        <v>1943</v>
      </c>
      <c r="B292" s="412" t="s">
        <v>1939</v>
      </c>
      <c r="C292" t="s">
        <v>2358</v>
      </c>
      <c r="D292" t="s">
        <v>85</v>
      </c>
    </row>
    <row r="293" spans="1:4" x14ac:dyDescent="0.3">
      <c r="A293" t="s">
        <v>1944</v>
      </c>
      <c r="B293" s="412" t="s">
        <v>1939</v>
      </c>
      <c r="C293" t="s">
        <v>2358</v>
      </c>
      <c r="D293" t="s">
        <v>85</v>
      </c>
    </row>
    <row r="294" spans="1:4" x14ac:dyDescent="0.3">
      <c r="A294" t="s">
        <v>480</v>
      </c>
      <c r="B294" s="412" t="s">
        <v>1939</v>
      </c>
      <c r="C294" t="s">
        <v>2358</v>
      </c>
      <c r="D294" t="s">
        <v>85</v>
      </c>
    </row>
    <row r="295" spans="1:4" x14ac:dyDescent="0.3">
      <c r="A295" t="s">
        <v>1945</v>
      </c>
      <c r="B295" s="412" t="s">
        <v>1939</v>
      </c>
      <c r="C295" t="s">
        <v>2358</v>
      </c>
      <c r="D295" t="s">
        <v>85</v>
      </c>
    </row>
    <row r="296" spans="1:4" x14ac:dyDescent="0.3">
      <c r="A296" t="s">
        <v>1946</v>
      </c>
      <c r="B296" s="412" t="s">
        <v>1939</v>
      </c>
      <c r="C296" t="s">
        <v>2358</v>
      </c>
      <c r="D296" t="s">
        <v>85</v>
      </c>
    </row>
    <row r="297" spans="1:4" x14ac:dyDescent="0.3">
      <c r="A297" t="s">
        <v>1947</v>
      </c>
      <c r="B297" s="412" t="s">
        <v>1939</v>
      </c>
      <c r="C297" t="s">
        <v>2358</v>
      </c>
      <c r="D297" t="s">
        <v>85</v>
      </c>
    </row>
    <row r="298" spans="1:4" x14ac:dyDescent="0.3">
      <c r="A298" t="s">
        <v>1948</v>
      </c>
      <c r="B298" s="412" t="s">
        <v>1939</v>
      </c>
      <c r="C298" t="s">
        <v>2358</v>
      </c>
      <c r="D298" t="s">
        <v>85</v>
      </c>
    </row>
    <row r="299" spans="1:4" x14ac:dyDescent="0.3">
      <c r="A299" t="s">
        <v>1749</v>
      </c>
      <c r="B299" s="412" t="s">
        <v>1939</v>
      </c>
      <c r="C299" t="s">
        <v>2358</v>
      </c>
      <c r="D299" t="s">
        <v>85</v>
      </c>
    </row>
    <row r="300" spans="1:4" x14ac:dyDescent="0.3">
      <c r="A300" t="s">
        <v>1768</v>
      </c>
      <c r="B300" s="412" t="s">
        <v>1939</v>
      </c>
      <c r="C300" t="s">
        <v>2358</v>
      </c>
      <c r="D300" t="s">
        <v>85</v>
      </c>
    </row>
    <row r="301" spans="1:4" x14ac:dyDescent="0.3">
      <c r="A301" t="s">
        <v>1949</v>
      </c>
      <c r="B301" s="412" t="s">
        <v>1939</v>
      </c>
      <c r="C301" t="s">
        <v>2358</v>
      </c>
      <c r="D301" t="s">
        <v>85</v>
      </c>
    </row>
    <row r="302" spans="1:4" x14ac:dyDescent="0.3">
      <c r="A302" t="s">
        <v>1950</v>
      </c>
      <c r="B302" s="412" t="s">
        <v>1939</v>
      </c>
      <c r="C302" t="s">
        <v>2358</v>
      </c>
      <c r="D302" t="s">
        <v>85</v>
      </c>
    </row>
    <row r="303" spans="1:4" x14ac:dyDescent="0.3">
      <c r="A303" t="s">
        <v>1951</v>
      </c>
      <c r="B303" s="412" t="s">
        <v>1939</v>
      </c>
      <c r="C303" t="s">
        <v>2358</v>
      </c>
      <c r="D303" t="s">
        <v>85</v>
      </c>
    </row>
    <row r="304" spans="1:4" x14ac:dyDescent="0.3">
      <c r="A304" t="s">
        <v>1952</v>
      </c>
      <c r="B304" s="412" t="s">
        <v>1939</v>
      </c>
      <c r="C304" t="s">
        <v>2358</v>
      </c>
      <c r="D304" t="s">
        <v>85</v>
      </c>
    </row>
    <row r="305" spans="1:4" x14ac:dyDescent="0.3">
      <c r="A305" t="s">
        <v>1953</v>
      </c>
      <c r="B305" s="412" t="s">
        <v>1939</v>
      </c>
      <c r="C305" t="s">
        <v>2358</v>
      </c>
      <c r="D305" t="s">
        <v>85</v>
      </c>
    </row>
    <row r="306" spans="1:4" x14ac:dyDescent="0.3">
      <c r="A306" t="s">
        <v>1954</v>
      </c>
      <c r="B306" s="412" t="s">
        <v>1939</v>
      </c>
      <c r="C306" t="s">
        <v>2358</v>
      </c>
      <c r="D306" t="s">
        <v>85</v>
      </c>
    </row>
    <row r="307" spans="1:4" x14ac:dyDescent="0.3">
      <c r="A307" t="s">
        <v>1955</v>
      </c>
      <c r="B307" s="412" t="s">
        <v>1939</v>
      </c>
      <c r="C307" t="s">
        <v>2358</v>
      </c>
      <c r="D307" t="s">
        <v>85</v>
      </c>
    </row>
    <row r="308" spans="1:4" x14ac:dyDescent="0.3">
      <c r="A308" t="s">
        <v>1956</v>
      </c>
      <c r="B308" s="412" t="s">
        <v>1939</v>
      </c>
      <c r="C308" t="s">
        <v>2358</v>
      </c>
      <c r="D308" t="s">
        <v>85</v>
      </c>
    </row>
    <row r="309" spans="1:4" x14ac:dyDescent="0.3">
      <c r="A309" t="s">
        <v>1957</v>
      </c>
      <c r="B309" s="412" t="s">
        <v>1939</v>
      </c>
      <c r="C309" t="s">
        <v>2358</v>
      </c>
      <c r="D309" t="s">
        <v>85</v>
      </c>
    </row>
    <row r="310" spans="1:4" x14ac:dyDescent="0.3">
      <c r="A310" t="s">
        <v>1958</v>
      </c>
      <c r="B310" s="412" t="s">
        <v>1939</v>
      </c>
      <c r="C310" t="s">
        <v>2358</v>
      </c>
      <c r="D310" t="s">
        <v>85</v>
      </c>
    </row>
    <row r="311" spans="1:4" x14ac:dyDescent="0.3">
      <c r="A311" t="s">
        <v>1959</v>
      </c>
      <c r="B311" s="412" t="s">
        <v>1939</v>
      </c>
      <c r="C311" t="s">
        <v>2358</v>
      </c>
      <c r="D311" t="s">
        <v>85</v>
      </c>
    </row>
    <row r="312" spans="1:4" x14ac:dyDescent="0.3">
      <c r="A312" t="s">
        <v>1960</v>
      </c>
      <c r="B312" s="412" t="s">
        <v>1939</v>
      </c>
      <c r="C312" t="s">
        <v>2358</v>
      </c>
      <c r="D312" t="s">
        <v>85</v>
      </c>
    </row>
    <row r="313" spans="1:4" x14ac:dyDescent="0.3">
      <c r="A313" t="s">
        <v>1960</v>
      </c>
      <c r="B313" s="412" t="s">
        <v>1939</v>
      </c>
      <c r="C313" t="s">
        <v>2358</v>
      </c>
      <c r="D313" t="s">
        <v>85</v>
      </c>
    </row>
    <row r="314" spans="1:4" x14ac:dyDescent="0.3">
      <c r="A314" t="s">
        <v>1103</v>
      </c>
      <c r="B314" s="412" t="s">
        <v>1939</v>
      </c>
      <c r="C314" t="s">
        <v>2358</v>
      </c>
      <c r="D314" t="s">
        <v>85</v>
      </c>
    </row>
    <row r="315" spans="1:4" x14ac:dyDescent="0.3">
      <c r="A315" t="s">
        <v>1961</v>
      </c>
      <c r="B315" s="412" t="s">
        <v>1939</v>
      </c>
      <c r="C315" t="s">
        <v>2358</v>
      </c>
      <c r="D315" t="s">
        <v>85</v>
      </c>
    </row>
    <row r="316" spans="1:4" x14ac:dyDescent="0.3">
      <c r="A316" t="s">
        <v>1962</v>
      </c>
      <c r="B316" s="412" t="s">
        <v>1939</v>
      </c>
      <c r="C316" t="s">
        <v>2358</v>
      </c>
      <c r="D316" t="s">
        <v>85</v>
      </c>
    </row>
    <row r="317" spans="1:4" x14ac:dyDescent="0.3">
      <c r="A317" t="s">
        <v>1963</v>
      </c>
      <c r="B317" s="412" t="s">
        <v>1939</v>
      </c>
      <c r="C317" t="s">
        <v>2358</v>
      </c>
      <c r="D317" t="s">
        <v>85</v>
      </c>
    </row>
    <row r="318" spans="1:4" x14ac:dyDescent="0.3">
      <c r="A318" t="s">
        <v>1942</v>
      </c>
      <c r="B318" s="412" t="s">
        <v>1939</v>
      </c>
      <c r="C318" t="s">
        <v>2358</v>
      </c>
      <c r="D318" t="s">
        <v>85</v>
      </c>
    </row>
    <row r="319" spans="1:4" x14ac:dyDescent="0.3">
      <c r="A319" t="s">
        <v>1964</v>
      </c>
      <c r="B319" s="412" t="s">
        <v>1939</v>
      </c>
      <c r="C319" t="s">
        <v>2358</v>
      </c>
      <c r="D319" t="s">
        <v>85</v>
      </c>
    </row>
    <row r="320" spans="1:4" x14ac:dyDescent="0.3">
      <c r="A320" t="s">
        <v>1965</v>
      </c>
      <c r="B320" s="412" t="s">
        <v>1939</v>
      </c>
      <c r="C320" t="s">
        <v>2358</v>
      </c>
      <c r="D320" t="s">
        <v>85</v>
      </c>
    </row>
    <row r="321" spans="1:4" x14ac:dyDescent="0.3">
      <c r="A321" t="s">
        <v>1966</v>
      </c>
      <c r="B321" s="412" t="s">
        <v>1939</v>
      </c>
      <c r="C321" t="s">
        <v>2358</v>
      </c>
      <c r="D321" t="s">
        <v>85</v>
      </c>
    </row>
    <row r="322" spans="1:4" x14ac:dyDescent="0.3">
      <c r="A322" t="s">
        <v>1163</v>
      </c>
      <c r="B322" s="413" t="s">
        <v>1967</v>
      </c>
      <c r="C322" t="s">
        <v>2358</v>
      </c>
      <c r="D322" t="s">
        <v>85</v>
      </c>
    </row>
    <row r="323" spans="1:4" x14ac:dyDescent="0.3">
      <c r="A323" t="s">
        <v>1113</v>
      </c>
      <c r="B323" s="413" t="s">
        <v>1967</v>
      </c>
      <c r="C323" t="s">
        <v>2358</v>
      </c>
      <c r="D323" t="s">
        <v>85</v>
      </c>
    </row>
    <row r="324" spans="1:4" x14ac:dyDescent="0.3">
      <c r="A324" t="s">
        <v>675</v>
      </c>
      <c r="B324" s="413" t="s">
        <v>1967</v>
      </c>
      <c r="C324" t="s">
        <v>2358</v>
      </c>
      <c r="D324" t="s">
        <v>85</v>
      </c>
    </row>
    <row r="325" spans="1:4" x14ac:dyDescent="0.3">
      <c r="A325" t="s">
        <v>783</v>
      </c>
      <c r="B325" s="413" t="s">
        <v>1967</v>
      </c>
      <c r="C325" t="s">
        <v>2358</v>
      </c>
      <c r="D325" t="s">
        <v>85</v>
      </c>
    </row>
    <row r="326" spans="1:4" x14ac:dyDescent="0.3">
      <c r="A326" t="s">
        <v>785</v>
      </c>
      <c r="B326" s="413" t="s">
        <v>1967</v>
      </c>
      <c r="C326" t="s">
        <v>2358</v>
      </c>
      <c r="D326" t="s">
        <v>85</v>
      </c>
    </row>
    <row r="327" spans="1:4" x14ac:dyDescent="0.3">
      <c r="A327" t="s">
        <v>1968</v>
      </c>
      <c r="B327" s="413" t="s">
        <v>1967</v>
      </c>
      <c r="C327" t="s">
        <v>2358</v>
      </c>
      <c r="D327" t="s">
        <v>85</v>
      </c>
    </row>
    <row r="328" spans="1:4" x14ac:dyDescent="0.3">
      <c r="A328" t="s">
        <v>1053</v>
      </c>
      <c r="B328" s="413" t="s">
        <v>1967</v>
      </c>
      <c r="C328" t="s">
        <v>2358</v>
      </c>
      <c r="D328" t="s">
        <v>85</v>
      </c>
    </row>
    <row r="329" spans="1:4" x14ac:dyDescent="0.3">
      <c r="A329" t="s">
        <v>1969</v>
      </c>
      <c r="B329" s="413" t="s">
        <v>1967</v>
      </c>
      <c r="C329" t="s">
        <v>2358</v>
      </c>
      <c r="D329" t="s">
        <v>85</v>
      </c>
    </row>
    <row r="330" spans="1:4" x14ac:dyDescent="0.3">
      <c r="A330" t="s">
        <v>1054</v>
      </c>
      <c r="B330" s="413" t="s">
        <v>1967</v>
      </c>
      <c r="C330" t="s">
        <v>2358</v>
      </c>
      <c r="D330" t="s">
        <v>85</v>
      </c>
    </row>
    <row r="331" spans="1:4" x14ac:dyDescent="0.3">
      <c r="A331" t="s">
        <v>1970</v>
      </c>
      <c r="B331" s="413" t="s">
        <v>1967</v>
      </c>
      <c r="C331" t="s">
        <v>2358</v>
      </c>
      <c r="D331" t="s">
        <v>85</v>
      </c>
    </row>
    <row r="332" spans="1:4" x14ac:dyDescent="0.3">
      <c r="A332" t="s">
        <v>562</v>
      </c>
      <c r="B332" s="413" t="s">
        <v>1967</v>
      </c>
      <c r="C332" t="s">
        <v>2358</v>
      </c>
      <c r="D332" t="s">
        <v>85</v>
      </c>
    </row>
    <row r="333" spans="1:4" x14ac:dyDescent="0.3">
      <c r="A333" t="s">
        <v>574</v>
      </c>
      <c r="B333" s="413" t="s">
        <v>1967</v>
      </c>
      <c r="C333" t="s">
        <v>2358</v>
      </c>
      <c r="D333" t="s">
        <v>85</v>
      </c>
    </row>
    <row r="334" spans="1:4" x14ac:dyDescent="0.3">
      <c r="A334" t="s">
        <v>1790</v>
      </c>
      <c r="B334" s="413" t="s">
        <v>1967</v>
      </c>
      <c r="C334" t="s">
        <v>2358</v>
      </c>
      <c r="D334" t="s">
        <v>85</v>
      </c>
    </row>
    <row r="335" spans="1:4" x14ac:dyDescent="0.3">
      <c r="A335" t="s">
        <v>575</v>
      </c>
      <c r="B335" s="413" t="s">
        <v>1967</v>
      </c>
      <c r="C335" t="s">
        <v>2358</v>
      </c>
      <c r="D335" t="s">
        <v>85</v>
      </c>
    </row>
    <row r="336" spans="1:4" x14ac:dyDescent="0.3">
      <c r="A336" t="s">
        <v>1971</v>
      </c>
      <c r="B336" s="413" t="s">
        <v>1967</v>
      </c>
      <c r="C336" t="s">
        <v>2358</v>
      </c>
      <c r="D336" t="s">
        <v>85</v>
      </c>
    </row>
    <row r="337" spans="1:4" x14ac:dyDescent="0.3">
      <c r="A337" t="s">
        <v>1972</v>
      </c>
      <c r="B337" s="413" t="s">
        <v>1967</v>
      </c>
      <c r="C337" t="s">
        <v>2358</v>
      </c>
      <c r="D337" t="s">
        <v>85</v>
      </c>
    </row>
    <row r="338" spans="1:4" x14ac:dyDescent="0.3">
      <c r="A338" t="s">
        <v>1973</v>
      </c>
      <c r="B338" s="413" t="s">
        <v>1967</v>
      </c>
      <c r="C338" t="s">
        <v>2358</v>
      </c>
      <c r="D338" t="s">
        <v>85</v>
      </c>
    </row>
    <row r="339" spans="1:4" x14ac:dyDescent="0.3">
      <c r="A339" t="s">
        <v>1974</v>
      </c>
      <c r="B339" s="413" t="s">
        <v>1967</v>
      </c>
      <c r="C339" t="s">
        <v>2358</v>
      </c>
      <c r="D339" t="s">
        <v>85</v>
      </c>
    </row>
    <row r="340" spans="1:4" x14ac:dyDescent="0.3">
      <c r="A340" t="s">
        <v>1613</v>
      </c>
      <c r="B340" s="413" t="s">
        <v>1967</v>
      </c>
      <c r="C340" t="s">
        <v>2358</v>
      </c>
      <c r="D340" t="s">
        <v>85</v>
      </c>
    </row>
    <row r="341" spans="1:4" x14ac:dyDescent="0.3">
      <c r="A341" t="s">
        <v>1975</v>
      </c>
      <c r="B341" s="413" t="s">
        <v>1967</v>
      </c>
      <c r="C341" t="s">
        <v>2358</v>
      </c>
      <c r="D341" t="s">
        <v>85</v>
      </c>
    </row>
    <row r="342" spans="1:4" x14ac:dyDescent="0.3">
      <c r="A342" t="s">
        <v>920</v>
      </c>
      <c r="B342" s="413" t="s">
        <v>1967</v>
      </c>
      <c r="C342" t="s">
        <v>2358</v>
      </c>
      <c r="D342" t="s">
        <v>85</v>
      </c>
    </row>
    <row r="343" spans="1:4" x14ac:dyDescent="0.3">
      <c r="A343" t="s">
        <v>1976</v>
      </c>
      <c r="B343" s="413" t="s">
        <v>1967</v>
      </c>
      <c r="C343" t="s">
        <v>2358</v>
      </c>
      <c r="D343" t="s">
        <v>85</v>
      </c>
    </row>
    <row r="344" spans="1:4" x14ac:dyDescent="0.3">
      <c r="A344" t="s">
        <v>1977</v>
      </c>
      <c r="B344" s="413" t="s">
        <v>1967</v>
      </c>
      <c r="C344" t="s">
        <v>2358</v>
      </c>
      <c r="D344" t="s">
        <v>85</v>
      </c>
    </row>
    <row r="345" spans="1:4" x14ac:dyDescent="0.3">
      <c r="A345" t="s">
        <v>573</v>
      </c>
      <c r="B345" s="413" t="s">
        <v>1967</v>
      </c>
      <c r="C345" t="s">
        <v>2358</v>
      </c>
      <c r="D345" t="s">
        <v>85</v>
      </c>
    </row>
    <row r="346" spans="1:4" x14ac:dyDescent="0.3">
      <c r="A346" t="s">
        <v>1978</v>
      </c>
      <c r="B346" s="413" t="s">
        <v>1967</v>
      </c>
      <c r="C346" t="s">
        <v>2358</v>
      </c>
      <c r="D346" t="s">
        <v>85</v>
      </c>
    </row>
    <row r="347" spans="1:4" x14ac:dyDescent="0.3">
      <c r="A347" t="s">
        <v>1979</v>
      </c>
      <c r="B347" s="413" t="s">
        <v>1967</v>
      </c>
      <c r="C347" t="s">
        <v>2358</v>
      </c>
      <c r="D347" t="s">
        <v>85</v>
      </c>
    </row>
    <row r="348" spans="1:4" x14ac:dyDescent="0.3">
      <c r="A348" t="s">
        <v>1980</v>
      </c>
      <c r="B348" s="413" t="s">
        <v>1967</v>
      </c>
      <c r="C348" t="s">
        <v>2358</v>
      </c>
      <c r="D348" t="s">
        <v>85</v>
      </c>
    </row>
    <row r="349" spans="1:4" x14ac:dyDescent="0.3">
      <c r="A349" t="s">
        <v>605</v>
      </c>
      <c r="B349" s="413" t="s">
        <v>1967</v>
      </c>
      <c r="C349" t="s">
        <v>2358</v>
      </c>
      <c r="D349" t="s">
        <v>85</v>
      </c>
    </row>
    <row r="350" spans="1:4" x14ac:dyDescent="0.3">
      <c r="A350" t="s">
        <v>1981</v>
      </c>
      <c r="B350" s="413" t="s">
        <v>1967</v>
      </c>
      <c r="C350" t="s">
        <v>2358</v>
      </c>
      <c r="D350" t="s">
        <v>85</v>
      </c>
    </row>
    <row r="351" spans="1:4" x14ac:dyDescent="0.3">
      <c r="A351" t="s">
        <v>1982</v>
      </c>
      <c r="B351" s="413" t="s">
        <v>1967</v>
      </c>
      <c r="C351" t="s">
        <v>2358</v>
      </c>
      <c r="D351" t="s">
        <v>85</v>
      </c>
    </row>
    <row r="352" spans="1:4" x14ac:dyDescent="0.3">
      <c r="A352" t="s">
        <v>650</v>
      </c>
      <c r="B352" s="413" t="s">
        <v>1967</v>
      </c>
      <c r="C352" t="s">
        <v>2358</v>
      </c>
      <c r="D352" t="s">
        <v>85</v>
      </c>
    </row>
    <row r="353" spans="1:4" x14ac:dyDescent="0.3">
      <c r="A353" t="s">
        <v>1983</v>
      </c>
      <c r="B353" s="413" t="s">
        <v>1967</v>
      </c>
      <c r="C353" t="s">
        <v>2358</v>
      </c>
      <c r="D353" t="s">
        <v>85</v>
      </c>
    </row>
    <row r="354" spans="1:4" x14ac:dyDescent="0.3">
      <c r="A354" t="s">
        <v>1984</v>
      </c>
      <c r="B354" s="413" t="s">
        <v>1967</v>
      </c>
      <c r="C354" t="s">
        <v>2358</v>
      </c>
      <c r="D354" t="s">
        <v>85</v>
      </c>
    </row>
    <row r="355" spans="1:4" x14ac:dyDescent="0.3">
      <c r="A355" t="s">
        <v>1985</v>
      </c>
      <c r="B355" s="413" t="s">
        <v>1967</v>
      </c>
      <c r="C355" t="s">
        <v>2358</v>
      </c>
      <c r="D355" t="s">
        <v>85</v>
      </c>
    </row>
    <row r="356" spans="1:4" x14ac:dyDescent="0.3">
      <c r="A356" t="s">
        <v>1986</v>
      </c>
      <c r="B356" s="413" t="s">
        <v>1967</v>
      </c>
      <c r="C356" t="s">
        <v>2358</v>
      </c>
      <c r="D356" t="s">
        <v>85</v>
      </c>
    </row>
    <row r="357" spans="1:4" x14ac:dyDescent="0.3">
      <c r="A357" t="s">
        <v>1987</v>
      </c>
      <c r="B357" s="413" t="s">
        <v>1967</v>
      </c>
      <c r="C357" t="s">
        <v>2358</v>
      </c>
      <c r="D357" t="s">
        <v>85</v>
      </c>
    </row>
    <row r="358" spans="1:4" x14ac:dyDescent="0.3">
      <c r="A358" t="s">
        <v>1988</v>
      </c>
      <c r="B358" s="413" t="s">
        <v>1967</v>
      </c>
      <c r="C358" t="s">
        <v>2358</v>
      </c>
      <c r="D358" t="s">
        <v>85</v>
      </c>
    </row>
    <row r="359" spans="1:4" x14ac:dyDescent="0.3">
      <c r="A359" t="s">
        <v>1987</v>
      </c>
      <c r="B359" s="413" t="s">
        <v>1967</v>
      </c>
      <c r="C359" t="s">
        <v>2358</v>
      </c>
      <c r="D359" t="s">
        <v>85</v>
      </c>
    </row>
    <row r="360" spans="1:4" x14ac:dyDescent="0.3">
      <c r="A360" t="s">
        <v>1123</v>
      </c>
      <c r="B360" s="413" t="s">
        <v>1967</v>
      </c>
      <c r="C360" t="s">
        <v>2358</v>
      </c>
      <c r="D360" t="s">
        <v>85</v>
      </c>
    </row>
    <row r="361" spans="1:4" x14ac:dyDescent="0.3">
      <c r="A361" t="s">
        <v>1989</v>
      </c>
      <c r="B361" s="413" t="s">
        <v>1967</v>
      </c>
      <c r="C361" t="s">
        <v>2358</v>
      </c>
      <c r="D361" t="s">
        <v>85</v>
      </c>
    </row>
    <row r="362" spans="1:4" x14ac:dyDescent="0.3">
      <c r="A362" t="s">
        <v>472</v>
      </c>
      <c r="B362" s="413" t="s">
        <v>1967</v>
      </c>
      <c r="C362" t="s">
        <v>2358</v>
      </c>
      <c r="D362" t="s">
        <v>85</v>
      </c>
    </row>
    <row r="363" spans="1:4" x14ac:dyDescent="0.3">
      <c r="A363" t="s">
        <v>2001</v>
      </c>
      <c r="B363" s="413" t="s">
        <v>1999</v>
      </c>
      <c r="C363" t="s">
        <v>2358</v>
      </c>
      <c r="D363" t="s">
        <v>85</v>
      </c>
    </row>
    <row r="364" spans="1:4" x14ac:dyDescent="0.3">
      <c r="A364" t="s">
        <v>2002</v>
      </c>
      <c r="B364" s="413" t="s">
        <v>1999</v>
      </c>
      <c r="C364" t="s">
        <v>2358</v>
      </c>
      <c r="D364" t="s">
        <v>85</v>
      </c>
    </row>
    <row r="365" spans="1:4" x14ac:dyDescent="0.3">
      <c r="A365" t="s">
        <v>2003</v>
      </c>
      <c r="B365" s="413" t="s">
        <v>1999</v>
      </c>
      <c r="C365" t="s">
        <v>2358</v>
      </c>
      <c r="D365" t="s">
        <v>85</v>
      </c>
    </row>
    <row r="366" spans="1:4" x14ac:dyDescent="0.3">
      <c r="A366" t="s">
        <v>2004</v>
      </c>
      <c r="B366" s="413" t="s">
        <v>1999</v>
      </c>
      <c r="C366" t="s">
        <v>2358</v>
      </c>
      <c r="D366" t="s">
        <v>85</v>
      </c>
    </row>
    <row r="367" spans="1:4" x14ac:dyDescent="0.3">
      <c r="A367" t="s">
        <v>2005</v>
      </c>
      <c r="B367" s="413" t="s">
        <v>1999</v>
      </c>
      <c r="C367" t="s">
        <v>2358</v>
      </c>
      <c r="D367" t="s">
        <v>85</v>
      </c>
    </row>
    <row r="368" spans="1:4" x14ac:dyDescent="0.3">
      <c r="A368" t="s">
        <v>469</v>
      </c>
      <c r="B368" s="413" t="s">
        <v>1999</v>
      </c>
      <c r="C368" t="s">
        <v>2358</v>
      </c>
      <c r="D368" t="s">
        <v>85</v>
      </c>
    </row>
    <row r="369" spans="1:4" x14ac:dyDescent="0.3">
      <c r="A369" t="s">
        <v>2006</v>
      </c>
      <c r="B369" s="413" t="s">
        <v>1999</v>
      </c>
      <c r="C369" t="s">
        <v>2358</v>
      </c>
      <c r="D369" t="s">
        <v>85</v>
      </c>
    </row>
    <row r="370" spans="1:4" x14ac:dyDescent="0.3">
      <c r="A370" t="s">
        <v>482</v>
      </c>
      <c r="B370" s="413" t="s">
        <v>1999</v>
      </c>
      <c r="C370" t="s">
        <v>2358</v>
      </c>
      <c r="D370" t="s">
        <v>85</v>
      </c>
    </row>
    <row r="371" spans="1:4" x14ac:dyDescent="0.3">
      <c r="A371" t="s">
        <v>487</v>
      </c>
      <c r="B371" s="413" t="s">
        <v>1999</v>
      </c>
      <c r="C371" t="s">
        <v>2358</v>
      </c>
      <c r="D371" t="s">
        <v>85</v>
      </c>
    </row>
    <row r="372" spans="1:4" x14ac:dyDescent="0.3">
      <c r="A372" t="s">
        <v>502</v>
      </c>
      <c r="B372" s="413" t="s">
        <v>1999</v>
      </c>
      <c r="C372" t="s">
        <v>2358</v>
      </c>
      <c r="D372" t="s">
        <v>85</v>
      </c>
    </row>
    <row r="373" spans="1:4" x14ac:dyDescent="0.3">
      <c r="A373" t="s">
        <v>1675</v>
      </c>
      <c r="B373" s="413" t="s">
        <v>1999</v>
      </c>
      <c r="C373" t="s">
        <v>2358</v>
      </c>
      <c r="D373" t="s">
        <v>85</v>
      </c>
    </row>
    <row r="374" spans="1:4" x14ac:dyDescent="0.3">
      <c r="A374" t="s">
        <v>2007</v>
      </c>
      <c r="B374" s="413" t="s">
        <v>1999</v>
      </c>
      <c r="C374" t="s">
        <v>2358</v>
      </c>
      <c r="D374" t="s">
        <v>85</v>
      </c>
    </row>
    <row r="375" spans="1:4" x14ac:dyDescent="0.3">
      <c r="A375" t="s">
        <v>2008</v>
      </c>
      <c r="B375" s="413" t="s">
        <v>1999</v>
      </c>
      <c r="C375" t="s">
        <v>2358</v>
      </c>
      <c r="D375" t="s">
        <v>85</v>
      </c>
    </row>
    <row r="376" spans="1:4" x14ac:dyDescent="0.3">
      <c r="A376" t="s">
        <v>1964</v>
      </c>
      <c r="B376" s="413" t="s">
        <v>1999</v>
      </c>
      <c r="C376" t="s">
        <v>2358</v>
      </c>
      <c r="D376" t="s">
        <v>85</v>
      </c>
    </row>
    <row r="377" spans="1:4" x14ac:dyDescent="0.3">
      <c r="A377" t="s">
        <v>2009</v>
      </c>
      <c r="B377" s="413" t="s">
        <v>1999</v>
      </c>
      <c r="C377" t="s">
        <v>2358</v>
      </c>
      <c r="D377" t="s">
        <v>85</v>
      </c>
    </row>
    <row r="378" spans="1:4" x14ac:dyDescent="0.3">
      <c r="A378" t="s">
        <v>2010</v>
      </c>
      <c r="B378" s="413" t="s">
        <v>1999</v>
      </c>
      <c r="C378" t="s">
        <v>2358</v>
      </c>
      <c r="D378" t="s">
        <v>85</v>
      </c>
    </row>
    <row r="379" spans="1:4" x14ac:dyDescent="0.3">
      <c r="A379" t="s">
        <v>2011</v>
      </c>
      <c r="B379" s="413" t="s">
        <v>1999</v>
      </c>
      <c r="C379" t="s">
        <v>2358</v>
      </c>
      <c r="D379" t="s">
        <v>85</v>
      </c>
    </row>
    <row r="380" spans="1:4" x14ac:dyDescent="0.3">
      <c r="A380" t="s">
        <v>2012</v>
      </c>
      <c r="B380" s="413" t="s">
        <v>1999</v>
      </c>
      <c r="C380" t="s">
        <v>2358</v>
      </c>
      <c r="D380" t="s">
        <v>85</v>
      </c>
    </row>
    <row r="381" spans="1:4" x14ac:dyDescent="0.3">
      <c r="A381" t="s">
        <v>2013</v>
      </c>
      <c r="B381" s="413" t="s">
        <v>1999</v>
      </c>
      <c r="C381" t="s">
        <v>2358</v>
      </c>
      <c r="D381" t="s">
        <v>85</v>
      </c>
    </row>
    <row r="382" spans="1:4" x14ac:dyDescent="0.3">
      <c r="A382" t="s">
        <v>2014</v>
      </c>
      <c r="B382" s="413" t="s">
        <v>1999</v>
      </c>
      <c r="C382" t="s">
        <v>2358</v>
      </c>
      <c r="D382" t="s">
        <v>85</v>
      </c>
    </row>
    <row r="383" spans="1:4" x14ac:dyDescent="0.3">
      <c r="A383" t="s">
        <v>1979</v>
      </c>
      <c r="B383" s="413" t="s">
        <v>1999</v>
      </c>
      <c r="C383" t="s">
        <v>2358</v>
      </c>
      <c r="D383" t="s">
        <v>85</v>
      </c>
    </row>
    <row r="384" spans="1:4" x14ac:dyDescent="0.3">
      <c r="A384" t="s">
        <v>590</v>
      </c>
      <c r="B384" s="413" t="s">
        <v>1999</v>
      </c>
      <c r="C384" t="s">
        <v>2358</v>
      </c>
      <c r="D384" t="s">
        <v>85</v>
      </c>
    </row>
    <row r="385" spans="1:4" x14ac:dyDescent="0.3">
      <c r="A385" t="s">
        <v>635</v>
      </c>
      <c r="B385" s="413" t="s">
        <v>1999</v>
      </c>
      <c r="C385" t="s">
        <v>2358</v>
      </c>
      <c r="D385" t="s">
        <v>85</v>
      </c>
    </row>
    <row r="386" spans="1:4" x14ac:dyDescent="0.3">
      <c r="A386" t="s">
        <v>1060</v>
      </c>
      <c r="B386" s="413" t="s">
        <v>1999</v>
      </c>
      <c r="C386" t="s">
        <v>2358</v>
      </c>
      <c r="D386" t="s">
        <v>85</v>
      </c>
    </row>
    <row r="387" spans="1:4" x14ac:dyDescent="0.3">
      <c r="A387" t="s">
        <v>1909</v>
      </c>
      <c r="B387" s="413" t="s">
        <v>1999</v>
      </c>
      <c r="C387" t="s">
        <v>2358</v>
      </c>
      <c r="D387" t="s">
        <v>85</v>
      </c>
    </row>
    <row r="388" spans="1:4" x14ac:dyDescent="0.3">
      <c r="A388" t="s">
        <v>1893</v>
      </c>
      <c r="B388" s="413" t="s">
        <v>1999</v>
      </c>
      <c r="C388" t="s">
        <v>2358</v>
      </c>
      <c r="D388" t="s">
        <v>85</v>
      </c>
    </row>
    <row r="389" spans="1:4" x14ac:dyDescent="0.3">
      <c r="A389" t="s">
        <v>793</v>
      </c>
      <c r="B389" s="413" t="s">
        <v>1999</v>
      </c>
      <c r="C389" t="s">
        <v>2358</v>
      </c>
      <c r="D389" t="s">
        <v>85</v>
      </c>
    </row>
    <row r="390" spans="1:4" x14ac:dyDescent="0.3">
      <c r="A390" t="s">
        <v>797</v>
      </c>
      <c r="B390" s="413" t="s">
        <v>1999</v>
      </c>
      <c r="C390" t="s">
        <v>2358</v>
      </c>
      <c r="D390" t="s">
        <v>85</v>
      </c>
    </row>
    <row r="391" spans="1:4" x14ac:dyDescent="0.3">
      <c r="A391" t="s">
        <v>795</v>
      </c>
      <c r="B391" s="413" t="s">
        <v>1999</v>
      </c>
      <c r="C391" t="s">
        <v>2358</v>
      </c>
      <c r="D391" t="s">
        <v>85</v>
      </c>
    </row>
    <row r="392" spans="1:4" x14ac:dyDescent="0.3">
      <c r="A392" t="s">
        <v>1667</v>
      </c>
      <c r="B392" s="413" t="s">
        <v>1999</v>
      </c>
      <c r="C392" t="s">
        <v>2358</v>
      </c>
      <c r="D392" t="s">
        <v>85</v>
      </c>
    </row>
    <row r="393" spans="1:4" x14ac:dyDescent="0.3">
      <c r="A393" t="s">
        <v>1150</v>
      </c>
      <c r="B393" s="413" t="s">
        <v>1999</v>
      </c>
      <c r="C393" t="s">
        <v>2358</v>
      </c>
      <c r="D393" t="s">
        <v>85</v>
      </c>
    </row>
    <row r="394" spans="1:4" x14ac:dyDescent="0.3">
      <c r="A394" t="s">
        <v>2015</v>
      </c>
      <c r="B394" s="413" t="s">
        <v>1999</v>
      </c>
      <c r="C394" t="s">
        <v>2358</v>
      </c>
      <c r="D394" t="s">
        <v>85</v>
      </c>
    </row>
    <row r="395" spans="1:4" x14ac:dyDescent="0.3">
      <c r="A395" t="s">
        <v>2016</v>
      </c>
      <c r="B395" s="413" t="s">
        <v>1999</v>
      </c>
      <c r="C395" t="s">
        <v>2358</v>
      </c>
      <c r="D395" t="s">
        <v>85</v>
      </c>
    </row>
    <row r="396" spans="1:4" x14ac:dyDescent="0.3">
      <c r="A396" t="s">
        <v>2017</v>
      </c>
      <c r="B396" s="413" t="s">
        <v>1999</v>
      </c>
      <c r="C396" t="s">
        <v>2358</v>
      </c>
      <c r="D396" t="s">
        <v>85</v>
      </c>
    </row>
    <row r="397" spans="1:4" x14ac:dyDescent="0.3">
      <c r="A397" t="s">
        <v>2018</v>
      </c>
      <c r="B397" s="413" t="s">
        <v>1999</v>
      </c>
      <c r="C397" t="s">
        <v>2358</v>
      </c>
      <c r="D397" t="s">
        <v>85</v>
      </c>
    </row>
    <row r="398" spans="1:4" x14ac:dyDescent="0.3">
      <c r="A398" t="s">
        <v>832</v>
      </c>
      <c r="B398" s="413" t="s">
        <v>1999</v>
      </c>
      <c r="C398" t="s">
        <v>2358</v>
      </c>
      <c r="D398" t="s">
        <v>85</v>
      </c>
    </row>
    <row r="399" spans="1:4" x14ac:dyDescent="0.3">
      <c r="A399" t="s">
        <v>834</v>
      </c>
      <c r="B399" s="413" t="s">
        <v>1999</v>
      </c>
      <c r="C399" t="s">
        <v>2358</v>
      </c>
      <c r="D399" t="s">
        <v>85</v>
      </c>
    </row>
    <row r="400" spans="1:4" x14ac:dyDescent="0.3">
      <c r="A400" t="s">
        <v>2019</v>
      </c>
      <c r="B400" s="413" t="s">
        <v>1999</v>
      </c>
      <c r="C400" t="s">
        <v>2358</v>
      </c>
      <c r="D400" t="s">
        <v>85</v>
      </c>
    </row>
    <row r="401" spans="1:4" x14ac:dyDescent="0.3">
      <c r="A401" t="s">
        <v>2019</v>
      </c>
      <c r="B401" s="413" t="s">
        <v>1999</v>
      </c>
      <c r="C401" t="s">
        <v>2358</v>
      </c>
      <c r="D401" t="s">
        <v>85</v>
      </c>
    </row>
    <row r="402" spans="1:4" x14ac:dyDescent="0.3">
      <c r="A402" t="s">
        <v>2020</v>
      </c>
      <c r="B402" s="413" t="s">
        <v>1999</v>
      </c>
      <c r="C402" t="s">
        <v>2358</v>
      </c>
      <c r="D402" t="s">
        <v>85</v>
      </c>
    </row>
    <row r="403" spans="1:4" x14ac:dyDescent="0.3">
      <c r="A403" t="s">
        <v>2021</v>
      </c>
      <c r="B403" s="413" t="s">
        <v>1999</v>
      </c>
      <c r="C403" t="s">
        <v>2358</v>
      </c>
      <c r="D403" t="s">
        <v>85</v>
      </c>
    </row>
    <row r="404" spans="1:4" x14ac:dyDescent="0.3">
      <c r="A404" t="s">
        <v>2022</v>
      </c>
      <c r="B404" s="413" t="s">
        <v>1999</v>
      </c>
      <c r="C404" t="s">
        <v>2358</v>
      </c>
      <c r="D404" t="s">
        <v>85</v>
      </c>
    </row>
    <row r="405" spans="1:4" x14ac:dyDescent="0.3">
      <c r="A405" t="s">
        <v>2023</v>
      </c>
      <c r="B405" s="413" t="s">
        <v>1999</v>
      </c>
      <c r="C405" t="s">
        <v>2358</v>
      </c>
      <c r="D405" t="s">
        <v>85</v>
      </c>
    </row>
    <row r="406" spans="1:4" x14ac:dyDescent="0.3">
      <c r="A406" t="s">
        <v>1679</v>
      </c>
      <c r="B406" s="413" t="s">
        <v>1999</v>
      </c>
      <c r="C406" t="s">
        <v>2358</v>
      </c>
      <c r="D406" t="s">
        <v>85</v>
      </c>
    </row>
    <row r="407" spans="1:4" x14ac:dyDescent="0.3">
      <c r="A407" t="s">
        <v>1788</v>
      </c>
      <c r="B407" s="413" t="s">
        <v>1999</v>
      </c>
      <c r="C407" t="s">
        <v>2358</v>
      </c>
      <c r="D407" t="s">
        <v>85</v>
      </c>
    </row>
    <row r="408" spans="1:4" x14ac:dyDescent="0.3">
      <c r="A408" t="s">
        <v>2024</v>
      </c>
      <c r="B408" s="413" t="s">
        <v>1999</v>
      </c>
      <c r="C408" t="s">
        <v>2358</v>
      </c>
      <c r="D408" t="s">
        <v>85</v>
      </c>
    </row>
    <row r="409" spans="1:4" x14ac:dyDescent="0.3">
      <c r="A409" t="s">
        <v>1662</v>
      </c>
      <c r="B409" s="413" t="s">
        <v>1999</v>
      </c>
      <c r="C409" t="s">
        <v>2358</v>
      </c>
      <c r="D409" t="s">
        <v>85</v>
      </c>
    </row>
    <row r="410" spans="1:4" x14ac:dyDescent="0.3">
      <c r="A410" t="s">
        <v>2025</v>
      </c>
      <c r="B410" s="413" t="s">
        <v>1999</v>
      </c>
      <c r="C410" t="s">
        <v>2358</v>
      </c>
      <c r="D410" t="s">
        <v>85</v>
      </c>
    </row>
    <row r="411" spans="1:4" x14ac:dyDescent="0.3">
      <c r="A411" t="s">
        <v>2026</v>
      </c>
      <c r="B411" s="413" t="s">
        <v>1999</v>
      </c>
      <c r="C411" t="s">
        <v>2358</v>
      </c>
      <c r="D411" t="s">
        <v>85</v>
      </c>
    </row>
    <row r="412" spans="1:4" x14ac:dyDescent="0.3">
      <c r="A412" t="s">
        <v>1651</v>
      </c>
      <c r="B412" s="413" t="s">
        <v>1999</v>
      </c>
      <c r="C412" t="s">
        <v>2358</v>
      </c>
      <c r="D412" t="s">
        <v>85</v>
      </c>
    </row>
    <row r="413" spans="1:4" x14ac:dyDescent="0.3">
      <c r="A413" t="s">
        <v>1652</v>
      </c>
      <c r="B413" s="413" t="s">
        <v>1999</v>
      </c>
      <c r="C413" t="s">
        <v>2358</v>
      </c>
      <c r="D413" t="s">
        <v>85</v>
      </c>
    </row>
    <row r="414" spans="1:4" x14ac:dyDescent="0.3">
      <c r="A414" t="s">
        <v>1653</v>
      </c>
      <c r="B414" s="413" t="s">
        <v>1999</v>
      </c>
      <c r="C414" t="s">
        <v>2358</v>
      </c>
      <c r="D414" t="s">
        <v>85</v>
      </c>
    </row>
    <row r="415" spans="1:4" x14ac:dyDescent="0.3">
      <c r="A415" t="s">
        <v>2027</v>
      </c>
      <c r="B415" s="413" t="s">
        <v>1999</v>
      </c>
      <c r="C415" t="s">
        <v>2358</v>
      </c>
      <c r="D415" t="s">
        <v>85</v>
      </c>
    </row>
    <row r="416" spans="1:4" x14ac:dyDescent="0.3">
      <c r="A416" t="s">
        <v>921</v>
      </c>
      <c r="B416" s="413" t="s">
        <v>1999</v>
      </c>
      <c r="C416" t="s">
        <v>2358</v>
      </c>
      <c r="D416" t="s">
        <v>85</v>
      </c>
    </row>
    <row r="417" spans="1:4" x14ac:dyDescent="0.3">
      <c r="A417" t="s">
        <v>2028</v>
      </c>
      <c r="B417" s="413" t="s">
        <v>1999</v>
      </c>
      <c r="C417" t="s">
        <v>2358</v>
      </c>
      <c r="D417" t="s">
        <v>85</v>
      </c>
    </row>
    <row r="418" spans="1:4" x14ac:dyDescent="0.3">
      <c r="A418" t="s">
        <v>1994</v>
      </c>
      <c r="B418" s="413" t="s">
        <v>1999</v>
      </c>
      <c r="C418" t="s">
        <v>2358</v>
      </c>
      <c r="D418" t="s">
        <v>85</v>
      </c>
    </row>
    <row r="419" spans="1:4" x14ac:dyDescent="0.3">
      <c r="A419" t="s">
        <v>2029</v>
      </c>
      <c r="B419" s="413" t="s">
        <v>1999</v>
      </c>
      <c r="C419" t="s">
        <v>2358</v>
      </c>
      <c r="D419" t="s">
        <v>85</v>
      </c>
    </row>
    <row r="420" spans="1:4" x14ac:dyDescent="0.3">
      <c r="A420" t="s">
        <v>461</v>
      </c>
      <c r="B420" s="414" t="s">
        <v>2045</v>
      </c>
      <c r="C420" t="s">
        <v>2358</v>
      </c>
      <c r="D420" t="s">
        <v>85</v>
      </c>
    </row>
    <row r="421" spans="1:4" x14ac:dyDescent="0.3">
      <c r="A421" t="s">
        <v>462</v>
      </c>
      <c r="B421" s="414" t="s">
        <v>2045</v>
      </c>
      <c r="C421" t="s">
        <v>2358</v>
      </c>
      <c r="D421" t="s">
        <v>85</v>
      </c>
    </row>
    <row r="422" spans="1:4" x14ac:dyDescent="0.3">
      <c r="A422" t="s">
        <v>475</v>
      </c>
      <c r="B422" s="414" t="s">
        <v>2045</v>
      </c>
      <c r="C422" t="s">
        <v>2358</v>
      </c>
      <c r="D422" t="s">
        <v>85</v>
      </c>
    </row>
    <row r="423" spans="1:4" x14ac:dyDescent="0.3">
      <c r="A423" t="s">
        <v>491</v>
      </c>
      <c r="B423" s="414" t="s">
        <v>2045</v>
      </c>
      <c r="C423" t="s">
        <v>2358</v>
      </c>
      <c r="D423" t="s">
        <v>85</v>
      </c>
    </row>
    <row r="424" spans="1:4" x14ac:dyDescent="0.3">
      <c r="A424" t="s">
        <v>503</v>
      </c>
      <c r="B424" s="414" t="s">
        <v>2045</v>
      </c>
      <c r="C424" t="s">
        <v>2358</v>
      </c>
      <c r="D424" t="s">
        <v>85</v>
      </c>
    </row>
    <row r="425" spans="1:4" x14ac:dyDescent="0.3">
      <c r="A425" t="s">
        <v>1918</v>
      </c>
      <c r="B425" s="414" t="s">
        <v>2045</v>
      </c>
      <c r="C425" t="s">
        <v>2358</v>
      </c>
      <c r="D425" t="s">
        <v>85</v>
      </c>
    </row>
    <row r="426" spans="1:4" x14ac:dyDescent="0.3">
      <c r="A426" t="s">
        <v>2030</v>
      </c>
      <c r="B426" s="414" t="s">
        <v>2045</v>
      </c>
      <c r="C426" t="s">
        <v>2358</v>
      </c>
      <c r="D426" t="s">
        <v>85</v>
      </c>
    </row>
    <row r="427" spans="1:4" x14ac:dyDescent="0.3">
      <c r="A427" t="s">
        <v>2031</v>
      </c>
      <c r="B427" s="414" t="s">
        <v>2045</v>
      </c>
      <c r="C427" t="s">
        <v>2358</v>
      </c>
      <c r="D427" t="s">
        <v>85</v>
      </c>
    </row>
    <row r="428" spans="1:4" x14ac:dyDescent="0.3">
      <c r="A428" t="s">
        <v>2032</v>
      </c>
      <c r="B428" s="414" t="s">
        <v>2045</v>
      </c>
      <c r="C428" t="s">
        <v>2358</v>
      </c>
      <c r="D428" t="s">
        <v>85</v>
      </c>
    </row>
    <row r="429" spans="1:4" x14ac:dyDescent="0.3">
      <c r="A429" t="s">
        <v>2033</v>
      </c>
      <c r="B429" s="414" t="s">
        <v>2045</v>
      </c>
      <c r="C429" t="s">
        <v>2358</v>
      </c>
      <c r="D429" t="s">
        <v>85</v>
      </c>
    </row>
    <row r="430" spans="1:4" x14ac:dyDescent="0.3">
      <c r="A430" t="s">
        <v>2034</v>
      </c>
      <c r="B430" s="414" t="s">
        <v>2045</v>
      </c>
      <c r="C430" t="s">
        <v>2358</v>
      </c>
      <c r="D430" t="s">
        <v>85</v>
      </c>
    </row>
    <row r="431" spans="1:4" x14ac:dyDescent="0.3">
      <c r="A431" t="s">
        <v>2035</v>
      </c>
      <c r="B431" s="414" t="s">
        <v>2045</v>
      </c>
      <c r="C431" t="s">
        <v>2358</v>
      </c>
      <c r="D431" t="s">
        <v>85</v>
      </c>
    </row>
    <row r="432" spans="1:4" x14ac:dyDescent="0.3">
      <c r="A432" t="s">
        <v>2036</v>
      </c>
      <c r="B432" s="414" t="s">
        <v>2045</v>
      </c>
      <c r="C432" t="s">
        <v>2358</v>
      </c>
      <c r="D432" t="s">
        <v>85</v>
      </c>
    </row>
    <row r="433" spans="1:4" x14ac:dyDescent="0.3">
      <c r="A433" t="s">
        <v>2037</v>
      </c>
      <c r="B433" s="414" t="s">
        <v>2045</v>
      </c>
      <c r="C433" t="s">
        <v>2358</v>
      </c>
      <c r="D433" t="s">
        <v>85</v>
      </c>
    </row>
    <row r="434" spans="1:4" x14ac:dyDescent="0.3">
      <c r="A434" t="s">
        <v>2038</v>
      </c>
      <c r="B434" s="414" t="s">
        <v>2045</v>
      </c>
      <c r="C434" t="s">
        <v>2358</v>
      </c>
      <c r="D434" t="s">
        <v>85</v>
      </c>
    </row>
    <row r="435" spans="1:4" x14ac:dyDescent="0.3">
      <c r="A435" t="s">
        <v>828</v>
      </c>
      <c r="B435" s="414" t="s">
        <v>2045</v>
      </c>
      <c r="C435" t="s">
        <v>2358</v>
      </c>
      <c r="D435" t="s">
        <v>85</v>
      </c>
    </row>
    <row r="436" spans="1:4" x14ac:dyDescent="0.3">
      <c r="A436" t="s">
        <v>2039</v>
      </c>
      <c r="B436" s="414" t="s">
        <v>2045</v>
      </c>
      <c r="C436" t="s">
        <v>2358</v>
      </c>
      <c r="D436" t="s">
        <v>85</v>
      </c>
    </row>
    <row r="437" spans="1:4" x14ac:dyDescent="0.3">
      <c r="A437" t="s">
        <v>2040</v>
      </c>
      <c r="B437" s="414" t="s">
        <v>2045</v>
      </c>
      <c r="C437" t="s">
        <v>2358</v>
      </c>
      <c r="D437" t="s">
        <v>85</v>
      </c>
    </row>
    <row r="438" spans="1:4" x14ac:dyDescent="0.3">
      <c r="A438" t="s">
        <v>1681</v>
      </c>
      <c r="B438" s="414" t="s">
        <v>2045</v>
      </c>
      <c r="C438" t="s">
        <v>2358</v>
      </c>
      <c r="D438" t="s">
        <v>85</v>
      </c>
    </row>
    <row r="439" spans="1:4" x14ac:dyDescent="0.3">
      <c r="A439" t="s">
        <v>2041</v>
      </c>
      <c r="B439" s="414" t="s">
        <v>2045</v>
      </c>
      <c r="C439" t="s">
        <v>2358</v>
      </c>
      <c r="D439" t="s">
        <v>85</v>
      </c>
    </row>
    <row r="440" spans="1:4" x14ac:dyDescent="0.3">
      <c r="A440" t="s">
        <v>2042</v>
      </c>
      <c r="B440" s="414" t="s">
        <v>2045</v>
      </c>
      <c r="C440" t="s">
        <v>2358</v>
      </c>
      <c r="D440" t="s">
        <v>85</v>
      </c>
    </row>
    <row r="441" spans="1:4" x14ac:dyDescent="0.3">
      <c r="A441" t="s">
        <v>2043</v>
      </c>
      <c r="B441" s="414" t="s">
        <v>2045</v>
      </c>
      <c r="C441" t="s">
        <v>2358</v>
      </c>
      <c r="D441" t="s">
        <v>85</v>
      </c>
    </row>
    <row r="442" spans="1:4" x14ac:dyDescent="0.3">
      <c r="A442" t="s">
        <v>2046</v>
      </c>
      <c r="B442" s="414" t="s">
        <v>2044</v>
      </c>
      <c r="C442" t="s">
        <v>2358</v>
      </c>
      <c r="D442" t="s">
        <v>85</v>
      </c>
    </row>
    <row r="443" spans="1:4" x14ac:dyDescent="0.3">
      <c r="A443" t="s">
        <v>2047</v>
      </c>
      <c r="B443" s="414" t="s">
        <v>2044</v>
      </c>
      <c r="C443" t="s">
        <v>2358</v>
      </c>
      <c r="D443" t="s">
        <v>85</v>
      </c>
    </row>
    <row r="444" spans="1:4" x14ac:dyDescent="0.3">
      <c r="A444" t="s">
        <v>2048</v>
      </c>
      <c r="B444" s="414" t="s">
        <v>2044</v>
      </c>
      <c r="C444" t="s">
        <v>2358</v>
      </c>
      <c r="D444" t="s">
        <v>85</v>
      </c>
    </row>
    <row r="445" spans="1:4" x14ac:dyDescent="0.3">
      <c r="A445" t="s">
        <v>2049</v>
      </c>
      <c r="B445" s="414" t="s">
        <v>2044</v>
      </c>
      <c r="C445" t="s">
        <v>2358</v>
      </c>
      <c r="D445" t="s">
        <v>85</v>
      </c>
    </row>
    <row r="446" spans="1:4" x14ac:dyDescent="0.3">
      <c r="A446" t="s">
        <v>488</v>
      </c>
      <c r="B446" s="414" t="s">
        <v>2044</v>
      </c>
      <c r="C446" t="s">
        <v>2358</v>
      </c>
      <c r="D446" t="s">
        <v>85</v>
      </c>
    </row>
    <row r="447" spans="1:4" x14ac:dyDescent="0.3">
      <c r="A447" t="s">
        <v>2050</v>
      </c>
      <c r="B447" s="414" t="s">
        <v>2044</v>
      </c>
      <c r="C447" t="s">
        <v>2358</v>
      </c>
      <c r="D447" t="s">
        <v>85</v>
      </c>
    </row>
    <row r="448" spans="1:4" x14ac:dyDescent="0.3">
      <c r="A448" t="s">
        <v>601</v>
      </c>
      <c r="B448" s="414" t="s">
        <v>2044</v>
      </c>
      <c r="C448" t="s">
        <v>2358</v>
      </c>
      <c r="D448" t="s">
        <v>85</v>
      </c>
    </row>
    <row r="449" spans="1:4" x14ac:dyDescent="0.3">
      <c r="A449" t="s">
        <v>2034</v>
      </c>
      <c r="B449" s="414" t="s">
        <v>2044</v>
      </c>
      <c r="C449" t="s">
        <v>2358</v>
      </c>
      <c r="D449" t="s">
        <v>85</v>
      </c>
    </row>
    <row r="450" spans="1:4" x14ac:dyDescent="0.3">
      <c r="A450" t="s">
        <v>1896</v>
      </c>
      <c r="B450" s="414" t="s">
        <v>2044</v>
      </c>
      <c r="C450" t="s">
        <v>2358</v>
      </c>
      <c r="D450" t="s">
        <v>85</v>
      </c>
    </row>
    <row r="451" spans="1:4" x14ac:dyDescent="0.3">
      <c r="A451" t="s">
        <v>2051</v>
      </c>
      <c r="B451" s="414" t="s">
        <v>2044</v>
      </c>
      <c r="C451" t="s">
        <v>2358</v>
      </c>
      <c r="D451" t="s">
        <v>85</v>
      </c>
    </row>
    <row r="452" spans="1:4" x14ac:dyDescent="0.3">
      <c r="A452" t="s">
        <v>2052</v>
      </c>
      <c r="B452" s="414" t="s">
        <v>2044</v>
      </c>
      <c r="C452" t="s">
        <v>2358</v>
      </c>
      <c r="D452" t="s">
        <v>85</v>
      </c>
    </row>
    <row r="453" spans="1:4" x14ac:dyDescent="0.3">
      <c r="A453" t="s">
        <v>1062</v>
      </c>
      <c r="B453" s="414" t="s">
        <v>2044</v>
      </c>
      <c r="C453" t="s">
        <v>2358</v>
      </c>
      <c r="D453" t="s">
        <v>85</v>
      </c>
    </row>
    <row r="454" spans="1:4" x14ac:dyDescent="0.3">
      <c r="A454" t="s">
        <v>2053</v>
      </c>
      <c r="B454" s="414" t="s">
        <v>2044</v>
      </c>
      <c r="C454" t="s">
        <v>2358</v>
      </c>
      <c r="D454" t="s">
        <v>85</v>
      </c>
    </row>
    <row r="455" spans="1:4" x14ac:dyDescent="0.3">
      <c r="A455" t="s">
        <v>761</v>
      </c>
      <c r="B455" s="414" t="s">
        <v>2044</v>
      </c>
      <c r="C455" t="s">
        <v>2358</v>
      </c>
      <c r="D455" t="s">
        <v>85</v>
      </c>
    </row>
    <row r="456" spans="1:4" x14ac:dyDescent="0.3">
      <c r="A456" t="s">
        <v>800</v>
      </c>
      <c r="B456" s="414" t="s">
        <v>2044</v>
      </c>
      <c r="C456" t="s">
        <v>2358</v>
      </c>
      <c r="D456" t="s">
        <v>85</v>
      </c>
    </row>
    <row r="457" spans="1:4" x14ac:dyDescent="0.3">
      <c r="A457" t="s">
        <v>1052</v>
      </c>
      <c r="B457" s="414" t="s">
        <v>2044</v>
      </c>
      <c r="C457" t="s">
        <v>2358</v>
      </c>
      <c r="D457" t="s">
        <v>85</v>
      </c>
    </row>
    <row r="458" spans="1:4" x14ac:dyDescent="0.3">
      <c r="A458" t="s">
        <v>2162</v>
      </c>
      <c r="B458" s="414" t="s">
        <v>2044</v>
      </c>
      <c r="C458" t="s">
        <v>2358</v>
      </c>
      <c r="D458" t="s">
        <v>85</v>
      </c>
    </row>
    <row r="459" spans="1:4" x14ac:dyDescent="0.3">
      <c r="A459" t="s">
        <v>2163</v>
      </c>
      <c r="B459" s="414" t="s">
        <v>2044</v>
      </c>
      <c r="C459" t="s">
        <v>2358</v>
      </c>
      <c r="D459" t="s">
        <v>85</v>
      </c>
    </row>
    <row r="460" spans="1:4" x14ac:dyDescent="0.3">
      <c r="A460" t="s">
        <v>1993</v>
      </c>
      <c r="B460" t="s">
        <v>1992</v>
      </c>
      <c r="C460" t="s">
        <v>2357</v>
      </c>
      <c r="D460" t="s">
        <v>85</v>
      </c>
    </row>
    <row r="461" spans="1:4" x14ac:dyDescent="0.3">
      <c r="A461" t="s">
        <v>1994</v>
      </c>
      <c r="B461" t="s">
        <v>1992</v>
      </c>
      <c r="C461" t="s">
        <v>2357</v>
      </c>
      <c r="D461" t="s">
        <v>85</v>
      </c>
    </row>
    <row r="462" spans="1:4" x14ac:dyDescent="0.3">
      <c r="A462" t="s">
        <v>1150</v>
      </c>
      <c r="B462" t="s">
        <v>1992</v>
      </c>
      <c r="C462" t="s">
        <v>2357</v>
      </c>
      <c r="D462" t="s">
        <v>85</v>
      </c>
    </row>
    <row r="463" spans="1:4" x14ac:dyDescent="0.3">
      <c r="A463" t="s">
        <v>1995</v>
      </c>
      <c r="B463" t="s">
        <v>1992</v>
      </c>
      <c r="C463" t="s">
        <v>2357</v>
      </c>
      <c r="D463" t="s">
        <v>85</v>
      </c>
    </row>
    <row r="464" spans="1:4" x14ac:dyDescent="0.3">
      <c r="A464" t="s">
        <v>1996</v>
      </c>
      <c r="B464" t="s">
        <v>1992</v>
      </c>
      <c r="C464" t="s">
        <v>2357</v>
      </c>
      <c r="D464" t="s">
        <v>85</v>
      </c>
    </row>
    <row r="465" spans="1:4" x14ac:dyDescent="0.3">
      <c r="A465" t="s">
        <v>1168</v>
      </c>
      <c r="B465" t="s">
        <v>1992</v>
      </c>
      <c r="C465" t="s">
        <v>2357</v>
      </c>
      <c r="D465" t="s">
        <v>85</v>
      </c>
    </row>
    <row r="466" spans="1:4" x14ac:dyDescent="0.3">
      <c r="A466" t="s">
        <v>1997</v>
      </c>
      <c r="B466" t="s">
        <v>1992</v>
      </c>
      <c r="C466" t="s">
        <v>2357</v>
      </c>
      <c r="D466" t="s">
        <v>85</v>
      </c>
    </row>
    <row r="467" spans="1:4" x14ac:dyDescent="0.3">
      <c r="A467" t="s">
        <v>701</v>
      </c>
      <c r="B467" t="s">
        <v>1998</v>
      </c>
      <c r="C467" t="s">
        <v>2357</v>
      </c>
      <c r="D467" t="s">
        <v>85</v>
      </c>
    </row>
    <row r="468" spans="1:4" x14ac:dyDescent="0.3">
      <c r="A468" t="s">
        <v>1163</v>
      </c>
      <c r="B468" t="s">
        <v>1998</v>
      </c>
      <c r="C468" t="s">
        <v>2357</v>
      </c>
      <c r="D468" t="s">
        <v>85</v>
      </c>
    </row>
    <row r="469" spans="1:4" x14ac:dyDescent="0.3">
      <c r="A469" t="s">
        <v>605</v>
      </c>
      <c r="B469" t="s">
        <v>1998</v>
      </c>
      <c r="C469" t="s">
        <v>2357</v>
      </c>
      <c r="D469" t="s">
        <v>85</v>
      </c>
    </row>
    <row r="470" spans="1:4" x14ac:dyDescent="0.3">
      <c r="A470" t="s">
        <v>536</v>
      </c>
      <c r="B470" t="s">
        <v>2054</v>
      </c>
      <c r="C470" t="s">
        <v>2357</v>
      </c>
      <c r="D470" t="s">
        <v>85</v>
      </c>
    </row>
    <row r="471" spans="1:4" x14ac:dyDescent="0.3">
      <c r="A471" t="s">
        <v>2055</v>
      </c>
      <c r="B471" t="s">
        <v>2054</v>
      </c>
      <c r="C471" t="s">
        <v>2357</v>
      </c>
      <c r="D471" t="s">
        <v>85</v>
      </c>
    </row>
    <row r="472" spans="1:4" x14ac:dyDescent="0.3">
      <c r="A472" t="s">
        <v>536</v>
      </c>
      <c r="B472" t="s">
        <v>2054</v>
      </c>
      <c r="C472" t="s">
        <v>2357</v>
      </c>
      <c r="D472" t="s">
        <v>85</v>
      </c>
    </row>
    <row r="473" spans="1:4" x14ac:dyDescent="0.3">
      <c r="A473" t="s">
        <v>1935</v>
      </c>
      <c r="B473" t="s">
        <v>2054</v>
      </c>
      <c r="C473" t="s">
        <v>2357</v>
      </c>
      <c r="D473" t="s">
        <v>85</v>
      </c>
    </row>
    <row r="474" spans="1:4" x14ac:dyDescent="0.3">
      <c r="A474" t="s">
        <v>2164</v>
      </c>
      <c r="B474" t="s">
        <v>1992</v>
      </c>
      <c r="C474" t="s">
        <v>2357</v>
      </c>
      <c r="D474" t="s">
        <v>85</v>
      </c>
    </row>
    <row r="475" spans="1:4" x14ac:dyDescent="0.3">
      <c r="A475" t="s">
        <v>1993</v>
      </c>
      <c r="B475" t="s">
        <v>1992</v>
      </c>
      <c r="C475" t="s">
        <v>2357</v>
      </c>
      <c r="D475" t="s">
        <v>85</v>
      </c>
    </row>
    <row r="476" spans="1:4" x14ac:dyDescent="0.3">
      <c r="A476" t="s">
        <v>913</v>
      </c>
      <c r="B476" t="s">
        <v>1992</v>
      </c>
      <c r="C476" t="s">
        <v>2357</v>
      </c>
      <c r="D476" t="s">
        <v>85</v>
      </c>
    </row>
    <row r="477" spans="1:4" x14ac:dyDescent="0.3">
      <c r="A477" t="s">
        <v>921</v>
      </c>
      <c r="B477" t="s">
        <v>1992</v>
      </c>
      <c r="C477" t="s">
        <v>2357</v>
      </c>
      <c r="D477" t="s">
        <v>85</v>
      </c>
    </row>
    <row r="478" spans="1:4" x14ac:dyDescent="0.3">
      <c r="A478" t="s">
        <v>1156</v>
      </c>
      <c r="B478" t="s">
        <v>1992</v>
      </c>
      <c r="C478" t="s">
        <v>2357</v>
      </c>
      <c r="D478" t="s">
        <v>85</v>
      </c>
    </row>
    <row r="479" spans="1:4" x14ac:dyDescent="0.3">
      <c r="A479" t="s">
        <v>1158</v>
      </c>
      <c r="B479" t="s">
        <v>1992</v>
      </c>
      <c r="C479" t="s">
        <v>2357</v>
      </c>
      <c r="D479" t="s">
        <v>85</v>
      </c>
    </row>
    <row r="480" spans="1:4" x14ac:dyDescent="0.3">
      <c r="A480" t="s">
        <v>1156</v>
      </c>
      <c r="B480" t="s">
        <v>1992</v>
      </c>
      <c r="C480" t="s">
        <v>2357</v>
      </c>
      <c r="D480" t="s">
        <v>85</v>
      </c>
    </row>
    <row r="481" spans="1:4" x14ac:dyDescent="0.3">
      <c r="A481" t="s">
        <v>760</v>
      </c>
      <c r="B481" t="s">
        <v>1992</v>
      </c>
      <c r="C481" t="s">
        <v>2357</v>
      </c>
      <c r="D481" t="s">
        <v>85</v>
      </c>
    </row>
    <row r="482" spans="1:4" x14ac:dyDescent="0.3">
      <c r="A482" t="s">
        <v>904</v>
      </c>
      <c r="B482" t="s">
        <v>1992</v>
      </c>
      <c r="C482" t="s">
        <v>2357</v>
      </c>
      <c r="D482" t="s">
        <v>85</v>
      </c>
    </row>
    <row r="483" spans="1:4" x14ac:dyDescent="0.3">
      <c r="A483" t="s">
        <v>1052</v>
      </c>
      <c r="B483" t="s">
        <v>1992</v>
      </c>
      <c r="C483" t="s">
        <v>2357</v>
      </c>
      <c r="D483" t="s">
        <v>85</v>
      </c>
    </row>
    <row r="484" spans="1:4" x14ac:dyDescent="0.3">
      <c r="A484" t="s">
        <v>1670</v>
      </c>
      <c r="B484" t="s">
        <v>1992</v>
      </c>
      <c r="C484" t="s">
        <v>2357</v>
      </c>
      <c r="D484" t="s">
        <v>85</v>
      </c>
    </row>
    <row r="485" spans="1:4" x14ac:dyDescent="0.3">
      <c r="A485" t="s">
        <v>809</v>
      </c>
      <c r="B485" t="s">
        <v>1992</v>
      </c>
      <c r="C485" t="s">
        <v>2357</v>
      </c>
      <c r="D485" t="s">
        <v>85</v>
      </c>
    </row>
    <row r="486" spans="1:4" x14ac:dyDescent="0.3">
      <c r="A486" t="s">
        <v>834</v>
      </c>
      <c r="B486" t="s">
        <v>1992</v>
      </c>
      <c r="C486" t="s">
        <v>2357</v>
      </c>
      <c r="D486" t="s">
        <v>85</v>
      </c>
    </row>
    <row r="487" spans="1:4" x14ac:dyDescent="0.3">
      <c r="A487" t="s">
        <v>1158</v>
      </c>
      <c r="B487" t="s">
        <v>1992</v>
      </c>
      <c r="C487" t="s">
        <v>2357</v>
      </c>
      <c r="D487" t="s">
        <v>85</v>
      </c>
    </row>
    <row r="488" spans="1:4" x14ac:dyDescent="0.3">
      <c r="A488" t="s">
        <v>938</v>
      </c>
      <c r="B488" t="s">
        <v>1992</v>
      </c>
      <c r="C488" t="s">
        <v>2357</v>
      </c>
      <c r="D488" t="s">
        <v>85</v>
      </c>
    </row>
    <row r="489" spans="1:4" x14ac:dyDescent="0.3">
      <c r="A489" t="s">
        <v>946</v>
      </c>
      <c r="B489" t="s">
        <v>1992</v>
      </c>
      <c r="C489" t="s">
        <v>2357</v>
      </c>
      <c r="D489" t="s">
        <v>85</v>
      </c>
    </row>
    <row r="490" spans="1:4" x14ac:dyDescent="0.3">
      <c r="A490" t="s">
        <v>812</v>
      </c>
      <c r="B490" t="s">
        <v>1992</v>
      </c>
      <c r="C490" t="s">
        <v>2357</v>
      </c>
      <c r="D490" t="s">
        <v>85</v>
      </c>
    </row>
    <row r="491" spans="1:4" x14ac:dyDescent="0.3">
      <c r="A491" t="s">
        <v>2030</v>
      </c>
      <c r="B491" t="s">
        <v>1998</v>
      </c>
      <c r="C491" t="s">
        <v>2357</v>
      </c>
      <c r="D491" t="s">
        <v>85</v>
      </c>
    </row>
    <row r="492" spans="1:4" x14ac:dyDescent="0.3">
      <c r="A492" t="s">
        <v>2165</v>
      </c>
      <c r="B492" t="s">
        <v>1998</v>
      </c>
      <c r="C492" t="s">
        <v>2357</v>
      </c>
      <c r="D492" t="s">
        <v>85</v>
      </c>
    </row>
    <row r="493" spans="1:4" x14ac:dyDescent="0.3">
      <c r="A493" t="s">
        <v>629</v>
      </c>
      <c r="B493" t="s">
        <v>1998</v>
      </c>
      <c r="C493" t="s">
        <v>2357</v>
      </c>
      <c r="D493" t="s">
        <v>85</v>
      </c>
    </row>
    <row r="494" spans="1:4" x14ac:dyDescent="0.3">
      <c r="A494" t="s">
        <v>536</v>
      </c>
      <c r="B494" t="s">
        <v>1998</v>
      </c>
      <c r="C494" t="s">
        <v>2357</v>
      </c>
      <c r="D494" t="s">
        <v>85</v>
      </c>
    </row>
    <row r="495" spans="1:4" x14ac:dyDescent="0.3">
      <c r="A495" t="s">
        <v>765</v>
      </c>
      <c r="B495" t="s">
        <v>1998</v>
      </c>
      <c r="C495" t="s">
        <v>2357</v>
      </c>
      <c r="D495" t="s">
        <v>85</v>
      </c>
    </row>
    <row r="496" spans="1:4" x14ac:dyDescent="0.3">
      <c r="A496" t="s">
        <v>2055</v>
      </c>
      <c r="B496" t="s">
        <v>1998</v>
      </c>
      <c r="C496" t="s">
        <v>2357</v>
      </c>
      <c r="D496" t="s">
        <v>85</v>
      </c>
    </row>
    <row r="497" spans="1:4" x14ac:dyDescent="0.3">
      <c r="A497" t="s">
        <v>2056</v>
      </c>
      <c r="B497" t="s">
        <v>2065</v>
      </c>
      <c r="C497" t="s">
        <v>2066</v>
      </c>
      <c r="D497" t="s">
        <v>24</v>
      </c>
    </row>
    <row r="498" spans="1:4" x14ac:dyDescent="0.3">
      <c r="A498" t="s">
        <v>2057</v>
      </c>
      <c r="B498" t="s">
        <v>2065</v>
      </c>
      <c r="C498" t="s">
        <v>2066</v>
      </c>
      <c r="D498" t="s">
        <v>24</v>
      </c>
    </row>
    <row r="499" spans="1:4" x14ac:dyDescent="0.3">
      <c r="A499" t="s">
        <v>2058</v>
      </c>
      <c r="B499" t="s">
        <v>2065</v>
      </c>
      <c r="C499" t="s">
        <v>2066</v>
      </c>
      <c r="D499" t="s">
        <v>24</v>
      </c>
    </row>
    <row r="500" spans="1:4" x14ac:dyDescent="0.3">
      <c r="A500" t="s">
        <v>2059</v>
      </c>
      <c r="B500" t="s">
        <v>2065</v>
      </c>
      <c r="C500" t="s">
        <v>2066</v>
      </c>
      <c r="D500" t="s">
        <v>24</v>
      </c>
    </row>
    <row r="501" spans="1:4" x14ac:dyDescent="0.3">
      <c r="A501" t="s">
        <v>2060</v>
      </c>
      <c r="B501" t="s">
        <v>2065</v>
      </c>
      <c r="C501" t="s">
        <v>2066</v>
      </c>
      <c r="D501" t="s">
        <v>24</v>
      </c>
    </row>
    <row r="502" spans="1:4" x14ac:dyDescent="0.3">
      <c r="A502" t="s">
        <v>2061</v>
      </c>
      <c r="B502" t="s">
        <v>2065</v>
      </c>
      <c r="C502" t="s">
        <v>2066</v>
      </c>
      <c r="D502" t="s">
        <v>24</v>
      </c>
    </row>
    <row r="503" spans="1:4" x14ac:dyDescent="0.3">
      <c r="A503" t="s">
        <v>2062</v>
      </c>
      <c r="B503" t="s">
        <v>2065</v>
      </c>
      <c r="C503" t="s">
        <v>2066</v>
      </c>
      <c r="D503" t="s">
        <v>24</v>
      </c>
    </row>
    <row r="504" spans="1:4" x14ac:dyDescent="0.3">
      <c r="A504" t="s">
        <v>2063</v>
      </c>
      <c r="B504" t="s">
        <v>2065</v>
      </c>
      <c r="C504" t="s">
        <v>2066</v>
      </c>
      <c r="D504" t="s">
        <v>24</v>
      </c>
    </row>
    <row r="505" spans="1:4" x14ac:dyDescent="0.3">
      <c r="A505" t="s">
        <v>2064</v>
      </c>
      <c r="B505" t="s">
        <v>2065</v>
      </c>
      <c r="C505" t="s">
        <v>2066</v>
      </c>
      <c r="D505" t="s">
        <v>24</v>
      </c>
    </row>
    <row r="506" spans="1:4" x14ac:dyDescent="0.3">
      <c r="A506" t="s">
        <v>2067</v>
      </c>
      <c r="B506" t="s">
        <v>2072</v>
      </c>
      <c r="C506" t="s">
        <v>2066</v>
      </c>
      <c r="D506" t="s">
        <v>24</v>
      </c>
    </row>
    <row r="507" spans="1:4" x14ac:dyDescent="0.3">
      <c r="A507" t="s">
        <v>989</v>
      </c>
      <c r="B507" t="s">
        <v>2072</v>
      </c>
      <c r="C507" t="s">
        <v>2066</v>
      </c>
      <c r="D507" t="s">
        <v>24</v>
      </c>
    </row>
    <row r="508" spans="1:4" x14ac:dyDescent="0.3">
      <c r="A508" t="s">
        <v>990</v>
      </c>
      <c r="B508" t="s">
        <v>2072</v>
      </c>
      <c r="C508" t="s">
        <v>2066</v>
      </c>
      <c r="D508" t="s">
        <v>24</v>
      </c>
    </row>
    <row r="509" spans="1:4" x14ac:dyDescent="0.3">
      <c r="A509" t="s">
        <v>988</v>
      </c>
      <c r="B509" t="s">
        <v>2072</v>
      </c>
      <c r="C509" t="s">
        <v>2066</v>
      </c>
      <c r="D509" t="s">
        <v>24</v>
      </c>
    </row>
    <row r="510" spans="1:4" x14ac:dyDescent="0.3">
      <c r="A510" t="s">
        <v>991</v>
      </c>
      <c r="B510" t="s">
        <v>2072</v>
      </c>
      <c r="C510" t="s">
        <v>2066</v>
      </c>
      <c r="D510" t="s">
        <v>24</v>
      </c>
    </row>
    <row r="511" spans="1:4" x14ac:dyDescent="0.3">
      <c r="A511" t="s">
        <v>2070</v>
      </c>
      <c r="B511" t="s">
        <v>2072</v>
      </c>
      <c r="C511" t="s">
        <v>2066</v>
      </c>
      <c r="D511" t="s">
        <v>24</v>
      </c>
    </row>
    <row r="512" spans="1:4" x14ac:dyDescent="0.3">
      <c r="A512" t="s">
        <v>2069</v>
      </c>
      <c r="B512" t="s">
        <v>2072</v>
      </c>
      <c r="C512" t="s">
        <v>2066</v>
      </c>
      <c r="D512" t="s">
        <v>24</v>
      </c>
    </row>
    <row r="513" spans="1:4" x14ac:dyDescent="0.3">
      <c r="A513" t="s">
        <v>2068</v>
      </c>
      <c r="B513" t="s">
        <v>2072</v>
      </c>
      <c r="C513" t="s">
        <v>2066</v>
      </c>
      <c r="D513" t="s">
        <v>24</v>
      </c>
    </row>
    <row r="514" spans="1:4" x14ac:dyDescent="0.3">
      <c r="A514" t="s">
        <v>2071</v>
      </c>
      <c r="B514" t="s">
        <v>2072</v>
      </c>
      <c r="C514" t="s">
        <v>2066</v>
      </c>
      <c r="D514" t="s">
        <v>24</v>
      </c>
    </row>
    <row r="515" spans="1:4" x14ac:dyDescent="0.3">
      <c r="A515" t="s">
        <v>998</v>
      </c>
      <c r="B515" t="s">
        <v>2072</v>
      </c>
      <c r="C515" t="s">
        <v>2066</v>
      </c>
      <c r="D515" t="s">
        <v>24</v>
      </c>
    </row>
    <row r="516" spans="1:4" x14ac:dyDescent="0.3">
      <c r="A516" t="s">
        <v>999</v>
      </c>
      <c r="B516" t="s">
        <v>2072</v>
      </c>
      <c r="C516" t="s">
        <v>2066</v>
      </c>
      <c r="D516" t="s">
        <v>24</v>
      </c>
    </row>
    <row r="517" spans="1:4" x14ac:dyDescent="0.3">
      <c r="C517" t="s">
        <v>2066</v>
      </c>
      <c r="D517" t="s">
        <v>24</v>
      </c>
    </row>
    <row r="518" spans="1:4" x14ac:dyDescent="0.3">
      <c r="A518" t="s">
        <v>990</v>
      </c>
      <c r="B518" t="s">
        <v>2072</v>
      </c>
      <c r="C518" t="s">
        <v>2066</v>
      </c>
      <c r="D518" t="s">
        <v>24</v>
      </c>
    </row>
    <row r="519" spans="1:4" x14ac:dyDescent="0.3">
      <c r="A519" t="s">
        <v>2073</v>
      </c>
      <c r="B519" t="s">
        <v>2072</v>
      </c>
      <c r="C519" t="s">
        <v>2066</v>
      </c>
      <c r="D519" t="s">
        <v>24</v>
      </c>
    </row>
    <row r="520" spans="1:4" x14ac:dyDescent="0.3">
      <c r="A520" t="s">
        <v>2074</v>
      </c>
      <c r="B520" t="s">
        <v>2072</v>
      </c>
      <c r="C520" t="s">
        <v>2066</v>
      </c>
      <c r="D520" t="s">
        <v>24</v>
      </c>
    </row>
    <row r="521" spans="1:4" x14ac:dyDescent="0.3">
      <c r="A521" t="s">
        <v>2075</v>
      </c>
      <c r="B521" t="s">
        <v>2072</v>
      </c>
      <c r="C521" t="s">
        <v>2066</v>
      </c>
      <c r="D521" t="s">
        <v>24</v>
      </c>
    </row>
    <row r="522" spans="1:4" x14ac:dyDescent="0.3">
      <c r="A522" t="s">
        <v>985</v>
      </c>
      <c r="B522" t="s">
        <v>2072</v>
      </c>
      <c r="C522" t="s">
        <v>2066</v>
      </c>
      <c r="D522" t="s">
        <v>24</v>
      </c>
    </row>
    <row r="523" spans="1:4" x14ac:dyDescent="0.3">
      <c r="A523" t="s">
        <v>2076</v>
      </c>
      <c r="B523" t="s">
        <v>2072</v>
      </c>
      <c r="C523" t="s">
        <v>2066</v>
      </c>
      <c r="D523" t="s">
        <v>24</v>
      </c>
    </row>
    <row r="524" spans="1:4" x14ac:dyDescent="0.3">
      <c r="A524" t="s">
        <v>1029</v>
      </c>
      <c r="B524" t="s">
        <v>2072</v>
      </c>
      <c r="C524" t="s">
        <v>2066</v>
      </c>
      <c r="D524" t="s">
        <v>24</v>
      </c>
    </row>
    <row r="525" spans="1:4" x14ac:dyDescent="0.3">
      <c r="A525" t="s">
        <v>2077</v>
      </c>
      <c r="B525" t="s">
        <v>2072</v>
      </c>
      <c r="C525" t="s">
        <v>2066</v>
      </c>
      <c r="D525" t="s">
        <v>24</v>
      </c>
    </row>
    <row r="526" spans="1:4" x14ac:dyDescent="0.3">
      <c r="A526" t="s">
        <v>2078</v>
      </c>
      <c r="B526" t="s">
        <v>2072</v>
      </c>
      <c r="C526" t="s">
        <v>2066</v>
      </c>
      <c r="D526" t="s">
        <v>24</v>
      </c>
    </row>
    <row r="527" spans="1:4" x14ac:dyDescent="0.3">
      <c r="A527" t="s">
        <v>2079</v>
      </c>
      <c r="B527" t="s">
        <v>2072</v>
      </c>
      <c r="C527" t="s">
        <v>2066</v>
      </c>
      <c r="D527" t="s">
        <v>24</v>
      </c>
    </row>
    <row r="528" spans="1:4" x14ac:dyDescent="0.3">
      <c r="A528" t="s">
        <v>2080</v>
      </c>
      <c r="B528" t="s">
        <v>2072</v>
      </c>
      <c r="C528" t="s">
        <v>2066</v>
      </c>
      <c r="D528" t="s">
        <v>24</v>
      </c>
    </row>
    <row r="529" spans="1:4" x14ac:dyDescent="0.3">
      <c r="A529" t="s">
        <v>2081</v>
      </c>
      <c r="B529" t="s">
        <v>2072</v>
      </c>
      <c r="C529" t="s">
        <v>2066</v>
      </c>
      <c r="D529" t="s">
        <v>24</v>
      </c>
    </row>
    <row r="530" spans="1:4" x14ac:dyDescent="0.3">
      <c r="A530" t="s">
        <v>2082</v>
      </c>
      <c r="B530" t="s">
        <v>2072</v>
      </c>
      <c r="C530" t="s">
        <v>2066</v>
      </c>
      <c r="D530" t="s">
        <v>24</v>
      </c>
    </row>
    <row r="531" spans="1:4" x14ac:dyDescent="0.3">
      <c r="A531" t="s">
        <v>2083</v>
      </c>
      <c r="B531" t="s">
        <v>2072</v>
      </c>
      <c r="C531" t="s">
        <v>2066</v>
      </c>
      <c r="D531" t="s">
        <v>24</v>
      </c>
    </row>
    <row r="532" spans="1:4" x14ac:dyDescent="0.3">
      <c r="A532" t="s">
        <v>2084</v>
      </c>
      <c r="B532" t="s">
        <v>2072</v>
      </c>
      <c r="C532" t="s">
        <v>2066</v>
      </c>
      <c r="D532" t="s">
        <v>24</v>
      </c>
    </row>
    <row r="533" spans="1:4" x14ac:dyDescent="0.3">
      <c r="A533" t="s">
        <v>2085</v>
      </c>
      <c r="B533" t="s">
        <v>2072</v>
      </c>
      <c r="C533" t="s">
        <v>2066</v>
      </c>
      <c r="D533" t="s">
        <v>24</v>
      </c>
    </row>
    <row r="534" spans="1:4" x14ac:dyDescent="0.3">
      <c r="A534" t="s">
        <v>2086</v>
      </c>
      <c r="B534" t="s">
        <v>2072</v>
      </c>
      <c r="C534" t="s">
        <v>2066</v>
      </c>
      <c r="D534" t="s">
        <v>24</v>
      </c>
    </row>
    <row r="535" spans="1:4" x14ac:dyDescent="0.3">
      <c r="A535" t="s">
        <v>2087</v>
      </c>
      <c r="B535" t="s">
        <v>2072</v>
      </c>
      <c r="C535" t="s">
        <v>2066</v>
      </c>
      <c r="D535" t="s">
        <v>24</v>
      </c>
    </row>
    <row r="536" spans="1:4" x14ac:dyDescent="0.3">
      <c r="A536" t="s">
        <v>2088</v>
      </c>
      <c r="B536" t="s">
        <v>2072</v>
      </c>
      <c r="C536" t="s">
        <v>2066</v>
      </c>
      <c r="D536" t="s">
        <v>24</v>
      </c>
    </row>
    <row r="537" spans="1:4" x14ac:dyDescent="0.3">
      <c r="A537" t="s">
        <v>2089</v>
      </c>
      <c r="B537" t="s">
        <v>2072</v>
      </c>
      <c r="C537" t="s">
        <v>2066</v>
      </c>
      <c r="D537" t="s">
        <v>24</v>
      </c>
    </row>
    <row r="538" spans="1:4" x14ac:dyDescent="0.3">
      <c r="A538" t="s">
        <v>2090</v>
      </c>
      <c r="B538" t="s">
        <v>2072</v>
      </c>
      <c r="C538" t="s">
        <v>2066</v>
      </c>
      <c r="D538" t="s">
        <v>24</v>
      </c>
    </row>
    <row r="539" spans="1:4" x14ac:dyDescent="0.3">
      <c r="A539" t="s">
        <v>2091</v>
      </c>
      <c r="B539" t="s">
        <v>2072</v>
      </c>
      <c r="C539" t="s">
        <v>2066</v>
      </c>
      <c r="D539" t="s">
        <v>24</v>
      </c>
    </row>
    <row r="540" spans="1:4" x14ac:dyDescent="0.3">
      <c r="A540" t="s">
        <v>1224</v>
      </c>
      <c r="B540" t="s">
        <v>2072</v>
      </c>
      <c r="C540" t="s">
        <v>2066</v>
      </c>
      <c r="D540" t="s">
        <v>24</v>
      </c>
    </row>
    <row r="541" spans="1:4" x14ac:dyDescent="0.3">
      <c r="A541" t="s">
        <v>2083</v>
      </c>
      <c r="B541" t="s">
        <v>2072</v>
      </c>
      <c r="C541" t="s">
        <v>2066</v>
      </c>
      <c r="D541" t="s">
        <v>24</v>
      </c>
    </row>
    <row r="542" spans="1:4" x14ac:dyDescent="0.3">
      <c r="A542" t="s">
        <v>2092</v>
      </c>
      <c r="B542" t="s">
        <v>2072</v>
      </c>
      <c r="C542" t="s">
        <v>2066</v>
      </c>
      <c r="D542" t="s">
        <v>24</v>
      </c>
    </row>
    <row r="543" spans="1:4" x14ac:dyDescent="0.3">
      <c r="A543" t="s">
        <v>2093</v>
      </c>
      <c r="B543" t="s">
        <v>2072</v>
      </c>
      <c r="C543" t="s">
        <v>2066</v>
      </c>
      <c r="D543" t="s">
        <v>24</v>
      </c>
    </row>
    <row r="544" spans="1:4" x14ac:dyDescent="0.3">
      <c r="A544" t="s">
        <v>2094</v>
      </c>
      <c r="B544" t="s">
        <v>2072</v>
      </c>
      <c r="C544" t="s">
        <v>2066</v>
      </c>
      <c r="D544" t="s">
        <v>24</v>
      </c>
    </row>
    <row r="545" spans="1:4" x14ac:dyDescent="0.3">
      <c r="A545" t="s">
        <v>2095</v>
      </c>
      <c r="B545" t="s">
        <v>2072</v>
      </c>
      <c r="C545" t="s">
        <v>2066</v>
      </c>
      <c r="D545" t="s">
        <v>24</v>
      </c>
    </row>
    <row r="546" spans="1:4" x14ac:dyDescent="0.3">
      <c r="A546" t="s">
        <v>2096</v>
      </c>
      <c r="B546" t="s">
        <v>2072</v>
      </c>
      <c r="C546" t="s">
        <v>2066</v>
      </c>
      <c r="D546" t="s">
        <v>24</v>
      </c>
    </row>
    <row r="547" spans="1:4" x14ac:dyDescent="0.3">
      <c r="A547" t="s">
        <v>2081</v>
      </c>
      <c r="B547" t="s">
        <v>2072</v>
      </c>
      <c r="C547" t="s">
        <v>2066</v>
      </c>
      <c r="D547" t="s">
        <v>24</v>
      </c>
    </row>
    <row r="548" spans="1:4" x14ac:dyDescent="0.3">
      <c r="A548" t="s">
        <v>2097</v>
      </c>
      <c r="B548" t="s">
        <v>2072</v>
      </c>
      <c r="C548" t="s">
        <v>2066</v>
      </c>
      <c r="D548" t="s">
        <v>24</v>
      </c>
    </row>
    <row r="549" spans="1:4" x14ac:dyDescent="0.3">
      <c r="A549" t="s">
        <v>2098</v>
      </c>
      <c r="B549" t="s">
        <v>2072</v>
      </c>
      <c r="C549" t="s">
        <v>2066</v>
      </c>
      <c r="D549" t="s">
        <v>24</v>
      </c>
    </row>
    <row r="550" spans="1:4" x14ac:dyDescent="0.3">
      <c r="A550" t="s">
        <v>2099</v>
      </c>
      <c r="B550" t="s">
        <v>2072</v>
      </c>
      <c r="C550" t="s">
        <v>2066</v>
      </c>
      <c r="D550" t="s">
        <v>24</v>
      </c>
    </row>
    <row r="551" spans="1:4" x14ac:dyDescent="0.3">
      <c r="A551" t="s">
        <v>2100</v>
      </c>
      <c r="B551" t="s">
        <v>2072</v>
      </c>
      <c r="C551" t="s">
        <v>2066</v>
      </c>
      <c r="D551" t="s">
        <v>24</v>
      </c>
    </row>
    <row r="552" spans="1:4" x14ac:dyDescent="0.3">
      <c r="A552" t="s">
        <v>2093</v>
      </c>
      <c r="B552" t="s">
        <v>2072</v>
      </c>
      <c r="C552" t="s">
        <v>2066</v>
      </c>
      <c r="D552" t="s">
        <v>24</v>
      </c>
    </row>
    <row r="553" spans="1:4" x14ac:dyDescent="0.3">
      <c r="A553" t="s">
        <v>2101</v>
      </c>
      <c r="B553" t="s">
        <v>2072</v>
      </c>
      <c r="C553" t="s">
        <v>2066</v>
      </c>
      <c r="D553" t="s">
        <v>24</v>
      </c>
    </row>
    <row r="554" spans="1:4" x14ac:dyDescent="0.3">
      <c r="A554" t="s">
        <v>2102</v>
      </c>
      <c r="B554" t="s">
        <v>2072</v>
      </c>
      <c r="C554" t="s">
        <v>2066</v>
      </c>
      <c r="D554" t="s">
        <v>24</v>
      </c>
    </row>
    <row r="555" spans="1:4" x14ac:dyDescent="0.3">
      <c r="A555" t="s">
        <v>2103</v>
      </c>
      <c r="B555" t="s">
        <v>2072</v>
      </c>
      <c r="C555" t="s">
        <v>2066</v>
      </c>
      <c r="D555" t="s">
        <v>24</v>
      </c>
    </row>
    <row r="556" spans="1:4" x14ac:dyDescent="0.3">
      <c r="A556" t="s">
        <v>2096</v>
      </c>
      <c r="B556" t="s">
        <v>2072</v>
      </c>
      <c r="C556" t="s">
        <v>2066</v>
      </c>
      <c r="D556" t="s">
        <v>24</v>
      </c>
    </row>
    <row r="557" spans="1:4" x14ac:dyDescent="0.3">
      <c r="A557" t="s">
        <v>2104</v>
      </c>
      <c r="B557" t="s">
        <v>2072</v>
      </c>
      <c r="C557" t="s">
        <v>2066</v>
      </c>
      <c r="D557" t="s">
        <v>24</v>
      </c>
    </row>
    <row r="558" spans="1:4" x14ac:dyDescent="0.3">
      <c r="A558" t="s">
        <v>2105</v>
      </c>
      <c r="B558" t="s">
        <v>2072</v>
      </c>
      <c r="C558" t="s">
        <v>2066</v>
      </c>
      <c r="D558" t="s">
        <v>24</v>
      </c>
    </row>
    <row r="559" spans="1:4" x14ac:dyDescent="0.3">
      <c r="A559" t="s">
        <v>2106</v>
      </c>
      <c r="B559" t="s">
        <v>2072</v>
      </c>
      <c r="C559" t="s">
        <v>2066</v>
      </c>
      <c r="D559" t="s">
        <v>24</v>
      </c>
    </row>
    <row r="560" spans="1:4" x14ac:dyDescent="0.3">
      <c r="A560" t="s">
        <v>2107</v>
      </c>
      <c r="B560" t="s">
        <v>2072</v>
      </c>
      <c r="C560" t="s">
        <v>2066</v>
      </c>
      <c r="D560" t="s">
        <v>24</v>
      </c>
    </row>
    <row r="561" spans="1:4" x14ac:dyDescent="0.3">
      <c r="A561" t="s">
        <v>2108</v>
      </c>
      <c r="B561" t="s">
        <v>2072</v>
      </c>
      <c r="C561" t="s">
        <v>2066</v>
      </c>
      <c r="D561" t="s">
        <v>24</v>
      </c>
    </row>
    <row r="562" spans="1:4" x14ac:dyDescent="0.3">
      <c r="A562" t="s">
        <v>1320</v>
      </c>
      <c r="B562" t="s">
        <v>2072</v>
      </c>
      <c r="C562" t="s">
        <v>2066</v>
      </c>
      <c r="D562" t="s">
        <v>24</v>
      </c>
    </row>
    <row r="563" spans="1:4" x14ac:dyDescent="0.3">
      <c r="A563" t="s">
        <v>2109</v>
      </c>
      <c r="B563" t="s">
        <v>2072</v>
      </c>
      <c r="C563" t="s">
        <v>2066</v>
      </c>
      <c r="D563" t="s">
        <v>24</v>
      </c>
    </row>
    <row r="564" spans="1:4" x14ac:dyDescent="0.3">
      <c r="A564" t="s">
        <v>2110</v>
      </c>
      <c r="B564" t="s">
        <v>2072</v>
      </c>
      <c r="C564" t="s">
        <v>2066</v>
      </c>
      <c r="D564" t="s">
        <v>24</v>
      </c>
    </row>
    <row r="565" spans="1:4" x14ac:dyDescent="0.3">
      <c r="A565" t="s">
        <v>2111</v>
      </c>
      <c r="B565" t="s">
        <v>2072</v>
      </c>
      <c r="C565" t="s">
        <v>2066</v>
      </c>
      <c r="D565" t="s">
        <v>24</v>
      </c>
    </row>
    <row r="566" spans="1:4" x14ac:dyDescent="0.3">
      <c r="A566" t="s">
        <v>2112</v>
      </c>
      <c r="B566" t="s">
        <v>2072</v>
      </c>
      <c r="C566" t="s">
        <v>2066</v>
      </c>
      <c r="D566" t="s">
        <v>24</v>
      </c>
    </row>
    <row r="567" spans="1:4" x14ac:dyDescent="0.3">
      <c r="A567" t="s">
        <v>2113</v>
      </c>
      <c r="B567" t="s">
        <v>2072</v>
      </c>
      <c r="C567" t="s">
        <v>2066</v>
      </c>
      <c r="D567" t="s">
        <v>24</v>
      </c>
    </row>
    <row r="568" spans="1:4" x14ac:dyDescent="0.3">
      <c r="A568" t="s">
        <v>2115</v>
      </c>
      <c r="B568" t="s">
        <v>2114</v>
      </c>
      <c r="C568" t="s">
        <v>2066</v>
      </c>
      <c r="D568" t="s">
        <v>24</v>
      </c>
    </row>
    <row r="569" spans="1:4" x14ac:dyDescent="0.3">
      <c r="A569" t="s">
        <v>2078</v>
      </c>
      <c r="B569" t="s">
        <v>2114</v>
      </c>
      <c r="C569" t="s">
        <v>2066</v>
      </c>
      <c r="D569" t="s">
        <v>24</v>
      </c>
    </row>
    <row r="570" spans="1:4" x14ac:dyDescent="0.3">
      <c r="A570" t="s">
        <v>2081</v>
      </c>
      <c r="B570" t="s">
        <v>2114</v>
      </c>
      <c r="C570" t="s">
        <v>2066</v>
      </c>
      <c r="D570" t="s">
        <v>24</v>
      </c>
    </row>
    <row r="571" spans="1:4" x14ac:dyDescent="0.3">
      <c r="A571" t="s">
        <v>2097</v>
      </c>
      <c r="B571" t="s">
        <v>2114</v>
      </c>
      <c r="C571" t="s">
        <v>2066</v>
      </c>
      <c r="D571" t="s">
        <v>24</v>
      </c>
    </row>
    <row r="572" spans="1:4" x14ac:dyDescent="0.3">
      <c r="A572" t="s">
        <v>2100</v>
      </c>
      <c r="B572" t="s">
        <v>2114</v>
      </c>
      <c r="C572" t="s">
        <v>2066</v>
      </c>
      <c r="D572" t="s">
        <v>24</v>
      </c>
    </row>
    <row r="573" spans="1:4" x14ac:dyDescent="0.3">
      <c r="A573" t="s">
        <v>2102</v>
      </c>
      <c r="B573" t="s">
        <v>2114</v>
      </c>
      <c r="C573" t="s">
        <v>2066</v>
      </c>
      <c r="D573" t="s">
        <v>24</v>
      </c>
    </row>
    <row r="574" spans="1:4" x14ac:dyDescent="0.3">
      <c r="A574" t="s">
        <v>2092</v>
      </c>
      <c r="B574" t="s">
        <v>2114</v>
      </c>
      <c r="C574" t="s">
        <v>2066</v>
      </c>
      <c r="D574" t="s">
        <v>24</v>
      </c>
    </row>
    <row r="575" spans="1:4" x14ac:dyDescent="0.3">
      <c r="A575" t="s">
        <v>2116</v>
      </c>
      <c r="B575" t="s">
        <v>2114</v>
      </c>
      <c r="C575" t="s">
        <v>2066</v>
      </c>
      <c r="D575" t="s">
        <v>24</v>
      </c>
    </row>
    <row r="576" spans="1:4" x14ac:dyDescent="0.3">
      <c r="A576" t="s">
        <v>2096</v>
      </c>
      <c r="B576" t="s">
        <v>2114</v>
      </c>
      <c r="C576" t="s">
        <v>2066</v>
      </c>
      <c r="D576" t="s">
        <v>24</v>
      </c>
    </row>
    <row r="577" spans="1:4" x14ac:dyDescent="0.3">
      <c r="A577" t="s">
        <v>2093</v>
      </c>
      <c r="B577" t="s">
        <v>2114</v>
      </c>
      <c r="C577" t="s">
        <v>2066</v>
      </c>
      <c r="D577" t="s">
        <v>24</v>
      </c>
    </row>
    <row r="578" spans="1:4" x14ac:dyDescent="0.3">
      <c r="A578" t="s">
        <v>2117</v>
      </c>
      <c r="B578" t="s">
        <v>2114</v>
      </c>
      <c r="C578" t="s">
        <v>2066</v>
      </c>
      <c r="D578" t="s">
        <v>24</v>
      </c>
    </row>
    <row r="579" spans="1:4" x14ac:dyDescent="0.3">
      <c r="A579" t="s">
        <v>2118</v>
      </c>
      <c r="B579" t="s">
        <v>2114</v>
      </c>
      <c r="C579" t="s">
        <v>2066</v>
      </c>
      <c r="D579" t="s">
        <v>24</v>
      </c>
    </row>
    <row r="580" spans="1:4" x14ac:dyDescent="0.3">
      <c r="A580" t="s">
        <v>2119</v>
      </c>
      <c r="B580" t="s">
        <v>2114</v>
      </c>
      <c r="C580" t="s">
        <v>2066</v>
      </c>
      <c r="D580" t="s">
        <v>24</v>
      </c>
    </row>
    <row r="581" spans="1:4" x14ac:dyDescent="0.3">
      <c r="A581" t="s">
        <v>2120</v>
      </c>
      <c r="B581" t="s">
        <v>2114</v>
      </c>
      <c r="C581" t="s">
        <v>2066</v>
      </c>
      <c r="D581" t="s">
        <v>24</v>
      </c>
    </row>
    <row r="582" spans="1:4" x14ac:dyDescent="0.3">
      <c r="A582" t="s">
        <v>2121</v>
      </c>
      <c r="B582" t="s">
        <v>2114</v>
      </c>
      <c r="C582" t="s">
        <v>2066</v>
      </c>
      <c r="D582" t="s">
        <v>24</v>
      </c>
    </row>
    <row r="583" spans="1:4" x14ac:dyDescent="0.3">
      <c r="A583" t="s">
        <v>2122</v>
      </c>
      <c r="B583" t="s">
        <v>2114</v>
      </c>
      <c r="C583" t="s">
        <v>2066</v>
      </c>
      <c r="D583" t="s">
        <v>24</v>
      </c>
    </row>
    <row r="584" spans="1:4" x14ac:dyDescent="0.3">
      <c r="A584" t="s">
        <v>2123</v>
      </c>
      <c r="B584" t="s">
        <v>2114</v>
      </c>
      <c r="C584" t="s">
        <v>2066</v>
      </c>
      <c r="D584" t="s">
        <v>24</v>
      </c>
    </row>
    <row r="585" spans="1:4" x14ac:dyDescent="0.3">
      <c r="A585" t="s">
        <v>2121</v>
      </c>
      <c r="B585" t="s">
        <v>2114</v>
      </c>
      <c r="C585" t="s">
        <v>2066</v>
      </c>
      <c r="D585" t="s">
        <v>24</v>
      </c>
    </row>
    <row r="586" spans="1:4" x14ac:dyDescent="0.3">
      <c r="A586" t="s">
        <v>2124</v>
      </c>
      <c r="B586" t="s">
        <v>2114</v>
      </c>
      <c r="C586" t="s">
        <v>2066</v>
      </c>
      <c r="D586" t="s">
        <v>24</v>
      </c>
    </row>
    <row r="587" spans="1:4" x14ac:dyDescent="0.3">
      <c r="A587" t="s">
        <v>2125</v>
      </c>
      <c r="B587" t="s">
        <v>2114</v>
      </c>
      <c r="C587" t="s">
        <v>2066</v>
      </c>
      <c r="D587" t="s">
        <v>24</v>
      </c>
    </row>
    <row r="588" spans="1:4" x14ac:dyDescent="0.3">
      <c r="A588" t="s">
        <v>2125</v>
      </c>
      <c r="B588" t="s">
        <v>2114</v>
      </c>
      <c r="C588" t="s">
        <v>2066</v>
      </c>
      <c r="D588" t="s">
        <v>24</v>
      </c>
    </row>
    <row r="589" spans="1:4" x14ac:dyDescent="0.3">
      <c r="A589" t="s">
        <v>2126</v>
      </c>
      <c r="B589" t="s">
        <v>2114</v>
      </c>
      <c r="C589" t="s">
        <v>2066</v>
      </c>
      <c r="D589" t="s">
        <v>24</v>
      </c>
    </row>
    <row r="590" spans="1:4" x14ac:dyDescent="0.3">
      <c r="A590" t="s">
        <v>2127</v>
      </c>
      <c r="B590" t="s">
        <v>2114</v>
      </c>
      <c r="C590" t="s">
        <v>2066</v>
      </c>
      <c r="D590" t="s">
        <v>24</v>
      </c>
    </row>
    <row r="591" spans="1:4" x14ac:dyDescent="0.3">
      <c r="A591" t="s">
        <v>2128</v>
      </c>
      <c r="B591" t="s">
        <v>2114</v>
      </c>
      <c r="C591" t="s">
        <v>2066</v>
      </c>
      <c r="D591" t="s">
        <v>24</v>
      </c>
    </row>
    <row r="592" spans="1:4" x14ac:dyDescent="0.3">
      <c r="A592" t="s">
        <v>2129</v>
      </c>
      <c r="B592" t="s">
        <v>2114</v>
      </c>
      <c r="C592" t="s">
        <v>2066</v>
      </c>
      <c r="D592" t="s">
        <v>24</v>
      </c>
    </row>
    <row r="593" spans="1:4" x14ac:dyDescent="0.3">
      <c r="A593" t="s">
        <v>2130</v>
      </c>
      <c r="B593" t="s">
        <v>2114</v>
      </c>
      <c r="C593" t="s">
        <v>2066</v>
      </c>
      <c r="D593" t="s">
        <v>24</v>
      </c>
    </row>
    <row r="594" spans="1:4" x14ac:dyDescent="0.3">
      <c r="A594" t="s">
        <v>2131</v>
      </c>
      <c r="B594" t="s">
        <v>2114</v>
      </c>
      <c r="C594" t="s">
        <v>2066</v>
      </c>
      <c r="D594" t="s">
        <v>24</v>
      </c>
    </row>
    <row r="595" spans="1:4" x14ac:dyDescent="0.3">
      <c r="A595" t="s">
        <v>2132</v>
      </c>
      <c r="B595" t="s">
        <v>2114</v>
      </c>
      <c r="C595" t="s">
        <v>2066</v>
      </c>
      <c r="D595" t="s">
        <v>24</v>
      </c>
    </row>
    <row r="596" spans="1:4" x14ac:dyDescent="0.3">
      <c r="A596" t="s">
        <v>1302</v>
      </c>
      <c r="B596" t="s">
        <v>2114</v>
      </c>
      <c r="C596" t="s">
        <v>2066</v>
      </c>
      <c r="D596" t="s">
        <v>24</v>
      </c>
    </row>
    <row r="597" spans="1:4" x14ac:dyDescent="0.3">
      <c r="A597" t="s">
        <v>2133</v>
      </c>
      <c r="B597" t="s">
        <v>2114</v>
      </c>
      <c r="C597" t="s">
        <v>2066</v>
      </c>
      <c r="D597" t="s">
        <v>24</v>
      </c>
    </row>
    <row r="598" spans="1:4" x14ac:dyDescent="0.3">
      <c r="A598" t="s">
        <v>2134</v>
      </c>
      <c r="B598" t="s">
        <v>2114</v>
      </c>
      <c r="C598" t="s">
        <v>2066</v>
      </c>
      <c r="D598" t="s">
        <v>24</v>
      </c>
    </row>
    <row r="599" spans="1:4" x14ac:dyDescent="0.3">
      <c r="A599" t="s">
        <v>2135</v>
      </c>
      <c r="B599" t="s">
        <v>2114</v>
      </c>
      <c r="C599" t="s">
        <v>2066</v>
      </c>
      <c r="D599" t="s">
        <v>24</v>
      </c>
    </row>
    <row r="600" spans="1:4" x14ac:dyDescent="0.3">
      <c r="A600" t="s">
        <v>2136</v>
      </c>
      <c r="B600" t="s">
        <v>2114</v>
      </c>
      <c r="C600" t="s">
        <v>2066</v>
      </c>
      <c r="D600" t="s">
        <v>24</v>
      </c>
    </row>
    <row r="601" spans="1:4" x14ac:dyDescent="0.3">
      <c r="A601" t="s">
        <v>1007</v>
      </c>
      <c r="B601" t="s">
        <v>2114</v>
      </c>
      <c r="C601" t="s">
        <v>2066</v>
      </c>
      <c r="D601" t="s">
        <v>24</v>
      </c>
    </row>
    <row r="602" spans="1:4" x14ac:dyDescent="0.3">
      <c r="A602" t="s">
        <v>2137</v>
      </c>
      <c r="B602" t="s">
        <v>2114</v>
      </c>
      <c r="C602" t="s">
        <v>2066</v>
      </c>
      <c r="D602" t="s">
        <v>24</v>
      </c>
    </row>
    <row r="603" spans="1:4" x14ac:dyDescent="0.3">
      <c r="A603" t="s">
        <v>2091</v>
      </c>
      <c r="B603" t="s">
        <v>2114</v>
      </c>
      <c r="C603" t="s">
        <v>2066</v>
      </c>
      <c r="D603" t="s">
        <v>24</v>
      </c>
    </row>
    <row r="604" spans="1:4" x14ac:dyDescent="0.3">
      <c r="A604" t="s">
        <v>2138</v>
      </c>
      <c r="B604" t="s">
        <v>2114</v>
      </c>
      <c r="C604" t="s">
        <v>2066</v>
      </c>
      <c r="D604" t="s">
        <v>24</v>
      </c>
    </row>
    <row r="605" spans="1:4" x14ac:dyDescent="0.3">
      <c r="A605" t="s">
        <v>2139</v>
      </c>
      <c r="B605" t="s">
        <v>2114</v>
      </c>
      <c r="C605" t="s">
        <v>2066</v>
      </c>
      <c r="D605" t="s">
        <v>24</v>
      </c>
    </row>
    <row r="606" spans="1:4" x14ac:dyDescent="0.3">
      <c r="A606" t="s">
        <v>2116</v>
      </c>
      <c r="B606" t="s">
        <v>2114</v>
      </c>
      <c r="C606" t="s">
        <v>2066</v>
      </c>
      <c r="D606" t="s">
        <v>24</v>
      </c>
    </row>
    <row r="607" spans="1:4" x14ac:dyDescent="0.3">
      <c r="A607" t="s">
        <v>2140</v>
      </c>
      <c r="B607" t="s">
        <v>2114</v>
      </c>
      <c r="C607" t="s">
        <v>2066</v>
      </c>
      <c r="D607" t="s">
        <v>24</v>
      </c>
    </row>
    <row r="608" spans="1:4" x14ac:dyDescent="0.3">
      <c r="A608" t="s">
        <v>2141</v>
      </c>
      <c r="B608" t="s">
        <v>2114</v>
      </c>
      <c r="C608" t="s">
        <v>2066</v>
      </c>
      <c r="D608" t="s">
        <v>24</v>
      </c>
    </row>
    <row r="609" spans="1:4" x14ac:dyDescent="0.3">
      <c r="A609" t="s">
        <v>2142</v>
      </c>
      <c r="B609" t="s">
        <v>2114</v>
      </c>
      <c r="C609" t="s">
        <v>2066</v>
      </c>
      <c r="D609" t="s">
        <v>24</v>
      </c>
    </row>
    <row r="610" spans="1:4" x14ac:dyDescent="0.3">
      <c r="A610" t="s">
        <v>2143</v>
      </c>
      <c r="B610" t="s">
        <v>2114</v>
      </c>
      <c r="C610" t="s">
        <v>2066</v>
      </c>
      <c r="D610" t="s">
        <v>24</v>
      </c>
    </row>
    <row r="611" spans="1:4" x14ac:dyDescent="0.3">
      <c r="A611" t="s">
        <v>2144</v>
      </c>
      <c r="B611" t="s">
        <v>2114</v>
      </c>
      <c r="C611" t="s">
        <v>2066</v>
      </c>
      <c r="D611" t="s">
        <v>24</v>
      </c>
    </row>
    <row r="612" spans="1:4" x14ac:dyDescent="0.3">
      <c r="A612" t="s">
        <v>2145</v>
      </c>
      <c r="B612" t="s">
        <v>2114</v>
      </c>
      <c r="C612" t="s">
        <v>2066</v>
      </c>
      <c r="D612" t="s">
        <v>24</v>
      </c>
    </row>
    <row r="613" spans="1:4" x14ac:dyDescent="0.3">
      <c r="A613" t="s">
        <v>2146</v>
      </c>
      <c r="B613" t="s">
        <v>2114</v>
      </c>
      <c r="C613" t="s">
        <v>2066</v>
      </c>
      <c r="D613" t="s">
        <v>24</v>
      </c>
    </row>
    <row r="614" spans="1:4" x14ac:dyDescent="0.3">
      <c r="A614" t="s">
        <v>2147</v>
      </c>
      <c r="B614" t="s">
        <v>2114</v>
      </c>
      <c r="C614" t="s">
        <v>2066</v>
      </c>
      <c r="D614" t="s">
        <v>24</v>
      </c>
    </row>
    <row r="615" spans="1:4" x14ac:dyDescent="0.3">
      <c r="A615" t="s">
        <v>2092</v>
      </c>
      <c r="B615" t="s">
        <v>2148</v>
      </c>
      <c r="C615" t="s">
        <v>2066</v>
      </c>
      <c r="D615" t="s">
        <v>24</v>
      </c>
    </row>
    <row r="616" spans="1:4" x14ac:dyDescent="0.3">
      <c r="A616" t="s">
        <v>2120</v>
      </c>
      <c r="B616" t="s">
        <v>2148</v>
      </c>
      <c r="C616" t="s">
        <v>2066</v>
      </c>
      <c r="D616" t="s">
        <v>24</v>
      </c>
    </row>
    <row r="617" spans="1:4" x14ac:dyDescent="0.3">
      <c r="A617" t="s">
        <v>2149</v>
      </c>
      <c r="B617" t="s">
        <v>2148</v>
      </c>
      <c r="C617" t="s">
        <v>2066</v>
      </c>
      <c r="D617" t="s">
        <v>24</v>
      </c>
    </row>
    <row r="618" spans="1:4" x14ac:dyDescent="0.3">
      <c r="A618" t="s">
        <v>2150</v>
      </c>
      <c r="B618" t="s">
        <v>2148</v>
      </c>
      <c r="C618" t="s">
        <v>2066</v>
      </c>
      <c r="D618" t="s">
        <v>24</v>
      </c>
    </row>
    <row r="619" spans="1:4" x14ac:dyDescent="0.3">
      <c r="A619" t="s">
        <v>2151</v>
      </c>
      <c r="B619" t="s">
        <v>2148</v>
      </c>
      <c r="C619" t="s">
        <v>2066</v>
      </c>
      <c r="D619" t="s">
        <v>24</v>
      </c>
    </row>
    <row r="620" spans="1:4" x14ac:dyDescent="0.3">
      <c r="A620" t="s">
        <v>2152</v>
      </c>
      <c r="B620" t="s">
        <v>2148</v>
      </c>
      <c r="C620" t="s">
        <v>2066</v>
      </c>
      <c r="D620" t="s">
        <v>24</v>
      </c>
    </row>
    <row r="621" spans="1:4" x14ac:dyDescent="0.3">
      <c r="A621" t="s">
        <v>2100</v>
      </c>
      <c r="B621" t="s">
        <v>2148</v>
      </c>
      <c r="C621" t="s">
        <v>2066</v>
      </c>
      <c r="D621" t="s">
        <v>24</v>
      </c>
    </row>
    <row r="622" spans="1:4" x14ac:dyDescent="0.3">
      <c r="A622" t="s">
        <v>2094</v>
      </c>
      <c r="B622" t="s">
        <v>2148</v>
      </c>
      <c r="C622" t="s">
        <v>2066</v>
      </c>
      <c r="D622" t="s">
        <v>24</v>
      </c>
    </row>
    <row r="623" spans="1:4" x14ac:dyDescent="0.3">
      <c r="A623" t="s">
        <v>2153</v>
      </c>
      <c r="B623" t="s">
        <v>2148</v>
      </c>
      <c r="C623" t="s">
        <v>2066</v>
      </c>
      <c r="D623" t="s">
        <v>24</v>
      </c>
    </row>
    <row r="624" spans="1:4" x14ac:dyDescent="0.3">
      <c r="A624" t="s">
        <v>2154</v>
      </c>
      <c r="B624" t="s">
        <v>2148</v>
      </c>
      <c r="C624" t="s">
        <v>2066</v>
      </c>
      <c r="D624" t="s">
        <v>24</v>
      </c>
    </row>
    <row r="625" spans="1:4" x14ac:dyDescent="0.3">
      <c r="A625" t="s">
        <v>2155</v>
      </c>
      <c r="B625" t="s">
        <v>2148</v>
      </c>
      <c r="C625" t="s">
        <v>2066</v>
      </c>
      <c r="D625" t="s">
        <v>24</v>
      </c>
    </row>
    <row r="626" spans="1:4" x14ac:dyDescent="0.3">
      <c r="A626" t="s">
        <v>2097</v>
      </c>
      <c r="B626" t="s">
        <v>2148</v>
      </c>
      <c r="C626" t="s">
        <v>2066</v>
      </c>
      <c r="D626" t="s">
        <v>24</v>
      </c>
    </row>
    <row r="627" spans="1:4" x14ac:dyDescent="0.3">
      <c r="A627" t="s">
        <v>1224</v>
      </c>
      <c r="B627" t="s">
        <v>2148</v>
      </c>
      <c r="C627" t="s">
        <v>2066</v>
      </c>
      <c r="D627" t="s">
        <v>24</v>
      </c>
    </row>
    <row r="628" spans="1:4" x14ac:dyDescent="0.3">
      <c r="A628" t="s">
        <v>2156</v>
      </c>
      <c r="B628" t="s">
        <v>2148</v>
      </c>
      <c r="C628" t="s">
        <v>2066</v>
      </c>
      <c r="D628" t="s">
        <v>24</v>
      </c>
    </row>
    <row r="629" spans="1:4" x14ac:dyDescent="0.3">
      <c r="A629" t="s">
        <v>2091</v>
      </c>
      <c r="B629" t="s">
        <v>2148</v>
      </c>
      <c r="C629" t="s">
        <v>2066</v>
      </c>
      <c r="D629" t="s">
        <v>24</v>
      </c>
    </row>
    <row r="630" spans="1:4" x14ac:dyDescent="0.3">
      <c r="A630" t="s">
        <v>2157</v>
      </c>
      <c r="B630" t="s">
        <v>2148</v>
      </c>
      <c r="C630" t="s">
        <v>2066</v>
      </c>
      <c r="D630" t="s">
        <v>24</v>
      </c>
    </row>
    <row r="631" spans="1:4" x14ac:dyDescent="0.3">
      <c r="A631" t="s">
        <v>2078</v>
      </c>
      <c r="B631" t="s">
        <v>2148</v>
      </c>
      <c r="C631" t="s">
        <v>2066</v>
      </c>
      <c r="D631" t="s">
        <v>24</v>
      </c>
    </row>
    <row r="632" spans="1:4" x14ac:dyDescent="0.3">
      <c r="A632" t="s">
        <v>2134</v>
      </c>
      <c r="B632" t="s">
        <v>2148</v>
      </c>
      <c r="C632" t="s">
        <v>2066</v>
      </c>
      <c r="D632" t="s">
        <v>24</v>
      </c>
    </row>
    <row r="633" spans="1:4" x14ac:dyDescent="0.3">
      <c r="A633" t="s">
        <v>2158</v>
      </c>
      <c r="B633" t="s">
        <v>2148</v>
      </c>
      <c r="C633" t="s">
        <v>2066</v>
      </c>
      <c r="D633" t="s">
        <v>24</v>
      </c>
    </row>
    <row r="634" spans="1:4" x14ac:dyDescent="0.3">
      <c r="A634" t="s">
        <v>2118</v>
      </c>
      <c r="B634" t="s">
        <v>2148</v>
      </c>
      <c r="C634" t="s">
        <v>2066</v>
      </c>
      <c r="D634" t="s">
        <v>24</v>
      </c>
    </row>
    <row r="635" spans="1:4" x14ac:dyDescent="0.3">
      <c r="A635" t="s">
        <v>2117</v>
      </c>
      <c r="B635" t="s">
        <v>2148</v>
      </c>
      <c r="C635" t="s">
        <v>2066</v>
      </c>
      <c r="D635" t="s">
        <v>24</v>
      </c>
    </row>
    <row r="636" spans="1:4" x14ac:dyDescent="0.3">
      <c r="A636" t="s">
        <v>2093</v>
      </c>
      <c r="B636" t="s">
        <v>2148</v>
      </c>
      <c r="C636" t="s">
        <v>2066</v>
      </c>
      <c r="D636" t="s">
        <v>24</v>
      </c>
    </row>
    <row r="637" spans="1:4" x14ac:dyDescent="0.3">
      <c r="A637" t="s">
        <v>2096</v>
      </c>
      <c r="B637" t="s">
        <v>2148</v>
      </c>
      <c r="C637" t="s">
        <v>2066</v>
      </c>
      <c r="D637" t="s">
        <v>24</v>
      </c>
    </row>
    <row r="638" spans="1:4" x14ac:dyDescent="0.3">
      <c r="A638" t="s">
        <v>2116</v>
      </c>
      <c r="B638" t="s">
        <v>2148</v>
      </c>
      <c r="C638" t="s">
        <v>2066</v>
      </c>
      <c r="D638" t="s">
        <v>24</v>
      </c>
    </row>
    <row r="639" spans="1:4" x14ac:dyDescent="0.3">
      <c r="A639" t="s">
        <v>2121</v>
      </c>
      <c r="B639" t="s">
        <v>2148</v>
      </c>
      <c r="C639" t="s">
        <v>2066</v>
      </c>
      <c r="D639" t="s">
        <v>24</v>
      </c>
    </row>
    <row r="640" spans="1:4" x14ac:dyDescent="0.3">
      <c r="A640" t="s">
        <v>2124</v>
      </c>
      <c r="B640" t="s">
        <v>2148</v>
      </c>
      <c r="C640" t="s">
        <v>2066</v>
      </c>
      <c r="D640" t="s">
        <v>24</v>
      </c>
    </row>
    <row r="641" spans="1:4" x14ac:dyDescent="0.3">
      <c r="A641" t="s">
        <v>2127</v>
      </c>
      <c r="B641" t="s">
        <v>2148</v>
      </c>
      <c r="C641" t="s">
        <v>2066</v>
      </c>
      <c r="D641" t="s">
        <v>24</v>
      </c>
    </row>
    <row r="642" spans="1:4" x14ac:dyDescent="0.3">
      <c r="A642" t="s">
        <v>2130</v>
      </c>
      <c r="B642" t="s">
        <v>2148</v>
      </c>
      <c r="C642" t="s">
        <v>2066</v>
      </c>
      <c r="D642" t="s">
        <v>24</v>
      </c>
    </row>
    <row r="643" spans="1:4" x14ac:dyDescent="0.3">
      <c r="A643" t="s">
        <v>2126</v>
      </c>
      <c r="B643" t="s">
        <v>2148</v>
      </c>
      <c r="C643" t="s">
        <v>2066</v>
      </c>
      <c r="D643" t="s">
        <v>24</v>
      </c>
    </row>
    <row r="644" spans="1:4" x14ac:dyDescent="0.3">
      <c r="A644" t="s">
        <v>2160</v>
      </c>
      <c r="B644" t="s">
        <v>2148</v>
      </c>
      <c r="C644" t="s">
        <v>2066</v>
      </c>
      <c r="D644" t="s">
        <v>24</v>
      </c>
    </row>
    <row r="645" spans="1:4" x14ac:dyDescent="0.3">
      <c r="A645" t="s">
        <v>2127</v>
      </c>
      <c r="B645" t="s">
        <v>2148</v>
      </c>
      <c r="C645" t="s">
        <v>2066</v>
      </c>
      <c r="D645" t="s">
        <v>24</v>
      </c>
    </row>
    <row r="646" spans="1:4" x14ac:dyDescent="0.3">
      <c r="A646" t="s">
        <v>2125</v>
      </c>
      <c r="B646" t="s">
        <v>2148</v>
      </c>
      <c r="C646" t="s">
        <v>2066</v>
      </c>
      <c r="D646" t="s">
        <v>24</v>
      </c>
    </row>
    <row r="647" spans="1:4" x14ac:dyDescent="0.3">
      <c r="A647" t="s">
        <v>2129</v>
      </c>
      <c r="B647" t="s">
        <v>2148</v>
      </c>
      <c r="C647" t="s">
        <v>2066</v>
      </c>
      <c r="D647" t="s">
        <v>24</v>
      </c>
    </row>
    <row r="648" spans="1:4" x14ac:dyDescent="0.3">
      <c r="A648" t="s">
        <v>2131</v>
      </c>
      <c r="B648" t="s">
        <v>2148</v>
      </c>
      <c r="C648" t="s">
        <v>2066</v>
      </c>
      <c r="D648" t="s">
        <v>24</v>
      </c>
    </row>
    <row r="649" spans="1:4" x14ac:dyDescent="0.3">
      <c r="A649" t="s">
        <v>2161</v>
      </c>
      <c r="B649" t="s">
        <v>2148</v>
      </c>
      <c r="C649" t="s">
        <v>2066</v>
      </c>
      <c r="D649" t="s">
        <v>24</v>
      </c>
    </row>
    <row r="650" spans="1:4" x14ac:dyDescent="0.3">
      <c r="A650" t="s">
        <v>2124</v>
      </c>
      <c r="B650" t="s">
        <v>2148</v>
      </c>
      <c r="C650" t="s">
        <v>2066</v>
      </c>
      <c r="D650" t="s">
        <v>24</v>
      </c>
    </row>
    <row r="651" spans="1:4" x14ac:dyDescent="0.3">
      <c r="A651" t="s">
        <v>2121</v>
      </c>
      <c r="B651" t="s">
        <v>2148</v>
      </c>
      <c r="C651" t="s">
        <v>2066</v>
      </c>
      <c r="D651" t="s">
        <v>24</v>
      </c>
    </row>
    <row r="652" spans="1:4" x14ac:dyDescent="0.3">
      <c r="A652" t="s">
        <v>2126</v>
      </c>
      <c r="B652" t="s">
        <v>2148</v>
      </c>
      <c r="C652" t="s">
        <v>2066</v>
      </c>
      <c r="D652" t="s">
        <v>24</v>
      </c>
    </row>
    <row r="653" spans="1:4" x14ac:dyDescent="0.3">
      <c r="A653" t="s">
        <v>2130</v>
      </c>
      <c r="B653" t="s">
        <v>2148</v>
      </c>
      <c r="C653" t="s">
        <v>2066</v>
      </c>
      <c r="D653" t="s">
        <v>24</v>
      </c>
    </row>
    <row r="654" spans="1:4" x14ac:dyDescent="0.3">
      <c r="A654" t="s">
        <v>2128</v>
      </c>
      <c r="B654" t="s">
        <v>2148</v>
      </c>
      <c r="C654" t="s">
        <v>2066</v>
      </c>
      <c r="D654" t="s">
        <v>24</v>
      </c>
    </row>
    <row r="655" spans="1:4" x14ac:dyDescent="0.3">
      <c r="A655" s="553" t="s">
        <v>2829</v>
      </c>
      <c r="B655" s="553" t="s">
        <v>2830</v>
      </c>
      <c r="C655" s="255" t="s">
        <v>2357</v>
      </c>
      <c r="D655" s="255" t="s">
        <v>24</v>
      </c>
    </row>
    <row r="656" spans="1:4" x14ac:dyDescent="0.3">
      <c r="A656" s="553" t="s">
        <v>2831</v>
      </c>
      <c r="B656" s="553" t="s">
        <v>2830</v>
      </c>
      <c r="C656" s="255" t="s">
        <v>2357</v>
      </c>
      <c r="D656" s="255" t="s">
        <v>24</v>
      </c>
    </row>
    <row r="657" spans="1:4" x14ac:dyDescent="0.3">
      <c r="A657" s="553" t="s">
        <v>2832</v>
      </c>
      <c r="B657" s="553" t="s">
        <v>2830</v>
      </c>
      <c r="C657" s="255" t="s">
        <v>2357</v>
      </c>
      <c r="D657" s="255" t="s">
        <v>24</v>
      </c>
    </row>
    <row r="658" spans="1:4" x14ac:dyDescent="0.3">
      <c r="A658" s="553" t="s">
        <v>1786</v>
      </c>
      <c r="B658" s="553" t="s">
        <v>2830</v>
      </c>
      <c r="C658" s="255" t="s">
        <v>2357</v>
      </c>
      <c r="D658" s="255" t="s">
        <v>24</v>
      </c>
    </row>
    <row r="659" spans="1:4" x14ac:dyDescent="0.3">
      <c r="A659" s="553" t="s">
        <v>1917</v>
      </c>
      <c r="B659" s="553" t="s">
        <v>2830</v>
      </c>
      <c r="C659" s="255" t="s">
        <v>2357</v>
      </c>
      <c r="D659" s="255" t="s">
        <v>24</v>
      </c>
    </row>
    <row r="660" spans="1:4" x14ac:dyDescent="0.3">
      <c r="A660" s="553" t="s">
        <v>2833</v>
      </c>
      <c r="B660" s="553" t="s">
        <v>2830</v>
      </c>
      <c r="C660" s="255" t="s">
        <v>2357</v>
      </c>
      <c r="D660" s="255" t="s">
        <v>24</v>
      </c>
    </row>
    <row r="661" spans="1:4" x14ac:dyDescent="0.3">
      <c r="A661" s="553" t="s">
        <v>2834</v>
      </c>
      <c r="B661" s="553" t="s">
        <v>2830</v>
      </c>
      <c r="C661" s="255" t="s">
        <v>2357</v>
      </c>
      <c r="D661" s="255" t="s">
        <v>24</v>
      </c>
    </row>
    <row r="662" spans="1:4" x14ac:dyDescent="0.3">
      <c r="A662" s="553" t="s">
        <v>2835</v>
      </c>
      <c r="B662" s="553" t="s">
        <v>2830</v>
      </c>
      <c r="C662" s="255" t="s">
        <v>2357</v>
      </c>
      <c r="D662" s="255" t="s">
        <v>24</v>
      </c>
    </row>
    <row r="663" spans="1:4" x14ac:dyDescent="0.3">
      <c r="A663" s="553" t="s">
        <v>2836</v>
      </c>
      <c r="B663" s="553" t="s">
        <v>2830</v>
      </c>
      <c r="C663" s="255" t="s">
        <v>2357</v>
      </c>
      <c r="D663" s="255" t="s">
        <v>24</v>
      </c>
    </row>
    <row r="664" spans="1:4" x14ac:dyDescent="0.3">
      <c r="A664" s="553" t="s">
        <v>2837</v>
      </c>
      <c r="B664" s="553" t="s">
        <v>2830</v>
      </c>
      <c r="C664" s="255" t="s">
        <v>2357</v>
      </c>
      <c r="D664" s="255" t="s">
        <v>24</v>
      </c>
    </row>
    <row r="665" spans="1:4" x14ac:dyDescent="0.3">
      <c r="A665" s="553" t="s">
        <v>2838</v>
      </c>
      <c r="B665" s="553" t="s">
        <v>2830</v>
      </c>
      <c r="C665" s="255" t="s">
        <v>2357</v>
      </c>
      <c r="D665" s="255" t="s">
        <v>24</v>
      </c>
    </row>
    <row r="666" spans="1:4" x14ac:dyDescent="0.3">
      <c r="A666" s="553" t="s">
        <v>1913</v>
      </c>
      <c r="B666" s="553" t="s">
        <v>2830</v>
      </c>
      <c r="C666" s="255" t="s">
        <v>2357</v>
      </c>
      <c r="D666" s="255" t="s">
        <v>24</v>
      </c>
    </row>
    <row r="667" spans="1:4" x14ac:dyDescent="0.3">
      <c r="A667" s="553" t="s">
        <v>2839</v>
      </c>
      <c r="B667" s="553" t="s">
        <v>2830</v>
      </c>
      <c r="C667" s="255" t="s">
        <v>2357</v>
      </c>
      <c r="D667" s="255" t="s">
        <v>24</v>
      </c>
    </row>
    <row r="668" spans="1:4" x14ac:dyDescent="0.3">
      <c r="A668" s="553" t="s">
        <v>2840</v>
      </c>
      <c r="B668" s="553" t="s">
        <v>2830</v>
      </c>
      <c r="C668" s="255" t="s">
        <v>2357</v>
      </c>
      <c r="D668" s="255" t="s">
        <v>24</v>
      </c>
    </row>
    <row r="669" spans="1:4" x14ac:dyDescent="0.3">
      <c r="A669" s="553" t="s">
        <v>2841</v>
      </c>
      <c r="B669" s="553" t="s">
        <v>2830</v>
      </c>
      <c r="C669" s="255" t="s">
        <v>2357</v>
      </c>
      <c r="D669" s="255" t="s">
        <v>24</v>
      </c>
    </row>
    <row r="670" spans="1:4" x14ac:dyDescent="0.3">
      <c r="A670" s="553" t="s">
        <v>2842</v>
      </c>
      <c r="B670" s="553" t="s">
        <v>2830</v>
      </c>
      <c r="C670" s="255" t="s">
        <v>2357</v>
      </c>
      <c r="D670" s="255" t="s">
        <v>24</v>
      </c>
    </row>
    <row r="671" spans="1:4" x14ac:dyDescent="0.3">
      <c r="A671" s="553" t="s">
        <v>2843</v>
      </c>
      <c r="B671" s="553" t="s">
        <v>2830</v>
      </c>
      <c r="C671" s="255" t="s">
        <v>2357</v>
      </c>
      <c r="D671" s="255" t="s">
        <v>24</v>
      </c>
    </row>
    <row r="672" spans="1:4" x14ac:dyDescent="0.3">
      <c r="A672" s="553" t="s">
        <v>2844</v>
      </c>
      <c r="B672" s="553" t="s">
        <v>2830</v>
      </c>
      <c r="C672" s="255" t="s">
        <v>2357</v>
      </c>
      <c r="D672" s="255" t="s">
        <v>24</v>
      </c>
    </row>
    <row r="673" spans="1:4" x14ac:dyDescent="0.3">
      <c r="A673" s="553" t="s">
        <v>2845</v>
      </c>
      <c r="B673" s="553" t="s">
        <v>2830</v>
      </c>
      <c r="C673" s="255" t="s">
        <v>2357</v>
      </c>
      <c r="D673" s="255" t="s">
        <v>24</v>
      </c>
    </row>
    <row r="674" spans="1:4" x14ac:dyDescent="0.3">
      <c r="A674" s="553" t="s">
        <v>2846</v>
      </c>
      <c r="B674" s="553" t="s">
        <v>2830</v>
      </c>
      <c r="C674" s="255" t="s">
        <v>2357</v>
      </c>
      <c r="D674" s="255" t="s">
        <v>24</v>
      </c>
    </row>
    <row r="675" spans="1:4" x14ac:dyDescent="0.3">
      <c r="A675" s="553" t="s">
        <v>2847</v>
      </c>
      <c r="B675" s="553" t="s">
        <v>2830</v>
      </c>
      <c r="C675" s="255" t="s">
        <v>2357</v>
      </c>
      <c r="D675" s="255" t="s">
        <v>24</v>
      </c>
    </row>
    <row r="676" spans="1:4" x14ac:dyDescent="0.3">
      <c r="A676" s="553" t="s">
        <v>1938</v>
      </c>
      <c r="B676" s="553" t="s">
        <v>2830</v>
      </c>
      <c r="C676" s="255" t="s">
        <v>2357</v>
      </c>
      <c r="D676" s="255" t="s">
        <v>24</v>
      </c>
    </row>
    <row r="677" spans="1:4" x14ac:dyDescent="0.3">
      <c r="A677" s="553" t="s">
        <v>1787</v>
      </c>
      <c r="B677" s="553" t="s">
        <v>2830</v>
      </c>
      <c r="C677" s="255" t="s">
        <v>2357</v>
      </c>
      <c r="D677" s="255" t="s">
        <v>24</v>
      </c>
    </row>
    <row r="678" spans="1:4" x14ac:dyDescent="0.3">
      <c r="A678" s="553" t="s">
        <v>1795</v>
      </c>
      <c r="B678" s="553" t="s">
        <v>2830</v>
      </c>
      <c r="C678" s="255" t="s">
        <v>2357</v>
      </c>
      <c r="D678" s="255" t="s">
        <v>24</v>
      </c>
    </row>
    <row r="679" spans="1:4" x14ac:dyDescent="0.3">
      <c r="A679" s="553" t="s">
        <v>1803</v>
      </c>
      <c r="B679" s="553" t="s">
        <v>2830</v>
      </c>
      <c r="C679" s="255" t="s">
        <v>2357</v>
      </c>
      <c r="D679" s="255" t="s">
        <v>24</v>
      </c>
    </row>
    <row r="680" spans="1:4" x14ac:dyDescent="0.3">
      <c r="A680" s="553" t="s">
        <v>2848</v>
      </c>
      <c r="B680" s="553" t="s">
        <v>2830</v>
      </c>
      <c r="C680" s="255" t="s">
        <v>2357</v>
      </c>
      <c r="D680" s="255" t="s">
        <v>24</v>
      </c>
    </row>
    <row r="681" spans="1:4" x14ac:dyDescent="0.3">
      <c r="A681" s="553" t="s">
        <v>2844</v>
      </c>
      <c r="B681" s="553" t="s">
        <v>2830</v>
      </c>
      <c r="C681" s="255" t="s">
        <v>2357</v>
      </c>
      <c r="D681" s="255" t="s">
        <v>24</v>
      </c>
    </row>
    <row r="682" spans="1:4" x14ac:dyDescent="0.3">
      <c r="A682" s="553" t="s">
        <v>2849</v>
      </c>
      <c r="B682" s="553" t="s">
        <v>2830</v>
      </c>
      <c r="C682" s="255" t="s">
        <v>2357</v>
      </c>
      <c r="D682" s="255" t="s">
        <v>24</v>
      </c>
    </row>
    <row r="683" spans="1:4" x14ac:dyDescent="0.3">
      <c r="A683" s="553" t="s">
        <v>2846</v>
      </c>
      <c r="B683" s="553" t="s">
        <v>2830</v>
      </c>
      <c r="C683" s="255" t="s">
        <v>2357</v>
      </c>
      <c r="D683" s="255" t="s">
        <v>24</v>
      </c>
    </row>
    <row r="684" spans="1:4" x14ac:dyDescent="0.3">
      <c r="A684" s="553" t="s">
        <v>2847</v>
      </c>
      <c r="B684" s="553" t="s">
        <v>2830</v>
      </c>
      <c r="C684" s="255" t="s">
        <v>2357</v>
      </c>
      <c r="D684" s="255" t="s">
        <v>24</v>
      </c>
    </row>
    <row r="685" spans="1:4" x14ac:dyDescent="0.3">
      <c r="A685" s="553" t="s">
        <v>2850</v>
      </c>
      <c r="B685" s="553" t="s">
        <v>2830</v>
      </c>
      <c r="C685" s="255" t="s">
        <v>2357</v>
      </c>
      <c r="D685" s="255" t="s">
        <v>24</v>
      </c>
    </row>
    <row r="686" spans="1:4" x14ac:dyDescent="0.3">
      <c r="A686" s="553" t="s">
        <v>1938</v>
      </c>
      <c r="B686" s="553" t="s">
        <v>2830</v>
      </c>
      <c r="C686" s="255" t="s">
        <v>2357</v>
      </c>
      <c r="D686" s="255" t="s">
        <v>24</v>
      </c>
    </row>
    <row r="687" spans="1:4" x14ac:dyDescent="0.3">
      <c r="A687" s="553" t="s">
        <v>1787</v>
      </c>
      <c r="B687" s="553" t="s">
        <v>2830</v>
      </c>
      <c r="C687" s="255" t="s">
        <v>2357</v>
      </c>
      <c r="D687" s="255" t="s">
        <v>24</v>
      </c>
    </row>
    <row r="688" spans="1:4" x14ac:dyDescent="0.3">
      <c r="A688" s="553" t="s">
        <v>1795</v>
      </c>
      <c r="B688" s="553" t="s">
        <v>2830</v>
      </c>
      <c r="C688" s="255" t="s">
        <v>2357</v>
      </c>
      <c r="D688" s="255" t="s">
        <v>24</v>
      </c>
    </row>
    <row r="689" spans="1:4" x14ac:dyDescent="0.3">
      <c r="A689" s="553" t="s">
        <v>1803</v>
      </c>
      <c r="B689" s="553" t="s">
        <v>2830</v>
      </c>
      <c r="C689" s="255" t="s">
        <v>2357</v>
      </c>
      <c r="D689" s="255" t="s">
        <v>24</v>
      </c>
    </row>
    <row r="690" spans="1:4" x14ac:dyDescent="0.3">
      <c r="A690" s="553" t="s">
        <v>2848</v>
      </c>
      <c r="B690" s="553" t="s">
        <v>2830</v>
      </c>
      <c r="C690" s="255" t="s">
        <v>2357</v>
      </c>
      <c r="D690" s="255" t="s">
        <v>24</v>
      </c>
    </row>
    <row r="691" spans="1:4" x14ac:dyDescent="0.3">
      <c r="A691" s="553" t="s">
        <v>2845</v>
      </c>
      <c r="B691" s="553" t="s">
        <v>2830</v>
      </c>
      <c r="C691" s="255" t="s">
        <v>2357</v>
      </c>
      <c r="D691" s="255" t="s">
        <v>24</v>
      </c>
    </row>
    <row r="692" spans="1:4" x14ac:dyDescent="0.3">
      <c r="A692" s="553" t="s">
        <v>1804</v>
      </c>
      <c r="B692" s="553" t="s">
        <v>2830</v>
      </c>
      <c r="C692" s="255" t="s">
        <v>2357</v>
      </c>
      <c r="D692" s="255" t="s">
        <v>24</v>
      </c>
    </row>
    <row r="693" spans="1:4" x14ac:dyDescent="0.3">
      <c r="A693" s="553" t="s">
        <v>2851</v>
      </c>
      <c r="B693" s="553" t="s">
        <v>2830</v>
      </c>
      <c r="C693" s="255" t="s">
        <v>2357</v>
      </c>
      <c r="D693" s="255" t="s">
        <v>24</v>
      </c>
    </row>
    <row r="694" spans="1:4" x14ac:dyDescent="0.3">
      <c r="A694" s="553" t="s">
        <v>2852</v>
      </c>
      <c r="B694" s="553" t="s">
        <v>2830</v>
      </c>
      <c r="C694" s="255" t="s">
        <v>2357</v>
      </c>
      <c r="D694" s="255" t="s">
        <v>24</v>
      </c>
    </row>
    <row r="695" spans="1:4" x14ac:dyDescent="0.3">
      <c r="A695" s="553" t="s">
        <v>1650</v>
      </c>
      <c r="B695" s="553" t="s">
        <v>2830</v>
      </c>
      <c r="C695" s="255" t="s">
        <v>2357</v>
      </c>
      <c r="D695" s="255" t="s">
        <v>24</v>
      </c>
    </row>
    <row r="696" spans="1:4" x14ac:dyDescent="0.3">
      <c r="A696" s="553" t="s">
        <v>2853</v>
      </c>
      <c r="B696" s="553" t="s">
        <v>2830</v>
      </c>
      <c r="C696" s="255" t="s">
        <v>2357</v>
      </c>
      <c r="D696" s="255" t="s">
        <v>24</v>
      </c>
    </row>
    <row r="697" spans="1:4" x14ac:dyDescent="0.3">
      <c r="A697" s="553" t="s">
        <v>2854</v>
      </c>
      <c r="B697" s="553" t="s">
        <v>2830</v>
      </c>
      <c r="C697" s="255" t="s">
        <v>2357</v>
      </c>
      <c r="D697" s="255" t="s">
        <v>24</v>
      </c>
    </row>
    <row r="698" spans="1:4" x14ac:dyDescent="0.3">
      <c r="A698" s="553" t="s">
        <v>2855</v>
      </c>
      <c r="B698" s="553" t="s">
        <v>2830</v>
      </c>
      <c r="C698" s="255" t="s">
        <v>2357</v>
      </c>
      <c r="D698" s="255" t="s">
        <v>24</v>
      </c>
    </row>
    <row r="699" spans="1:4" x14ac:dyDescent="0.3">
      <c r="A699" s="553" t="s">
        <v>1804</v>
      </c>
      <c r="B699" s="553" t="s">
        <v>2830</v>
      </c>
      <c r="C699" s="255" t="s">
        <v>2357</v>
      </c>
      <c r="D699" s="255" t="s">
        <v>24</v>
      </c>
    </row>
    <row r="700" spans="1:4" x14ac:dyDescent="0.3">
      <c r="A700" s="553" t="s">
        <v>2851</v>
      </c>
      <c r="B700" s="553" t="s">
        <v>2830</v>
      </c>
      <c r="C700" s="255" t="s">
        <v>2357</v>
      </c>
      <c r="D700" s="255" t="s">
        <v>24</v>
      </c>
    </row>
    <row r="701" spans="1:4" x14ac:dyDescent="0.3">
      <c r="A701" s="553" t="s">
        <v>2856</v>
      </c>
      <c r="B701" s="553" t="s">
        <v>2830</v>
      </c>
      <c r="C701" s="255" t="s">
        <v>2357</v>
      </c>
      <c r="D701" s="255" t="s">
        <v>24</v>
      </c>
    </row>
    <row r="702" spans="1:4" x14ac:dyDescent="0.3">
      <c r="A702" s="553" t="s">
        <v>2853</v>
      </c>
      <c r="B702" s="553" t="s">
        <v>2830</v>
      </c>
      <c r="C702" s="255" t="s">
        <v>2357</v>
      </c>
      <c r="D702" s="255" t="s">
        <v>24</v>
      </c>
    </row>
    <row r="703" spans="1:4" x14ac:dyDescent="0.3">
      <c r="A703" s="553" t="s">
        <v>2857</v>
      </c>
      <c r="B703" s="553" t="s">
        <v>2830</v>
      </c>
      <c r="C703" s="255" t="s">
        <v>2357</v>
      </c>
      <c r="D703" s="255" t="s">
        <v>24</v>
      </c>
    </row>
    <row r="704" spans="1:4" x14ac:dyDescent="0.3">
      <c r="A704" s="553" t="s">
        <v>2858</v>
      </c>
      <c r="B704" s="553" t="s">
        <v>2859</v>
      </c>
      <c r="C704" s="255" t="s">
        <v>2357</v>
      </c>
      <c r="D704" s="255" t="s">
        <v>24</v>
      </c>
    </row>
    <row r="705" spans="1:4" x14ac:dyDescent="0.3">
      <c r="A705" s="553" t="s">
        <v>2860</v>
      </c>
      <c r="B705" s="553" t="s">
        <v>2859</v>
      </c>
      <c r="C705" s="255" t="s">
        <v>2357</v>
      </c>
      <c r="D705" s="255" t="s">
        <v>24</v>
      </c>
    </row>
    <row r="706" spans="1:4" x14ac:dyDescent="0.3">
      <c r="A706" s="553" t="s">
        <v>1901</v>
      </c>
      <c r="B706" s="553" t="s">
        <v>2859</v>
      </c>
      <c r="C706" s="255" t="s">
        <v>2357</v>
      </c>
      <c r="D706" s="255" t="s">
        <v>24</v>
      </c>
    </row>
    <row r="707" spans="1:4" x14ac:dyDescent="0.3">
      <c r="A707" s="553" t="s">
        <v>2861</v>
      </c>
      <c r="B707" s="553" t="s">
        <v>2859</v>
      </c>
      <c r="C707" s="255" t="s">
        <v>2357</v>
      </c>
      <c r="D707" s="255" t="s">
        <v>24</v>
      </c>
    </row>
    <row r="708" spans="1:4" x14ac:dyDescent="0.3">
      <c r="A708" s="553" t="s">
        <v>2862</v>
      </c>
      <c r="B708" s="553" t="s">
        <v>2859</v>
      </c>
      <c r="C708" s="255" t="s">
        <v>2357</v>
      </c>
      <c r="D708" s="255" t="s">
        <v>24</v>
      </c>
    </row>
    <row r="709" spans="1:4" x14ac:dyDescent="0.3">
      <c r="A709" s="553" t="s">
        <v>2863</v>
      </c>
      <c r="B709" s="553" t="s">
        <v>2859</v>
      </c>
      <c r="C709" s="255" t="s">
        <v>2357</v>
      </c>
      <c r="D709" s="255" t="s">
        <v>24</v>
      </c>
    </row>
    <row r="710" spans="1:4" x14ac:dyDescent="0.3">
      <c r="A710" s="553" t="s">
        <v>2864</v>
      </c>
      <c r="B710" s="553" t="s">
        <v>2859</v>
      </c>
      <c r="C710" s="255" t="s">
        <v>2357</v>
      </c>
      <c r="D710" s="255" t="s">
        <v>24</v>
      </c>
    </row>
    <row r="711" spans="1:4" x14ac:dyDescent="0.3">
      <c r="A711" s="553" t="s">
        <v>1895</v>
      </c>
      <c r="B711" s="553" t="s">
        <v>2859</v>
      </c>
      <c r="C711" s="255" t="s">
        <v>2357</v>
      </c>
      <c r="D711" s="255" t="s">
        <v>24</v>
      </c>
    </row>
    <row r="712" spans="1:4" x14ac:dyDescent="0.3">
      <c r="A712" s="553" t="s">
        <v>2865</v>
      </c>
      <c r="B712" s="553" t="s">
        <v>2859</v>
      </c>
      <c r="C712" s="255" t="s">
        <v>2357</v>
      </c>
      <c r="D712" s="255" t="s">
        <v>24</v>
      </c>
    </row>
    <row r="713" spans="1:4" x14ac:dyDescent="0.3">
      <c r="A713" s="553" t="s">
        <v>1896</v>
      </c>
      <c r="B713" s="553" t="s">
        <v>2859</v>
      </c>
      <c r="C713" s="255" t="s">
        <v>2357</v>
      </c>
      <c r="D713" s="255" t="s">
        <v>24</v>
      </c>
    </row>
    <row r="714" spans="1:4" x14ac:dyDescent="0.3">
      <c r="A714" s="553" t="s">
        <v>1900</v>
      </c>
      <c r="B714" s="553" t="s">
        <v>2859</v>
      </c>
      <c r="C714" s="255" t="s">
        <v>2357</v>
      </c>
      <c r="D714" s="255" t="s">
        <v>24</v>
      </c>
    </row>
    <row r="715" spans="1:4" x14ac:dyDescent="0.3">
      <c r="A715" s="553" t="s">
        <v>2866</v>
      </c>
      <c r="B715" s="553" t="s">
        <v>2859</v>
      </c>
      <c r="C715" s="255" t="s">
        <v>2357</v>
      </c>
      <c r="D715" s="255" t="s">
        <v>24</v>
      </c>
    </row>
    <row r="716" spans="1:4" x14ac:dyDescent="0.3">
      <c r="A716" s="553" t="s">
        <v>2867</v>
      </c>
      <c r="B716" s="553" t="s">
        <v>2859</v>
      </c>
      <c r="C716" s="255" t="s">
        <v>2357</v>
      </c>
      <c r="D716" s="255" t="s">
        <v>24</v>
      </c>
    </row>
    <row r="717" spans="1:4" x14ac:dyDescent="0.3">
      <c r="A717" s="553" t="s">
        <v>2868</v>
      </c>
      <c r="B717" s="553" t="s">
        <v>2859</v>
      </c>
      <c r="C717" s="255" t="s">
        <v>2357</v>
      </c>
      <c r="D717" s="255" t="s">
        <v>24</v>
      </c>
    </row>
    <row r="718" spans="1:4" x14ac:dyDescent="0.3">
      <c r="A718" s="553" t="s">
        <v>2869</v>
      </c>
      <c r="B718" s="553" t="s">
        <v>2859</v>
      </c>
      <c r="C718" s="255" t="s">
        <v>2357</v>
      </c>
      <c r="D718" s="255" t="s">
        <v>24</v>
      </c>
    </row>
    <row r="719" spans="1:4" x14ac:dyDescent="0.3">
      <c r="A719" s="553" t="s">
        <v>2870</v>
      </c>
      <c r="B719" s="553" t="s">
        <v>2859</v>
      </c>
      <c r="C719" s="255" t="s">
        <v>2357</v>
      </c>
      <c r="D719" s="255" t="s">
        <v>24</v>
      </c>
    </row>
    <row r="720" spans="1:4" x14ac:dyDescent="0.3">
      <c r="A720" s="553" t="s">
        <v>2871</v>
      </c>
      <c r="B720" s="553" t="s">
        <v>2859</v>
      </c>
      <c r="C720" s="255" t="s">
        <v>2357</v>
      </c>
      <c r="D720" s="255" t="s">
        <v>24</v>
      </c>
    </row>
    <row r="721" spans="1:4" x14ac:dyDescent="0.3">
      <c r="A721" s="553" t="s">
        <v>1905</v>
      </c>
      <c r="B721" s="553" t="s">
        <v>2859</v>
      </c>
      <c r="C721" s="255" t="s">
        <v>2357</v>
      </c>
      <c r="D721" s="255" t="s">
        <v>24</v>
      </c>
    </row>
    <row r="722" spans="1:4" x14ac:dyDescent="0.3">
      <c r="A722" s="553" t="s">
        <v>2872</v>
      </c>
      <c r="B722" s="553" t="s">
        <v>2859</v>
      </c>
      <c r="C722" s="255" t="s">
        <v>2357</v>
      </c>
      <c r="D722" s="255" t="s">
        <v>24</v>
      </c>
    </row>
    <row r="723" spans="1:4" x14ac:dyDescent="0.3">
      <c r="A723" s="553" t="s">
        <v>1643</v>
      </c>
      <c r="B723" s="553" t="s">
        <v>2859</v>
      </c>
      <c r="C723" s="255" t="s">
        <v>2357</v>
      </c>
      <c r="D723" s="255" t="s">
        <v>24</v>
      </c>
    </row>
    <row r="724" spans="1:4" x14ac:dyDescent="0.3">
      <c r="A724" s="553" t="s">
        <v>1897</v>
      </c>
      <c r="B724" s="553" t="s">
        <v>2859</v>
      </c>
      <c r="C724" s="255" t="s">
        <v>2357</v>
      </c>
      <c r="D724" s="255" t="s">
        <v>24</v>
      </c>
    </row>
    <row r="725" spans="1:4" x14ac:dyDescent="0.3">
      <c r="A725" s="553" t="s">
        <v>2873</v>
      </c>
      <c r="B725" s="553" t="s">
        <v>2859</v>
      </c>
      <c r="C725" s="255" t="s">
        <v>2357</v>
      </c>
      <c r="D725" s="255" t="s">
        <v>24</v>
      </c>
    </row>
    <row r="726" spans="1:4" x14ac:dyDescent="0.3">
      <c r="A726" s="553" t="s">
        <v>1643</v>
      </c>
      <c r="B726" s="553" t="s">
        <v>2859</v>
      </c>
      <c r="C726" s="255" t="s">
        <v>2357</v>
      </c>
      <c r="D726" s="255" t="s">
        <v>24</v>
      </c>
    </row>
    <row r="727" spans="1:4" x14ac:dyDescent="0.3">
      <c r="A727" s="553" t="s">
        <v>1899</v>
      </c>
      <c r="B727" s="553" t="s">
        <v>2859</v>
      </c>
      <c r="C727" s="255" t="s">
        <v>2357</v>
      </c>
      <c r="D727" s="255" t="s">
        <v>24</v>
      </c>
    </row>
    <row r="728" spans="1:4" x14ac:dyDescent="0.3">
      <c r="A728" s="553" t="s">
        <v>2874</v>
      </c>
      <c r="B728" s="553" t="s">
        <v>2859</v>
      </c>
      <c r="C728" s="255" t="s">
        <v>2357</v>
      </c>
      <c r="D728" s="255" t="s">
        <v>24</v>
      </c>
    </row>
    <row r="729" spans="1:4" x14ac:dyDescent="0.3">
      <c r="A729" s="553" t="s">
        <v>788</v>
      </c>
      <c r="B729" s="553" t="s">
        <v>2859</v>
      </c>
      <c r="C729" s="255" t="s">
        <v>2357</v>
      </c>
      <c r="D729" s="255" t="s">
        <v>24</v>
      </c>
    </row>
    <row r="730" spans="1:4" x14ac:dyDescent="0.3">
      <c r="A730" s="553" t="s">
        <v>793</v>
      </c>
      <c r="B730" s="553" t="s">
        <v>2859</v>
      </c>
      <c r="C730" s="255" t="s">
        <v>2357</v>
      </c>
      <c r="D730" s="255" t="s">
        <v>24</v>
      </c>
    </row>
    <row r="731" spans="1:4" x14ac:dyDescent="0.3">
      <c r="A731" s="553" t="s">
        <v>1643</v>
      </c>
      <c r="B731" s="553" t="s">
        <v>2859</v>
      </c>
      <c r="C731" s="255" t="s">
        <v>2357</v>
      </c>
      <c r="D731" s="255" t="s">
        <v>24</v>
      </c>
    </row>
    <row r="732" spans="1:4" x14ac:dyDescent="0.3">
      <c r="A732" s="553" t="s">
        <v>2875</v>
      </c>
      <c r="B732" s="553" t="s">
        <v>2859</v>
      </c>
      <c r="C732" s="255" t="s">
        <v>2357</v>
      </c>
      <c r="D732" s="255" t="s">
        <v>24</v>
      </c>
    </row>
    <row r="733" spans="1:4" x14ac:dyDescent="0.3">
      <c r="A733" s="553" t="s">
        <v>797</v>
      </c>
      <c r="B733" s="553" t="s">
        <v>2859</v>
      </c>
      <c r="C733" s="255" t="s">
        <v>2357</v>
      </c>
      <c r="D733" s="255" t="s">
        <v>24</v>
      </c>
    </row>
    <row r="734" spans="1:4" x14ac:dyDescent="0.3">
      <c r="A734" s="553" t="s">
        <v>1643</v>
      </c>
      <c r="B734" s="553" t="s">
        <v>2859</v>
      </c>
      <c r="C734" s="255" t="s">
        <v>2357</v>
      </c>
      <c r="D734" s="255" t="s">
        <v>24</v>
      </c>
    </row>
    <row r="735" spans="1:4" x14ac:dyDescent="0.3">
      <c r="A735" s="553" t="s">
        <v>1617</v>
      </c>
      <c r="B735" s="553" t="s">
        <v>2859</v>
      </c>
      <c r="C735" s="255" t="s">
        <v>2357</v>
      </c>
      <c r="D735" s="255" t="s">
        <v>24</v>
      </c>
    </row>
    <row r="736" spans="1:4" x14ac:dyDescent="0.3">
      <c r="A736" s="553" t="s">
        <v>795</v>
      </c>
      <c r="B736" s="553" t="s">
        <v>2859</v>
      </c>
      <c r="C736" s="255" t="s">
        <v>2357</v>
      </c>
      <c r="D736" s="255" t="s">
        <v>24</v>
      </c>
    </row>
    <row r="737" spans="1:4" x14ac:dyDescent="0.3">
      <c r="A737" s="553" t="s">
        <v>1909</v>
      </c>
      <c r="B737" s="553" t="s">
        <v>2859</v>
      </c>
      <c r="C737" s="255" t="s">
        <v>2357</v>
      </c>
      <c r="D737" s="255" t="s">
        <v>24</v>
      </c>
    </row>
    <row r="738" spans="1:4" x14ac:dyDescent="0.3">
      <c r="A738" s="553" t="s">
        <v>1898</v>
      </c>
      <c r="B738" s="553" t="s">
        <v>2859</v>
      </c>
      <c r="C738" s="255" t="s">
        <v>2357</v>
      </c>
      <c r="D738" s="255" t="s">
        <v>24</v>
      </c>
    </row>
    <row r="739" spans="1:4" x14ac:dyDescent="0.3">
      <c r="A739" s="553" t="s">
        <v>2876</v>
      </c>
      <c r="B739" s="553" t="s">
        <v>2859</v>
      </c>
      <c r="C739" s="255" t="s">
        <v>2357</v>
      </c>
      <c r="D739" s="255" t="s">
        <v>24</v>
      </c>
    </row>
    <row r="740" spans="1:4" x14ac:dyDescent="0.3">
      <c r="A740" s="553" t="s">
        <v>761</v>
      </c>
      <c r="B740" s="553" t="s">
        <v>2859</v>
      </c>
      <c r="C740" s="255" t="s">
        <v>2357</v>
      </c>
      <c r="D740" s="255" t="s">
        <v>24</v>
      </c>
    </row>
    <row r="741" spans="1:4" x14ac:dyDescent="0.3">
      <c r="A741" s="553" t="s">
        <v>1643</v>
      </c>
      <c r="B741" s="553" t="s">
        <v>2859</v>
      </c>
      <c r="C741" s="255" t="s">
        <v>2357</v>
      </c>
      <c r="D741" s="255" t="s">
        <v>24</v>
      </c>
    </row>
    <row r="742" spans="1:4" x14ac:dyDescent="0.3">
      <c r="A742" s="553" t="s">
        <v>1627</v>
      </c>
      <c r="B742" s="553" t="s">
        <v>2859</v>
      </c>
      <c r="C742" s="255" t="s">
        <v>2357</v>
      </c>
      <c r="D742" s="255" t="s">
        <v>24</v>
      </c>
    </row>
    <row r="743" spans="1:4" x14ac:dyDescent="0.3">
      <c r="A743" s="553" t="s">
        <v>761</v>
      </c>
      <c r="B743" s="553" t="s">
        <v>2859</v>
      </c>
      <c r="C743" s="255" t="s">
        <v>2357</v>
      </c>
      <c r="D743" s="255" t="s">
        <v>24</v>
      </c>
    </row>
    <row r="744" spans="1:4" x14ac:dyDescent="0.3">
      <c r="A744" s="553" t="s">
        <v>2877</v>
      </c>
      <c r="B744" s="553" t="s">
        <v>2878</v>
      </c>
      <c r="C744" s="255" t="s">
        <v>2357</v>
      </c>
      <c r="D744" t="s">
        <v>85</v>
      </c>
    </row>
    <row r="745" spans="1:4" x14ac:dyDescent="0.3">
      <c r="A745" s="553" t="s">
        <v>2879</v>
      </c>
      <c r="B745" s="553" t="s">
        <v>2878</v>
      </c>
      <c r="C745" s="255" t="s">
        <v>2357</v>
      </c>
      <c r="D745" t="s">
        <v>85</v>
      </c>
    </row>
    <row r="746" spans="1:4" x14ac:dyDescent="0.3">
      <c r="A746" s="553" t="s">
        <v>2880</v>
      </c>
      <c r="B746" s="553" t="s">
        <v>2878</v>
      </c>
      <c r="C746" s="255" t="s">
        <v>2357</v>
      </c>
      <c r="D746" t="s">
        <v>85</v>
      </c>
    </row>
    <row r="747" spans="1:4" x14ac:dyDescent="0.3">
      <c r="A747" s="553" t="s">
        <v>2881</v>
      </c>
      <c r="B747" s="553" t="s">
        <v>2878</v>
      </c>
      <c r="C747" s="255" t="s">
        <v>2357</v>
      </c>
      <c r="D747" t="s">
        <v>85</v>
      </c>
    </row>
    <row r="748" spans="1:4" x14ac:dyDescent="0.3">
      <c r="A748" s="553" t="s">
        <v>2831</v>
      </c>
      <c r="B748" s="553" t="s">
        <v>2830</v>
      </c>
      <c r="C748" s="255" t="s">
        <v>2357</v>
      </c>
      <c r="D748" t="s">
        <v>85</v>
      </c>
    </row>
    <row r="749" spans="1:4" x14ac:dyDescent="0.3">
      <c r="A749" s="553" t="s">
        <v>2832</v>
      </c>
      <c r="B749" s="553" t="s">
        <v>2830</v>
      </c>
      <c r="C749" s="255" t="s">
        <v>2357</v>
      </c>
      <c r="D749" t="s">
        <v>85</v>
      </c>
    </row>
    <row r="750" spans="1:4" x14ac:dyDescent="0.3">
      <c r="A750" s="553" t="s">
        <v>1786</v>
      </c>
      <c r="B750" s="553" t="s">
        <v>2830</v>
      </c>
      <c r="C750" s="255" t="s">
        <v>2357</v>
      </c>
      <c r="D750" t="s">
        <v>85</v>
      </c>
    </row>
    <row r="751" spans="1:4" x14ac:dyDescent="0.3">
      <c r="A751" s="553" t="s">
        <v>1917</v>
      </c>
      <c r="B751" s="553" t="s">
        <v>2830</v>
      </c>
      <c r="C751" s="255" t="s">
        <v>2357</v>
      </c>
      <c r="D751" t="s">
        <v>85</v>
      </c>
    </row>
    <row r="752" spans="1:4" x14ac:dyDescent="0.3">
      <c r="A752" s="553" t="s">
        <v>2833</v>
      </c>
      <c r="B752" s="553" t="s">
        <v>2830</v>
      </c>
      <c r="C752" s="255" t="s">
        <v>2357</v>
      </c>
      <c r="D752" t="s">
        <v>85</v>
      </c>
    </row>
    <row r="753" spans="1:4" x14ac:dyDescent="0.3">
      <c r="A753" s="553" t="s">
        <v>2834</v>
      </c>
      <c r="B753" s="553" t="s">
        <v>2830</v>
      </c>
      <c r="C753" s="255" t="s">
        <v>2357</v>
      </c>
      <c r="D753" t="s">
        <v>85</v>
      </c>
    </row>
    <row r="754" spans="1:4" x14ac:dyDescent="0.3">
      <c r="A754" s="553" t="s">
        <v>2835</v>
      </c>
      <c r="B754" s="553" t="s">
        <v>2830</v>
      </c>
      <c r="C754" s="255" t="s">
        <v>2357</v>
      </c>
      <c r="D754" t="s">
        <v>85</v>
      </c>
    </row>
    <row r="755" spans="1:4" x14ac:dyDescent="0.3">
      <c r="A755" s="553" t="s">
        <v>2836</v>
      </c>
      <c r="B755" s="553" t="s">
        <v>2830</v>
      </c>
      <c r="C755" s="255" t="s">
        <v>2357</v>
      </c>
      <c r="D755" t="s">
        <v>85</v>
      </c>
    </row>
    <row r="756" spans="1:4" x14ac:dyDescent="0.3">
      <c r="A756" s="553" t="s">
        <v>2837</v>
      </c>
      <c r="B756" s="553" t="s">
        <v>2830</v>
      </c>
      <c r="C756" s="255" t="s">
        <v>2357</v>
      </c>
      <c r="D756" t="s">
        <v>85</v>
      </c>
    </row>
    <row r="757" spans="1:4" x14ac:dyDescent="0.3">
      <c r="A757" s="553" t="s">
        <v>2838</v>
      </c>
      <c r="B757" s="553" t="s">
        <v>2830</v>
      </c>
      <c r="C757" s="255" t="s">
        <v>2357</v>
      </c>
      <c r="D757" t="s">
        <v>85</v>
      </c>
    </row>
    <row r="758" spans="1:4" x14ac:dyDescent="0.3">
      <c r="A758" s="553" t="s">
        <v>1913</v>
      </c>
      <c r="B758" s="553" t="s">
        <v>2830</v>
      </c>
      <c r="C758" s="255" t="s">
        <v>2357</v>
      </c>
      <c r="D758" t="s">
        <v>85</v>
      </c>
    </row>
    <row r="759" spans="1:4" x14ac:dyDescent="0.3">
      <c r="A759" s="553" t="s">
        <v>2839</v>
      </c>
      <c r="B759" s="553" t="s">
        <v>2830</v>
      </c>
      <c r="C759" s="255" t="s">
        <v>2357</v>
      </c>
      <c r="D759" t="s">
        <v>85</v>
      </c>
    </row>
    <row r="760" spans="1:4" x14ac:dyDescent="0.3">
      <c r="A760" s="553" t="s">
        <v>2840</v>
      </c>
      <c r="B760" s="553" t="s">
        <v>2830</v>
      </c>
      <c r="C760" s="255" t="s">
        <v>2357</v>
      </c>
      <c r="D760" t="s">
        <v>85</v>
      </c>
    </row>
    <row r="761" spans="1:4" x14ac:dyDescent="0.3">
      <c r="A761" s="553" t="s">
        <v>2841</v>
      </c>
      <c r="B761" s="553" t="s">
        <v>2830</v>
      </c>
      <c r="C761" s="255" t="s">
        <v>2357</v>
      </c>
      <c r="D761" t="s">
        <v>85</v>
      </c>
    </row>
    <row r="762" spans="1:4" x14ac:dyDescent="0.3">
      <c r="A762" s="553" t="s">
        <v>2842</v>
      </c>
      <c r="B762" s="553" t="s">
        <v>2830</v>
      </c>
      <c r="C762" s="255" t="s">
        <v>2357</v>
      </c>
      <c r="D762" t="s">
        <v>85</v>
      </c>
    </row>
    <row r="763" spans="1:4" x14ac:dyDescent="0.3">
      <c r="A763" s="553" t="s">
        <v>2843</v>
      </c>
      <c r="B763" s="553" t="s">
        <v>2830</v>
      </c>
      <c r="C763" s="255" t="s">
        <v>2357</v>
      </c>
      <c r="D763" t="s">
        <v>85</v>
      </c>
    </row>
    <row r="764" spans="1:4" x14ac:dyDescent="0.3">
      <c r="A764" s="553" t="s">
        <v>1916</v>
      </c>
      <c r="B764" s="553" t="s">
        <v>2878</v>
      </c>
      <c r="C764" s="255" t="s">
        <v>2357</v>
      </c>
      <c r="D764" t="s">
        <v>85</v>
      </c>
    </row>
    <row r="765" spans="1:4" x14ac:dyDescent="0.3">
      <c r="A765" s="553" t="s">
        <v>2882</v>
      </c>
      <c r="B765" s="553" t="s">
        <v>2878</v>
      </c>
      <c r="C765" s="255" t="s">
        <v>2357</v>
      </c>
      <c r="D765" t="s">
        <v>85</v>
      </c>
    </row>
    <row r="766" spans="1:4" x14ac:dyDescent="0.3">
      <c r="A766" s="553" t="s">
        <v>2883</v>
      </c>
      <c r="B766" s="553" t="s">
        <v>2878</v>
      </c>
      <c r="C766" s="255" t="s">
        <v>2357</v>
      </c>
      <c r="D766" t="s">
        <v>85</v>
      </c>
    </row>
    <row r="767" spans="1:4" x14ac:dyDescent="0.3">
      <c r="A767" s="553" t="s">
        <v>2884</v>
      </c>
      <c r="B767" s="553" t="s">
        <v>2878</v>
      </c>
      <c r="C767" s="255" t="s">
        <v>2357</v>
      </c>
      <c r="D767" t="s">
        <v>85</v>
      </c>
    </row>
    <row r="768" spans="1:4" x14ac:dyDescent="0.3">
      <c r="A768" s="553" t="s">
        <v>1918</v>
      </c>
      <c r="B768" s="553" t="s">
        <v>2878</v>
      </c>
      <c r="C768" s="255" t="s">
        <v>2357</v>
      </c>
      <c r="D768" t="s">
        <v>85</v>
      </c>
    </row>
    <row r="769" spans="1:4" x14ac:dyDescent="0.3">
      <c r="A769" s="553" t="s">
        <v>1921</v>
      </c>
      <c r="B769" s="553" t="s">
        <v>2878</v>
      </c>
      <c r="C769" s="255" t="s">
        <v>2357</v>
      </c>
      <c r="D769" t="s">
        <v>85</v>
      </c>
    </row>
    <row r="770" spans="1:4" x14ac:dyDescent="0.3">
      <c r="A770" s="553" t="s">
        <v>2885</v>
      </c>
      <c r="B770" s="553" t="s">
        <v>2878</v>
      </c>
      <c r="C770" s="255" t="s">
        <v>2357</v>
      </c>
      <c r="D770" t="s">
        <v>85</v>
      </c>
    </row>
    <row r="771" spans="1:4" x14ac:dyDescent="0.3">
      <c r="A771" s="553" t="s">
        <v>2886</v>
      </c>
      <c r="B771" s="553" t="s">
        <v>2878</v>
      </c>
      <c r="C771" s="255" t="s">
        <v>2357</v>
      </c>
      <c r="D771" t="s">
        <v>85</v>
      </c>
    </row>
    <row r="772" spans="1:4" x14ac:dyDescent="0.3">
      <c r="A772" s="553" t="s">
        <v>2887</v>
      </c>
      <c r="B772" s="553" t="s">
        <v>2878</v>
      </c>
      <c r="C772" s="255" t="s">
        <v>2357</v>
      </c>
      <c r="D772" t="s">
        <v>85</v>
      </c>
    </row>
    <row r="773" spans="1:4" x14ac:dyDescent="0.3">
      <c r="A773" s="553" t="s">
        <v>2888</v>
      </c>
      <c r="B773" s="553" t="s">
        <v>2878</v>
      </c>
      <c r="C773" s="255" t="s">
        <v>2357</v>
      </c>
      <c r="D773" t="s">
        <v>85</v>
      </c>
    </row>
    <row r="774" spans="1:4" x14ac:dyDescent="0.3">
      <c r="A774" s="553" t="s">
        <v>2889</v>
      </c>
      <c r="B774" s="553" t="s">
        <v>2878</v>
      </c>
      <c r="C774" s="255" t="s">
        <v>2357</v>
      </c>
      <c r="D774" t="s">
        <v>85</v>
      </c>
    </row>
    <row r="775" spans="1:4" x14ac:dyDescent="0.3">
      <c r="A775" s="553" t="s">
        <v>2890</v>
      </c>
      <c r="B775" s="553" t="s">
        <v>2878</v>
      </c>
      <c r="C775" s="255" t="s">
        <v>2357</v>
      </c>
      <c r="D775" t="s">
        <v>85</v>
      </c>
    </row>
    <row r="776" spans="1:4" x14ac:dyDescent="0.3">
      <c r="A776" s="553" t="s">
        <v>2891</v>
      </c>
      <c r="B776" s="553" t="s">
        <v>2878</v>
      </c>
      <c r="C776" s="255" t="s">
        <v>2357</v>
      </c>
      <c r="D776" t="s">
        <v>85</v>
      </c>
    </row>
    <row r="777" spans="1:4" x14ac:dyDescent="0.3">
      <c r="A777" s="553" t="s">
        <v>2892</v>
      </c>
      <c r="B777" s="553" t="s">
        <v>2878</v>
      </c>
      <c r="C777" s="255" t="s">
        <v>2357</v>
      </c>
      <c r="D777" t="s">
        <v>85</v>
      </c>
    </row>
    <row r="778" spans="1:4" x14ac:dyDescent="0.3">
      <c r="A778" s="553" t="s">
        <v>2893</v>
      </c>
      <c r="B778" s="553" t="s">
        <v>2878</v>
      </c>
      <c r="C778" s="255" t="s">
        <v>2357</v>
      </c>
      <c r="D778" t="s">
        <v>85</v>
      </c>
    </row>
    <row r="779" spans="1:4" x14ac:dyDescent="0.3">
      <c r="A779" s="553" t="s">
        <v>2894</v>
      </c>
      <c r="B779" s="553" t="s">
        <v>2878</v>
      </c>
      <c r="C779" s="255" t="s">
        <v>2357</v>
      </c>
      <c r="D779" t="s">
        <v>85</v>
      </c>
    </row>
    <row r="780" spans="1:4" x14ac:dyDescent="0.3">
      <c r="A780" s="553" t="s">
        <v>2895</v>
      </c>
      <c r="B780" s="553" t="s">
        <v>2878</v>
      </c>
      <c r="C780" s="255" t="s">
        <v>2357</v>
      </c>
      <c r="D780" t="s">
        <v>85</v>
      </c>
    </row>
    <row r="781" spans="1:4" x14ac:dyDescent="0.3">
      <c r="A781" s="553" t="s">
        <v>2896</v>
      </c>
      <c r="B781" s="553" t="s">
        <v>2878</v>
      </c>
      <c r="C781" s="255" t="s">
        <v>2357</v>
      </c>
      <c r="D781" t="s">
        <v>85</v>
      </c>
    </row>
    <row r="782" spans="1:4" x14ac:dyDescent="0.3">
      <c r="A782" s="553" t="s">
        <v>2897</v>
      </c>
      <c r="B782" s="553" t="s">
        <v>2878</v>
      </c>
      <c r="C782" s="255" t="s">
        <v>2357</v>
      </c>
      <c r="D782" t="s">
        <v>85</v>
      </c>
    </row>
    <row r="783" spans="1:4" x14ac:dyDescent="0.3">
      <c r="A783" s="553" t="s">
        <v>2885</v>
      </c>
      <c r="B783" s="553" t="s">
        <v>2878</v>
      </c>
      <c r="C783" s="255" t="s">
        <v>2357</v>
      </c>
      <c r="D783" t="s">
        <v>85</v>
      </c>
    </row>
    <row r="784" spans="1:4" x14ac:dyDescent="0.3">
      <c r="A784" s="553" t="s">
        <v>2886</v>
      </c>
      <c r="B784" s="553" t="s">
        <v>2878</v>
      </c>
      <c r="C784" s="255" t="s">
        <v>2357</v>
      </c>
      <c r="D784" t="s">
        <v>85</v>
      </c>
    </row>
    <row r="785" spans="1:4" x14ac:dyDescent="0.3">
      <c r="A785" s="553" t="s">
        <v>2887</v>
      </c>
      <c r="B785" s="553" t="s">
        <v>2878</v>
      </c>
      <c r="C785" s="255" t="s">
        <v>2357</v>
      </c>
      <c r="D785" t="s">
        <v>85</v>
      </c>
    </row>
    <row r="786" spans="1:4" x14ac:dyDescent="0.3">
      <c r="A786" s="553" t="s">
        <v>2844</v>
      </c>
      <c r="B786" s="553" t="s">
        <v>2830</v>
      </c>
      <c r="C786" s="255" t="s">
        <v>2357</v>
      </c>
      <c r="D786" t="s">
        <v>85</v>
      </c>
    </row>
    <row r="787" spans="1:4" x14ac:dyDescent="0.3">
      <c r="A787" s="553" t="s">
        <v>2845</v>
      </c>
      <c r="B787" s="553" t="s">
        <v>2830</v>
      </c>
      <c r="C787" s="255" t="s">
        <v>2357</v>
      </c>
      <c r="D787" t="s">
        <v>85</v>
      </c>
    </row>
    <row r="788" spans="1:4" x14ac:dyDescent="0.3">
      <c r="A788" s="553" t="s">
        <v>2846</v>
      </c>
      <c r="B788" s="553" t="s">
        <v>2830</v>
      </c>
      <c r="C788" s="255" t="s">
        <v>2357</v>
      </c>
      <c r="D788" t="s">
        <v>85</v>
      </c>
    </row>
    <row r="789" spans="1:4" x14ac:dyDescent="0.3">
      <c r="A789" s="553" t="s">
        <v>2847</v>
      </c>
      <c r="B789" s="553" t="s">
        <v>2830</v>
      </c>
      <c r="C789" s="255" t="s">
        <v>2357</v>
      </c>
      <c r="D789" t="s">
        <v>85</v>
      </c>
    </row>
    <row r="790" spans="1:4" x14ac:dyDescent="0.3">
      <c r="A790" s="553" t="s">
        <v>1938</v>
      </c>
      <c r="B790" s="553" t="s">
        <v>2830</v>
      </c>
      <c r="C790" s="255" t="s">
        <v>2357</v>
      </c>
      <c r="D790" t="s">
        <v>85</v>
      </c>
    </row>
    <row r="791" spans="1:4" x14ac:dyDescent="0.3">
      <c r="A791" s="553" t="s">
        <v>1787</v>
      </c>
      <c r="B791" s="553" t="s">
        <v>2830</v>
      </c>
      <c r="C791" s="255" t="s">
        <v>2357</v>
      </c>
      <c r="D791" t="s">
        <v>85</v>
      </c>
    </row>
    <row r="792" spans="1:4" x14ac:dyDescent="0.3">
      <c r="A792" s="553" t="s">
        <v>1795</v>
      </c>
      <c r="B792" s="553" t="s">
        <v>2830</v>
      </c>
      <c r="C792" s="255" t="s">
        <v>2357</v>
      </c>
      <c r="D792" t="s">
        <v>85</v>
      </c>
    </row>
    <row r="793" spans="1:4" x14ac:dyDescent="0.3">
      <c r="A793" s="553" t="s">
        <v>1803</v>
      </c>
      <c r="B793" s="553" t="s">
        <v>2830</v>
      </c>
      <c r="C793" s="255" t="s">
        <v>2357</v>
      </c>
      <c r="D793" t="s">
        <v>85</v>
      </c>
    </row>
    <row r="794" spans="1:4" x14ac:dyDescent="0.3">
      <c r="A794" s="553" t="s">
        <v>2848</v>
      </c>
      <c r="B794" s="553" t="s">
        <v>2830</v>
      </c>
      <c r="C794" s="255" t="s">
        <v>2357</v>
      </c>
      <c r="D794" t="s">
        <v>85</v>
      </c>
    </row>
    <row r="795" spans="1:4" x14ac:dyDescent="0.3">
      <c r="A795" s="553" t="s">
        <v>2844</v>
      </c>
      <c r="B795" s="553" t="s">
        <v>2830</v>
      </c>
      <c r="C795" s="255" t="s">
        <v>2357</v>
      </c>
      <c r="D795" t="s">
        <v>85</v>
      </c>
    </row>
    <row r="796" spans="1:4" x14ac:dyDescent="0.3">
      <c r="A796" s="553" t="s">
        <v>2849</v>
      </c>
      <c r="B796" s="553" t="s">
        <v>2830</v>
      </c>
      <c r="C796" s="255" t="s">
        <v>2357</v>
      </c>
      <c r="D796" t="s">
        <v>85</v>
      </c>
    </row>
    <row r="797" spans="1:4" x14ac:dyDescent="0.3">
      <c r="A797" s="553" t="s">
        <v>2846</v>
      </c>
      <c r="B797" s="553" t="s">
        <v>2830</v>
      </c>
      <c r="C797" s="255" t="s">
        <v>2357</v>
      </c>
      <c r="D797" t="s">
        <v>85</v>
      </c>
    </row>
    <row r="798" spans="1:4" x14ac:dyDescent="0.3">
      <c r="A798" s="553" t="s">
        <v>2847</v>
      </c>
      <c r="B798" s="553" t="s">
        <v>2830</v>
      </c>
      <c r="C798" s="255" t="s">
        <v>2357</v>
      </c>
      <c r="D798" t="s">
        <v>85</v>
      </c>
    </row>
    <row r="799" spans="1:4" x14ac:dyDescent="0.3">
      <c r="A799" s="553" t="s">
        <v>2850</v>
      </c>
      <c r="B799" s="553" t="s">
        <v>2830</v>
      </c>
      <c r="C799" s="255" t="s">
        <v>2357</v>
      </c>
      <c r="D799" t="s">
        <v>85</v>
      </c>
    </row>
    <row r="800" spans="1:4" x14ac:dyDescent="0.3">
      <c r="A800" s="553" t="s">
        <v>1938</v>
      </c>
      <c r="B800" s="553" t="s">
        <v>2830</v>
      </c>
      <c r="C800" s="255" t="s">
        <v>2357</v>
      </c>
      <c r="D800" t="s">
        <v>85</v>
      </c>
    </row>
    <row r="801" spans="1:4" x14ac:dyDescent="0.3">
      <c r="A801" s="553" t="s">
        <v>1787</v>
      </c>
      <c r="B801" s="553" t="s">
        <v>2830</v>
      </c>
      <c r="C801" s="255" t="s">
        <v>2357</v>
      </c>
      <c r="D801" t="s">
        <v>85</v>
      </c>
    </row>
    <row r="802" spans="1:4" x14ac:dyDescent="0.3">
      <c r="A802" s="553" t="s">
        <v>1795</v>
      </c>
      <c r="B802" s="553" t="s">
        <v>2830</v>
      </c>
      <c r="C802" s="255" t="s">
        <v>2357</v>
      </c>
      <c r="D802" t="s">
        <v>85</v>
      </c>
    </row>
    <row r="803" spans="1:4" x14ac:dyDescent="0.3">
      <c r="A803" s="553" t="s">
        <v>1803</v>
      </c>
      <c r="B803" s="553" t="s">
        <v>2830</v>
      </c>
      <c r="C803" s="255" t="s">
        <v>2357</v>
      </c>
      <c r="D803" t="s">
        <v>85</v>
      </c>
    </row>
    <row r="804" spans="1:4" x14ac:dyDescent="0.3">
      <c r="A804" s="553" t="s">
        <v>2848</v>
      </c>
      <c r="B804" s="553" t="s">
        <v>2830</v>
      </c>
      <c r="C804" s="255" t="s">
        <v>2357</v>
      </c>
      <c r="D804" t="s">
        <v>85</v>
      </c>
    </row>
    <row r="805" spans="1:4" x14ac:dyDescent="0.3">
      <c r="A805" s="553" t="s">
        <v>2845</v>
      </c>
      <c r="B805" s="553" t="s">
        <v>2830</v>
      </c>
      <c r="C805" s="255" t="s">
        <v>2357</v>
      </c>
      <c r="D805" t="s">
        <v>85</v>
      </c>
    </row>
    <row r="806" spans="1:4" x14ac:dyDescent="0.3">
      <c r="A806" s="553" t="s">
        <v>1804</v>
      </c>
      <c r="B806" s="553" t="s">
        <v>2830</v>
      </c>
      <c r="C806" s="255" t="s">
        <v>2357</v>
      </c>
      <c r="D806" t="s">
        <v>85</v>
      </c>
    </row>
    <row r="807" spans="1:4" x14ac:dyDescent="0.3">
      <c r="A807" s="553" t="s">
        <v>2851</v>
      </c>
      <c r="B807" s="553" t="s">
        <v>2830</v>
      </c>
      <c r="C807" s="255" t="s">
        <v>2357</v>
      </c>
      <c r="D807" t="s">
        <v>85</v>
      </c>
    </row>
    <row r="808" spans="1:4" x14ac:dyDescent="0.3">
      <c r="A808" s="553" t="s">
        <v>2852</v>
      </c>
      <c r="B808" s="553" t="s">
        <v>2830</v>
      </c>
      <c r="C808" s="255" t="s">
        <v>2357</v>
      </c>
      <c r="D808" t="s">
        <v>85</v>
      </c>
    </row>
    <row r="809" spans="1:4" x14ac:dyDescent="0.3">
      <c r="A809" s="553" t="s">
        <v>1650</v>
      </c>
      <c r="B809" s="553" t="s">
        <v>2830</v>
      </c>
      <c r="C809" s="255" t="s">
        <v>2357</v>
      </c>
      <c r="D809" t="s">
        <v>85</v>
      </c>
    </row>
    <row r="810" spans="1:4" x14ac:dyDescent="0.3">
      <c r="A810" s="553" t="s">
        <v>2853</v>
      </c>
      <c r="B810" s="553" t="s">
        <v>2830</v>
      </c>
      <c r="C810" s="255" t="s">
        <v>2357</v>
      </c>
      <c r="D810" t="s">
        <v>85</v>
      </c>
    </row>
    <row r="811" spans="1:4" x14ac:dyDescent="0.3">
      <c r="A811" s="553" t="s">
        <v>2854</v>
      </c>
      <c r="B811" s="553" t="s">
        <v>2830</v>
      </c>
      <c r="C811" s="255" t="s">
        <v>2357</v>
      </c>
      <c r="D811" t="s">
        <v>85</v>
      </c>
    </row>
    <row r="812" spans="1:4" x14ac:dyDescent="0.3">
      <c r="A812" s="553" t="s">
        <v>2855</v>
      </c>
      <c r="B812" s="553" t="s">
        <v>2830</v>
      </c>
      <c r="C812" s="255" t="s">
        <v>2357</v>
      </c>
      <c r="D812" t="s">
        <v>85</v>
      </c>
    </row>
    <row r="813" spans="1:4" x14ac:dyDescent="0.3">
      <c r="A813" s="553" t="s">
        <v>1804</v>
      </c>
      <c r="B813" s="553" t="s">
        <v>2830</v>
      </c>
      <c r="C813" s="255" t="s">
        <v>2357</v>
      </c>
      <c r="D813" t="s">
        <v>85</v>
      </c>
    </row>
    <row r="814" spans="1:4" x14ac:dyDescent="0.3">
      <c r="A814" s="553" t="s">
        <v>2851</v>
      </c>
      <c r="B814" s="553" t="s">
        <v>2830</v>
      </c>
      <c r="C814" s="255" t="s">
        <v>2357</v>
      </c>
      <c r="D814" t="s">
        <v>85</v>
      </c>
    </row>
    <row r="815" spans="1:4" x14ac:dyDescent="0.3">
      <c r="A815" s="553" t="s">
        <v>2856</v>
      </c>
      <c r="B815" s="553" t="s">
        <v>2830</v>
      </c>
      <c r="C815" s="255" t="s">
        <v>2357</v>
      </c>
      <c r="D815" t="s">
        <v>85</v>
      </c>
    </row>
    <row r="816" spans="1:4" x14ac:dyDescent="0.3">
      <c r="A816" s="553" t="s">
        <v>2853</v>
      </c>
      <c r="B816" s="553" t="s">
        <v>2830</v>
      </c>
      <c r="C816" s="255" t="s">
        <v>2357</v>
      </c>
      <c r="D816" t="s">
        <v>85</v>
      </c>
    </row>
    <row r="817" spans="1:4" x14ac:dyDescent="0.3">
      <c r="A817" s="553" t="s">
        <v>2857</v>
      </c>
      <c r="B817" s="553" t="s">
        <v>2830</v>
      </c>
      <c r="C817" s="255" t="s">
        <v>2357</v>
      </c>
      <c r="D817" t="s">
        <v>85</v>
      </c>
    </row>
    <row r="818" spans="1:4" x14ac:dyDescent="0.3">
      <c r="A818" s="553" t="s">
        <v>2898</v>
      </c>
      <c r="B818" s="553" t="s">
        <v>2899</v>
      </c>
      <c r="C818" s="255" t="s">
        <v>2357</v>
      </c>
      <c r="D818" t="s">
        <v>85</v>
      </c>
    </row>
    <row r="819" spans="1:4" x14ac:dyDescent="0.3">
      <c r="A819" s="553" t="s">
        <v>2900</v>
      </c>
      <c r="B819" s="553" t="s">
        <v>2899</v>
      </c>
      <c r="C819" s="255" t="s">
        <v>2357</v>
      </c>
      <c r="D819" t="s">
        <v>85</v>
      </c>
    </row>
    <row r="820" spans="1:4" x14ac:dyDescent="0.3">
      <c r="A820" s="553" t="s">
        <v>2901</v>
      </c>
      <c r="B820" s="553" t="s">
        <v>2899</v>
      </c>
      <c r="C820" s="255" t="s">
        <v>2357</v>
      </c>
      <c r="D820" t="s">
        <v>85</v>
      </c>
    </row>
    <row r="821" spans="1:4" x14ac:dyDescent="0.3">
      <c r="A821" s="553" t="s">
        <v>2902</v>
      </c>
      <c r="B821" s="553" t="s">
        <v>2899</v>
      </c>
      <c r="C821" s="255" t="s">
        <v>2357</v>
      </c>
      <c r="D821" t="s">
        <v>85</v>
      </c>
    </row>
    <row r="822" spans="1:4" x14ac:dyDescent="0.3">
      <c r="A822" s="553" t="s">
        <v>2903</v>
      </c>
      <c r="B822" s="553" t="s">
        <v>2899</v>
      </c>
      <c r="C822" s="255" t="s">
        <v>2357</v>
      </c>
      <c r="D822" t="s">
        <v>85</v>
      </c>
    </row>
    <row r="823" spans="1:4" x14ac:dyDescent="0.3">
      <c r="A823" s="553" t="s">
        <v>449</v>
      </c>
      <c r="B823" s="553" t="s">
        <v>2899</v>
      </c>
      <c r="C823" s="255" t="s">
        <v>2357</v>
      </c>
      <c r="D823" t="s">
        <v>85</v>
      </c>
    </row>
    <row r="824" spans="1:4" x14ac:dyDescent="0.3">
      <c r="A824" s="553" t="s">
        <v>457</v>
      </c>
      <c r="B824" s="553" t="s">
        <v>2899</v>
      </c>
      <c r="C824" s="255" t="s">
        <v>2357</v>
      </c>
      <c r="D824" t="s">
        <v>85</v>
      </c>
    </row>
    <row r="825" spans="1:4" x14ac:dyDescent="0.3">
      <c r="A825" s="553" t="s">
        <v>458</v>
      </c>
      <c r="B825" s="553" t="s">
        <v>2899</v>
      </c>
      <c r="C825" s="255" t="s">
        <v>2357</v>
      </c>
      <c r="D825" t="s">
        <v>85</v>
      </c>
    </row>
    <row r="826" spans="1:4" x14ac:dyDescent="0.3">
      <c r="A826" s="553" t="s">
        <v>459</v>
      </c>
      <c r="B826" s="553" t="s">
        <v>2899</v>
      </c>
      <c r="C826" s="255" t="s">
        <v>2357</v>
      </c>
      <c r="D826" t="s">
        <v>85</v>
      </c>
    </row>
    <row r="827" spans="1:4" x14ac:dyDescent="0.3">
      <c r="A827" s="553" t="s">
        <v>460</v>
      </c>
      <c r="B827" s="553" t="s">
        <v>2899</v>
      </c>
      <c r="C827" s="255" t="s">
        <v>2357</v>
      </c>
      <c r="D827" t="s">
        <v>85</v>
      </c>
    </row>
    <row r="828" spans="1:4" x14ac:dyDescent="0.3">
      <c r="A828" s="553" t="s">
        <v>486</v>
      </c>
      <c r="B828" s="553" t="s">
        <v>2899</v>
      </c>
      <c r="C828" s="255" t="s">
        <v>2357</v>
      </c>
      <c r="D828" t="s">
        <v>85</v>
      </c>
    </row>
    <row r="829" spans="1:4" x14ac:dyDescent="0.3">
      <c r="A829" s="553" t="s">
        <v>2904</v>
      </c>
      <c r="B829" s="553" t="s">
        <v>2899</v>
      </c>
      <c r="C829" s="255" t="s">
        <v>2357</v>
      </c>
      <c r="D829" t="s">
        <v>85</v>
      </c>
    </row>
    <row r="830" spans="1:4" x14ac:dyDescent="0.3">
      <c r="A830" s="553" t="s">
        <v>2905</v>
      </c>
      <c r="B830" s="553" t="s">
        <v>2899</v>
      </c>
      <c r="C830" s="255" t="s">
        <v>2357</v>
      </c>
      <c r="D830" t="s">
        <v>85</v>
      </c>
    </row>
    <row r="831" spans="1:4" x14ac:dyDescent="0.3">
      <c r="A831" s="553" t="s">
        <v>2906</v>
      </c>
      <c r="B831" s="553" t="s">
        <v>2899</v>
      </c>
      <c r="C831" s="255" t="s">
        <v>2357</v>
      </c>
      <c r="D831" t="s">
        <v>85</v>
      </c>
    </row>
    <row r="832" spans="1:4" x14ac:dyDescent="0.3">
      <c r="A832" s="553" t="s">
        <v>509</v>
      </c>
      <c r="B832" s="553" t="s">
        <v>2899</v>
      </c>
      <c r="C832" s="255" t="s">
        <v>2357</v>
      </c>
      <c r="D832" t="s">
        <v>85</v>
      </c>
    </row>
    <row r="833" spans="1:4" x14ac:dyDescent="0.3">
      <c r="A833" s="553" t="s">
        <v>512</v>
      </c>
      <c r="B833" s="553" t="s">
        <v>2899</v>
      </c>
      <c r="C833" s="255" t="s">
        <v>2357</v>
      </c>
      <c r="D833" t="s">
        <v>85</v>
      </c>
    </row>
    <row r="834" spans="1:4" x14ac:dyDescent="0.3">
      <c r="A834" s="553" t="s">
        <v>515</v>
      </c>
      <c r="B834" s="553" t="s">
        <v>2899</v>
      </c>
      <c r="C834" s="255" t="s">
        <v>2357</v>
      </c>
      <c r="D834" t="s">
        <v>85</v>
      </c>
    </row>
    <row r="835" spans="1:4" x14ac:dyDescent="0.3">
      <c r="A835" s="553" t="s">
        <v>532</v>
      </c>
      <c r="B835" s="553" t="s">
        <v>2899</v>
      </c>
      <c r="C835" s="255" t="s">
        <v>2357</v>
      </c>
      <c r="D835" t="s">
        <v>85</v>
      </c>
    </row>
    <row r="836" spans="1:4" x14ac:dyDescent="0.3">
      <c r="A836" s="553" t="s">
        <v>2907</v>
      </c>
      <c r="B836" s="553" t="s">
        <v>2899</v>
      </c>
      <c r="C836" s="255" t="s">
        <v>2357</v>
      </c>
      <c r="D836" t="s">
        <v>85</v>
      </c>
    </row>
    <row r="837" spans="1:4" x14ac:dyDescent="0.3">
      <c r="A837" s="553" t="s">
        <v>2908</v>
      </c>
      <c r="B837" s="553" t="s">
        <v>2899</v>
      </c>
      <c r="C837" s="255" t="s">
        <v>2357</v>
      </c>
      <c r="D837" t="s">
        <v>85</v>
      </c>
    </row>
    <row r="838" spans="1:4" x14ac:dyDescent="0.3">
      <c r="A838" s="553" t="s">
        <v>553</v>
      </c>
      <c r="B838" s="553" t="s">
        <v>2899</v>
      </c>
      <c r="C838" s="255" t="s">
        <v>2357</v>
      </c>
      <c r="D838" t="s">
        <v>85</v>
      </c>
    </row>
    <row r="839" spans="1:4" x14ac:dyDescent="0.3">
      <c r="A839" s="553" t="s">
        <v>2909</v>
      </c>
      <c r="B839" s="553" t="s">
        <v>2899</v>
      </c>
      <c r="C839" s="255" t="s">
        <v>2357</v>
      </c>
      <c r="D839" t="s">
        <v>85</v>
      </c>
    </row>
    <row r="840" spans="1:4" x14ac:dyDescent="0.3">
      <c r="A840" s="553" t="s">
        <v>566</v>
      </c>
      <c r="B840" s="553" t="s">
        <v>2899</v>
      </c>
      <c r="C840" s="255" t="s">
        <v>2357</v>
      </c>
      <c r="D840" t="s">
        <v>85</v>
      </c>
    </row>
    <row r="841" spans="1:4" x14ac:dyDescent="0.3">
      <c r="A841" s="553" t="s">
        <v>1905</v>
      </c>
      <c r="B841" s="553" t="s">
        <v>2899</v>
      </c>
      <c r="C841" s="255" t="s">
        <v>2357</v>
      </c>
      <c r="D841" t="s">
        <v>85</v>
      </c>
    </row>
    <row r="842" spans="1:4" x14ac:dyDescent="0.3">
      <c r="A842" s="553" t="s">
        <v>2910</v>
      </c>
      <c r="B842" s="553" t="s">
        <v>2899</v>
      </c>
      <c r="C842" s="255" t="s">
        <v>2357</v>
      </c>
      <c r="D842" t="s">
        <v>85</v>
      </c>
    </row>
    <row r="843" spans="1:4" x14ac:dyDescent="0.3">
      <c r="A843" s="553" t="s">
        <v>2911</v>
      </c>
      <c r="B843" s="553" t="s">
        <v>2899</v>
      </c>
      <c r="C843" s="255" t="s">
        <v>2357</v>
      </c>
      <c r="D843" t="s">
        <v>85</v>
      </c>
    </row>
    <row r="844" spans="1:4" x14ac:dyDescent="0.3">
      <c r="A844" s="553" t="s">
        <v>2912</v>
      </c>
      <c r="B844" s="553" t="s">
        <v>2899</v>
      </c>
      <c r="C844" s="255" t="s">
        <v>2357</v>
      </c>
      <c r="D844" t="s">
        <v>85</v>
      </c>
    </row>
    <row r="845" spans="1:4" x14ac:dyDescent="0.3">
      <c r="A845" s="553" t="s">
        <v>731</v>
      </c>
      <c r="B845" s="553" t="s">
        <v>2899</v>
      </c>
      <c r="C845" s="255" t="s">
        <v>2357</v>
      </c>
      <c r="D845" t="s">
        <v>85</v>
      </c>
    </row>
    <row r="846" spans="1:4" x14ac:dyDescent="0.3">
      <c r="A846" s="553" t="s">
        <v>769</v>
      </c>
      <c r="B846" s="553" t="s">
        <v>2899</v>
      </c>
      <c r="C846" s="255" t="s">
        <v>2357</v>
      </c>
      <c r="D846" t="s">
        <v>85</v>
      </c>
    </row>
    <row r="847" spans="1:4" x14ac:dyDescent="0.3">
      <c r="A847" s="553" t="s">
        <v>782</v>
      </c>
      <c r="B847" s="553" t="s">
        <v>2899</v>
      </c>
      <c r="C847" s="255" t="s">
        <v>2357</v>
      </c>
      <c r="D847" t="s">
        <v>85</v>
      </c>
    </row>
    <row r="848" spans="1:4" x14ac:dyDescent="0.3">
      <c r="A848" s="553" t="s">
        <v>783</v>
      </c>
      <c r="B848" s="553" t="s">
        <v>2899</v>
      </c>
      <c r="C848" s="255" t="s">
        <v>2357</v>
      </c>
      <c r="D848" t="s">
        <v>85</v>
      </c>
    </row>
    <row r="849" spans="1:4" x14ac:dyDescent="0.3">
      <c r="A849" s="553" t="s">
        <v>785</v>
      </c>
      <c r="B849" s="553" t="s">
        <v>2899</v>
      </c>
      <c r="C849" s="255" t="s">
        <v>2357</v>
      </c>
      <c r="D849" t="s">
        <v>85</v>
      </c>
    </row>
    <row r="850" spans="1:4" x14ac:dyDescent="0.3">
      <c r="A850" s="553" t="s">
        <v>802</v>
      </c>
      <c r="B850" s="553" t="s">
        <v>2899</v>
      </c>
      <c r="C850" s="255" t="s">
        <v>2357</v>
      </c>
      <c r="D850" t="s">
        <v>85</v>
      </c>
    </row>
    <row r="851" spans="1:4" x14ac:dyDescent="0.3">
      <c r="A851" s="553" t="s">
        <v>803</v>
      </c>
      <c r="B851" s="553" t="s">
        <v>2899</v>
      </c>
      <c r="C851" s="255" t="s">
        <v>2357</v>
      </c>
      <c r="D851" t="s">
        <v>85</v>
      </c>
    </row>
    <row r="852" spans="1:4" x14ac:dyDescent="0.3">
      <c r="A852" s="553" t="s">
        <v>805</v>
      </c>
      <c r="B852" s="553" t="s">
        <v>2899</v>
      </c>
      <c r="C852" s="255" t="s">
        <v>2357</v>
      </c>
      <c r="D852" t="s">
        <v>85</v>
      </c>
    </row>
    <row r="853" spans="1:4" x14ac:dyDescent="0.3">
      <c r="A853" s="553" t="s">
        <v>807</v>
      </c>
      <c r="B853" s="553" t="s">
        <v>2899</v>
      </c>
      <c r="C853" s="255" t="s">
        <v>2357</v>
      </c>
      <c r="D853" t="s">
        <v>85</v>
      </c>
    </row>
    <row r="854" spans="1:4" x14ac:dyDescent="0.3">
      <c r="A854" s="553" t="s">
        <v>882</v>
      </c>
      <c r="B854" s="553" t="s">
        <v>2899</v>
      </c>
      <c r="C854" s="255" t="s">
        <v>2357</v>
      </c>
      <c r="D854" t="s">
        <v>85</v>
      </c>
    </row>
    <row r="855" spans="1:4" x14ac:dyDescent="0.3">
      <c r="A855" s="553" t="s">
        <v>887</v>
      </c>
      <c r="B855" s="553" t="s">
        <v>2899</v>
      </c>
      <c r="C855" s="255" t="s">
        <v>2357</v>
      </c>
      <c r="D855" t="s">
        <v>85</v>
      </c>
    </row>
    <row r="856" spans="1:4" x14ac:dyDescent="0.3">
      <c r="A856" s="553" t="s">
        <v>908</v>
      </c>
      <c r="B856" s="553" t="s">
        <v>2899</v>
      </c>
      <c r="C856" s="255" t="s">
        <v>2357</v>
      </c>
      <c r="D856" t="s">
        <v>85</v>
      </c>
    </row>
    <row r="857" spans="1:4" x14ac:dyDescent="0.3">
      <c r="A857" s="553" t="s">
        <v>1816</v>
      </c>
      <c r="B857" s="553" t="s">
        <v>2899</v>
      </c>
      <c r="C857" s="255" t="s">
        <v>2357</v>
      </c>
      <c r="D857" t="s">
        <v>85</v>
      </c>
    </row>
    <row r="858" spans="1:4" x14ac:dyDescent="0.3">
      <c r="A858" s="553" t="s">
        <v>479</v>
      </c>
      <c r="B858" s="553" t="s">
        <v>2878</v>
      </c>
      <c r="C858" s="255" t="s">
        <v>2357</v>
      </c>
      <c r="D858" t="s">
        <v>85</v>
      </c>
    </row>
    <row r="859" spans="1:4" x14ac:dyDescent="0.3">
      <c r="A859" s="553" t="s">
        <v>2913</v>
      </c>
      <c r="B859" s="553" t="s">
        <v>2878</v>
      </c>
      <c r="C859" s="255" t="s">
        <v>2357</v>
      </c>
      <c r="D859" t="s">
        <v>85</v>
      </c>
    </row>
    <row r="860" spans="1:4" x14ac:dyDescent="0.3">
      <c r="A860" s="553" t="s">
        <v>485</v>
      </c>
      <c r="B860" s="553" t="s">
        <v>2878</v>
      </c>
      <c r="C860" s="255" t="s">
        <v>2357</v>
      </c>
      <c r="D860" t="s">
        <v>85</v>
      </c>
    </row>
    <row r="861" spans="1:4" x14ac:dyDescent="0.3">
      <c r="A861" s="553" t="s">
        <v>2914</v>
      </c>
      <c r="B861" s="553" t="s">
        <v>2878</v>
      </c>
      <c r="C861" s="255" t="s">
        <v>2357</v>
      </c>
      <c r="D861" t="s">
        <v>85</v>
      </c>
    </row>
    <row r="862" spans="1:4" x14ac:dyDescent="0.3">
      <c r="A862" s="553" t="s">
        <v>483</v>
      </c>
      <c r="B862" s="553" t="s">
        <v>2878</v>
      </c>
      <c r="C862" s="255" t="s">
        <v>2357</v>
      </c>
      <c r="D862" t="s">
        <v>85</v>
      </c>
    </row>
    <row r="863" spans="1:4" x14ac:dyDescent="0.3">
      <c r="A863" s="553" t="s">
        <v>2915</v>
      </c>
      <c r="B863" s="553" t="s">
        <v>2878</v>
      </c>
      <c r="C863" s="255" t="s">
        <v>2357</v>
      </c>
      <c r="D863" t="s">
        <v>85</v>
      </c>
    </row>
    <row r="864" spans="1:4" x14ac:dyDescent="0.3">
      <c r="A864" s="553" t="s">
        <v>2003</v>
      </c>
      <c r="B864" s="553" t="s">
        <v>2878</v>
      </c>
      <c r="C864" s="255" t="s">
        <v>2357</v>
      </c>
      <c r="D864" t="s">
        <v>85</v>
      </c>
    </row>
    <row r="865" spans="1:4" x14ac:dyDescent="0.3">
      <c r="A865" s="553" t="s">
        <v>470</v>
      </c>
      <c r="B865" s="553" t="s">
        <v>2878</v>
      </c>
      <c r="C865" s="255" t="s">
        <v>2357</v>
      </c>
      <c r="D865" t="s">
        <v>85</v>
      </c>
    </row>
    <row r="866" spans="1:4" x14ac:dyDescent="0.3">
      <c r="A866" s="553" t="s">
        <v>434</v>
      </c>
      <c r="B866" s="553" t="s">
        <v>2878</v>
      </c>
      <c r="C866" s="255" t="s">
        <v>2357</v>
      </c>
      <c r="D866" t="s">
        <v>85</v>
      </c>
    </row>
    <row r="867" spans="1:4" x14ac:dyDescent="0.3">
      <c r="A867" s="553" t="s">
        <v>2916</v>
      </c>
      <c r="B867" s="553" t="s">
        <v>2917</v>
      </c>
      <c r="C867" s="255" t="s">
        <v>2357</v>
      </c>
      <c r="D867" t="s">
        <v>85</v>
      </c>
    </row>
    <row r="868" spans="1:4" x14ac:dyDescent="0.3">
      <c r="A868" s="553" t="s">
        <v>2918</v>
      </c>
      <c r="B868" s="553" t="s">
        <v>2919</v>
      </c>
      <c r="C868" s="255" t="s">
        <v>2357</v>
      </c>
      <c r="D868" t="s">
        <v>85</v>
      </c>
    </row>
    <row r="869" spans="1:4" x14ac:dyDescent="0.3">
      <c r="A869" s="553" t="s">
        <v>2920</v>
      </c>
      <c r="B869" s="553" t="s">
        <v>2919</v>
      </c>
      <c r="C869" s="255" t="s">
        <v>2357</v>
      </c>
      <c r="D869" t="s">
        <v>85</v>
      </c>
    </row>
    <row r="870" spans="1:4" x14ac:dyDescent="0.3">
      <c r="A870" s="553" t="s">
        <v>2921</v>
      </c>
      <c r="B870" s="553" t="s">
        <v>2919</v>
      </c>
      <c r="C870" s="255" t="s">
        <v>2357</v>
      </c>
      <c r="D870" t="s">
        <v>85</v>
      </c>
    </row>
    <row r="871" spans="1:4" x14ac:dyDescent="0.3">
      <c r="A871" s="553" t="s">
        <v>2922</v>
      </c>
      <c r="B871" s="553" t="s">
        <v>2919</v>
      </c>
      <c r="C871" s="255" t="s">
        <v>2357</v>
      </c>
      <c r="D871" t="s">
        <v>85</v>
      </c>
    </row>
    <row r="872" spans="1:4" x14ac:dyDescent="0.3">
      <c r="A872" s="553" t="s">
        <v>2923</v>
      </c>
      <c r="B872" s="553" t="s">
        <v>2919</v>
      </c>
      <c r="C872" s="255" t="s">
        <v>2357</v>
      </c>
      <c r="D872" t="s">
        <v>85</v>
      </c>
    </row>
    <row r="873" spans="1:4" x14ac:dyDescent="0.3">
      <c r="A873" s="553" t="s">
        <v>2924</v>
      </c>
      <c r="B873" s="553" t="s">
        <v>2919</v>
      </c>
      <c r="C873" s="255" t="s">
        <v>2357</v>
      </c>
      <c r="D873" t="s">
        <v>85</v>
      </c>
    </row>
    <row r="874" spans="1:4" x14ac:dyDescent="0.3">
      <c r="A874" s="553" t="s">
        <v>2925</v>
      </c>
      <c r="B874" s="553" t="s">
        <v>2919</v>
      </c>
      <c r="C874" s="255" t="s">
        <v>2357</v>
      </c>
      <c r="D874" t="s">
        <v>85</v>
      </c>
    </row>
    <row r="875" spans="1:4" x14ac:dyDescent="0.3">
      <c r="A875" s="553" t="s">
        <v>2926</v>
      </c>
      <c r="B875" s="553" t="s">
        <v>2919</v>
      </c>
      <c r="C875" s="255" t="s">
        <v>2357</v>
      </c>
      <c r="D875" t="s">
        <v>85</v>
      </c>
    </row>
    <row r="876" spans="1:4" x14ac:dyDescent="0.3">
      <c r="A876" s="553" t="s">
        <v>2927</v>
      </c>
      <c r="B876" s="553" t="s">
        <v>2919</v>
      </c>
      <c r="C876" s="255" t="s">
        <v>2357</v>
      </c>
      <c r="D876" t="s">
        <v>85</v>
      </c>
    </row>
    <row r="877" spans="1:4" x14ac:dyDescent="0.3">
      <c r="A877" s="553" t="s">
        <v>2928</v>
      </c>
      <c r="B877" s="553" t="s">
        <v>2919</v>
      </c>
      <c r="C877" s="255" t="s">
        <v>2357</v>
      </c>
      <c r="D877" t="s">
        <v>85</v>
      </c>
    </row>
    <row r="878" spans="1:4" x14ac:dyDescent="0.3">
      <c r="A878" s="553" t="s">
        <v>2929</v>
      </c>
      <c r="B878" s="553" t="s">
        <v>2919</v>
      </c>
      <c r="C878" s="255" t="s">
        <v>2357</v>
      </c>
      <c r="D878" t="s">
        <v>85</v>
      </c>
    </row>
    <row r="879" spans="1:4" x14ac:dyDescent="0.3">
      <c r="A879" s="553" t="s">
        <v>2930</v>
      </c>
      <c r="B879" s="553" t="s">
        <v>2919</v>
      </c>
      <c r="C879" s="255" t="s">
        <v>2357</v>
      </c>
      <c r="D879" t="s">
        <v>85</v>
      </c>
    </row>
    <row r="880" spans="1:4" x14ac:dyDescent="0.3">
      <c r="A880" s="553" t="s">
        <v>2931</v>
      </c>
      <c r="B880" s="553" t="s">
        <v>2919</v>
      </c>
      <c r="C880" s="255" t="s">
        <v>2357</v>
      </c>
      <c r="D880" t="s">
        <v>85</v>
      </c>
    </row>
    <row r="881" spans="1:4" x14ac:dyDescent="0.3">
      <c r="A881" s="553" t="s">
        <v>2932</v>
      </c>
      <c r="B881" s="553" t="s">
        <v>2919</v>
      </c>
      <c r="C881" s="255" t="s">
        <v>2357</v>
      </c>
      <c r="D881" t="s">
        <v>85</v>
      </c>
    </row>
    <row r="882" spans="1:4" x14ac:dyDescent="0.3">
      <c r="A882" s="553" t="s">
        <v>2933</v>
      </c>
      <c r="B882" s="553" t="s">
        <v>2919</v>
      </c>
      <c r="C882" s="255" t="s">
        <v>2357</v>
      </c>
      <c r="D882" t="s">
        <v>85</v>
      </c>
    </row>
    <row r="883" spans="1:4" x14ac:dyDescent="0.3">
      <c r="A883" s="553" t="s">
        <v>2934</v>
      </c>
      <c r="B883" s="553" t="s">
        <v>2919</v>
      </c>
      <c r="C883" s="255" t="s">
        <v>2357</v>
      </c>
      <c r="D883" t="s">
        <v>85</v>
      </c>
    </row>
    <row r="884" spans="1:4" x14ac:dyDescent="0.3">
      <c r="A884" s="553" t="s">
        <v>2935</v>
      </c>
      <c r="B884" s="553" t="s">
        <v>2919</v>
      </c>
      <c r="C884" s="255" t="s">
        <v>2357</v>
      </c>
      <c r="D884" t="s">
        <v>85</v>
      </c>
    </row>
    <row r="885" spans="1:4" x14ac:dyDescent="0.3">
      <c r="A885" s="553" t="s">
        <v>2936</v>
      </c>
      <c r="B885" s="553" t="s">
        <v>2919</v>
      </c>
      <c r="C885" s="255" t="s">
        <v>2357</v>
      </c>
      <c r="D885" t="s">
        <v>85</v>
      </c>
    </row>
    <row r="886" spans="1:4" x14ac:dyDescent="0.3">
      <c r="A886" s="553" t="s">
        <v>2937</v>
      </c>
      <c r="B886" s="553" t="s">
        <v>2919</v>
      </c>
      <c r="C886" s="255" t="s">
        <v>2357</v>
      </c>
      <c r="D886" t="s">
        <v>85</v>
      </c>
    </row>
    <row r="887" spans="1:4" x14ac:dyDescent="0.3">
      <c r="A887" s="553" t="s">
        <v>2938</v>
      </c>
      <c r="B887" s="553" t="s">
        <v>2919</v>
      </c>
      <c r="C887" s="255" t="s">
        <v>2357</v>
      </c>
      <c r="D887" t="s">
        <v>85</v>
      </c>
    </row>
    <row r="888" spans="1:4" x14ac:dyDescent="0.3">
      <c r="A888" s="553" t="s">
        <v>2939</v>
      </c>
      <c r="B888" s="553" t="s">
        <v>2919</v>
      </c>
      <c r="C888" s="255" t="s">
        <v>2357</v>
      </c>
      <c r="D888" t="s">
        <v>85</v>
      </c>
    </row>
    <row r="889" spans="1:4" x14ac:dyDescent="0.3">
      <c r="A889" s="553" t="s">
        <v>2940</v>
      </c>
      <c r="B889" s="553" t="s">
        <v>2919</v>
      </c>
      <c r="C889" s="255" t="s">
        <v>2357</v>
      </c>
      <c r="D889" t="s">
        <v>85</v>
      </c>
    </row>
    <row r="890" spans="1:4" x14ac:dyDescent="0.3">
      <c r="A890" s="553" t="s">
        <v>2941</v>
      </c>
      <c r="B890" s="553" t="s">
        <v>2919</v>
      </c>
      <c r="C890" s="255" t="s">
        <v>2357</v>
      </c>
      <c r="D890" t="s">
        <v>85</v>
      </c>
    </row>
    <row r="891" spans="1:4" x14ac:dyDescent="0.3">
      <c r="A891" s="553" t="s">
        <v>2942</v>
      </c>
      <c r="B891" s="553" t="s">
        <v>2919</v>
      </c>
      <c r="C891" s="255" t="s">
        <v>2357</v>
      </c>
      <c r="D891" t="s">
        <v>85</v>
      </c>
    </row>
    <row r="892" spans="1:4" x14ac:dyDescent="0.3">
      <c r="A892" s="553" t="s">
        <v>2943</v>
      </c>
      <c r="B892" s="553" t="s">
        <v>2919</v>
      </c>
      <c r="C892" s="255" t="s">
        <v>2357</v>
      </c>
      <c r="D892" t="s">
        <v>85</v>
      </c>
    </row>
    <row r="893" spans="1:4" x14ac:dyDescent="0.3">
      <c r="A893" s="553" t="s">
        <v>2944</v>
      </c>
      <c r="B893" s="553" t="s">
        <v>2919</v>
      </c>
      <c r="C893" s="255" t="s">
        <v>2357</v>
      </c>
      <c r="D893" t="s">
        <v>85</v>
      </c>
    </row>
    <row r="894" spans="1:4" x14ac:dyDescent="0.3">
      <c r="A894" s="553" t="s">
        <v>2945</v>
      </c>
      <c r="B894" s="553" t="s">
        <v>2919</v>
      </c>
      <c r="C894" s="255" t="s">
        <v>2357</v>
      </c>
      <c r="D894" t="s">
        <v>85</v>
      </c>
    </row>
    <row r="895" spans="1:4" x14ac:dyDescent="0.3">
      <c r="A895" s="553" t="s">
        <v>2946</v>
      </c>
      <c r="B895" s="553" t="s">
        <v>2919</v>
      </c>
      <c r="C895" s="255" t="s">
        <v>2357</v>
      </c>
      <c r="D895" t="s">
        <v>85</v>
      </c>
    </row>
    <row r="896" spans="1:4" x14ac:dyDescent="0.3">
      <c r="A896" s="553" t="s">
        <v>2947</v>
      </c>
      <c r="B896" s="553" t="s">
        <v>2919</v>
      </c>
      <c r="C896" s="255" t="s">
        <v>2357</v>
      </c>
      <c r="D896" t="s">
        <v>85</v>
      </c>
    </row>
    <row r="897" spans="1:4" x14ac:dyDescent="0.3">
      <c r="A897" s="553" t="s">
        <v>2948</v>
      </c>
      <c r="B897" s="553" t="s">
        <v>2919</v>
      </c>
      <c r="C897" s="255" t="s">
        <v>2357</v>
      </c>
      <c r="D897" t="s">
        <v>85</v>
      </c>
    </row>
    <row r="898" spans="1:4" x14ac:dyDescent="0.3">
      <c r="A898" s="553" t="s">
        <v>2949</v>
      </c>
      <c r="B898" s="553" t="s">
        <v>2919</v>
      </c>
      <c r="C898" s="255" t="s">
        <v>2357</v>
      </c>
      <c r="D898" t="s">
        <v>85</v>
      </c>
    </row>
    <row r="899" spans="1:4" x14ac:dyDescent="0.3">
      <c r="A899" s="553" t="s">
        <v>2939</v>
      </c>
      <c r="B899" s="553" t="s">
        <v>2919</v>
      </c>
      <c r="C899" s="255" t="s">
        <v>2357</v>
      </c>
      <c r="D899" t="s">
        <v>85</v>
      </c>
    </row>
    <row r="900" spans="1:4" x14ac:dyDescent="0.3">
      <c r="A900" s="553" t="s">
        <v>2940</v>
      </c>
      <c r="B900" s="553" t="s">
        <v>2919</v>
      </c>
      <c r="C900" s="255" t="s">
        <v>2357</v>
      </c>
      <c r="D900" t="s">
        <v>85</v>
      </c>
    </row>
    <row r="901" spans="1:4" x14ac:dyDescent="0.3">
      <c r="A901" s="553" t="s">
        <v>2950</v>
      </c>
      <c r="B901" s="553" t="s">
        <v>2919</v>
      </c>
      <c r="C901" s="255" t="s">
        <v>2357</v>
      </c>
      <c r="D901" t="s">
        <v>85</v>
      </c>
    </row>
    <row r="902" spans="1:4" x14ac:dyDescent="0.3">
      <c r="A902" s="553" t="s">
        <v>2941</v>
      </c>
      <c r="B902" s="553" t="s">
        <v>2919</v>
      </c>
      <c r="C902" s="255" t="s">
        <v>2357</v>
      </c>
      <c r="D902" t="s">
        <v>85</v>
      </c>
    </row>
    <row r="903" spans="1:4" x14ac:dyDescent="0.3">
      <c r="A903" s="553" t="s">
        <v>2942</v>
      </c>
      <c r="B903" s="553" t="s">
        <v>2919</v>
      </c>
      <c r="C903" s="255" t="s">
        <v>2357</v>
      </c>
      <c r="D903" t="s">
        <v>85</v>
      </c>
    </row>
    <row r="904" spans="1:4" x14ac:dyDescent="0.3">
      <c r="A904" s="553" t="s">
        <v>2943</v>
      </c>
      <c r="B904" s="553" t="s">
        <v>2919</v>
      </c>
      <c r="C904" s="255" t="s">
        <v>2357</v>
      </c>
      <c r="D904" t="s">
        <v>85</v>
      </c>
    </row>
    <row r="905" spans="1:4" x14ac:dyDescent="0.3">
      <c r="A905" s="553" t="s">
        <v>2951</v>
      </c>
      <c r="B905" s="553" t="s">
        <v>2919</v>
      </c>
      <c r="C905" s="255" t="s">
        <v>2357</v>
      </c>
      <c r="D905" t="s">
        <v>85</v>
      </c>
    </row>
    <row r="906" spans="1:4" x14ac:dyDescent="0.3">
      <c r="A906" s="553" t="s">
        <v>2952</v>
      </c>
      <c r="B906" s="553" t="s">
        <v>2919</v>
      </c>
      <c r="C906" s="255" t="s">
        <v>2357</v>
      </c>
      <c r="D906" t="s">
        <v>85</v>
      </c>
    </row>
    <row r="907" spans="1:4" x14ac:dyDescent="0.3">
      <c r="A907" s="553" t="s">
        <v>2944</v>
      </c>
      <c r="B907" s="553" t="s">
        <v>2919</v>
      </c>
      <c r="C907" s="255" t="s">
        <v>2357</v>
      </c>
      <c r="D907" t="s">
        <v>85</v>
      </c>
    </row>
    <row r="908" spans="1:4" x14ac:dyDescent="0.3">
      <c r="A908" s="553" t="s">
        <v>2945</v>
      </c>
      <c r="B908" s="553" t="s">
        <v>2919</v>
      </c>
      <c r="C908" s="255" t="s">
        <v>2357</v>
      </c>
      <c r="D908" t="s">
        <v>85</v>
      </c>
    </row>
    <row r="909" spans="1:4" x14ac:dyDescent="0.3">
      <c r="A909" s="553" t="s">
        <v>2953</v>
      </c>
      <c r="B909" s="553" t="s">
        <v>2919</v>
      </c>
      <c r="C909" s="255" t="s">
        <v>2357</v>
      </c>
      <c r="D909" t="s">
        <v>85</v>
      </c>
    </row>
    <row r="910" spans="1:4" x14ac:dyDescent="0.3">
      <c r="A910" s="553" t="s">
        <v>2954</v>
      </c>
      <c r="B910" s="553" t="s">
        <v>2919</v>
      </c>
      <c r="C910" s="255" t="s">
        <v>2357</v>
      </c>
      <c r="D910" t="s">
        <v>85</v>
      </c>
    </row>
    <row r="911" spans="1:4" x14ac:dyDescent="0.3">
      <c r="A911" s="553" t="s">
        <v>2955</v>
      </c>
      <c r="B911" s="553" t="s">
        <v>2919</v>
      </c>
      <c r="C911" s="255" t="s">
        <v>2357</v>
      </c>
      <c r="D911" t="s">
        <v>85</v>
      </c>
    </row>
    <row r="912" spans="1:4" x14ac:dyDescent="0.3">
      <c r="A912" s="553" t="s">
        <v>2956</v>
      </c>
      <c r="B912" s="553" t="s">
        <v>2919</v>
      </c>
      <c r="C912" s="255" t="s">
        <v>2357</v>
      </c>
      <c r="D912" t="s">
        <v>85</v>
      </c>
    </row>
    <row r="913" spans="1:4" x14ac:dyDescent="0.3">
      <c r="A913" s="553" t="s">
        <v>2957</v>
      </c>
      <c r="B913" s="553" t="s">
        <v>2919</v>
      </c>
      <c r="C913" s="255" t="s">
        <v>2357</v>
      </c>
      <c r="D913" t="s">
        <v>85</v>
      </c>
    </row>
    <row r="914" spans="1:4" x14ac:dyDescent="0.3">
      <c r="A914" s="553" t="s">
        <v>2958</v>
      </c>
      <c r="B914" s="553" t="s">
        <v>2919</v>
      </c>
      <c r="C914" s="255" t="s">
        <v>2357</v>
      </c>
      <c r="D914" t="s">
        <v>85</v>
      </c>
    </row>
    <row r="915" spans="1:4" x14ac:dyDescent="0.3">
      <c r="A915" s="553" t="s">
        <v>2959</v>
      </c>
      <c r="B915" s="553" t="s">
        <v>2919</v>
      </c>
      <c r="C915" s="255" t="s">
        <v>2357</v>
      </c>
      <c r="D915" t="s">
        <v>85</v>
      </c>
    </row>
    <row r="916" spans="1:4" x14ac:dyDescent="0.3">
      <c r="A916" s="553" t="s">
        <v>2960</v>
      </c>
      <c r="B916" s="553" t="s">
        <v>2919</v>
      </c>
      <c r="C916" s="255" t="s">
        <v>2357</v>
      </c>
      <c r="D916" t="s">
        <v>85</v>
      </c>
    </row>
    <row r="917" spans="1:4" x14ac:dyDescent="0.3">
      <c r="A917" s="553" t="s">
        <v>2961</v>
      </c>
      <c r="B917" s="553" t="s">
        <v>2919</v>
      </c>
      <c r="C917" s="255" t="s">
        <v>2357</v>
      </c>
      <c r="D917" t="s">
        <v>85</v>
      </c>
    </row>
    <row r="918" spans="1:4" x14ac:dyDescent="0.3">
      <c r="A918" s="553" t="s">
        <v>2962</v>
      </c>
      <c r="B918" s="553" t="s">
        <v>2919</v>
      </c>
      <c r="C918" s="255" t="s">
        <v>2357</v>
      </c>
      <c r="D918" t="s">
        <v>85</v>
      </c>
    </row>
    <row r="919" spans="1:4" x14ac:dyDescent="0.3">
      <c r="A919" s="553" t="s">
        <v>2963</v>
      </c>
      <c r="B919" s="553" t="s">
        <v>2919</v>
      </c>
      <c r="C919" s="255" t="s">
        <v>2357</v>
      </c>
      <c r="D919" t="s">
        <v>85</v>
      </c>
    </row>
    <row r="920" spans="1:4" x14ac:dyDescent="0.3">
      <c r="A920" s="553" t="s">
        <v>2964</v>
      </c>
      <c r="B920" s="553" t="s">
        <v>2919</v>
      </c>
      <c r="C920" s="255" t="s">
        <v>2357</v>
      </c>
      <c r="D920" t="s">
        <v>85</v>
      </c>
    </row>
    <row r="921" spans="1:4" x14ac:dyDescent="0.3">
      <c r="A921" s="553" t="s">
        <v>2965</v>
      </c>
      <c r="B921" s="553" t="s">
        <v>2919</v>
      </c>
      <c r="C921" s="255" t="s">
        <v>2357</v>
      </c>
      <c r="D921" t="s">
        <v>85</v>
      </c>
    </row>
    <row r="922" spans="1:4" x14ac:dyDescent="0.3">
      <c r="A922" s="553" t="s">
        <v>2966</v>
      </c>
      <c r="B922" s="553" t="s">
        <v>2919</v>
      </c>
      <c r="C922" s="255" t="s">
        <v>2357</v>
      </c>
      <c r="D922" t="s">
        <v>85</v>
      </c>
    </row>
    <row r="923" spans="1:4" x14ac:dyDescent="0.3">
      <c r="A923" s="553" t="s">
        <v>2967</v>
      </c>
      <c r="B923" s="553" t="s">
        <v>2919</v>
      </c>
      <c r="C923" s="255" t="s">
        <v>2357</v>
      </c>
      <c r="D923" t="s">
        <v>85</v>
      </c>
    </row>
    <row r="924" spans="1:4" x14ac:dyDescent="0.3">
      <c r="A924" s="553" t="s">
        <v>2968</v>
      </c>
      <c r="B924" s="553" t="s">
        <v>2919</v>
      </c>
      <c r="C924" s="255" t="s">
        <v>2357</v>
      </c>
      <c r="D924" t="s">
        <v>85</v>
      </c>
    </row>
    <row r="925" spans="1:4" x14ac:dyDescent="0.3">
      <c r="A925" s="553" t="s">
        <v>2969</v>
      </c>
      <c r="B925" s="553" t="s">
        <v>2919</v>
      </c>
      <c r="C925" s="255" t="s">
        <v>2357</v>
      </c>
      <c r="D925" t="s">
        <v>85</v>
      </c>
    </row>
    <row r="926" spans="1:4" x14ac:dyDescent="0.3">
      <c r="A926" s="553" t="s">
        <v>2970</v>
      </c>
      <c r="B926" s="553" t="s">
        <v>2919</v>
      </c>
      <c r="C926" s="255" t="s">
        <v>2357</v>
      </c>
      <c r="D926" t="s">
        <v>85</v>
      </c>
    </row>
    <row r="927" spans="1:4" x14ac:dyDescent="0.3">
      <c r="A927" s="553" t="s">
        <v>2971</v>
      </c>
      <c r="B927" s="553" t="s">
        <v>2919</v>
      </c>
      <c r="C927" s="255" t="s">
        <v>2357</v>
      </c>
      <c r="D927" t="s">
        <v>85</v>
      </c>
    </row>
    <row r="928" spans="1:4" x14ac:dyDescent="0.3">
      <c r="A928" s="553" t="s">
        <v>2972</v>
      </c>
      <c r="B928" s="553" t="s">
        <v>2919</v>
      </c>
      <c r="C928" s="255" t="s">
        <v>2357</v>
      </c>
      <c r="D928" t="s">
        <v>85</v>
      </c>
    </row>
    <row r="929" spans="1:4" x14ac:dyDescent="0.3">
      <c r="A929" s="553" t="s">
        <v>2973</v>
      </c>
      <c r="B929" s="553" t="s">
        <v>2919</v>
      </c>
      <c r="C929" s="255" t="s">
        <v>2357</v>
      </c>
      <c r="D929" t="s">
        <v>85</v>
      </c>
    </row>
    <row r="930" spans="1:4" x14ac:dyDescent="0.3">
      <c r="A930" s="553" t="s">
        <v>2974</v>
      </c>
      <c r="B930" s="553" t="s">
        <v>2919</v>
      </c>
      <c r="C930" s="255" t="s">
        <v>2357</v>
      </c>
      <c r="D930" t="s">
        <v>85</v>
      </c>
    </row>
    <row r="931" spans="1:4" x14ac:dyDescent="0.3">
      <c r="A931" s="553" t="s">
        <v>2975</v>
      </c>
      <c r="B931" s="553" t="s">
        <v>2919</v>
      </c>
      <c r="C931" s="255" t="s">
        <v>2357</v>
      </c>
      <c r="D931" t="s">
        <v>85</v>
      </c>
    </row>
    <row r="932" spans="1:4" x14ac:dyDescent="0.3">
      <c r="A932" s="553" t="s">
        <v>2976</v>
      </c>
      <c r="B932" s="553" t="s">
        <v>2919</v>
      </c>
      <c r="C932" s="255" t="s">
        <v>2357</v>
      </c>
      <c r="D932" t="s">
        <v>85</v>
      </c>
    </row>
    <row r="933" spans="1:4" x14ac:dyDescent="0.3">
      <c r="A933" s="553" t="s">
        <v>1888</v>
      </c>
      <c r="B933" s="553" t="s">
        <v>2919</v>
      </c>
      <c r="C933" s="255" t="s">
        <v>2357</v>
      </c>
      <c r="D933" t="s">
        <v>85</v>
      </c>
    </row>
    <row r="934" spans="1:4" x14ac:dyDescent="0.3">
      <c r="A934" s="553" t="s">
        <v>2977</v>
      </c>
      <c r="B934" s="553" t="s">
        <v>2919</v>
      </c>
      <c r="C934" s="255" t="s">
        <v>2357</v>
      </c>
      <c r="D934" t="s">
        <v>85</v>
      </c>
    </row>
    <row r="935" spans="1:4" x14ac:dyDescent="0.3">
      <c r="A935" s="553" t="s">
        <v>1890</v>
      </c>
      <c r="B935" s="553" t="s">
        <v>2919</v>
      </c>
      <c r="C935" s="255" t="s">
        <v>2357</v>
      </c>
      <c r="D935" t="s">
        <v>85</v>
      </c>
    </row>
    <row r="936" spans="1:4" x14ac:dyDescent="0.3">
      <c r="A936" s="553" t="s">
        <v>1891</v>
      </c>
      <c r="B936" s="553" t="s">
        <v>2919</v>
      </c>
      <c r="C936" s="255" t="s">
        <v>2357</v>
      </c>
      <c r="D936" t="s">
        <v>85</v>
      </c>
    </row>
    <row r="937" spans="1:4" x14ac:dyDescent="0.3">
      <c r="A937" s="553" t="s">
        <v>2978</v>
      </c>
      <c r="B937" s="553" t="s">
        <v>2919</v>
      </c>
      <c r="C937" s="255" t="s">
        <v>2357</v>
      </c>
      <c r="D937" t="s">
        <v>85</v>
      </c>
    </row>
    <row r="938" spans="1:4" x14ac:dyDescent="0.3">
      <c r="A938" s="553" t="s">
        <v>2858</v>
      </c>
      <c r="B938" s="553" t="s">
        <v>2859</v>
      </c>
      <c r="C938" s="255" t="s">
        <v>2357</v>
      </c>
      <c r="D938" t="s">
        <v>85</v>
      </c>
    </row>
    <row r="939" spans="1:4" x14ac:dyDescent="0.3">
      <c r="A939" s="553" t="s">
        <v>2860</v>
      </c>
      <c r="B939" s="553" t="s">
        <v>2859</v>
      </c>
      <c r="C939" s="255" t="s">
        <v>2357</v>
      </c>
      <c r="D939" t="s">
        <v>85</v>
      </c>
    </row>
    <row r="940" spans="1:4" x14ac:dyDescent="0.3">
      <c r="A940" s="553" t="s">
        <v>1901</v>
      </c>
      <c r="B940" s="553" t="s">
        <v>2859</v>
      </c>
      <c r="C940" s="255" t="s">
        <v>2357</v>
      </c>
      <c r="D940" t="s">
        <v>85</v>
      </c>
    </row>
    <row r="941" spans="1:4" x14ac:dyDescent="0.3">
      <c r="A941" s="553" t="s">
        <v>2861</v>
      </c>
      <c r="B941" s="553" t="s">
        <v>2859</v>
      </c>
      <c r="C941" s="255" t="s">
        <v>2357</v>
      </c>
      <c r="D941" t="s">
        <v>85</v>
      </c>
    </row>
    <row r="942" spans="1:4" x14ac:dyDescent="0.3">
      <c r="A942" s="553" t="s">
        <v>2862</v>
      </c>
      <c r="B942" s="553" t="s">
        <v>2859</v>
      </c>
      <c r="C942" s="255" t="s">
        <v>2357</v>
      </c>
      <c r="D942" t="s">
        <v>85</v>
      </c>
    </row>
    <row r="943" spans="1:4" x14ac:dyDescent="0.3">
      <c r="A943" s="553" t="s">
        <v>2863</v>
      </c>
      <c r="B943" s="553" t="s">
        <v>2859</v>
      </c>
      <c r="C943" s="255" t="s">
        <v>2357</v>
      </c>
      <c r="D943" t="s">
        <v>85</v>
      </c>
    </row>
    <row r="944" spans="1:4" x14ac:dyDescent="0.3">
      <c r="A944" s="553" t="s">
        <v>2864</v>
      </c>
      <c r="B944" s="553" t="s">
        <v>2859</v>
      </c>
      <c r="C944" s="255" t="s">
        <v>2357</v>
      </c>
      <c r="D944" t="s">
        <v>85</v>
      </c>
    </row>
    <row r="945" spans="1:4" x14ac:dyDescent="0.3">
      <c r="A945" s="553" t="s">
        <v>1895</v>
      </c>
      <c r="B945" s="553" t="s">
        <v>2859</v>
      </c>
      <c r="C945" s="255" t="s">
        <v>2357</v>
      </c>
      <c r="D945" t="s">
        <v>85</v>
      </c>
    </row>
    <row r="946" spans="1:4" x14ac:dyDescent="0.3">
      <c r="A946" s="553" t="s">
        <v>2865</v>
      </c>
      <c r="B946" s="553" t="s">
        <v>2859</v>
      </c>
      <c r="C946" s="255" t="s">
        <v>2357</v>
      </c>
      <c r="D946" t="s">
        <v>85</v>
      </c>
    </row>
    <row r="947" spans="1:4" x14ac:dyDescent="0.3">
      <c r="A947" s="553" t="s">
        <v>1896</v>
      </c>
      <c r="B947" s="553" t="s">
        <v>2859</v>
      </c>
      <c r="C947" s="255" t="s">
        <v>2357</v>
      </c>
      <c r="D947" t="s">
        <v>85</v>
      </c>
    </row>
    <row r="948" spans="1:4" x14ac:dyDescent="0.3">
      <c r="A948" s="553" t="s">
        <v>1900</v>
      </c>
      <c r="B948" s="553" t="s">
        <v>2859</v>
      </c>
      <c r="C948" s="255" t="s">
        <v>2357</v>
      </c>
      <c r="D948" t="s">
        <v>85</v>
      </c>
    </row>
    <row r="949" spans="1:4" x14ac:dyDescent="0.3">
      <c r="A949" s="553" t="s">
        <v>2866</v>
      </c>
      <c r="B949" s="553" t="s">
        <v>2859</v>
      </c>
      <c r="C949" s="255" t="s">
        <v>2357</v>
      </c>
      <c r="D949" t="s">
        <v>85</v>
      </c>
    </row>
    <row r="950" spans="1:4" x14ac:dyDescent="0.3">
      <c r="A950" s="553" t="s">
        <v>2867</v>
      </c>
      <c r="B950" s="553" t="s">
        <v>2859</v>
      </c>
      <c r="C950" s="255" t="s">
        <v>2357</v>
      </c>
      <c r="D950" t="s">
        <v>85</v>
      </c>
    </row>
    <row r="951" spans="1:4" x14ac:dyDescent="0.3">
      <c r="A951" s="553" t="s">
        <v>2868</v>
      </c>
      <c r="B951" s="553" t="s">
        <v>2859</v>
      </c>
      <c r="C951" s="255" t="s">
        <v>2357</v>
      </c>
      <c r="D951" t="s">
        <v>85</v>
      </c>
    </row>
    <row r="952" spans="1:4" x14ac:dyDescent="0.3">
      <c r="A952" s="553" t="s">
        <v>2869</v>
      </c>
      <c r="B952" s="553" t="s">
        <v>2859</v>
      </c>
      <c r="C952" s="255" t="s">
        <v>2357</v>
      </c>
      <c r="D952" t="s">
        <v>85</v>
      </c>
    </row>
    <row r="953" spans="1:4" x14ac:dyDescent="0.3">
      <c r="A953" s="553" t="s">
        <v>2870</v>
      </c>
      <c r="B953" s="553" t="s">
        <v>2859</v>
      </c>
      <c r="C953" s="255" t="s">
        <v>2357</v>
      </c>
      <c r="D953" t="s">
        <v>85</v>
      </c>
    </row>
    <row r="954" spans="1:4" x14ac:dyDescent="0.3">
      <c r="A954" s="553" t="s">
        <v>2871</v>
      </c>
      <c r="B954" s="553" t="s">
        <v>2859</v>
      </c>
      <c r="C954" s="255" t="s">
        <v>2357</v>
      </c>
      <c r="D954" t="s">
        <v>85</v>
      </c>
    </row>
    <row r="955" spans="1:4" x14ac:dyDescent="0.3">
      <c r="A955" s="553" t="s">
        <v>1905</v>
      </c>
      <c r="B955" s="553" t="s">
        <v>2859</v>
      </c>
      <c r="C955" s="255" t="s">
        <v>2357</v>
      </c>
      <c r="D955" t="s">
        <v>85</v>
      </c>
    </row>
    <row r="956" spans="1:4" x14ac:dyDescent="0.3">
      <c r="A956" s="553" t="s">
        <v>2872</v>
      </c>
      <c r="B956" s="553" t="s">
        <v>2859</v>
      </c>
      <c r="C956" s="255" t="s">
        <v>2357</v>
      </c>
      <c r="D956" t="s">
        <v>85</v>
      </c>
    </row>
    <row r="957" spans="1:4" x14ac:dyDescent="0.3">
      <c r="A957" s="553" t="s">
        <v>1643</v>
      </c>
      <c r="B957" s="553" t="s">
        <v>2859</v>
      </c>
      <c r="C957" s="255" t="s">
        <v>2357</v>
      </c>
      <c r="D957" t="s">
        <v>85</v>
      </c>
    </row>
    <row r="958" spans="1:4" x14ac:dyDescent="0.3">
      <c r="A958" s="553" t="s">
        <v>1897</v>
      </c>
      <c r="B958" s="553" t="s">
        <v>2859</v>
      </c>
      <c r="C958" s="255" t="s">
        <v>2357</v>
      </c>
      <c r="D958" t="s">
        <v>85</v>
      </c>
    </row>
    <row r="959" spans="1:4" x14ac:dyDescent="0.3">
      <c r="A959" s="553" t="s">
        <v>2873</v>
      </c>
      <c r="B959" s="553" t="s">
        <v>2859</v>
      </c>
      <c r="C959" s="255" t="s">
        <v>2357</v>
      </c>
      <c r="D959" t="s">
        <v>85</v>
      </c>
    </row>
    <row r="960" spans="1:4" x14ac:dyDescent="0.3">
      <c r="A960" s="553" t="s">
        <v>1643</v>
      </c>
      <c r="B960" s="553" t="s">
        <v>2859</v>
      </c>
      <c r="C960" s="255" t="s">
        <v>2357</v>
      </c>
      <c r="D960" t="s">
        <v>85</v>
      </c>
    </row>
    <row r="961" spans="1:4" x14ac:dyDescent="0.3">
      <c r="A961" s="553" t="s">
        <v>1899</v>
      </c>
      <c r="B961" s="553" t="s">
        <v>2859</v>
      </c>
      <c r="C961" s="255" t="s">
        <v>2357</v>
      </c>
      <c r="D961" t="s">
        <v>85</v>
      </c>
    </row>
    <row r="962" spans="1:4" x14ac:dyDescent="0.3">
      <c r="A962" s="553" t="s">
        <v>2874</v>
      </c>
      <c r="B962" s="553" t="s">
        <v>2859</v>
      </c>
      <c r="C962" s="255" t="s">
        <v>2357</v>
      </c>
      <c r="D962" t="s">
        <v>85</v>
      </c>
    </row>
    <row r="963" spans="1:4" x14ac:dyDescent="0.3">
      <c r="A963" s="553" t="s">
        <v>788</v>
      </c>
      <c r="B963" s="553" t="s">
        <v>2859</v>
      </c>
      <c r="C963" s="255" t="s">
        <v>2357</v>
      </c>
      <c r="D963" t="s">
        <v>85</v>
      </c>
    </row>
    <row r="964" spans="1:4" x14ac:dyDescent="0.3">
      <c r="A964" s="553" t="s">
        <v>793</v>
      </c>
      <c r="B964" s="553" t="s">
        <v>2859</v>
      </c>
      <c r="C964" s="255" t="s">
        <v>2357</v>
      </c>
      <c r="D964" t="s">
        <v>85</v>
      </c>
    </row>
    <row r="965" spans="1:4" x14ac:dyDescent="0.3">
      <c r="A965" s="553" t="s">
        <v>1643</v>
      </c>
      <c r="B965" s="553" t="s">
        <v>2859</v>
      </c>
      <c r="C965" s="255" t="s">
        <v>2357</v>
      </c>
      <c r="D965" t="s">
        <v>85</v>
      </c>
    </row>
    <row r="966" spans="1:4" x14ac:dyDescent="0.3">
      <c r="A966" s="553" t="s">
        <v>2875</v>
      </c>
      <c r="B966" s="553" t="s">
        <v>2859</v>
      </c>
      <c r="C966" s="255" t="s">
        <v>2357</v>
      </c>
      <c r="D966" t="s">
        <v>85</v>
      </c>
    </row>
    <row r="967" spans="1:4" x14ac:dyDescent="0.3">
      <c r="A967" s="553" t="s">
        <v>797</v>
      </c>
      <c r="B967" s="553" t="s">
        <v>2859</v>
      </c>
      <c r="C967" s="255" t="s">
        <v>2357</v>
      </c>
      <c r="D967" t="s">
        <v>85</v>
      </c>
    </row>
    <row r="968" spans="1:4" x14ac:dyDescent="0.3">
      <c r="A968" s="553" t="s">
        <v>1643</v>
      </c>
      <c r="B968" s="553" t="s">
        <v>2859</v>
      </c>
      <c r="C968" s="255" t="s">
        <v>2357</v>
      </c>
      <c r="D968" t="s">
        <v>85</v>
      </c>
    </row>
    <row r="969" spans="1:4" x14ac:dyDescent="0.3">
      <c r="A969" s="553" t="s">
        <v>1617</v>
      </c>
      <c r="B969" s="553" t="s">
        <v>2859</v>
      </c>
      <c r="C969" s="255" t="s">
        <v>2357</v>
      </c>
      <c r="D969" t="s">
        <v>85</v>
      </c>
    </row>
    <row r="970" spans="1:4" x14ac:dyDescent="0.3">
      <c r="A970" s="553" t="s">
        <v>795</v>
      </c>
      <c r="B970" s="553" t="s">
        <v>2859</v>
      </c>
      <c r="C970" s="255" t="s">
        <v>2357</v>
      </c>
      <c r="D970" t="s">
        <v>85</v>
      </c>
    </row>
    <row r="971" spans="1:4" x14ac:dyDescent="0.3">
      <c r="A971" s="553" t="s">
        <v>1909</v>
      </c>
      <c r="B971" s="553" t="s">
        <v>2859</v>
      </c>
      <c r="C971" s="255" t="s">
        <v>2357</v>
      </c>
      <c r="D971" t="s">
        <v>85</v>
      </c>
    </row>
    <row r="972" spans="1:4" x14ac:dyDescent="0.3">
      <c r="A972" s="553" t="s">
        <v>1898</v>
      </c>
      <c r="B972" s="553" t="s">
        <v>2859</v>
      </c>
      <c r="C972" s="255" t="s">
        <v>2357</v>
      </c>
      <c r="D972" t="s">
        <v>85</v>
      </c>
    </row>
    <row r="973" spans="1:4" x14ac:dyDescent="0.3">
      <c r="A973" s="553" t="s">
        <v>2876</v>
      </c>
      <c r="B973" s="553" t="s">
        <v>2859</v>
      </c>
      <c r="C973" s="255" t="s">
        <v>2357</v>
      </c>
      <c r="D973" t="s">
        <v>85</v>
      </c>
    </row>
    <row r="974" spans="1:4" x14ac:dyDescent="0.3">
      <c r="A974" s="553" t="s">
        <v>761</v>
      </c>
      <c r="B974" s="553" t="s">
        <v>2859</v>
      </c>
      <c r="C974" s="255" t="s">
        <v>2357</v>
      </c>
      <c r="D974" t="s">
        <v>85</v>
      </c>
    </row>
    <row r="975" spans="1:4" x14ac:dyDescent="0.3">
      <c r="A975" s="553" t="s">
        <v>1643</v>
      </c>
      <c r="B975" s="553" t="s">
        <v>2859</v>
      </c>
      <c r="C975" s="255" t="s">
        <v>2357</v>
      </c>
      <c r="D975" t="s">
        <v>85</v>
      </c>
    </row>
    <row r="976" spans="1:4" x14ac:dyDescent="0.3">
      <c r="A976" s="553" t="s">
        <v>1627</v>
      </c>
      <c r="B976" s="553" t="s">
        <v>2859</v>
      </c>
      <c r="C976" s="255" t="s">
        <v>2357</v>
      </c>
      <c r="D976" t="s">
        <v>85</v>
      </c>
    </row>
    <row r="977" spans="1:4" x14ac:dyDescent="0.3">
      <c r="A977" s="553" t="s">
        <v>761</v>
      </c>
      <c r="B977" s="553" t="s">
        <v>2859</v>
      </c>
      <c r="C977" s="255" t="s">
        <v>2357</v>
      </c>
      <c r="D977" t="s">
        <v>85</v>
      </c>
    </row>
    <row r="978" spans="1:4" x14ac:dyDescent="0.3">
      <c r="A978" s="553" t="s">
        <v>2979</v>
      </c>
      <c r="B978" s="553" t="s">
        <v>2980</v>
      </c>
      <c r="C978" s="255" t="s">
        <v>2357</v>
      </c>
      <c r="D978" t="s">
        <v>85</v>
      </c>
    </row>
    <row r="979" spans="1:4" x14ac:dyDescent="0.3">
      <c r="A979" s="553" t="s">
        <v>651</v>
      </c>
      <c r="B979" s="553" t="s">
        <v>2980</v>
      </c>
      <c r="C979" s="255" t="s">
        <v>2357</v>
      </c>
      <c r="D979" t="s">
        <v>85</v>
      </c>
    </row>
    <row r="980" spans="1:4" x14ac:dyDescent="0.3">
      <c r="A980" s="553" t="s">
        <v>2981</v>
      </c>
      <c r="B980" s="553" t="s">
        <v>2980</v>
      </c>
      <c r="C980" s="255" t="s">
        <v>2357</v>
      </c>
      <c r="D980" t="s">
        <v>85</v>
      </c>
    </row>
    <row r="981" spans="1:4" x14ac:dyDescent="0.3">
      <c r="A981" s="553" t="s">
        <v>2176</v>
      </c>
      <c r="B981" s="553" t="s">
        <v>2980</v>
      </c>
      <c r="C981" s="255" t="s">
        <v>2357</v>
      </c>
      <c r="D981" t="s">
        <v>85</v>
      </c>
    </row>
    <row r="982" spans="1:4" x14ac:dyDescent="0.3">
      <c r="A982" s="553" t="s">
        <v>1147</v>
      </c>
      <c r="B982" s="553" t="s">
        <v>2980</v>
      </c>
      <c r="C982" s="255" t="s">
        <v>2357</v>
      </c>
      <c r="D982" t="s">
        <v>85</v>
      </c>
    </row>
    <row r="983" spans="1:4" x14ac:dyDescent="0.3">
      <c r="A983" s="553" t="s">
        <v>650</v>
      </c>
      <c r="B983" s="553" t="s">
        <v>2980</v>
      </c>
      <c r="C983" s="255" t="s">
        <v>2357</v>
      </c>
      <c r="D983" t="s">
        <v>85</v>
      </c>
    </row>
    <row r="984" spans="1:4" x14ac:dyDescent="0.3">
      <c r="A984" s="553" t="s">
        <v>1147</v>
      </c>
      <c r="B984" s="553" t="s">
        <v>2980</v>
      </c>
      <c r="C984" s="255" t="s">
        <v>2357</v>
      </c>
      <c r="D984" t="s">
        <v>85</v>
      </c>
    </row>
    <row r="985" spans="1:4" x14ac:dyDescent="0.3">
      <c r="A985" s="553" t="s">
        <v>1930</v>
      </c>
      <c r="B985" s="553" t="s">
        <v>2980</v>
      </c>
      <c r="C985" s="255" t="s">
        <v>2357</v>
      </c>
      <c r="D985" t="s">
        <v>85</v>
      </c>
    </row>
    <row r="986" spans="1:4" x14ac:dyDescent="0.3">
      <c r="A986" s="553" t="s">
        <v>2180</v>
      </c>
      <c r="B986" s="553" t="s">
        <v>2980</v>
      </c>
      <c r="C986" s="255" t="s">
        <v>2357</v>
      </c>
      <c r="D986" t="s">
        <v>85</v>
      </c>
    </row>
    <row r="987" spans="1:4" x14ac:dyDescent="0.3">
      <c r="A987" s="553" t="s">
        <v>2982</v>
      </c>
      <c r="B987" s="553" t="s">
        <v>2980</v>
      </c>
      <c r="C987" s="255" t="s">
        <v>2357</v>
      </c>
      <c r="D987" t="s">
        <v>85</v>
      </c>
    </row>
    <row r="988" spans="1:4" x14ac:dyDescent="0.3">
      <c r="A988" s="553" t="s">
        <v>1814</v>
      </c>
      <c r="B988" s="553" t="s">
        <v>2980</v>
      </c>
      <c r="C988" s="255" t="s">
        <v>2357</v>
      </c>
      <c r="D988" t="s">
        <v>85</v>
      </c>
    </row>
    <row r="989" spans="1:4" x14ac:dyDescent="0.3">
      <c r="A989" s="553" t="s">
        <v>651</v>
      </c>
      <c r="B989" s="553" t="s">
        <v>2980</v>
      </c>
      <c r="C989" s="255" t="s">
        <v>2357</v>
      </c>
      <c r="D989" t="s">
        <v>85</v>
      </c>
    </row>
    <row r="990" spans="1:4" x14ac:dyDescent="0.3">
      <c r="A990" s="553" t="s">
        <v>1057</v>
      </c>
      <c r="B990" s="553" t="s">
        <v>2980</v>
      </c>
      <c r="C990" s="255" t="s">
        <v>2357</v>
      </c>
      <c r="D990" t="s">
        <v>85</v>
      </c>
    </row>
    <row r="991" spans="1:4" x14ac:dyDescent="0.3">
      <c r="A991" s="553" t="s">
        <v>2000</v>
      </c>
      <c r="B991" s="553" t="s">
        <v>2980</v>
      </c>
      <c r="C991" s="255" t="s">
        <v>2357</v>
      </c>
      <c r="D991" t="s">
        <v>85</v>
      </c>
    </row>
    <row r="992" spans="1:4" x14ac:dyDescent="0.3">
      <c r="A992" s="553" t="s">
        <v>2983</v>
      </c>
      <c r="B992" s="553" t="s">
        <v>2980</v>
      </c>
      <c r="C992" s="255" t="s">
        <v>2357</v>
      </c>
      <c r="D992" t="s">
        <v>85</v>
      </c>
    </row>
    <row r="993" spans="1:4" x14ac:dyDescent="0.3">
      <c r="A993" s="553" t="s">
        <v>1149</v>
      </c>
      <c r="B993" s="553" t="s">
        <v>2980</v>
      </c>
      <c r="C993" s="255" t="s">
        <v>2357</v>
      </c>
      <c r="D993" t="s">
        <v>85</v>
      </c>
    </row>
    <row r="994" spans="1:4" x14ac:dyDescent="0.3">
      <c r="A994" s="553" t="s">
        <v>1057</v>
      </c>
      <c r="B994" s="553" t="s">
        <v>2980</v>
      </c>
      <c r="C994" s="255" t="s">
        <v>2357</v>
      </c>
      <c r="D994" t="s">
        <v>85</v>
      </c>
    </row>
    <row r="995" spans="1:4" x14ac:dyDescent="0.3">
      <c r="A995" s="553" t="s">
        <v>2984</v>
      </c>
      <c r="B995" s="553" t="s">
        <v>2980</v>
      </c>
      <c r="C995" s="255" t="s">
        <v>2357</v>
      </c>
      <c r="D995" t="s">
        <v>85</v>
      </c>
    </row>
    <row r="996" spans="1:4" x14ac:dyDescent="0.3">
      <c r="A996" s="553" t="s">
        <v>2985</v>
      </c>
      <c r="B996" s="553" t="s">
        <v>2980</v>
      </c>
      <c r="C996" s="255" t="s">
        <v>2357</v>
      </c>
      <c r="D996" t="s">
        <v>85</v>
      </c>
    </row>
    <row r="997" spans="1:4" x14ac:dyDescent="0.3">
      <c r="A997" s="553" t="s">
        <v>2986</v>
      </c>
      <c r="B997" s="553" t="s">
        <v>2980</v>
      </c>
      <c r="C997" s="255" t="s">
        <v>2357</v>
      </c>
      <c r="D997" t="s">
        <v>85</v>
      </c>
    </row>
    <row r="998" spans="1:4" x14ac:dyDescent="0.3">
      <c r="A998" s="553" t="s">
        <v>2979</v>
      </c>
      <c r="B998" s="553" t="s">
        <v>2980</v>
      </c>
      <c r="C998" s="255" t="s">
        <v>2357</v>
      </c>
      <c r="D998" t="s">
        <v>85</v>
      </c>
    </row>
    <row r="999" spans="1:4" x14ac:dyDescent="0.3">
      <c r="A999" s="553" t="s">
        <v>750</v>
      </c>
      <c r="B999" s="553" t="s">
        <v>2980</v>
      </c>
      <c r="C999" s="255" t="s">
        <v>2357</v>
      </c>
      <c r="D999" t="s">
        <v>85</v>
      </c>
    </row>
    <row r="1000" spans="1:4" x14ac:dyDescent="0.3">
      <c r="A1000" s="553" t="s">
        <v>623</v>
      </c>
      <c r="B1000" s="553" t="s">
        <v>2980</v>
      </c>
      <c r="C1000" s="255" t="s">
        <v>2357</v>
      </c>
      <c r="D1000" t="s">
        <v>85</v>
      </c>
    </row>
    <row r="1001" spans="1:4" x14ac:dyDescent="0.3">
      <c r="A1001" s="553" t="s">
        <v>1057</v>
      </c>
      <c r="B1001" s="553" t="s">
        <v>2980</v>
      </c>
      <c r="C1001" s="255" t="s">
        <v>2357</v>
      </c>
      <c r="D1001" t="s">
        <v>85</v>
      </c>
    </row>
    <row r="1002" spans="1:4" x14ac:dyDescent="0.3">
      <c r="A1002" s="553" t="s">
        <v>2229</v>
      </c>
      <c r="B1002" s="553" t="s">
        <v>2980</v>
      </c>
      <c r="C1002" s="255" t="s">
        <v>2357</v>
      </c>
      <c r="D1002" t="s">
        <v>85</v>
      </c>
    </row>
    <row r="1003" spans="1:4" x14ac:dyDescent="0.3">
      <c r="A1003" s="553" t="s">
        <v>2216</v>
      </c>
      <c r="B1003" s="553" t="s">
        <v>2980</v>
      </c>
      <c r="C1003" s="255" t="s">
        <v>2357</v>
      </c>
      <c r="D1003" t="s">
        <v>85</v>
      </c>
    </row>
    <row r="1004" spans="1:4" x14ac:dyDescent="0.3">
      <c r="A1004" s="553" t="s">
        <v>2987</v>
      </c>
      <c r="B1004" s="553" t="s">
        <v>2980</v>
      </c>
      <c r="C1004" s="255" t="s">
        <v>2357</v>
      </c>
      <c r="D1004" t="s">
        <v>85</v>
      </c>
    </row>
    <row r="1005" spans="1:4" x14ac:dyDescent="0.3">
      <c r="A1005" s="553" t="s">
        <v>2220</v>
      </c>
      <c r="B1005" s="553" t="s">
        <v>2980</v>
      </c>
      <c r="C1005" s="255" t="s">
        <v>2357</v>
      </c>
      <c r="D1005" t="s">
        <v>85</v>
      </c>
    </row>
    <row r="1006" spans="1:4" x14ac:dyDescent="0.3">
      <c r="A1006" s="553" t="s">
        <v>2988</v>
      </c>
      <c r="B1006" s="553" t="s">
        <v>2980</v>
      </c>
      <c r="C1006" s="255" t="s">
        <v>2357</v>
      </c>
      <c r="D1006" t="s">
        <v>85</v>
      </c>
    </row>
    <row r="1007" spans="1:4" x14ac:dyDescent="0.3">
      <c r="A1007" s="553" t="s">
        <v>2218</v>
      </c>
      <c r="B1007" s="553" t="s">
        <v>2980</v>
      </c>
      <c r="C1007" s="255" t="s">
        <v>2357</v>
      </c>
      <c r="D1007" t="s">
        <v>85</v>
      </c>
    </row>
    <row r="1008" spans="1:4" x14ac:dyDescent="0.3">
      <c r="A1008" s="553" t="s">
        <v>650</v>
      </c>
      <c r="B1008" s="553" t="s">
        <v>2980</v>
      </c>
      <c r="C1008" s="255" t="s">
        <v>2357</v>
      </c>
      <c r="D1008" t="s">
        <v>85</v>
      </c>
    </row>
    <row r="1009" spans="1:4" x14ac:dyDescent="0.3">
      <c r="A1009" s="553" t="s">
        <v>1820</v>
      </c>
      <c r="B1009" s="553" t="s">
        <v>2980</v>
      </c>
      <c r="C1009" s="255" t="s">
        <v>2357</v>
      </c>
      <c r="D1009" t="s">
        <v>85</v>
      </c>
    </row>
    <row r="1010" spans="1:4" x14ac:dyDescent="0.3">
      <c r="A1010" s="553" t="s">
        <v>1147</v>
      </c>
      <c r="B1010" s="553" t="s">
        <v>2980</v>
      </c>
      <c r="C1010" s="255" t="s">
        <v>2357</v>
      </c>
      <c r="D1010" t="s">
        <v>85</v>
      </c>
    </row>
    <row r="1011" spans="1:4" x14ac:dyDescent="0.3">
      <c r="A1011" s="553" t="s">
        <v>2229</v>
      </c>
      <c r="B1011" s="553" t="s">
        <v>2980</v>
      </c>
      <c r="C1011" s="255" t="s">
        <v>2357</v>
      </c>
      <c r="D1011" t="s">
        <v>85</v>
      </c>
    </row>
    <row r="1012" spans="1:4" x14ac:dyDescent="0.3">
      <c r="A1012" s="553" t="s">
        <v>2180</v>
      </c>
      <c r="B1012" s="553" t="s">
        <v>2980</v>
      </c>
      <c r="C1012" s="255" t="s">
        <v>2357</v>
      </c>
      <c r="D1012" t="s">
        <v>85</v>
      </c>
    </row>
    <row r="1013" spans="1:4" x14ac:dyDescent="0.3">
      <c r="A1013" s="553" t="s">
        <v>2989</v>
      </c>
      <c r="B1013" s="553" t="s">
        <v>2980</v>
      </c>
      <c r="C1013" s="255" t="s">
        <v>2357</v>
      </c>
      <c r="D1013" t="s">
        <v>85</v>
      </c>
    </row>
    <row r="1014" spans="1:4" x14ac:dyDescent="0.3">
      <c r="A1014" s="553" t="s">
        <v>2990</v>
      </c>
      <c r="B1014" s="553" t="s">
        <v>2980</v>
      </c>
      <c r="C1014" s="255" t="s">
        <v>2357</v>
      </c>
      <c r="D1014" t="s">
        <v>85</v>
      </c>
    </row>
    <row r="1015" spans="1:4" x14ac:dyDescent="0.3">
      <c r="A1015" s="553" t="s">
        <v>2981</v>
      </c>
      <c r="B1015" s="553" t="s">
        <v>2980</v>
      </c>
      <c r="C1015" s="255" t="s">
        <v>2357</v>
      </c>
      <c r="D1015" t="s">
        <v>85</v>
      </c>
    </row>
    <row r="1016" spans="1:4" x14ac:dyDescent="0.3">
      <c r="A1016" s="553" t="s">
        <v>2988</v>
      </c>
      <c r="B1016" s="553" t="s">
        <v>2980</v>
      </c>
      <c r="C1016" s="255" t="s">
        <v>2357</v>
      </c>
      <c r="D1016" t="s">
        <v>85</v>
      </c>
    </row>
    <row r="1017" spans="1:4" x14ac:dyDescent="0.3">
      <c r="A1017" s="553" t="s">
        <v>1813</v>
      </c>
      <c r="B1017" s="553" t="s">
        <v>2980</v>
      </c>
      <c r="C1017" s="255" t="s">
        <v>2357</v>
      </c>
      <c r="D1017" t="s">
        <v>85</v>
      </c>
    </row>
    <row r="1018" spans="1:4" x14ac:dyDescent="0.3">
      <c r="A1018" s="553" t="s">
        <v>2982</v>
      </c>
      <c r="B1018" s="553" t="s">
        <v>2980</v>
      </c>
      <c r="C1018" s="255" t="s">
        <v>2357</v>
      </c>
      <c r="D1018" t="s">
        <v>85</v>
      </c>
    </row>
    <row r="1019" spans="1:4" x14ac:dyDescent="0.3">
      <c r="A1019" s="553" t="s">
        <v>1820</v>
      </c>
      <c r="B1019" s="553" t="s">
        <v>2980</v>
      </c>
      <c r="C1019" s="255" t="s">
        <v>2357</v>
      </c>
      <c r="D1019" t="s">
        <v>85</v>
      </c>
    </row>
    <row r="1020" spans="1:4" x14ac:dyDescent="0.3">
      <c r="A1020" s="553" t="s">
        <v>1147</v>
      </c>
      <c r="B1020" s="553" t="s">
        <v>2980</v>
      </c>
      <c r="C1020" s="255" t="s">
        <v>2357</v>
      </c>
      <c r="D1020" t="s">
        <v>85</v>
      </c>
    </row>
    <row r="1021" spans="1:4" x14ac:dyDescent="0.3">
      <c r="A1021" s="553" t="s">
        <v>2229</v>
      </c>
      <c r="B1021" s="553" t="s">
        <v>2980</v>
      </c>
      <c r="C1021" s="255" t="s">
        <v>2357</v>
      </c>
      <c r="D1021" t="s">
        <v>85</v>
      </c>
    </row>
    <row r="1022" spans="1:4" x14ac:dyDescent="0.3">
      <c r="A1022" s="553" t="s">
        <v>801</v>
      </c>
      <c r="B1022" s="553" t="s">
        <v>2980</v>
      </c>
      <c r="C1022" s="255" t="s">
        <v>2357</v>
      </c>
      <c r="D1022" t="s">
        <v>85</v>
      </c>
    </row>
    <row r="1023" spans="1:4" x14ac:dyDescent="0.3">
      <c r="A1023" s="553" t="s">
        <v>2991</v>
      </c>
      <c r="B1023" s="553" t="s">
        <v>2980</v>
      </c>
      <c r="C1023" s="255" t="s">
        <v>2357</v>
      </c>
      <c r="D1023" t="s">
        <v>85</v>
      </c>
    </row>
    <row r="1024" spans="1:4" x14ac:dyDescent="0.3">
      <c r="A1024" s="553" t="s">
        <v>2992</v>
      </c>
      <c r="B1024" s="553" t="s">
        <v>2980</v>
      </c>
      <c r="C1024" s="255" t="s">
        <v>2357</v>
      </c>
      <c r="D1024" t="s">
        <v>85</v>
      </c>
    </row>
    <row r="1025" spans="1:4" x14ac:dyDescent="0.3">
      <c r="A1025" s="553" t="s">
        <v>2988</v>
      </c>
      <c r="B1025" s="553" t="s">
        <v>2980</v>
      </c>
      <c r="C1025" s="255" t="s">
        <v>2357</v>
      </c>
      <c r="D1025" t="s">
        <v>85</v>
      </c>
    </row>
    <row r="1026" spans="1:4" x14ac:dyDescent="0.3">
      <c r="A1026" s="553" t="s">
        <v>2986</v>
      </c>
      <c r="B1026" s="553" t="s">
        <v>2980</v>
      </c>
      <c r="C1026" s="255" t="s">
        <v>2357</v>
      </c>
      <c r="D1026" t="s">
        <v>85</v>
      </c>
    </row>
    <row r="1027" spans="1:4" x14ac:dyDescent="0.3">
      <c r="A1027" s="553" t="s">
        <v>1813</v>
      </c>
      <c r="B1027" s="553" t="s">
        <v>2980</v>
      </c>
      <c r="C1027" s="255" t="s">
        <v>2357</v>
      </c>
      <c r="D1027" t="s">
        <v>85</v>
      </c>
    </row>
    <row r="1028" spans="1:4" x14ac:dyDescent="0.3">
      <c r="A1028" s="553" t="s">
        <v>1814</v>
      </c>
      <c r="B1028" s="553" t="s">
        <v>2980</v>
      </c>
      <c r="C1028" s="255" t="s">
        <v>2357</v>
      </c>
      <c r="D1028" t="s">
        <v>85</v>
      </c>
    </row>
    <row r="1029" spans="1:4" x14ac:dyDescent="0.3">
      <c r="A1029" s="553" t="s">
        <v>2178</v>
      </c>
      <c r="B1029" s="553" t="s">
        <v>2980</v>
      </c>
      <c r="C1029" s="255" t="s">
        <v>2357</v>
      </c>
      <c r="D1029" t="s">
        <v>85</v>
      </c>
    </row>
    <row r="1030" spans="1:4" x14ac:dyDescent="0.3">
      <c r="A1030" s="553" t="s">
        <v>1065</v>
      </c>
      <c r="B1030" s="553" t="s">
        <v>2980</v>
      </c>
      <c r="C1030" s="255" t="s">
        <v>2357</v>
      </c>
      <c r="D1030" t="s">
        <v>85</v>
      </c>
    </row>
    <row r="1031" spans="1:4" x14ac:dyDescent="0.3">
      <c r="A1031" s="553" t="s">
        <v>800</v>
      </c>
      <c r="B1031" s="553" t="s">
        <v>2980</v>
      </c>
      <c r="C1031" s="255" t="s">
        <v>2357</v>
      </c>
      <c r="D1031" t="s">
        <v>85</v>
      </c>
    </row>
    <row r="1032" spans="1:4" x14ac:dyDescent="0.3">
      <c r="A1032" s="553" t="s">
        <v>801</v>
      </c>
      <c r="B1032" s="553" t="s">
        <v>2980</v>
      </c>
      <c r="C1032" s="255" t="s">
        <v>2357</v>
      </c>
      <c r="D1032" t="s">
        <v>85</v>
      </c>
    </row>
    <row r="1033" spans="1:4" x14ac:dyDescent="0.3">
      <c r="A1033" s="553" t="s">
        <v>2983</v>
      </c>
      <c r="B1033" s="553" t="s">
        <v>2980</v>
      </c>
      <c r="C1033" s="255" t="s">
        <v>2357</v>
      </c>
      <c r="D1033" t="s">
        <v>85</v>
      </c>
    </row>
    <row r="1034" spans="1:4" x14ac:dyDescent="0.3">
      <c r="A1034" s="553" t="s">
        <v>2990</v>
      </c>
      <c r="B1034" s="553" t="s">
        <v>2980</v>
      </c>
      <c r="C1034" s="255" t="s">
        <v>2357</v>
      </c>
      <c r="D1034" t="s">
        <v>85</v>
      </c>
    </row>
    <row r="1035" spans="1:4" x14ac:dyDescent="0.3">
      <c r="A1035" s="553" t="s">
        <v>2993</v>
      </c>
      <c r="B1035" s="553" t="s">
        <v>2980</v>
      </c>
      <c r="C1035" s="255" t="s">
        <v>2357</v>
      </c>
      <c r="D1035" t="s">
        <v>85</v>
      </c>
    </row>
    <row r="1036" spans="1:4" x14ac:dyDescent="0.3">
      <c r="A1036" s="553" t="s">
        <v>2994</v>
      </c>
      <c r="B1036" s="553" t="s">
        <v>2980</v>
      </c>
      <c r="C1036" s="255" t="s">
        <v>2357</v>
      </c>
      <c r="D1036" t="s">
        <v>85</v>
      </c>
    </row>
    <row r="1037" spans="1:4" x14ac:dyDescent="0.3">
      <c r="A1037" s="553" t="s">
        <v>1930</v>
      </c>
      <c r="B1037" s="553" t="s">
        <v>2980</v>
      </c>
      <c r="C1037" s="255" t="s">
        <v>2357</v>
      </c>
      <c r="D1037" t="s">
        <v>85</v>
      </c>
    </row>
    <row r="1038" spans="1:4" x14ac:dyDescent="0.3">
      <c r="A1038" s="553" t="s">
        <v>1612</v>
      </c>
      <c r="B1038" s="553" t="s">
        <v>2980</v>
      </c>
      <c r="C1038" s="255" t="s">
        <v>2357</v>
      </c>
      <c r="D1038" t="s">
        <v>85</v>
      </c>
    </row>
    <row r="1039" spans="1:4" x14ac:dyDescent="0.3">
      <c r="A1039" s="553" t="s">
        <v>2178</v>
      </c>
      <c r="B1039" s="553" t="s">
        <v>2980</v>
      </c>
      <c r="C1039" s="255" t="s">
        <v>2357</v>
      </c>
      <c r="D1039" t="s">
        <v>85</v>
      </c>
    </row>
    <row r="1040" spans="1:4" x14ac:dyDescent="0.3">
      <c r="A1040" s="553" t="s">
        <v>675</v>
      </c>
      <c r="B1040" s="553" t="s">
        <v>2980</v>
      </c>
      <c r="C1040" s="255" t="s">
        <v>2357</v>
      </c>
      <c r="D1040" t="s">
        <v>85</v>
      </c>
    </row>
    <row r="1041" spans="1:4" x14ac:dyDescent="0.3">
      <c r="A1041" s="553" t="s">
        <v>2991</v>
      </c>
      <c r="B1041" s="553" t="s">
        <v>2980</v>
      </c>
      <c r="C1041" s="255" t="s">
        <v>2357</v>
      </c>
      <c r="D1041" t="s">
        <v>85</v>
      </c>
    </row>
    <row r="1042" spans="1:4" x14ac:dyDescent="0.3">
      <c r="A1042" s="553" t="s">
        <v>2995</v>
      </c>
      <c r="B1042" s="553" t="s">
        <v>2980</v>
      </c>
      <c r="C1042" s="255" t="s">
        <v>2357</v>
      </c>
      <c r="D1042" t="s">
        <v>85</v>
      </c>
    </row>
    <row r="1043" spans="1:4" x14ac:dyDescent="0.3">
      <c r="A1043" s="553" t="s">
        <v>2216</v>
      </c>
      <c r="B1043" s="553" t="s">
        <v>2980</v>
      </c>
      <c r="C1043" s="255" t="s">
        <v>2357</v>
      </c>
      <c r="D1043" t="s">
        <v>85</v>
      </c>
    </row>
    <row r="1044" spans="1:4" x14ac:dyDescent="0.3">
      <c r="A1044" s="553" t="s">
        <v>2996</v>
      </c>
      <c r="B1044" s="553" t="s">
        <v>2980</v>
      </c>
      <c r="C1044" s="255" t="s">
        <v>2357</v>
      </c>
      <c r="D1044" t="s">
        <v>85</v>
      </c>
    </row>
    <row r="1045" spans="1:4" x14ac:dyDescent="0.3">
      <c r="A1045" s="553" t="s">
        <v>2218</v>
      </c>
      <c r="B1045" s="553" t="s">
        <v>2980</v>
      </c>
      <c r="C1045" s="255" t="s">
        <v>2357</v>
      </c>
      <c r="D1045" t="s">
        <v>85</v>
      </c>
    </row>
    <row r="1046" spans="1:4" x14ac:dyDescent="0.3">
      <c r="A1046" s="553" t="s">
        <v>1612</v>
      </c>
      <c r="B1046" s="553" t="s">
        <v>2980</v>
      </c>
      <c r="C1046" s="255" t="s">
        <v>2357</v>
      </c>
      <c r="D1046" t="s">
        <v>85</v>
      </c>
    </row>
    <row r="1047" spans="1:4" x14ac:dyDescent="0.3">
      <c r="A1047" s="553" t="s">
        <v>2997</v>
      </c>
      <c r="B1047" s="553" t="s">
        <v>2980</v>
      </c>
      <c r="C1047" s="255" t="s">
        <v>2357</v>
      </c>
      <c r="D1047" t="s">
        <v>85</v>
      </c>
    </row>
    <row r="1048" spans="1:4" x14ac:dyDescent="0.3">
      <c r="A1048" s="553" t="s">
        <v>2998</v>
      </c>
      <c r="B1048" s="553" t="s">
        <v>2980</v>
      </c>
      <c r="C1048" s="255" t="s">
        <v>2357</v>
      </c>
      <c r="D1048" t="s">
        <v>85</v>
      </c>
    </row>
    <row r="1049" spans="1:4" x14ac:dyDescent="0.3">
      <c r="A1049" s="553" t="s">
        <v>1149</v>
      </c>
      <c r="B1049" s="553" t="s">
        <v>2980</v>
      </c>
      <c r="C1049" s="255" t="s">
        <v>2357</v>
      </c>
      <c r="D1049" t="s">
        <v>85</v>
      </c>
    </row>
    <row r="1050" spans="1:4" x14ac:dyDescent="0.3">
      <c r="A1050" s="553" t="s">
        <v>2999</v>
      </c>
      <c r="B1050" s="553" t="s">
        <v>2980</v>
      </c>
      <c r="C1050" s="255" t="s">
        <v>2357</v>
      </c>
      <c r="D1050" t="s">
        <v>85</v>
      </c>
    </row>
    <row r="1051" spans="1:4" x14ac:dyDescent="0.3">
      <c r="A1051" s="553" t="s">
        <v>2989</v>
      </c>
      <c r="B1051" s="553" t="s">
        <v>2980</v>
      </c>
      <c r="C1051" s="255" t="s">
        <v>2357</v>
      </c>
      <c r="D1051" t="s">
        <v>85</v>
      </c>
    </row>
    <row r="1052" spans="1:4" x14ac:dyDescent="0.3">
      <c r="A1052" s="553" t="s">
        <v>3000</v>
      </c>
      <c r="B1052" s="553" t="s">
        <v>2980</v>
      </c>
      <c r="C1052" s="255" t="s">
        <v>2357</v>
      </c>
      <c r="D1052" t="s">
        <v>85</v>
      </c>
    </row>
    <row r="1053" spans="1:4" x14ac:dyDescent="0.3">
      <c r="A1053" s="553" t="s">
        <v>1149</v>
      </c>
      <c r="B1053" s="553" t="s">
        <v>2980</v>
      </c>
      <c r="C1053" s="255" t="s">
        <v>2357</v>
      </c>
      <c r="D1053" t="s">
        <v>85</v>
      </c>
    </row>
    <row r="1054" spans="1:4" x14ac:dyDescent="0.3">
      <c r="A1054" s="553" t="s">
        <v>2997</v>
      </c>
      <c r="B1054" s="553" t="s">
        <v>2980</v>
      </c>
      <c r="C1054" s="255" t="s">
        <v>2357</v>
      </c>
      <c r="D1054" t="s">
        <v>85</v>
      </c>
    </row>
    <row r="1055" spans="1:4" x14ac:dyDescent="0.3">
      <c r="A1055" s="553" t="s">
        <v>3001</v>
      </c>
      <c r="B1055" s="553" t="s">
        <v>2980</v>
      </c>
      <c r="C1055" s="255" t="s">
        <v>2357</v>
      </c>
      <c r="D1055" t="s">
        <v>85</v>
      </c>
    </row>
    <row r="1056" spans="1:4" x14ac:dyDescent="0.3">
      <c r="A1056" s="553" t="s">
        <v>3002</v>
      </c>
      <c r="B1056" s="553" t="s">
        <v>2980</v>
      </c>
      <c r="C1056" s="255" t="s">
        <v>2357</v>
      </c>
      <c r="D1056" t="s">
        <v>85</v>
      </c>
    </row>
    <row r="1057" spans="1:4" x14ac:dyDescent="0.3">
      <c r="A1057" s="553" t="s">
        <v>2999</v>
      </c>
      <c r="B1057" s="553" t="s">
        <v>2980</v>
      </c>
      <c r="C1057" s="255" t="s">
        <v>2357</v>
      </c>
      <c r="D1057" t="s">
        <v>85</v>
      </c>
    </row>
    <row r="1058" spans="1:4" x14ac:dyDescent="0.3">
      <c r="A1058" s="553" t="s">
        <v>3003</v>
      </c>
      <c r="B1058" s="553" t="s">
        <v>2980</v>
      </c>
      <c r="C1058" s="255" t="s">
        <v>2357</v>
      </c>
      <c r="D1058" t="s">
        <v>85</v>
      </c>
    </row>
    <row r="1059" spans="1:4" x14ac:dyDescent="0.3">
      <c r="A1059" s="553" t="s">
        <v>3004</v>
      </c>
      <c r="B1059" s="553" t="s">
        <v>2980</v>
      </c>
      <c r="C1059" s="255" t="s">
        <v>2357</v>
      </c>
      <c r="D1059" t="s">
        <v>85</v>
      </c>
    </row>
    <row r="1060" spans="1:4" x14ac:dyDescent="0.3">
      <c r="A1060" s="553" t="s">
        <v>3005</v>
      </c>
      <c r="B1060" s="553" t="s">
        <v>2980</v>
      </c>
      <c r="C1060" s="255" t="s">
        <v>2357</v>
      </c>
      <c r="D1060" t="s">
        <v>85</v>
      </c>
    </row>
    <row r="1061" spans="1:4" x14ac:dyDescent="0.3">
      <c r="A1061" s="553" t="s">
        <v>3006</v>
      </c>
      <c r="B1061" s="553" t="s">
        <v>2980</v>
      </c>
      <c r="C1061" s="255" t="s">
        <v>2357</v>
      </c>
      <c r="D1061" t="s">
        <v>85</v>
      </c>
    </row>
    <row r="1062" spans="1:4" x14ac:dyDescent="0.3">
      <c r="A1062" s="553" t="s">
        <v>2985</v>
      </c>
      <c r="B1062" s="553" t="s">
        <v>2980</v>
      </c>
      <c r="C1062" s="255" t="s">
        <v>2357</v>
      </c>
      <c r="D1062" t="s">
        <v>85</v>
      </c>
    </row>
    <row r="1063" spans="1:4" x14ac:dyDescent="0.3">
      <c r="A1063" s="553" t="s">
        <v>1057</v>
      </c>
      <c r="B1063" s="553" t="s">
        <v>2980</v>
      </c>
      <c r="C1063" s="255" t="s">
        <v>2357</v>
      </c>
      <c r="D1063" t="s">
        <v>85</v>
      </c>
    </row>
    <row r="1064" spans="1:4" x14ac:dyDescent="0.3">
      <c r="A1064" s="553" t="s">
        <v>3002</v>
      </c>
      <c r="B1064" s="553" t="s">
        <v>2980</v>
      </c>
      <c r="C1064" s="255" t="s">
        <v>2357</v>
      </c>
      <c r="D1064" t="s">
        <v>85</v>
      </c>
    </row>
    <row r="1065" spans="1:4" x14ac:dyDescent="0.3">
      <c r="A1065" s="553" t="s">
        <v>1149</v>
      </c>
      <c r="B1065" s="553" t="s">
        <v>2980</v>
      </c>
      <c r="C1065" s="255" t="s">
        <v>2357</v>
      </c>
      <c r="D1065" t="s">
        <v>85</v>
      </c>
    </row>
    <row r="1066" spans="1:4" x14ac:dyDescent="0.3">
      <c r="A1066" s="553" t="s">
        <v>748</v>
      </c>
      <c r="B1066" s="553" t="s">
        <v>3007</v>
      </c>
      <c r="C1066" s="255" t="s">
        <v>2357</v>
      </c>
      <c r="D1066" t="s">
        <v>85</v>
      </c>
    </row>
    <row r="1067" spans="1:4" x14ac:dyDescent="0.3">
      <c r="A1067" s="553" t="s">
        <v>1135</v>
      </c>
      <c r="B1067" s="553" t="s">
        <v>3007</v>
      </c>
      <c r="C1067" s="255" t="s">
        <v>2357</v>
      </c>
      <c r="D1067" t="s">
        <v>85</v>
      </c>
    </row>
    <row r="1068" spans="1:4" x14ac:dyDescent="0.3">
      <c r="A1068" s="553" t="s">
        <v>823</v>
      </c>
      <c r="B1068" s="553" t="s">
        <v>3007</v>
      </c>
      <c r="C1068" s="255" t="s">
        <v>2357</v>
      </c>
      <c r="D1068" t="s">
        <v>85</v>
      </c>
    </row>
    <row r="1069" spans="1:4" x14ac:dyDescent="0.3">
      <c r="A1069" s="553" t="s">
        <v>3008</v>
      </c>
      <c r="B1069" s="553" t="s">
        <v>3007</v>
      </c>
      <c r="C1069" s="255" t="s">
        <v>2357</v>
      </c>
      <c r="D1069" t="s">
        <v>85</v>
      </c>
    </row>
    <row r="1070" spans="1:4" x14ac:dyDescent="0.3">
      <c r="A1070" s="553" t="s">
        <v>3009</v>
      </c>
      <c r="B1070" s="553" t="s">
        <v>3007</v>
      </c>
      <c r="C1070" s="255" t="s">
        <v>2357</v>
      </c>
      <c r="D1070" t="s">
        <v>85</v>
      </c>
    </row>
    <row r="1071" spans="1:4" x14ac:dyDescent="0.3">
      <c r="A1071" s="553" t="s">
        <v>1614</v>
      </c>
      <c r="B1071" s="553" t="s">
        <v>3007</v>
      </c>
      <c r="C1071" s="255" t="s">
        <v>2357</v>
      </c>
      <c r="D1071" t="s">
        <v>85</v>
      </c>
    </row>
    <row r="1072" spans="1:4" x14ac:dyDescent="0.3">
      <c r="A1072" s="553" t="s">
        <v>3010</v>
      </c>
      <c r="B1072" s="553" t="s">
        <v>3007</v>
      </c>
      <c r="C1072" s="255" t="s">
        <v>2357</v>
      </c>
      <c r="D1072" t="s">
        <v>85</v>
      </c>
    </row>
    <row r="1073" spans="1:4" x14ac:dyDescent="0.3">
      <c r="A1073" s="553" t="s">
        <v>1987</v>
      </c>
      <c r="B1073" s="553" t="s">
        <v>3007</v>
      </c>
      <c r="C1073" s="255" t="s">
        <v>2357</v>
      </c>
      <c r="D1073" t="s">
        <v>85</v>
      </c>
    </row>
    <row r="1074" spans="1:4" x14ac:dyDescent="0.3">
      <c r="A1074" s="553" t="s">
        <v>823</v>
      </c>
      <c r="B1074" s="553" t="s">
        <v>3007</v>
      </c>
      <c r="C1074" s="255" t="s">
        <v>2357</v>
      </c>
      <c r="D1074" t="s">
        <v>85</v>
      </c>
    </row>
    <row r="1075" spans="1:4" x14ac:dyDescent="0.3">
      <c r="A1075" s="553" t="s">
        <v>748</v>
      </c>
      <c r="B1075" s="553" t="s">
        <v>3007</v>
      </c>
      <c r="C1075" s="255" t="s">
        <v>2357</v>
      </c>
      <c r="D1075" t="s">
        <v>85</v>
      </c>
    </row>
    <row r="1076" spans="1:4" x14ac:dyDescent="0.3">
      <c r="A1076" s="553" t="s">
        <v>3011</v>
      </c>
      <c r="B1076" s="553" t="s">
        <v>3007</v>
      </c>
      <c r="C1076" s="255" t="s">
        <v>2357</v>
      </c>
      <c r="D1076" t="s">
        <v>85</v>
      </c>
    </row>
    <row r="1077" spans="1:4" x14ac:dyDescent="0.3">
      <c r="A1077" s="553" t="s">
        <v>1987</v>
      </c>
      <c r="B1077" s="553" t="s">
        <v>3007</v>
      </c>
      <c r="C1077" s="255" t="s">
        <v>2357</v>
      </c>
      <c r="D1077" t="s">
        <v>85</v>
      </c>
    </row>
    <row r="1078" spans="1:4" x14ac:dyDescent="0.3">
      <c r="A1078" s="553" t="s">
        <v>3008</v>
      </c>
      <c r="B1078" s="553" t="s">
        <v>3007</v>
      </c>
      <c r="C1078" s="255" t="s">
        <v>2357</v>
      </c>
      <c r="D1078" t="s">
        <v>85</v>
      </c>
    </row>
    <row r="1079" spans="1:4" x14ac:dyDescent="0.3">
      <c r="A1079" s="553" t="s">
        <v>1135</v>
      </c>
      <c r="B1079" s="553" t="s">
        <v>3007</v>
      </c>
      <c r="C1079" s="255" t="s">
        <v>2357</v>
      </c>
      <c r="D1079" t="s">
        <v>85</v>
      </c>
    </row>
    <row r="1080" spans="1:4" x14ac:dyDescent="0.3">
      <c r="A1080" s="553" t="s">
        <v>1614</v>
      </c>
      <c r="B1080" s="553" t="s">
        <v>3007</v>
      </c>
      <c r="C1080" s="255" t="s">
        <v>2357</v>
      </c>
      <c r="D1080" t="s">
        <v>85</v>
      </c>
    </row>
    <row r="1081" spans="1:4" x14ac:dyDescent="0.3">
      <c r="A1081" s="553" t="s">
        <v>738</v>
      </c>
      <c r="B1081" s="553" t="s">
        <v>3007</v>
      </c>
      <c r="C1081" s="255" t="s">
        <v>2357</v>
      </c>
      <c r="D1081" t="s">
        <v>85</v>
      </c>
    </row>
    <row r="1082" spans="1:4" x14ac:dyDescent="0.3">
      <c r="A1082" s="553" t="s">
        <v>787</v>
      </c>
      <c r="B1082" s="553" t="s">
        <v>3007</v>
      </c>
      <c r="C1082" s="255" t="s">
        <v>2357</v>
      </c>
      <c r="D1082" t="s">
        <v>85</v>
      </c>
    </row>
    <row r="1083" spans="1:4" x14ac:dyDescent="0.3">
      <c r="A1083" s="553" t="s">
        <v>2176</v>
      </c>
      <c r="B1083" s="553" t="s">
        <v>3007</v>
      </c>
      <c r="C1083" s="255" t="s">
        <v>2357</v>
      </c>
      <c r="D1083" t="s">
        <v>85</v>
      </c>
    </row>
    <row r="1084" spans="1:4" x14ac:dyDescent="0.3">
      <c r="A1084" s="553" t="s">
        <v>2221</v>
      </c>
      <c r="B1084" s="553" t="s">
        <v>3007</v>
      </c>
      <c r="C1084" s="255" t="s">
        <v>2357</v>
      </c>
      <c r="D1084" t="s">
        <v>85</v>
      </c>
    </row>
    <row r="1085" spans="1:4" x14ac:dyDescent="0.3">
      <c r="A1085" s="553" t="s">
        <v>3012</v>
      </c>
      <c r="B1085" s="553" t="s">
        <v>3007</v>
      </c>
      <c r="C1085" s="255" t="s">
        <v>2357</v>
      </c>
      <c r="D1085" t="s">
        <v>85</v>
      </c>
    </row>
    <row r="1086" spans="1:4" x14ac:dyDescent="0.3">
      <c r="A1086" s="553" t="s">
        <v>3011</v>
      </c>
      <c r="B1086" s="553" t="s">
        <v>3007</v>
      </c>
      <c r="C1086" s="255" t="s">
        <v>2357</v>
      </c>
      <c r="D1086" t="s">
        <v>85</v>
      </c>
    </row>
    <row r="1087" spans="1:4" x14ac:dyDescent="0.3">
      <c r="A1087" s="553" t="s">
        <v>787</v>
      </c>
      <c r="B1087" s="553" t="s">
        <v>3007</v>
      </c>
      <c r="C1087" s="255" t="s">
        <v>2357</v>
      </c>
      <c r="D1087" t="s">
        <v>85</v>
      </c>
    </row>
    <row r="1088" spans="1:4" x14ac:dyDescent="0.3">
      <c r="A1088" s="553" t="s">
        <v>3013</v>
      </c>
      <c r="B1088" s="553" t="s">
        <v>3007</v>
      </c>
      <c r="C1088" s="255" t="s">
        <v>2357</v>
      </c>
      <c r="D1088" t="s">
        <v>85</v>
      </c>
    </row>
    <row r="1089" spans="1:4" ht="15" thickBot="1" x14ac:dyDescent="0.35">
      <c r="A1089" s="553" t="s">
        <v>738</v>
      </c>
      <c r="B1089" s="553" t="s">
        <v>3007</v>
      </c>
      <c r="C1089" s="255" t="s">
        <v>2357</v>
      </c>
      <c r="D1089" t="s">
        <v>85</v>
      </c>
    </row>
    <row r="1090" spans="1:4" ht="15" thickBot="1" x14ac:dyDescent="0.35">
      <c r="A1090" s="659" t="s">
        <v>3080</v>
      </c>
      <c r="B1090" s="659" t="s">
        <v>3460</v>
      </c>
      <c r="C1090" t="s">
        <v>2357</v>
      </c>
      <c r="D1090" t="s">
        <v>85</v>
      </c>
    </row>
    <row r="1091" spans="1:4" ht="15" thickBot="1" x14ac:dyDescent="0.35">
      <c r="A1091" s="659" t="s">
        <v>3081</v>
      </c>
      <c r="B1091" s="659" t="s">
        <v>3460</v>
      </c>
      <c r="C1091" t="s">
        <v>2358</v>
      </c>
      <c r="D1091" t="s">
        <v>85</v>
      </c>
    </row>
    <row r="1092" spans="1:4" ht="15" thickBot="1" x14ac:dyDescent="0.35">
      <c r="A1092" s="659" t="s">
        <v>3082</v>
      </c>
      <c r="B1092" s="659" t="s">
        <v>3460</v>
      </c>
      <c r="C1092" t="s">
        <v>2359</v>
      </c>
      <c r="D1092" t="s">
        <v>85</v>
      </c>
    </row>
    <row r="1093" spans="1:4" ht="15" thickBot="1" x14ac:dyDescent="0.35">
      <c r="A1093" s="659" t="s">
        <v>3083</v>
      </c>
      <c r="B1093" s="659" t="s">
        <v>3460</v>
      </c>
      <c r="C1093" t="s">
        <v>2360</v>
      </c>
      <c r="D1093" t="s">
        <v>85</v>
      </c>
    </row>
    <row r="1094" spans="1:4" ht="15" thickBot="1" x14ac:dyDescent="0.35">
      <c r="A1094" s="659" t="s">
        <v>3084</v>
      </c>
      <c r="B1094" s="659" t="s">
        <v>3460</v>
      </c>
      <c r="C1094" t="s">
        <v>2361</v>
      </c>
      <c r="D1094" t="s">
        <v>85</v>
      </c>
    </row>
    <row r="1095" spans="1:4" ht="15" thickBot="1" x14ac:dyDescent="0.35">
      <c r="A1095" s="659" t="s">
        <v>3085</v>
      </c>
      <c r="B1095" s="659" t="s">
        <v>3460</v>
      </c>
      <c r="C1095" t="s">
        <v>2362</v>
      </c>
      <c r="D1095" t="s">
        <v>85</v>
      </c>
    </row>
    <row r="1096" spans="1:4" ht="15" thickBot="1" x14ac:dyDescent="0.35">
      <c r="A1096" s="659" t="s">
        <v>3086</v>
      </c>
      <c r="B1096" s="659" t="s">
        <v>3460</v>
      </c>
      <c r="C1096" t="s">
        <v>2363</v>
      </c>
      <c r="D1096" t="s">
        <v>85</v>
      </c>
    </row>
    <row r="1097" spans="1:4" ht="15" thickBot="1" x14ac:dyDescent="0.35">
      <c r="A1097" s="659" t="s">
        <v>3087</v>
      </c>
      <c r="B1097" s="659" t="s">
        <v>3460</v>
      </c>
      <c r="C1097" t="s">
        <v>2364</v>
      </c>
      <c r="D1097" t="s">
        <v>85</v>
      </c>
    </row>
    <row r="1098" spans="1:4" ht="15" thickBot="1" x14ac:dyDescent="0.35">
      <c r="A1098" s="659" t="s">
        <v>3088</v>
      </c>
      <c r="B1098" s="659" t="s">
        <v>3460</v>
      </c>
      <c r="C1098" t="s">
        <v>2365</v>
      </c>
      <c r="D1098" t="s">
        <v>85</v>
      </c>
    </row>
    <row r="1099" spans="1:4" ht="15" thickBot="1" x14ac:dyDescent="0.35">
      <c r="A1099" s="659" t="s">
        <v>3089</v>
      </c>
      <c r="B1099" s="659" t="s">
        <v>3460</v>
      </c>
      <c r="C1099" t="s">
        <v>2366</v>
      </c>
      <c r="D1099" t="s">
        <v>85</v>
      </c>
    </row>
    <row r="1100" spans="1:4" ht="15" thickBot="1" x14ac:dyDescent="0.35">
      <c r="A1100" s="659" t="s">
        <v>90</v>
      </c>
      <c r="B1100" s="659" t="s">
        <v>3460</v>
      </c>
      <c r="C1100" t="s">
        <v>2367</v>
      </c>
      <c r="D1100" t="s">
        <v>85</v>
      </c>
    </row>
    <row r="1101" spans="1:4" ht="15" thickBot="1" x14ac:dyDescent="0.35">
      <c r="A1101" s="659" t="s">
        <v>3090</v>
      </c>
      <c r="B1101" s="659" t="s">
        <v>3460</v>
      </c>
      <c r="C1101" t="s">
        <v>2368</v>
      </c>
      <c r="D1101" t="s">
        <v>85</v>
      </c>
    </row>
    <row r="1102" spans="1:4" ht="15" thickBot="1" x14ac:dyDescent="0.35">
      <c r="A1102" s="659" t="s">
        <v>3091</v>
      </c>
      <c r="B1102" s="659" t="s">
        <v>3460</v>
      </c>
      <c r="C1102" t="s">
        <v>2369</v>
      </c>
      <c r="D1102" t="s">
        <v>85</v>
      </c>
    </row>
    <row r="1103" spans="1:4" ht="15" thickBot="1" x14ac:dyDescent="0.35">
      <c r="A1103" s="659" t="s">
        <v>3092</v>
      </c>
      <c r="B1103" s="659" t="s">
        <v>3460</v>
      </c>
      <c r="C1103" t="s">
        <v>2370</v>
      </c>
      <c r="D1103" t="s">
        <v>85</v>
      </c>
    </row>
    <row r="1104" spans="1:4" ht="15" thickBot="1" x14ac:dyDescent="0.35">
      <c r="A1104" s="659" t="s">
        <v>146</v>
      </c>
      <c r="B1104" s="659" t="s">
        <v>3460</v>
      </c>
      <c r="C1104" t="s">
        <v>2371</v>
      </c>
      <c r="D1104" t="s">
        <v>85</v>
      </c>
    </row>
    <row r="1105" spans="1:4" ht="15" thickBot="1" x14ac:dyDescent="0.35">
      <c r="A1105" s="659" t="s">
        <v>3093</v>
      </c>
      <c r="B1105" s="659" t="s">
        <v>3460</v>
      </c>
      <c r="C1105" t="s">
        <v>2372</v>
      </c>
      <c r="D1105" t="s">
        <v>85</v>
      </c>
    </row>
    <row r="1106" spans="1:4" ht="15" thickBot="1" x14ac:dyDescent="0.35">
      <c r="A1106" s="659" t="s">
        <v>147</v>
      </c>
      <c r="B1106" s="659" t="s">
        <v>3460</v>
      </c>
      <c r="C1106" t="s">
        <v>2373</v>
      </c>
      <c r="D1106" t="s">
        <v>85</v>
      </c>
    </row>
    <row r="1107" spans="1:4" ht="15" thickBot="1" x14ac:dyDescent="0.35">
      <c r="A1107" s="659" t="s">
        <v>149</v>
      </c>
      <c r="B1107" s="659" t="s">
        <v>3460</v>
      </c>
      <c r="C1107" t="s">
        <v>2374</v>
      </c>
      <c r="D1107" t="s">
        <v>85</v>
      </c>
    </row>
    <row r="1108" spans="1:4" ht="15" thickBot="1" x14ac:dyDescent="0.35">
      <c r="A1108" s="659" t="s">
        <v>3094</v>
      </c>
      <c r="B1108" s="659" t="s">
        <v>3460</v>
      </c>
      <c r="C1108" t="s">
        <v>2375</v>
      </c>
      <c r="D1108" t="s">
        <v>85</v>
      </c>
    </row>
    <row r="1109" spans="1:4" ht="15" thickBot="1" x14ac:dyDescent="0.35">
      <c r="A1109" s="659" t="s">
        <v>150</v>
      </c>
      <c r="B1109" s="659" t="s">
        <v>3460</v>
      </c>
      <c r="C1109" t="s">
        <v>2376</v>
      </c>
      <c r="D1109" t="s">
        <v>85</v>
      </c>
    </row>
    <row r="1110" spans="1:4" ht="15" thickBot="1" x14ac:dyDescent="0.35">
      <c r="A1110" s="659" t="s">
        <v>152</v>
      </c>
      <c r="B1110" s="659" t="s">
        <v>3460</v>
      </c>
      <c r="C1110" t="s">
        <v>2377</v>
      </c>
      <c r="D1110" t="s">
        <v>85</v>
      </c>
    </row>
    <row r="1111" spans="1:4" ht="15" thickBot="1" x14ac:dyDescent="0.35">
      <c r="A1111" s="659" t="s">
        <v>153</v>
      </c>
      <c r="B1111" s="659" t="s">
        <v>3460</v>
      </c>
      <c r="C1111" t="s">
        <v>2378</v>
      </c>
      <c r="D1111" t="s">
        <v>85</v>
      </c>
    </row>
    <row r="1112" spans="1:4" ht="15" thickBot="1" x14ac:dyDescent="0.35">
      <c r="A1112" s="659" t="s">
        <v>3095</v>
      </c>
      <c r="B1112" s="659" t="s">
        <v>3460</v>
      </c>
      <c r="C1112" t="s">
        <v>2379</v>
      </c>
      <c r="D1112" t="s">
        <v>85</v>
      </c>
    </row>
    <row r="1113" spans="1:4" ht="15" thickBot="1" x14ac:dyDescent="0.35">
      <c r="A1113" s="659" t="s">
        <v>157</v>
      </c>
      <c r="B1113" s="659" t="s">
        <v>3460</v>
      </c>
      <c r="C1113" t="s">
        <v>2380</v>
      </c>
      <c r="D1113" t="s">
        <v>85</v>
      </c>
    </row>
    <row r="1114" spans="1:4" ht="15" thickBot="1" x14ac:dyDescent="0.35">
      <c r="A1114" s="659" t="s">
        <v>161</v>
      </c>
      <c r="B1114" s="659" t="s">
        <v>3460</v>
      </c>
      <c r="C1114" t="s">
        <v>2381</v>
      </c>
      <c r="D1114" t="s">
        <v>85</v>
      </c>
    </row>
    <row r="1115" spans="1:4" ht="15" thickBot="1" x14ac:dyDescent="0.35">
      <c r="A1115" s="659" t="s">
        <v>163</v>
      </c>
      <c r="B1115" s="659" t="s">
        <v>3460</v>
      </c>
      <c r="C1115" t="s">
        <v>2382</v>
      </c>
      <c r="D1115" t="s">
        <v>85</v>
      </c>
    </row>
    <row r="1116" spans="1:4" ht="15" thickBot="1" x14ac:dyDescent="0.35">
      <c r="A1116" s="659" t="s">
        <v>3096</v>
      </c>
      <c r="B1116" s="659" t="s">
        <v>3460</v>
      </c>
      <c r="C1116" t="s">
        <v>2383</v>
      </c>
      <c r="D1116" t="s">
        <v>85</v>
      </c>
    </row>
    <row r="1117" spans="1:4" ht="15" thickBot="1" x14ac:dyDescent="0.35">
      <c r="A1117" s="659" t="s">
        <v>3097</v>
      </c>
      <c r="B1117" s="659" t="s">
        <v>3460</v>
      </c>
      <c r="C1117" t="s">
        <v>2384</v>
      </c>
      <c r="D1117" t="s">
        <v>85</v>
      </c>
    </row>
    <row r="1118" spans="1:4" ht="15" thickBot="1" x14ac:dyDescent="0.35">
      <c r="A1118" s="659" t="s">
        <v>3098</v>
      </c>
      <c r="B1118" s="659" t="s">
        <v>3460</v>
      </c>
      <c r="C1118" t="s">
        <v>2385</v>
      </c>
      <c r="D1118" t="s">
        <v>85</v>
      </c>
    </row>
    <row r="1119" spans="1:4" ht="15" thickBot="1" x14ac:dyDescent="0.35">
      <c r="A1119" s="659" t="s">
        <v>166</v>
      </c>
      <c r="B1119" s="659" t="s">
        <v>3460</v>
      </c>
      <c r="C1119" t="s">
        <v>2386</v>
      </c>
      <c r="D1119" t="s">
        <v>85</v>
      </c>
    </row>
    <row r="1120" spans="1:4" ht="15" thickBot="1" x14ac:dyDescent="0.35">
      <c r="A1120" s="659" t="s">
        <v>3099</v>
      </c>
      <c r="B1120" s="659" t="s">
        <v>3460</v>
      </c>
      <c r="C1120" t="s">
        <v>2387</v>
      </c>
      <c r="D1120" t="s">
        <v>85</v>
      </c>
    </row>
    <row r="1121" spans="1:4" ht="15" thickBot="1" x14ac:dyDescent="0.35">
      <c r="A1121" s="659" t="s">
        <v>3100</v>
      </c>
      <c r="B1121" s="659" t="s">
        <v>3460</v>
      </c>
      <c r="C1121" t="s">
        <v>2388</v>
      </c>
      <c r="D1121" t="s">
        <v>85</v>
      </c>
    </row>
    <row r="1122" spans="1:4" ht="15" thickBot="1" x14ac:dyDescent="0.35">
      <c r="A1122" s="659" t="s">
        <v>171</v>
      </c>
      <c r="B1122" s="659" t="s">
        <v>3460</v>
      </c>
      <c r="C1122" t="s">
        <v>2389</v>
      </c>
      <c r="D1122" t="s">
        <v>85</v>
      </c>
    </row>
    <row r="1123" spans="1:4" ht="15" thickBot="1" x14ac:dyDescent="0.35">
      <c r="A1123" s="659" t="s">
        <v>3101</v>
      </c>
      <c r="B1123" s="659" t="s">
        <v>3460</v>
      </c>
      <c r="C1123" t="s">
        <v>2390</v>
      </c>
      <c r="D1123" t="s">
        <v>85</v>
      </c>
    </row>
    <row r="1124" spans="1:4" ht="15" thickBot="1" x14ac:dyDescent="0.35">
      <c r="A1124" s="659" t="s">
        <v>174</v>
      </c>
      <c r="B1124" s="659" t="s">
        <v>3460</v>
      </c>
      <c r="C1124" t="s">
        <v>2391</v>
      </c>
      <c r="D1124" t="s">
        <v>85</v>
      </c>
    </row>
    <row r="1125" spans="1:4" ht="15" thickBot="1" x14ac:dyDescent="0.35">
      <c r="A1125" s="659" t="s">
        <v>3102</v>
      </c>
      <c r="B1125" s="659" t="s">
        <v>3460</v>
      </c>
      <c r="C1125" t="s">
        <v>2392</v>
      </c>
      <c r="D1125" t="s">
        <v>85</v>
      </c>
    </row>
    <row r="1126" spans="1:4" ht="15" thickBot="1" x14ac:dyDescent="0.35">
      <c r="A1126" s="659" t="s">
        <v>178</v>
      </c>
      <c r="B1126" s="659" t="s">
        <v>3460</v>
      </c>
      <c r="C1126" t="s">
        <v>2393</v>
      </c>
      <c r="D1126" t="s">
        <v>85</v>
      </c>
    </row>
    <row r="1127" spans="1:4" ht="15" thickBot="1" x14ac:dyDescent="0.35">
      <c r="A1127" s="659" t="s">
        <v>187</v>
      </c>
      <c r="B1127" s="659" t="s">
        <v>3460</v>
      </c>
      <c r="C1127" t="s">
        <v>2394</v>
      </c>
      <c r="D1127" t="s">
        <v>85</v>
      </c>
    </row>
    <row r="1128" spans="1:4" ht="15" thickBot="1" x14ac:dyDescent="0.35">
      <c r="A1128" s="659" t="s">
        <v>3103</v>
      </c>
      <c r="B1128" s="659" t="s">
        <v>3460</v>
      </c>
      <c r="C1128" t="s">
        <v>2395</v>
      </c>
      <c r="D1128" t="s">
        <v>85</v>
      </c>
    </row>
    <row r="1129" spans="1:4" ht="15" thickBot="1" x14ac:dyDescent="0.35">
      <c r="A1129" s="659" t="s">
        <v>195</v>
      </c>
      <c r="B1129" s="659" t="s">
        <v>3460</v>
      </c>
      <c r="C1129" t="s">
        <v>2396</v>
      </c>
      <c r="D1129" t="s">
        <v>85</v>
      </c>
    </row>
    <row r="1130" spans="1:4" ht="15" thickBot="1" x14ac:dyDescent="0.35">
      <c r="A1130" s="659" t="s">
        <v>198</v>
      </c>
      <c r="B1130" s="659" t="s">
        <v>3460</v>
      </c>
      <c r="C1130" t="s">
        <v>2397</v>
      </c>
      <c r="D1130" t="s">
        <v>85</v>
      </c>
    </row>
    <row r="1131" spans="1:4" ht="15" thickBot="1" x14ac:dyDescent="0.35">
      <c r="A1131" s="659" t="s">
        <v>203</v>
      </c>
      <c r="B1131" s="659" t="s">
        <v>3460</v>
      </c>
      <c r="C1131" t="s">
        <v>2398</v>
      </c>
      <c r="D1131" t="s">
        <v>85</v>
      </c>
    </row>
    <row r="1132" spans="1:4" ht="15" thickBot="1" x14ac:dyDescent="0.35">
      <c r="A1132" s="659" t="s">
        <v>3104</v>
      </c>
      <c r="B1132" s="659" t="s">
        <v>3460</v>
      </c>
      <c r="C1132" t="s">
        <v>2399</v>
      </c>
      <c r="D1132" t="s">
        <v>85</v>
      </c>
    </row>
    <row r="1133" spans="1:4" ht="15" thickBot="1" x14ac:dyDescent="0.35">
      <c r="A1133" s="659" t="s">
        <v>3105</v>
      </c>
      <c r="B1133" s="659" t="s">
        <v>3460</v>
      </c>
      <c r="C1133" t="s">
        <v>2400</v>
      </c>
      <c r="D1133" t="s">
        <v>85</v>
      </c>
    </row>
    <row r="1134" spans="1:4" ht="15" thickBot="1" x14ac:dyDescent="0.35">
      <c r="A1134" s="659" t="s">
        <v>222</v>
      </c>
      <c r="B1134" s="659" t="s">
        <v>3460</v>
      </c>
      <c r="C1134" t="s">
        <v>2401</v>
      </c>
      <c r="D1134" t="s">
        <v>85</v>
      </c>
    </row>
    <row r="1135" spans="1:4" ht="15" thickBot="1" x14ac:dyDescent="0.35">
      <c r="A1135" s="659" t="s">
        <v>223</v>
      </c>
      <c r="B1135" s="659" t="s">
        <v>3460</v>
      </c>
      <c r="C1135" t="s">
        <v>2402</v>
      </c>
      <c r="D1135" t="s">
        <v>85</v>
      </c>
    </row>
    <row r="1136" spans="1:4" ht="15" thickBot="1" x14ac:dyDescent="0.35">
      <c r="A1136" s="659" t="s">
        <v>224</v>
      </c>
      <c r="B1136" s="659" t="s">
        <v>3460</v>
      </c>
      <c r="C1136" t="s">
        <v>2403</v>
      </c>
      <c r="D1136" t="s">
        <v>85</v>
      </c>
    </row>
    <row r="1137" spans="1:4" ht="15" thickBot="1" x14ac:dyDescent="0.35">
      <c r="A1137" s="659" t="s">
        <v>227</v>
      </c>
      <c r="B1137" s="659" t="s">
        <v>3460</v>
      </c>
      <c r="C1137" t="s">
        <v>2404</v>
      </c>
      <c r="D1137" t="s">
        <v>85</v>
      </c>
    </row>
    <row r="1138" spans="1:4" ht="15" thickBot="1" x14ac:dyDescent="0.35">
      <c r="A1138" s="659" t="s">
        <v>240</v>
      </c>
      <c r="B1138" s="659" t="s">
        <v>3460</v>
      </c>
      <c r="C1138" t="s">
        <v>2405</v>
      </c>
      <c r="D1138" t="s">
        <v>85</v>
      </c>
    </row>
    <row r="1139" spans="1:4" ht="15" thickBot="1" x14ac:dyDescent="0.35">
      <c r="A1139" s="659" t="s">
        <v>3106</v>
      </c>
      <c r="B1139" s="659" t="s">
        <v>3460</v>
      </c>
      <c r="C1139" t="s">
        <v>2406</v>
      </c>
      <c r="D1139" t="s">
        <v>85</v>
      </c>
    </row>
    <row r="1140" spans="1:4" ht="15" thickBot="1" x14ac:dyDescent="0.35">
      <c r="A1140" s="659" t="s">
        <v>257</v>
      </c>
      <c r="B1140" s="659" t="s">
        <v>3460</v>
      </c>
      <c r="C1140" t="s">
        <v>2407</v>
      </c>
      <c r="D1140" t="s">
        <v>85</v>
      </c>
    </row>
    <row r="1141" spans="1:4" ht="15" thickBot="1" x14ac:dyDescent="0.35">
      <c r="A1141" s="659" t="s">
        <v>3107</v>
      </c>
      <c r="B1141" s="659" t="s">
        <v>3460</v>
      </c>
      <c r="C1141" t="s">
        <v>2408</v>
      </c>
      <c r="D1141" t="s">
        <v>85</v>
      </c>
    </row>
    <row r="1142" spans="1:4" ht="15" thickBot="1" x14ac:dyDescent="0.35">
      <c r="A1142" s="659" t="s">
        <v>3108</v>
      </c>
      <c r="B1142" s="659" t="s">
        <v>3460</v>
      </c>
      <c r="C1142" t="s">
        <v>2409</v>
      </c>
      <c r="D1142" t="s">
        <v>85</v>
      </c>
    </row>
    <row r="1143" spans="1:4" ht="15" thickBot="1" x14ac:dyDescent="0.35">
      <c r="A1143" s="659" t="s">
        <v>3109</v>
      </c>
      <c r="B1143" s="659" t="s">
        <v>3460</v>
      </c>
      <c r="C1143" t="s">
        <v>2410</v>
      </c>
      <c r="D1143" t="s">
        <v>85</v>
      </c>
    </row>
    <row r="1144" spans="1:4" ht="15" thickBot="1" x14ac:dyDescent="0.35">
      <c r="A1144" s="659" t="s">
        <v>3110</v>
      </c>
      <c r="B1144" s="659" t="s">
        <v>3460</v>
      </c>
      <c r="C1144" t="s">
        <v>2411</v>
      </c>
      <c r="D1144" t="s">
        <v>85</v>
      </c>
    </row>
    <row r="1145" spans="1:4" ht="15" thickBot="1" x14ac:dyDescent="0.35">
      <c r="A1145" s="659" t="s">
        <v>3111</v>
      </c>
      <c r="B1145" s="659" t="s">
        <v>3460</v>
      </c>
      <c r="C1145" t="s">
        <v>2412</v>
      </c>
      <c r="D1145" t="s">
        <v>85</v>
      </c>
    </row>
    <row r="1146" spans="1:4" ht="15" thickBot="1" x14ac:dyDescent="0.35">
      <c r="A1146" s="659" t="s">
        <v>289</v>
      </c>
      <c r="B1146" s="659" t="s">
        <v>3460</v>
      </c>
      <c r="C1146" t="s">
        <v>2413</v>
      </c>
      <c r="D1146" t="s">
        <v>85</v>
      </c>
    </row>
    <row r="1147" spans="1:4" ht="15" thickBot="1" x14ac:dyDescent="0.35">
      <c r="A1147" s="659" t="s">
        <v>3112</v>
      </c>
      <c r="B1147" s="659" t="s">
        <v>3460</v>
      </c>
      <c r="C1147" t="s">
        <v>2414</v>
      </c>
      <c r="D1147" t="s">
        <v>85</v>
      </c>
    </row>
    <row r="1148" spans="1:4" ht="15" thickBot="1" x14ac:dyDescent="0.35">
      <c r="A1148" s="659" t="s">
        <v>3113</v>
      </c>
      <c r="B1148" s="659" t="s">
        <v>3460</v>
      </c>
      <c r="C1148" t="s">
        <v>2415</v>
      </c>
      <c r="D1148" t="s">
        <v>85</v>
      </c>
    </row>
    <row r="1149" spans="1:4" ht="15" thickBot="1" x14ac:dyDescent="0.35">
      <c r="A1149" s="659" t="s">
        <v>3114</v>
      </c>
      <c r="B1149" s="659" t="s">
        <v>3460</v>
      </c>
      <c r="C1149" t="s">
        <v>2416</v>
      </c>
      <c r="D1149" t="s">
        <v>85</v>
      </c>
    </row>
    <row r="1150" spans="1:4" ht="15" thickBot="1" x14ac:dyDescent="0.35">
      <c r="A1150" s="659" t="s">
        <v>3115</v>
      </c>
      <c r="B1150" s="659" t="s">
        <v>3460</v>
      </c>
      <c r="C1150" t="s">
        <v>2417</v>
      </c>
      <c r="D1150" t="s">
        <v>85</v>
      </c>
    </row>
    <row r="1151" spans="1:4" ht="15" thickBot="1" x14ac:dyDescent="0.35">
      <c r="A1151" s="659" t="s">
        <v>3116</v>
      </c>
      <c r="B1151" s="659" t="s">
        <v>3460</v>
      </c>
      <c r="C1151" t="s">
        <v>2418</v>
      </c>
      <c r="D1151" t="s">
        <v>85</v>
      </c>
    </row>
    <row r="1152" spans="1:4" ht="15" thickBot="1" x14ac:dyDescent="0.35">
      <c r="A1152" s="659" t="s">
        <v>299</v>
      </c>
      <c r="B1152" s="659" t="s">
        <v>3460</v>
      </c>
      <c r="C1152" t="s">
        <v>2419</v>
      </c>
      <c r="D1152" t="s">
        <v>85</v>
      </c>
    </row>
    <row r="1153" spans="1:4" ht="15" thickBot="1" x14ac:dyDescent="0.35">
      <c r="A1153" s="659" t="s">
        <v>3117</v>
      </c>
      <c r="B1153" s="659" t="s">
        <v>3460</v>
      </c>
      <c r="C1153" t="s">
        <v>2420</v>
      </c>
      <c r="D1153" t="s">
        <v>85</v>
      </c>
    </row>
    <row r="1154" spans="1:4" ht="15" thickBot="1" x14ac:dyDescent="0.35">
      <c r="A1154" s="659" t="s">
        <v>3118</v>
      </c>
      <c r="B1154" s="659" t="s">
        <v>3460</v>
      </c>
      <c r="C1154" t="s">
        <v>2421</v>
      </c>
      <c r="D1154" t="s">
        <v>85</v>
      </c>
    </row>
    <row r="1155" spans="1:4" ht="15" thickBot="1" x14ac:dyDescent="0.35">
      <c r="A1155" s="659" t="s">
        <v>307</v>
      </c>
      <c r="B1155" s="659" t="s">
        <v>3460</v>
      </c>
      <c r="C1155" t="s">
        <v>2422</v>
      </c>
      <c r="D1155" t="s">
        <v>85</v>
      </c>
    </row>
    <row r="1156" spans="1:4" ht="15" thickBot="1" x14ac:dyDescent="0.35">
      <c r="A1156" s="659" t="s">
        <v>3119</v>
      </c>
      <c r="B1156" s="659" t="s">
        <v>3460</v>
      </c>
      <c r="C1156" t="s">
        <v>2423</v>
      </c>
      <c r="D1156" t="s">
        <v>85</v>
      </c>
    </row>
    <row r="1157" spans="1:4" ht="15" thickBot="1" x14ac:dyDescent="0.35">
      <c r="A1157" s="659" t="s">
        <v>310</v>
      </c>
      <c r="B1157" s="659" t="s">
        <v>3460</v>
      </c>
      <c r="C1157" t="s">
        <v>2424</v>
      </c>
      <c r="D1157" t="s">
        <v>85</v>
      </c>
    </row>
    <row r="1158" spans="1:4" ht="15" thickBot="1" x14ac:dyDescent="0.35">
      <c r="A1158" s="659" t="s">
        <v>3120</v>
      </c>
      <c r="B1158" s="659" t="s">
        <v>3460</v>
      </c>
      <c r="C1158" t="s">
        <v>2425</v>
      </c>
      <c r="D1158" t="s">
        <v>85</v>
      </c>
    </row>
    <row r="1159" spans="1:4" ht="15" thickBot="1" x14ac:dyDescent="0.35">
      <c r="A1159" s="659" t="s">
        <v>3121</v>
      </c>
      <c r="B1159" s="659" t="s">
        <v>3460</v>
      </c>
      <c r="C1159" t="s">
        <v>2426</v>
      </c>
      <c r="D1159" t="s">
        <v>85</v>
      </c>
    </row>
    <row r="1160" spans="1:4" ht="15" thickBot="1" x14ac:dyDescent="0.35">
      <c r="A1160" s="659" t="s">
        <v>332</v>
      </c>
      <c r="B1160" s="659" t="s">
        <v>3460</v>
      </c>
      <c r="C1160" t="s">
        <v>2427</v>
      </c>
      <c r="D1160" t="s">
        <v>85</v>
      </c>
    </row>
    <row r="1161" spans="1:4" ht="15" thickBot="1" x14ac:dyDescent="0.35">
      <c r="A1161" s="659" t="s">
        <v>3122</v>
      </c>
      <c r="B1161" s="659" t="s">
        <v>3460</v>
      </c>
      <c r="C1161" t="s">
        <v>2428</v>
      </c>
      <c r="D1161" t="s">
        <v>85</v>
      </c>
    </row>
    <row r="1162" spans="1:4" ht="15" thickBot="1" x14ac:dyDescent="0.35">
      <c r="A1162" s="659" t="s">
        <v>3123</v>
      </c>
      <c r="B1162" s="659" t="s">
        <v>3460</v>
      </c>
      <c r="C1162" t="s">
        <v>2429</v>
      </c>
      <c r="D1162" t="s">
        <v>85</v>
      </c>
    </row>
    <row r="1163" spans="1:4" ht="15" thickBot="1" x14ac:dyDescent="0.35">
      <c r="A1163" s="659" t="s">
        <v>3124</v>
      </c>
      <c r="B1163" s="659" t="s">
        <v>3460</v>
      </c>
      <c r="C1163" t="s">
        <v>2430</v>
      </c>
      <c r="D1163" t="s">
        <v>85</v>
      </c>
    </row>
    <row r="1164" spans="1:4" ht="15" thickBot="1" x14ac:dyDescent="0.35">
      <c r="A1164" s="659" t="s">
        <v>3125</v>
      </c>
      <c r="B1164" s="659" t="s">
        <v>3460</v>
      </c>
      <c r="C1164" t="s">
        <v>2431</v>
      </c>
      <c r="D1164" t="s">
        <v>85</v>
      </c>
    </row>
    <row r="1165" spans="1:4" ht="15" thickBot="1" x14ac:dyDescent="0.35">
      <c r="A1165" s="659" t="s">
        <v>340</v>
      </c>
      <c r="B1165" s="659" t="s">
        <v>3460</v>
      </c>
      <c r="C1165" t="s">
        <v>2432</v>
      </c>
      <c r="D1165" t="s">
        <v>85</v>
      </c>
    </row>
    <row r="1166" spans="1:4" ht="15" thickBot="1" x14ac:dyDescent="0.35">
      <c r="A1166" s="659" t="s">
        <v>3126</v>
      </c>
      <c r="B1166" s="659" t="s">
        <v>3460</v>
      </c>
      <c r="C1166" t="s">
        <v>2433</v>
      </c>
      <c r="D1166" t="s">
        <v>85</v>
      </c>
    </row>
    <row r="1167" spans="1:4" ht="15" thickBot="1" x14ac:dyDescent="0.35">
      <c r="A1167" s="659" t="s">
        <v>3127</v>
      </c>
      <c r="B1167" s="659" t="s">
        <v>3460</v>
      </c>
      <c r="C1167" t="s">
        <v>2434</v>
      </c>
      <c r="D1167" t="s">
        <v>85</v>
      </c>
    </row>
    <row r="1168" spans="1:4" ht="15" thickBot="1" x14ac:dyDescent="0.35">
      <c r="A1168" s="659" t="s">
        <v>3128</v>
      </c>
      <c r="B1168" s="659" t="s">
        <v>3460</v>
      </c>
      <c r="C1168" t="s">
        <v>2435</v>
      </c>
      <c r="D1168" t="s">
        <v>85</v>
      </c>
    </row>
    <row r="1169" spans="1:4" ht="15" thickBot="1" x14ac:dyDescent="0.35">
      <c r="A1169" s="659" t="s">
        <v>361</v>
      </c>
      <c r="B1169" s="659" t="s">
        <v>3460</v>
      </c>
      <c r="C1169" t="s">
        <v>2436</v>
      </c>
      <c r="D1169" t="s">
        <v>85</v>
      </c>
    </row>
    <row r="1170" spans="1:4" ht="15" thickBot="1" x14ac:dyDescent="0.35">
      <c r="A1170" s="659" t="s">
        <v>3129</v>
      </c>
      <c r="B1170" s="659" t="s">
        <v>3460</v>
      </c>
      <c r="C1170" t="s">
        <v>2437</v>
      </c>
      <c r="D1170" t="s">
        <v>85</v>
      </c>
    </row>
    <row r="1171" spans="1:4" ht="15" thickBot="1" x14ac:dyDescent="0.35">
      <c r="A1171" s="659" t="s">
        <v>3130</v>
      </c>
      <c r="B1171" s="659" t="s">
        <v>3460</v>
      </c>
      <c r="C1171" t="s">
        <v>2438</v>
      </c>
      <c r="D1171" t="s">
        <v>85</v>
      </c>
    </row>
    <row r="1172" spans="1:4" ht="15" thickBot="1" x14ac:dyDescent="0.35">
      <c r="A1172" s="659" t="s">
        <v>3131</v>
      </c>
      <c r="B1172" s="659" t="s">
        <v>3460</v>
      </c>
      <c r="C1172" t="s">
        <v>2439</v>
      </c>
      <c r="D1172" t="s">
        <v>85</v>
      </c>
    </row>
    <row r="1173" spans="1:4" ht="15" thickBot="1" x14ac:dyDescent="0.35">
      <c r="A1173" s="659" t="s">
        <v>3132</v>
      </c>
      <c r="B1173" s="659" t="s">
        <v>3460</v>
      </c>
      <c r="C1173" t="s">
        <v>2440</v>
      </c>
      <c r="D1173" t="s">
        <v>85</v>
      </c>
    </row>
    <row r="1174" spans="1:4" ht="15" thickBot="1" x14ac:dyDescent="0.35">
      <c r="A1174" s="659" t="s">
        <v>397</v>
      </c>
      <c r="B1174" s="659" t="s">
        <v>3460</v>
      </c>
      <c r="C1174" t="s">
        <v>2441</v>
      </c>
      <c r="D1174" t="s">
        <v>85</v>
      </c>
    </row>
    <row r="1175" spans="1:4" ht="15" thickBot="1" x14ac:dyDescent="0.35">
      <c r="A1175" s="659" t="s">
        <v>3133</v>
      </c>
      <c r="B1175" s="659" t="s">
        <v>3460</v>
      </c>
      <c r="C1175" t="s">
        <v>2442</v>
      </c>
      <c r="D1175" t="s">
        <v>85</v>
      </c>
    </row>
    <row r="1176" spans="1:4" ht="15" thickBot="1" x14ac:dyDescent="0.35">
      <c r="A1176" s="659" t="s">
        <v>399</v>
      </c>
      <c r="B1176" s="659" t="s">
        <v>3460</v>
      </c>
      <c r="C1176" t="s">
        <v>2443</v>
      </c>
      <c r="D1176" t="s">
        <v>85</v>
      </c>
    </row>
    <row r="1177" spans="1:4" ht="15" thickBot="1" x14ac:dyDescent="0.35">
      <c r="A1177" s="660" t="s">
        <v>3134</v>
      </c>
      <c r="B1177" s="660" t="s">
        <v>3461</v>
      </c>
      <c r="C1177" t="s">
        <v>2444</v>
      </c>
      <c r="D1177" t="s">
        <v>85</v>
      </c>
    </row>
    <row r="1178" spans="1:4" ht="15" thickBot="1" x14ac:dyDescent="0.35">
      <c r="A1178" s="661" t="s">
        <v>3135</v>
      </c>
      <c r="B1178" s="661" t="s">
        <v>3461</v>
      </c>
      <c r="C1178" t="s">
        <v>2445</v>
      </c>
      <c r="D1178" t="s">
        <v>85</v>
      </c>
    </row>
    <row r="1179" spans="1:4" ht="15" thickBot="1" x14ac:dyDescent="0.35">
      <c r="A1179" s="660" t="s">
        <v>3136</v>
      </c>
      <c r="B1179" s="660" t="s">
        <v>3461</v>
      </c>
      <c r="C1179" t="s">
        <v>2446</v>
      </c>
      <c r="D1179" t="s">
        <v>85</v>
      </c>
    </row>
    <row r="1180" spans="1:4" ht="15" thickBot="1" x14ac:dyDescent="0.35">
      <c r="A1180" s="661" t="s">
        <v>3137</v>
      </c>
      <c r="B1180" s="661" t="s">
        <v>3461</v>
      </c>
      <c r="C1180" t="s">
        <v>2447</v>
      </c>
      <c r="D1180" t="s">
        <v>85</v>
      </c>
    </row>
    <row r="1181" spans="1:4" ht="15" thickBot="1" x14ac:dyDescent="0.35">
      <c r="A1181" s="660" t="s">
        <v>3138</v>
      </c>
      <c r="B1181" s="660" t="s">
        <v>3461</v>
      </c>
      <c r="C1181" t="s">
        <v>2448</v>
      </c>
      <c r="D1181" t="s">
        <v>85</v>
      </c>
    </row>
    <row r="1182" spans="1:4" ht="15" thickBot="1" x14ac:dyDescent="0.35">
      <c r="A1182" s="661" t="s">
        <v>3139</v>
      </c>
      <c r="B1182" s="661" t="s">
        <v>3461</v>
      </c>
      <c r="C1182" t="s">
        <v>2449</v>
      </c>
      <c r="D1182" t="s">
        <v>85</v>
      </c>
    </row>
    <row r="1183" spans="1:4" ht="15" thickBot="1" x14ac:dyDescent="0.35">
      <c r="A1183" s="660" t="s">
        <v>3140</v>
      </c>
      <c r="B1183" s="660" t="s">
        <v>3461</v>
      </c>
      <c r="C1183" t="s">
        <v>2450</v>
      </c>
      <c r="D1183" t="s">
        <v>85</v>
      </c>
    </row>
    <row r="1184" spans="1:4" ht="15" thickBot="1" x14ac:dyDescent="0.35">
      <c r="A1184" s="661" t="s">
        <v>3141</v>
      </c>
      <c r="B1184" s="661" t="s">
        <v>3461</v>
      </c>
      <c r="C1184" t="s">
        <v>2451</v>
      </c>
      <c r="D1184" t="s">
        <v>85</v>
      </c>
    </row>
    <row r="1185" spans="1:4" ht="15" thickBot="1" x14ac:dyDescent="0.35">
      <c r="A1185" s="660" t="s">
        <v>3142</v>
      </c>
      <c r="B1185" s="660" t="s">
        <v>3461</v>
      </c>
      <c r="C1185" t="s">
        <v>2452</v>
      </c>
      <c r="D1185" t="s">
        <v>85</v>
      </c>
    </row>
    <row r="1186" spans="1:4" ht="15" thickBot="1" x14ac:dyDescent="0.35">
      <c r="A1186" s="661" t="s">
        <v>3143</v>
      </c>
      <c r="B1186" s="661" t="s">
        <v>3461</v>
      </c>
      <c r="C1186" t="s">
        <v>2453</v>
      </c>
      <c r="D1186" t="s">
        <v>85</v>
      </c>
    </row>
    <row r="1187" spans="1:4" ht="15" thickBot="1" x14ac:dyDescent="0.35">
      <c r="A1187" s="660" t="s">
        <v>3144</v>
      </c>
      <c r="B1187" s="660" t="s">
        <v>3461</v>
      </c>
      <c r="C1187" t="s">
        <v>2454</v>
      </c>
      <c r="D1187" t="s">
        <v>85</v>
      </c>
    </row>
    <row r="1188" spans="1:4" ht="15" thickBot="1" x14ac:dyDescent="0.35">
      <c r="A1188" s="661" t="s">
        <v>3145</v>
      </c>
      <c r="B1188" s="661" t="s">
        <v>3461</v>
      </c>
      <c r="C1188" t="s">
        <v>2455</v>
      </c>
      <c r="D1188" t="s">
        <v>85</v>
      </c>
    </row>
    <row r="1189" spans="1:4" ht="15" thickBot="1" x14ac:dyDescent="0.35">
      <c r="A1189" s="660" t="s">
        <v>3146</v>
      </c>
      <c r="B1189" s="660" t="s">
        <v>3461</v>
      </c>
      <c r="C1189" t="s">
        <v>2456</v>
      </c>
      <c r="D1189" t="s">
        <v>85</v>
      </c>
    </row>
    <row r="1190" spans="1:4" ht="15" thickBot="1" x14ac:dyDescent="0.35">
      <c r="A1190" s="661" t="s">
        <v>3147</v>
      </c>
      <c r="B1190" s="661" t="s">
        <v>3461</v>
      </c>
      <c r="C1190" t="s">
        <v>2457</v>
      </c>
      <c r="D1190" t="s">
        <v>85</v>
      </c>
    </row>
    <row r="1191" spans="1:4" ht="15" thickBot="1" x14ac:dyDescent="0.35">
      <c r="A1191" s="660" t="s">
        <v>3148</v>
      </c>
      <c r="B1191" s="660" t="s">
        <v>3461</v>
      </c>
      <c r="C1191" t="s">
        <v>2458</v>
      </c>
      <c r="D1191" t="s">
        <v>85</v>
      </c>
    </row>
    <row r="1192" spans="1:4" ht="15" thickBot="1" x14ac:dyDescent="0.35">
      <c r="A1192" s="661" t="s">
        <v>3149</v>
      </c>
      <c r="B1192" s="661" t="s">
        <v>3461</v>
      </c>
      <c r="C1192" t="s">
        <v>2459</v>
      </c>
      <c r="D1192" t="s">
        <v>85</v>
      </c>
    </row>
    <row r="1193" spans="1:4" ht="15" thickBot="1" x14ac:dyDescent="0.35">
      <c r="A1193" s="660" t="s">
        <v>3150</v>
      </c>
      <c r="B1193" s="660" t="s">
        <v>3461</v>
      </c>
      <c r="C1193" t="s">
        <v>2460</v>
      </c>
      <c r="D1193" t="s">
        <v>85</v>
      </c>
    </row>
    <row r="1194" spans="1:4" ht="15" thickBot="1" x14ac:dyDescent="0.35">
      <c r="A1194" s="661" t="s">
        <v>3151</v>
      </c>
      <c r="B1194" s="661" t="s">
        <v>3461</v>
      </c>
      <c r="C1194" t="s">
        <v>2461</v>
      </c>
      <c r="D1194" t="s">
        <v>85</v>
      </c>
    </row>
    <row r="1195" spans="1:4" ht="15" thickBot="1" x14ac:dyDescent="0.35">
      <c r="A1195" s="660" t="s">
        <v>3152</v>
      </c>
      <c r="B1195" s="660" t="s">
        <v>3461</v>
      </c>
      <c r="C1195" t="s">
        <v>2462</v>
      </c>
      <c r="D1195" t="s">
        <v>85</v>
      </c>
    </row>
    <row r="1196" spans="1:4" ht="15" thickBot="1" x14ac:dyDescent="0.35">
      <c r="A1196" s="661" t="s">
        <v>3153</v>
      </c>
      <c r="B1196" s="661" t="s">
        <v>3461</v>
      </c>
      <c r="C1196" t="s">
        <v>2463</v>
      </c>
      <c r="D1196" t="s">
        <v>85</v>
      </c>
    </row>
    <row r="1197" spans="1:4" ht="15" thickBot="1" x14ac:dyDescent="0.35">
      <c r="A1197" s="660" t="s">
        <v>3154</v>
      </c>
      <c r="B1197" s="660" t="s">
        <v>3461</v>
      </c>
      <c r="C1197" t="s">
        <v>2464</v>
      </c>
      <c r="D1197" t="s">
        <v>85</v>
      </c>
    </row>
    <row r="1198" spans="1:4" ht="15" thickBot="1" x14ac:dyDescent="0.35">
      <c r="A1198" s="661" t="s">
        <v>3155</v>
      </c>
      <c r="B1198" s="661" t="s">
        <v>3461</v>
      </c>
      <c r="C1198" t="s">
        <v>2465</v>
      </c>
      <c r="D1198" t="s">
        <v>85</v>
      </c>
    </row>
    <row r="1199" spans="1:4" ht="15" thickBot="1" x14ac:dyDescent="0.35">
      <c r="A1199" s="660" t="s">
        <v>3156</v>
      </c>
      <c r="B1199" s="660" t="s">
        <v>3461</v>
      </c>
      <c r="C1199" t="s">
        <v>2466</v>
      </c>
      <c r="D1199" t="s">
        <v>85</v>
      </c>
    </row>
    <row r="1200" spans="1:4" ht="15" thickBot="1" x14ac:dyDescent="0.35">
      <c r="A1200" s="661" t="s">
        <v>3157</v>
      </c>
      <c r="B1200" s="661" t="s">
        <v>3461</v>
      </c>
      <c r="C1200" t="s">
        <v>2467</v>
      </c>
      <c r="D1200" t="s">
        <v>85</v>
      </c>
    </row>
    <row r="1201" spans="1:4" ht="15" thickBot="1" x14ac:dyDescent="0.35">
      <c r="A1201" s="660" t="s">
        <v>3158</v>
      </c>
      <c r="B1201" s="660" t="s">
        <v>3461</v>
      </c>
      <c r="C1201" t="s">
        <v>2468</v>
      </c>
      <c r="D1201" t="s">
        <v>85</v>
      </c>
    </row>
    <row r="1202" spans="1:4" ht="15" thickBot="1" x14ac:dyDescent="0.35">
      <c r="A1202" s="661" t="s">
        <v>3159</v>
      </c>
      <c r="B1202" s="661" t="s">
        <v>3461</v>
      </c>
      <c r="C1202" t="s">
        <v>2469</v>
      </c>
      <c r="D1202" t="s">
        <v>85</v>
      </c>
    </row>
    <row r="1203" spans="1:4" ht="15" thickBot="1" x14ac:dyDescent="0.35">
      <c r="A1203" s="660" t="s">
        <v>3160</v>
      </c>
      <c r="B1203" s="660" t="s">
        <v>3461</v>
      </c>
      <c r="C1203" t="s">
        <v>2470</v>
      </c>
      <c r="D1203" t="s">
        <v>85</v>
      </c>
    </row>
    <row r="1204" spans="1:4" ht="15" thickBot="1" x14ac:dyDescent="0.35">
      <c r="A1204" s="661" t="s">
        <v>3160</v>
      </c>
      <c r="B1204" s="661" t="s">
        <v>3461</v>
      </c>
      <c r="C1204" t="s">
        <v>2471</v>
      </c>
      <c r="D1204" t="s">
        <v>85</v>
      </c>
    </row>
    <row r="1205" spans="1:4" ht="15" thickBot="1" x14ac:dyDescent="0.35">
      <c r="A1205" s="660" t="s">
        <v>3161</v>
      </c>
      <c r="B1205" s="660" t="s">
        <v>3461</v>
      </c>
      <c r="C1205" t="s">
        <v>2472</v>
      </c>
      <c r="D1205" t="s">
        <v>85</v>
      </c>
    </row>
    <row r="1206" spans="1:4" ht="15" thickBot="1" x14ac:dyDescent="0.35">
      <c r="A1206" s="661" t="s">
        <v>3162</v>
      </c>
      <c r="B1206" s="661" t="s">
        <v>3461</v>
      </c>
      <c r="C1206" t="s">
        <v>2473</v>
      </c>
      <c r="D1206" t="s">
        <v>85</v>
      </c>
    </row>
    <row r="1207" spans="1:4" ht="15" thickBot="1" x14ac:dyDescent="0.35">
      <c r="A1207" s="660" t="s">
        <v>3163</v>
      </c>
      <c r="B1207" s="660" t="s">
        <v>3461</v>
      </c>
      <c r="C1207" t="s">
        <v>2474</v>
      </c>
      <c r="D1207" t="s">
        <v>85</v>
      </c>
    </row>
    <row r="1208" spans="1:4" ht="15" thickBot="1" x14ac:dyDescent="0.35">
      <c r="A1208" s="661" t="s">
        <v>3164</v>
      </c>
      <c r="B1208" s="661" t="s">
        <v>3461</v>
      </c>
      <c r="C1208" t="s">
        <v>2475</v>
      </c>
      <c r="D1208" t="s">
        <v>85</v>
      </c>
    </row>
    <row r="1209" spans="1:4" ht="15" thickBot="1" x14ac:dyDescent="0.35">
      <c r="A1209" s="660" t="s">
        <v>3165</v>
      </c>
      <c r="B1209" s="660" t="s">
        <v>3461</v>
      </c>
      <c r="C1209" t="s">
        <v>2476</v>
      </c>
      <c r="D1209" t="s">
        <v>85</v>
      </c>
    </row>
    <row r="1210" spans="1:4" ht="15" thickBot="1" x14ac:dyDescent="0.35">
      <c r="A1210" s="661" t="s">
        <v>260</v>
      </c>
      <c r="B1210" s="661" t="s">
        <v>3461</v>
      </c>
      <c r="C1210" t="s">
        <v>2477</v>
      </c>
      <c r="D1210" t="s">
        <v>85</v>
      </c>
    </row>
    <row r="1211" spans="1:4" ht="15" thickBot="1" x14ac:dyDescent="0.35">
      <c r="A1211" s="660" t="s">
        <v>263</v>
      </c>
      <c r="B1211" s="660" t="s">
        <v>3461</v>
      </c>
      <c r="C1211" t="s">
        <v>2478</v>
      </c>
      <c r="D1211" t="s">
        <v>85</v>
      </c>
    </row>
    <row r="1212" spans="1:4" ht="15" thickBot="1" x14ac:dyDescent="0.35">
      <c r="A1212" s="661" t="s">
        <v>3166</v>
      </c>
      <c r="B1212" s="661" t="s">
        <v>3461</v>
      </c>
      <c r="C1212" t="s">
        <v>2479</v>
      </c>
      <c r="D1212" t="s">
        <v>85</v>
      </c>
    </row>
    <row r="1213" spans="1:4" ht="15" thickBot="1" x14ac:dyDescent="0.35">
      <c r="A1213" s="660" t="s">
        <v>3167</v>
      </c>
      <c r="B1213" s="660" t="s">
        <v>3461</v>
      </c>
      <c r="C1213" t="s">
        <v>2480</v>
      </c>
      <c r="D1213" t="s">
        <v>85</v>
      </c>
    </row>
    <row r="1214" spans="1:4" ht="15" thickBot="1" x14ac:dyDescent="0.35">
      <c r="A1214" s="661" t="s">
        <v>3168</v>
      </c>
      <c r="B1214" s="661" t="s">
        <v>3461</v>
      </c>
      <c r="C1214" t="s">
        <v>2481</v>
      </c>
      <c r="D1214" t="s">
        <v>85</v>
      </c>
    </row>
    <row r="1215" spans="1:4" ht="15" thickBot="1" x14ac:dyDescent="0.35">
      <c r="A1215" s="660" t="s">
        <v>3169</v>
      </c>
      <c r="B1215" s="660" t="s">
        <v>3461</v>
      </c>
      <c r="C1215" t="s">
        <v>2482</v>
      </c>
      <c r="D1215" t="s">
        <v>85</v>
      </c>
    </row>
    <row r="1216" spans="1:4" ht="15" thickBot="1" x14ac:dyDescent="0.35">
      <c r="A1216" s="661" t="s">
        <v>3170</v>
      </c>
      <c r="B1216" s="661" t="s">
        <v>3461</v>
      </c>
      <c r="C1216" t="s">
        <v>2483</v>
      </c>
      <c r="D1216" t="s">
        <v>85</v>
      </c>
    </row>
    <row r="1217" spans="1:4" ht="15" thickBot="1" x14ac:dyDescent="0.35">
      <c r="A1217" s="660" t="s">
        <v>3171</v>
      </c>
      <c r="B1217" s="660" t="s">
        <v>3461</v>
      </c>
      <c r="C1217" t="s">
        <v>2484</v>
      </c>
      <c r="D1217" t="s">
        <v>85</v>
      </c>
    </row>
    <row r="1218" spans="1:4" ht="15" thickBot="1" x14ac:dyDescent="0.35">
      <c r="A1218" s="661" t="s">
        <v>3172</v>
      </c>
      <c r="B1218" s="661" t="s">
        <v>3461</v>
      </c>
      <c r="C1218" t="s">
        <v>2485</v>
      </c>
      <c r="D1218" t="s">
        <v>85</v>
      </c>
    </row>
    <row r="1219" spans="1:4" ht="15" thickBot="1" x14ac:dyDescent="0.35">
      <c r="A1219" s="660" t="s">
        <v>3173</v>
      </c>
      <c r="B1219" s="660" t="s">
        <v>3461</v>
      </c>
      <c r="C1219" t="s">
        <v>2486</v>
      </c>
      <c r="D1219" t="s">
        <v>85</v>
      </c>
    </row>
    <row r="1220" spans="1:4" ht="15" thickBot="1" x14ac:dyDescent="0.35">
      <c r="A1220" s="661" t="s">
        <v>3174</v>
      </c>
      <c r="B1220" s="661" t="s">
        <v>3461</v>
      </c>
      <c r="C1220" t="s">
        <v>2487</v>
      </c>
      <c r="D1220" t="s">
        <v>85</v>
      </c>
    </row>
    <row r="1221" spans="1:4" ht="15" thickBot="1" x14ac:dyDescent="0.35">
      <c r="A1221" s="660" t="s">
        <v>3175</v>
      </c>
      <c r="B1221" s="660" t="s">
        <v>3461</v>
      </c>
      <c r="C1221" t="s">
        <v>2488</v>
      </c>
      <c r="D1221" t="s">
        <v>85</v>
      </c>
    </row>
    <row r="1222" spans="1:4" ht="15" thickBot="1" x14ac:dyDescent="0.35">
      <c r="A1222" s="661" t="s">
        <v>3176</v>
      </c>
      <c r="B1222" s="661" t="s">
        <v>3461</v>
      </c>
      <c r="C1222" t="s">
        <v>2489</v>
      </c>
      <c r="D1222" t="s">
        <v>85</v>
      </c>
    </row>
    <row r="1223" spans="1:4" ht="15" thickBot="1" x14ac:dyDescent="0.35">
      <c r="A1223" s="660" t="s">
        <v>3177</v>
      </c>
      <c r="B1223" s="660" t="s">
        <v>3461</v>
      </c>
      <c r="C1223" t="s">
        <v>2490</v>
      </c>
      <c r="D1223" t="s">
        <v>85</v>
      </c>
    </row>
    <row r="1224" spans="1:4" ht="15" thickBot="1" x14ac:dyDescent="0.35">
      <c r="A1224" s="661" t="s">
        <v>3178</v>
      </c>
      <c r="B1224" s="661" t="s">
        <v>3461</v>
      </c>
      <c r="C1224" t="s">
        <v>2491</v>
      </c>
      <c r="D1224" t="s">
        <v>85</v>
      </c>
    </row>
    <row r="1225" spans="1:4" ht="15" thickBot="1" x14ac:dyDescent="0.35">
      <c r="A1225" s="660" t="s">
        <v>3179</v>
      </c>
      <c r="B1225" s="660" t="s">
        <v>3461</v>
      </c>
      <c r="C1225" t="s">
        <v>2492</v>
      </c>
      <c r="D1225" t="s">
        <v>85</v>
      </c>
    </row>
    <row r="1226" spans="1:4" ht="15" thickBot="1" x14ac:dyDescent="0.35">
      <c r="A1226" s="661" t="s">
        <v>3180</v>
      </c>
      <c r="B1226" s="661" t="s">
        <v>3461</v>
      </c>
      <c r="C1226" t="s">
        <v>2493</v>
      </c>
      <c r="D1226" t="s">
        <v>85</v>
      </c>
    </row>
    <row r="1227" spans="1:4" ht="15" thickBot="1" x14ac:dyDescent="0.35">
      <c r="A1227" s="660" t="s">
        <v>3181</v>
      </c>
      <c r="B1227" s="660" t="s">
        <v>3461</v>
      </c>
      <c r="C1227" t="s">
        <v>2494</v>
      </c>
      <c r="D1227" t="s">
        <v>85</v>
      </c>
    </row>
    <row r="1228" spans="1:4" ht="15" thickBot="1" x14ac:dyDescent="0.35">
      <c r="A1228" s="661" t="s">
        <v>3182</v>
      </c>
      <c r="B1228" s="661" t="s">
        <v>3461</v>
      </c>
      <c r="C1228" t="s">
        <v>2495</v>
      </c>
      <c r="D1228" t="s">
        <v>85</v>
      </c>
    </row>
    <row r="1229" spans="1:4" ht="15" thickBot="1" x14ac:dyDescent="0.35">
      <c r="A1229" s="660" t="s">
        <v>3183</v>
      </c>
      <c r="B1229" s="660" t="s">
        <v>3461</v>
      </c>
      <c r="C1229" t="s">
        <v>2496</v>
      </c>
      <c r="D1229" t="s">
        <v>85</v>
      </c>
    </row>
    <row r="1230" spans="1:4" ht="15" thickBot="1" x14ac:dyDescent="0.35">
      <c r="A1230" s="661" t="s">
        <v>3184</v>
      </c>
      <c r="B1230" s="661" t="s">
        <v>3461</v>
      </c>
      <c r="C1230" t="s">
        <v>2497</v>
      </c>
      <c r="D1230" t="s">
        <v>85</v>
      </c>
    </row>
    <row r="1231" spans="1:4" ht="15" thickBot="1" x14ac:dyDescent="0.35">
      <c r="A1231" s="660" t="s">
        <v>3185</v>
      </c>
      <c r="B1231" s="660" t="s">
        <v>3461</v>
      </c>
      <c r="C1231" t="s">
        <v>2498</v>
      </c>
      <c r="D1231" t="s">
        <v>85</v>
      </c>
    </row>
    <row r="1232" spans="1:4" ht="15" thickBot="1" x14ac:dyDescent="0.35">
      <c r="A1232" s="661" t="s">
        <v>3186</v>
      </c>
      <c r="B1232" s="661" t="s">
        <v>3461</v>
      </c>
      <c r="C1232" t="s">
        <v>2499</v>
      </c>
      <c r="D1232" t="s">
        <v>85</v>
      </c>
    </row>
    <row r="1233" spans="1:4" ht="15" thickBot="1" x14ac:dyDescent="0.35">
      <c r="A1233" s="660" t="s">
        <v>3187</v>
      </c>
      <c r="B1233" s="660" t="s">
        <v>3461</v>
      </c>
      <c r="C1233" t="s">
        <v>2500</v>
      </c>
      <c r="D1233" t="s">
        <v>85</v>
      </c>
    </row>
    <row r="1234" spans="1:4" ht="15" thickBot="1" x14ac:dyDescent="0.35">
      <c r="A1234" s="661" t="s">
        <v>3188</v>
      </c>
      <c r="B1234" s="661" t="s">
        <v>3461</v>
      </c>
      <c r="C1234" t="s">
        <v>2501</v>
      </c>
      <c r="D1234" t="s">
        <v>85</v>
      </c>
    </row>
    <row r="1235" spans="1:4" ht="15" thickBot="1" x14ac:dyDescent="0.35">
      <c r="A1235" s="660" t="s">
        <v>3189</v>
      </c>
      <c r="B1235" s="660" t="s">
        <v>3461</v>
      </c>
      <c r="C1235" t="s">
        <v>2502</v>
      </c>
      <c r="D1235" t="s">
        <v>85</v>
      </c>
    </row>
    <row r="1236" spans="1:4" ht="15" thickBot="1" x14ac:dyDescent="0.35">
      <c r="A1236" s="661" t="s">
        <v>3190</v>
      </c>
      <c r="B1236" s="661" t="s">
        <v>3461</v>
      </c>
      <c r="C1236" t="s">
        <v>2503</v>
      </c>
      <c r="D1236" t="s">
        <v>85</v>
      </c>
    </row>
    <row r="1237" spans="1:4" ht="15" thickBot="1" x14ac:dyDescent="0.35">
      <c r="A1237" s="660" t="s">
        <v>3191</v>
      </c>
      <c r="B1237" s="660" t="s">
        <v>3461</v>
      </c>
      <c r="C1237" t="s">
        <v>2504</v>
      </c>
      <c r="D1237" t="s">
        <v>85</v>
      </c>
    </row>
    <row r="1238" spans="1:4" ht="15" thickBot="1" x14ac:dyDescent="0.35">
      <c r="A1238" s="661" t="s">
        <v>3192</v>
      </c>
      <c r="B1238" s="661" t="s">
        <v>3461</v>
      </c>
      <c r="C1238" t="s">
        <v>2505</v>
      </c>
      <c r="D1238" t="s">
        <v>85</v>
      </c>
    </row>
    <row r="1239" spans="1:4" ht="15" thickBot="1" x14ac:dyDescent="0.35">
      <c r="A1239" s="660" t="s">
        <v>3193</v>
      </c>
      <c r="B1239" s="660" t="s">
        <v>3461</v>
      </c>
      <c r="C1239" t="s">
        <v>2506</v>
      </c>
      <c r="D1239" t="s">
        <v>85</v>
      </c>
    </row>
    <row r="1240" spans="1:4" ht="15" thickBot="1" x14ac:dyDescent="0.35">
      <c r="A1240" s="661" t="s">
        <v>3194</v>
      </c>
      <c r="B1240" s="661" t="s">
        <v>3461</v>
      </c>
      <c r="C1240" t="s">
        <v>2507</v>
      </c>
      <c r="D1240" t="s">
        <v>85</v>
      </c>
    </row>
    <row r="1241" spans="1:4" ht="15" thickBot="1" x14ac:dyDescent="0.35">
      <c r="A1241" s="660" t="s">
        <v>3195</v>
      </c>
      <c r="B1241" s="660" t="s">
        <v>3461</v>
      </c>
      <c r="C1241" t="s">
        <v>2508</v>
      </c>
      <c r="D1241" t="s">
        <v>85</v>
      </c>
    </row>
    <row r="1242" spans="1:4" ht="15" thickBot="1" x14ac:dyDescent="0.35">
      <c r="A1242" s="661" t="s">
        <v>3196</v>
      </c>
      <c r="B1242" s="661" t="s">
        <v>3461</v>
      </c>
      <c r="C1242" t="s">
        <v>2509</v>
      </c>
      <c r="D1242" t="s">
        <v>85</v>
      </c>
    </row>
    <row r="1243" spans="1:4" ht="15" thickBot="1" x14ac:dyDescent="0.35">
      <c r="A1243" s="660" t="s">
        <v>3197</v>
      </c>
      <c r="B1243" s="660" t="s">
        <v>3461</v>
      </c>
      <c r="C1243" t="s">
        <v>2510</v>
      </c>
      <c r="D1243" t="s">
        <v>85</v>
      </c>
    </row>
    <row r="1244" spans="1:4" ht="15" thickBot="1" x14ac:dyDescent="0.35">
      <c r="A1244" s="661" t="s">
        <v>3198</v>
      </c>
      <c r="B1244" s="661" t="s">
        <v>3462</v>
      </c>
      <c r="C1244" t="s">
        <v>2511</v>
      </c>
      <c r="D1244" t="s">
        <v>85</v>
      </c>
    </row>
    <row r="1245" spans="1:4" ht="15" thickBot="1" x14ac:dyDescent="0.35">
      <c r="A1245" s="660" t="s">
        <v>3199</v>
      </c>
      <c r="B1245" s="660" t="s">
        <v>3462</v>
      </c>
      <c r="C1245" t="s">
        <v>2512</v>
      </c>
      <c r="D1245" t="s">
        <v>85</v>
      </c>
    </row>
    <row r="1246" spans="1:4" ht="15" thickBot="1" x14ac:dyDescent="0.35">
      <c r="A1246" s="661" t="s">
        <v>3200</v>
      </c>
      <c r="B1246" s="661" t="s">
        <v>3462</v>
      </c>
      <c r="C1246" t="s">
        <v>2513</v>
      </c>
      <c r="D1246" t="s">
        <v>85</v>
      </c>
    </row>
    <row r="1247" spans="1:4" ht="15" thickBot="1" x14ac:dyDescent="0.35">
      <c r="A1247" s="660" t="s">
        <v>3146</v>
      </c>
      <c r="B1247" s="660" t="s">
        <v>3462</v>
      </c>
      <c r="C1247" t="s">
        <v>2514</v>
      </c>
      <c r="D1247" t="s">
        <v>85</v>
      </c>
    </row>
    <row r="1248" spans="1:4" ht="15" thickBot="1" x14ac:dyDescent="0.35">
      <c r="A1248" s="661" t="s">
        <v>3201</v>
      </c>
      <c r="B1248" s="661" t="s">
        <v>3462</v>
      </c>
      <c r="C1248" t="s">
        <v>2515</v>
      </c>
      <c r="D1248" t="s">
        <v>85</v>
      </c>
    </row>
    <row r="1249" spans="1:4" ht="15" thickBot="1" x14ac:dyDescent="0.35">
      <c r="A1249" s="660" t="s">
        <v>3202</v>
      </c>
      <c r="B1249" s="660" t="s">
        <v>3462</v>
      </c>
      <c r="C1249" t="s">
        <v>2516</v>
      </c>
      <c r="D1249" t="s">
        <v>85</v>
      </c>
    </row>
    <row r="1250" spans="1:4" ht="15" thickBot="1" x14ac:dyDescent="0.35">
      <c r="A1250" s="661" t="s">
        <v>191</v>
      </c>
      <c r="B1250" s="661" t="s">
        <v>3462</v>
      </c>
      <c r="C1250" t="s">
        <v>2517</v>
      </c>
      <c r="D1250" t="s">
        <v>85</v>
      </c>
    </row>
    <row r="1251" spans="1:4" ht="15" thickBot="1" x14ac:dyDescent="0.35">
      <c r="A1251" s="660" t="s">
        <v>3203</v>
      </c>
      <c r="B1251" s="660" t="s">
        <v>3462</v>
      </c>
      <c r="C1251" t="s">
        <v>2518</v>
      </c>
      <c r="D1251" t="s">
        <v>85</v>
      </c>
    </row>
    <row r="1252" spans="1:4" ht="15" thickBot="1" x14ac:dyDescent="0.35">
      <c r="A1252" s="661" t="s">
        <v>196</v>
      </c>
      <c r="B1252" s="661" t="s">
        <v>3462</v>
      </c>
      <c r="C1252" t="s">
        <v>2519</v>
      </c>
      <c r="D1252" t="s">
        <v>85</v>
      </c>
    </row>
    <row r="1253" spans="1:4" ht="15" thickBot="1" x14ac:dyDescent="0.35">
      <c r="A1253" s="660" t="s">
        <v>3204</v>
      </c>
      <c r="B1253" s="660" t="s">
        <v>3462</v>
      </c>
      <c r="C1253" t="s">
        <v>2520</v>
      </c>
      <c r="D1253" t="s">
        <v>85</v>
      </c>
    </row>
    <row r="1254" spans="1:4" ht="15" thickBot="1" x14ac:dyDescent="0.35">
      <c r="A1254" s="661" t="s">
        <v>3205</v>
      </c>
      <c r="B1254" s="661" t="s">
        <v>3462</v>
      </c>
      <c r="C1254" t="s">
        <v>2521</v>
      </c>
      <c r="D1254" t="s">
        <v>85</v>
      </c>
    </row>
    <row r="1255" spans="1:4" ht="15" thickBot="1" x14ac:dyDescent="0.35">
      <c r="A1255" s="660" t="s">
        <v>215</v>
      </c>
      <c r="B1255" s="660" t="s">
        <v>3462</v>
      </c>
      <c r="C1255" t="s">
        <v>2522</v>
      </c>
      <c r="D1255" t="s">
        <v>85</v>
      </c>
    </row>
    <row r="1256" spans="1:4" ht="15" thickBot="1" x14ac:dyDescent="0.35">
      <c r="A1256" s="661" t="s">
        <v>3206</v>
      </c>
      <c r="B1256" s="661" t="s">
        <v>3462</v>
      </c>
      <c r="C1256" t="s">
        <v>2523</v>
      </c>
      <c r="D1256" t="s">
        <v>85</v>
      </c>
    </row>
    <row r="1257" spans="1:4" ht="15" thickBot="1" x14ac:dyDescent="0.35">
      <c r="A1257" s="660" t="s">
        <v>228</v>
      </c>
      <c r="B1257" s="660" t="s">
        <v>3462</v>
      </c>
      <c r="C1257" t="s">
        <v>2524</v>
      </c>
      <c r="D1257" t="s">
        <v>85</v>
      </c>
    </row>
    <row r="1258" spans="1:4" ht="15" thickBot="1" x14ac:dyDescent="0.35">
      <c r="A1258" s="661" t="s">
        <v>3207</v>
      </c>
      <c r="B1258" s="661" t="s">
        <v>3462</v>
      </c>
      <c r="C1258" t="s">
        <v>2525</v>
      </c>
      <c r="D1258" t="s">
        <v>85</v>
      </c>
    </row>
    <row r="1259" spans="1:4" ht="15" thickBot="1" x14ac:dyDescent="0.35">
      <c r="A1259" s="660" t="s">
        <v>260</v>
      </c>
      <c r="B1259" s="660" t="s">
        <v>3462</v>
      </c>
      <c r="C1259" t="s">
        <v>2526</v>
      </c>
      <c r="D1259" t="s">
        <v>85</v>
      </c>
    </row>
    <row r="1260" spans="1:4" ht="15" thickBot="1" x14ac:dyDescent="0.35">
      <c r="A1260" s="661" t="s">
        <v>3166</v>
      </c>
      <c r="B1260" s="661" t="s">
        <v>3462</v>
      </c>
      <c r="C1260" t="s">
        <v>2527</v>
      </c>
      <c r="D1260" t="s">
        <v>85</v>
      </c>
    </row>
    <row r="1261" spans="1:4" ht="15" thickBot="1" x14ac:dyDescent="0.35">
      <c r="A1261" s="660" t="s">
        <v>3208</v>
      </c>
      <c r="B1261" s="660" t="s">
        <v>3462</v>
      </c>
      <c r="C1261" t="s">
        <v>2528</v>
      </c>
      <c r="D1261" t="s">
        <v>85</v>
      </c>
    </row>
    <row r="1262" spans="1:4" ht="15" thickBot="1" x14ac:dyDescent="0.35">
      <c r="A1262" s="661" t="s">
        <v>3209</v>
      </c>
      <c r="B1262" s="661" t="s">
        <v>3462</v>
      </c>
      <c r="C1262" t="s">
        <v>2529</v>
      </c>
      <c r="D1262" t="s">
        <v>85</v>
      </c>
    </row>
    <row r="1263" spans="1:4" ht="15" thickBot="1" x14ac:dyDescent="0.35">
      <c r="A1263" s="660" t="s">
        <v>3210</v>
      </c>
      <c r="B1263" s="660" t="s">
        <v>3462</v>
      </c>
      <c r="C1263" t="s">
        <v>2530</v>
      </c>
      <c r="D1263" t="s">
        <v>85</v>
      </c>
    </row>
    <row r="1264" spans="1:4" ht="15" thickBot="1" x14ac:dyDescent="0.35">
      <c r="A1264" s="661" t="s">
        <v>3211</v>
      </c>
      <c r="B1264" s="661" t="s">
        <v>3462</v>
      </c>
      <c r="C1264" t="s">
        <v>2531</v>
      </c>
      <c r="D1264" t="s">
        <v>85</v>
      </c>
    </row>
    <row r="1265" spans="1:4" ht="15" thickBot="1" x14ac:dyDescent="0.35">
      <c r="A1265" s="660" t="s">
        <v>280</v>
      </c>
      <c r="B1265" s="660" t="s">
        <v>3462</v>
      </c>
      <c r="C1265" t="s">
        <v>2532</v>
      </c>
      <c r="D1265" t="s">
        <v>85</v>
      </c>
    </row>
    <row r="1266" spans="1:4" ht="15" thickBot="1" x14ac:dyDescent="0.35">
      <c r="A1266" s="661" t="s">
        <v>283</v>
      </c>
      <c r="B1266" s="661" t="s">
        <v>3462</v>
      </c>
      <c r="C1266" t="s">
        <v>2533</v>
      </c>
      <c r="D1266" t="s">
        <v>85</v>
      </c>
    </row>
    <row r="1267" spans="1:4" ht="15" thickBot="1" x14ac:dyDescent="0.35">
      <c r="A1267" s="660" t="s">
        <v>3212</v>
      </c>
      <c r="B1267" s="660" t="s">
        <v>3462</v>
      </c>
      <c r="C1267" t="s">
        <v>2534</v>
      </c>
      <c r="D1267" t="s">
        <v>85</v>
      </c>
    </row>
    <row r="1268" spans="1:4" ht="15" thickBot="1" x14ac:dyDescent="0.35">
      <c r="A1268" s="661" t="s">
        <v>3213</v>
      </c>
      <c r="B1268" s="661" t="s">
        <v>3462</v>
      </c>
      <c r="C1268" t="s">
        <v>2535</v>
      </c>
      <c r="D1268" t="s">
        <v>85</v>
      </c>
    </row>
    <row r="1269" spans="1:4" ht="15" thickBot="1" x14ac:dyDescent="0.35">
      <c r="A1269" s="660" t="s">
        <v>3214</v>
      </c>
      <c r="B1269" s="660" t="s">
        <v>3462</v>
      </c>
      <c r="C1269" t="s">
        <v>2536</v>
      </c>
      <c r="D1269" t="s">
        <v>85</v>
      </c>
    </row>
    <row r="1270" spans="1:4" ht="15" thickBot="1" x14ac:dyDescent="0.35">
      <c r="A1270" s="661" t="s">
        <v>3215</v>
      </c>
      <c r="B1270" s="661" t="s">
        <v>3462</v>
      </c>
      <c r="C1270" t="s">
        <v>2537</v>
      </c>
      <c r="D1270" t="s">
        <v>85</v>
      </c>
    </row>
    <row r="1271" spans="1:4" ht="15" thickBot="1" x14ac:dyDescent="0.35">
      <c r="A1271" s="660" t="s">
        <v>3216</v>
      </c>
      <c r="B1271" s="660" t="s">
        <v>3462</v>
      </c>
      <c r="C1271" t="s">
        <v>2538</v>
      </c>
      <c r="D1271" t="s">
        <v>85</v>
      </c>
    </row>
    <row r="1272" spans="1:4" ht="15" thickBot="1" x14ac:dyDescent="0.35">
      <c r="A1272" s="661" t="s">
        <v>3217</v>
      </c>
      <c r="B1272" s="661" t="s">
        <v>3462</v>
      </c>
      <c r="C1272" t="s">
        <v>2539</v>
      </c>
      <c r="D1272" t="s">
        <v>85</v>
      </c>
    </row>
    <row r="1273" spans="1:4" ht="15" thickBot="1" x14ac:dyDescent="0.35">
      <c r="A1273" s="660" t="s">
        <v>3218</v>
      </c>
      <c r="B1273" s="660" t="s">
        <v>3462</v>
      </c>
      <c r="C1273" t="s">
        <v>2540</v>
      </c>
      <c r="D1273" t="s">
        <v>85</v>
      </c>
    </row>
    <row r="1274" spans="1:4" ht="15" thickBot="1" x14ac:dyDescent="0.35">
      <c r="A1274" s="661" t="s">
        <v>3219</v>
      </c>
      <c r="B1274" s="661" t="s">
        <v>3462</v>
      </c>
      <c r="C1274" t="s">
        <v>2541</v>
      </c>
      <c r="D1274" t="s">
        <v>85</v>
      </c>
    </row>
    <row r="1275" spans="1:4" ht="15" thickBot="1" x14ac:dyDescent="0.35">
      <c r="A1275" s="660" t="s">
        <v>3220</v>
      </c>
      <c r="B1275" s="660" t="s">
        <v>3462</v>
      </c>
      <c r="C1275" t="s">
        <v>2542</v>
      </c>
      <c r="D1275" t="s">
        <v>85</v>
      </c>
    </row>
    <row r="1276" spans="1:4" ht="15" thickBot="1" x14ac:dyDescent="0.35">
      <c r="A1276" s="661" t="s">
        <v>3221</v>
      </c>
      <c r="B1276" s="661" t="s">
        <v>3462</v>
      </c>
      <c r="C1276" t="s">
        <v>2543</v>
      </c>
      <c r="D1276" t="s">
        <v>85</v>
      </c>
    </row>
    <row r="1277" spans="1:4" ht="15" thickBot="1" x14ac:dyDescent="0.35">
      <c r="A1277" s="660" t="s">
        <v>3222</v>
      </c>
      <c r="B1277" s="660" t="s">
        <v>3462</v>
      </c>
      <c r="C1277" t="s">
        <v>2544</v>
      </c>
      <c r="D1277" t="s">
        <v>85</v>
      </c>
    </row>
    <row r="1278" spans="1:4" ht="15" thickBot="1" x14ac:dyDescent="0.35">
      <c r="A1278" s="661" t="s">
        <v>3223</v>
      </c>
      <c r="B1278" s="661" t="s">
        <v>3462</v>
      </c>
      <c r="C1278" t="s">
        <v>2545</v>
      </c>
      <c r="D1278" t="s">
        <v>85</v>
      </c>
    </row>
    <row r="1279" spans="1:4" ht="15" thickBot="1" x14ac:dyDescent="0.35">
      <c r="A1279" s="660" t="s">
        <v>3224</v>
      </c>
      <c r="B1279" s="660" t="s">
        <v>3462</v>
      </c>
      <c r="C1279" t="s">
        <v>2546</v>
      </c>
      <c r="D1279" t="s">
        <v>85</v>
      </c>
    </row>
    <row r="1280" spans="1:4" ht="15" thickBot="1" x14ac:dyDescent="0.35">
      <c r="A1280" s="661" t="s">
        <v>3225</v>
      </c>
      <c r="B1280" s="661" t="s">
        <v>3462</v>
      </c>
      <c r="C1280" t="s">
        <v>2547</v>
      </c>
      <c r="D1280" t="s">
        <v>85</v>
      </c>
    </row>
    <row r="1281" spans="1:4" ht="15" thickBot="1" x14ac:dyDescent="0.35">
      <c r="A1281" s="660" t="s">
        <v>298</v>
      </c>
      <c r="B1281" s="660" t="s">
        <v>3462</v>
      </c>
      <c r="C1281" t="s">
        <v>2548</v>
      </c>
      <c r="D1281" t="s">
        <v>85</v>
      </c>
    </row>
    <row r="1282" spans="1:4" ht="15" thickBot="1" x14ac:dyDescent="0.35">
      <c r="A1282" s="661" t="s">
        <v>299</v>
      </c>
      <c r="B1282" s="661" t="s">
        <v>3462</v>
      </c>
      <c r="C1282" t="s">
        <v>2549</v>
      </c>
      <c r="D1282" t="s">
        <v>85</v>
      </c>
    </row>
    <row r="1283" spans="1:4" ht="15" thickBot="1" x14ac:dyDescent="0.35">
      <c r="A1283" s="660" t="s">
        <v>3226</v>
      </c>
      <c r="B1283" s="660" t="s">
        <v>3462</v>
      </c>
      <c r="C1283" t="s">
        <v>2550</v>
      </c>
      <c r="D1283" t="s">
        <v>85</v>
      </c>
    </row>
    <row r="1284" spans="1:4" ht="15" thickBot="1" x14ac:dyDescent="0.35">
      <c r="A1284" s="661" t="s">
        <v>3227</v>
      </c>
      <c r="B1284" s="661" t="s">
        <v>3462</v>
      </c>
      <c r="C1284" t="s">
        <v>2551</v>
      </c>
      <c r="D1284" t="s">
        <v>85</v>
      </c>
    </row>
    <row r="1285" spans="1:4" ht="15" thickBot="1" x14ac:dyDescent="0.35">
      <c r="A1285" s="660" t="s">
        <v>302</v>
      </c>
      <c r="B1285" s="660" t="s">
        <v>3462</v>
      </c>
      <c r="C1285" t="s">
        <v>2552</v>
      </c>
      <c r="D1285" t="s">
        <v>85</v>
      </c>
    </row>
    <row r="1286" spans="1:4" ht="15" thickBot="1" x14ac:dyDescent="0.35">
      <c r="A1286" s="661" t="s">
        <v>3228</v>
      </c>
      <c r="B1286" s="661" t="s">
        <v>3462</v>
      </c>
      <c r="C1286" t="s">
        <v>2553</v>
      </c>
      <c r="D1286" t="s">
        <v>85</v>
      </c>
    </row>
    <row r="1287" spans="1:4" ht="15" thickBot="1" x14ac:dyDescent="0.35">
      <c r="A1287" s="660" t="s">
        <v>3229</v>
      </c>
      <c r="B1287" s="660" t="s">
        <v>3462</v>
      </c>
      <c r="C1287" t="s">
        <v>2554</v>
      </c>
      <c r="D1287" t="s">
        <v>85</v>
      </c>
    </row>
    <row r="1288" spans="1:4" ht="15" thickBot="1" x14ac:dyDescent="0.35">
      <c r="A1288" s="661" t="s">
        <v>3230</v>
      </c>
      <c r="B1288" s="661" t="s">
        <v>3462</v>
      </c>
      <c r="C1288" t="s">
        <v>2555</v>
      </c>
      <c r="D1288" t="s">
        <v>85</v>
      </c>
    </row>
    <row r="1289" spans="1:4" ht="15" thickBot="1" x14ac:dyDescent="0.35">
      <c r="A1289" s="660" t="s">
        <v>3231</v>
      </c>
      <c r="B1289" s="660" t="s">
        <v>3462</v>
      </c>
      <c r="C1289" t="s">
        <v>2556</v>
      </c>
      <c r="D1289" t="s">
        <v>85</v>
      </c>
    </row>
    <row r="1290" spans="1:4" ht="15" thickBot="1" x14ac:dyDescent="0.35">
      <c r="A1290" s="661" t="s">
        <v>3232</v>
      </c>
      <c r="B1290" s="661" t="s">
        <v>3462</v>
      </c>
      <c r="C1290" t="s">
        <v>2557</v>
      </c>
      <c r="D1290" t="s">
        <v>85</v>
      </c>
    </row>
    <row r="1291" spans="1:4" ht="15" thickBot="1" x14ac:dyDescent="0.35">
      <c r="A1291" s="660" t="s">
        <v>3233</v>
      </c>
      <c r="B1291" s="660" t="s">
        <v>3462</v>
      </c>
      <c r="C1291" t="s">
        <v>2558</v>
      </c>
      <c r="D1291" t="s">
        <v>85</v>
      </c>
    </row>
    <row r="1292" spans="1:4" ht="15" thickBot="1" x14ac:dyDescent="0.35">
      <c r="A1292" s="661" t="s">
        <v>3234</v>
      </c>
      <c r="B1292" s="661" t="s">
        <v>3462</v>
      </c>
      <c r="C1292" t="s">
        <v>2559</v>
      </c>
      <c r="D1292" t="s">
        <v>85</v>
      </c>
    </row>
    <row r="1293" spans="1:4" ht="15" thickBot="1" x14ac:dyDescent="0.35">
      <c r="A1293" s="660" t="s">
        <v>309</v>
      </c>
      <c r="B1293" s="660" t="s">
        <v>3462</v>
      </c>
      <c r="C1293" t="s">
        <v>2560</v>
      </c>
      <c r="D1293" t="s">
        <v>85</v>
      </c>
    </row>
    <row r="1294" spans="1:4" ht="15" thickBot="1" x14ac:dyDescent="0.35">
      <c r="A1294" s="661" t="s">
        <v>3235</v>
      </c>
      <c r="B1294" s="661" t="s">
        <v>3462</v>
      </c>
      <c r="C1294" t="s">
        <v>2561</v>
      </c>
      <c r="D1294" t="s">
        <v>85</v>
      </c>
    </row>
    <row r="1295" spans="1:4" ht="15" thickBot="1" x14ac:dyDescent="0.35">
      <c r="A1295" s="660" t="s">
        <v>3236</v>
      </c>
      <c r="B1295" s="660" t="s">
        <v>3462</v>
      </c>
      <c r="C1295" t="s">
        <v>2562</v>
      </c>
      <c r="D1295" t="s">
        <v>85</v>
      </c>
    </row>
    <row r="1296" spans="1:4" ht="15" thickBot="1" x14ac:dyDescent="0.35">
      <c r="A1296" s="661" t="s">
        <v>3237</v>
      </c>
      <c r="B1296" s="661" t="s">
        <v>3462</v>
      </c>
      <c r="C1296" t="s">
        <v>2563</v>
      </c>
      <c r="D1296" t="s">
        <v>85</v>
      </c>
    </row>
    <row r="1297" spans="1:4" ht="15" thickBot="1" x14ac:dyDescent="0.35">
      <c r="A1297" s="660" t="s">
        <v>3238</v>
      </c>
      <c r="B1297" s="660" t="s">
        <v>3462</v>
      </c>
      <c r="C1297" t="s">
        <v>2564</v>
      </c>
      <c r="D1297" t="s">
        <v>85</v>
      </c>
    </row>
    <row r="1298" spans="1:4" ht="15" thickBot="1" x14ac:dyDescent="0.35">
      <c r="A1298" s="661" t="s">
        <v>316</v>
      </c>
      <c r="B1298" s="661" t="s">
        <v>3462</v>
      </c>
      <c r="C1298" t="s">
        <v>2565</v>
      </c>
      <c r="D1298" t="s">
        <v>85</v>
      </c>
    </row>
    <row r="1299" spans="1:4" ht="15" thickBot="1" x14ac:dyDescent="0.35">
      <c r="A1299" s="660" t="s">
        <v>3239</v>
      </c>
      <c r="B1299" s="660" t="s">
        <v>3462</v>
      </c>
      <c r="C1299" t="s">
        <v>2566</v>
      </c>
      <c r="D1299" t="s">
        <v>85</v>
      </c>
    </row>
    <row r="1300" spans="1:4" ht="15" thickBot="1" x14ac:dyDescent="0.35">
      <c r="A1300" s="661" t="s">
        <v>3240</v>
      </c>
      <c r="B1300" s="661" t="s">
        <v>3462</v>
      </c>
      <c r="C1300" t="s">
        <v>2567</v>
      </c>
      <c r="D1300" t="s">
        <v>85</v>
      </c>
    </row>
    <row r="1301" spans="1:4" ht="15" thickBot="1" x14ac:dyDescent="0.35">
      <c r="A1301" s="660" t="s">
        <v>3240</v>
      </c>
      <c r="B1301" s="660" t="s">
        <v>3462</v>
      </c>
      <c r="C1301" t="s">
        <v>2568</v>
      </c>
      <c r="D1301" t="s">
        <v>85</v>
      </c>
    </row>
    <row r="1302" spans="1:4" ht="15" thickBot="1" x14ac:dyDescent="0.35">
      <c r="A1302" s="661" t="s">
        <v>335</v>
      </c>
      <c r="B1302" s="661" t="s">
        <v>3462</v>
      </c>
      <c r="C1302" t="s">
        <v>2569</v>
      </c>
      <c r="D1302" t="s">
        <v>85</v>
      </c>
    </row>
    <row r="1303" spans="1:4" ht="15" thickBot="1" x14ac:dyDescent="0.35">
      <c r="A1303" s="660" t="s">
        <v>3241</v>
      </c>
      <c r="B1303" s="660" t="s">
        <v>3462</v>
      </c>
      <c r="C1303" t="s">
        <v>2570</v>
      </c>
      <c r="D1303" t="s">
        <v>85</v>
      </c>
    </row>
    <row r="1304" spans="1:4" ht="15" thickBot="1" x14ac:dyDescent="0.35">
      <c r="A1304" s="661" t="s">
        <v>3242</v>
      </c>
      <c r="B1304" s="661" t="s">
        <v>3462</v>
      </c>
      <c r="C1304" t="s">
        <v>2571</v>
      </c>
      <c r="D1304" t="s">
        <v>85</v>
      </c>
    </row>
    <row r="1305" spans="1:4" ht="15" thickBot="1" x14ac:dyDescent="0.35">
      <c r="A1305" s="660" t="s">
        <v>3243</v>
      </c>
      <c r="B1305" s="660" t="s">
        <v>3462</v>
      </c>
      <c r="C1305" t="s">
        <v>2572</v>
      </c>
      <c r="D1305" t="s">
        <v>85</v>
      </c>
    </row>
    <row r="1306" spans="1:4" ht="15" thickBot="1" x14ac:dyDescent="0.35">
      <c r="A1306" s="661" t="s">
        <v>3244</v>
      </c>
      <c r="B1306" s="661" t="s">
        <v>3462</v>
      </c>
      <c r="C1306" t="s">
        <v>2573</v>
      </c>
      <c r="D1306" t="s">
        <v>85</v>
      </c>
    </row>
    <row r="1307" spans="1:4" ht="15" thickBot="1" x14ac:dyDescent="0.35">
      <c r="A1307" s="660" t="s">
        <v>3245</v>
      </c>
      <c r="B1307" s="660" t="s">
        <v>3462</v>
      </c>
      <c r="C1307" t="s">
        <v>2574</v>
      </c>
      <c r="D1307" t="s">
        <v>85</v>
      </c>
    </row>
    <row r="1308" spans="1:4" ht="15" thickBot="1" x14ac:dyDescent="0.35">
      <c r="A1308" s="661" t="s">
        <v>3130</v>
      </c>
      <c r="B1308" s="661" t="s">
        <v>3462</v>
      </c>
      <c r="C1308" t="s">
        <v>2575</v>
      </c>
      <c r="D1308" t="s">
        <v>85</v>
      </c>
    </row>
    <row r="1309" spans="1:4" ht="15" thickBot="1" x14ac:dyDescent="0.35">
      <c r="A1309" s="660" t="s">
        <v>3246</v>
      </c>
      <c r="B1309" s="660" t="s">
        <v>3462</v>
      </c>
      <c r="C1309" t="s">
        <v>2576</v>
      </c>
      <c r="D1309" t="s">
        <v>85</v>
      </c>
    </row>
    <row r="1310" spans="1:4" ht="15" thickBot="1" x14ac:dyDescent="0.35">
      <c r="A1310" s="661" t="s">
        <v>420</v>
      </c>
      <c r="B1310" s="661" t="s">
        <v>3462</v>
      </c>
      <c r="C1310" t="s">
        <v>2577</v>
      </c>
      <c r="D1310" t="s">
        <v>85</v>
      </c>
    </row>
    <row r="1311" spans="1:4" ht="15" thickBot="1" x14ac:dyDescent="0.35">
      <c r="A1311" s="660" t="s">
        <v>422</v>
      </c>
      <c r="B1311" s="660" t="s">
        <v>3462</v>
      </c>
      <c r="C1311" t="s">
        <v>2578</v>
      </c>
      <c r="D1311" t="s">
        <v>85</v>
      </c>
    </row>
    <row r="1312" spans="1:4" ht="15" thickBot="1" x14ac:dyDescent="0.35">
      <c r="A1312" s="659" t="s">
        <v>1013</v>
      </c>
      <c r="B1312" s="659" t="s">
        <v>3462</v>
      </c>
      <c r="C1312" t="s">
        <v>2579</v>
      </c>
      <c r="D1312" t="s">
        <v>85</v>
      </c>
    </row>
    <row r="1313" spans="1:4" ht="15" thickBot="1" x14ac:dyDescent="0.35">
      <c r="A1313" s="659" t="s">
        <v>3247</v>
      </c>
      <c r="B1313" s="659" t="s">
        <v>3462</v>
      </c>
      <c r="C1313" t="s">
        <v>2580</v>
      </c>
      <c r="D1313" t="s">
        <v>85</v>
      </c>
    </row>
    <row r="1314" spans="1:4" ht="15" thickBot="1" x14ac:dyDescent="0.35">
      <c r="A1314" s="659" t="s">
        <v>1017</v>
      </c>
      <c r="B1314" s="659" t="s">
        <v>3462</v>
      </c>
      <c r="C1314" t="s">
        <v>2581</v>
      </c>
      <c r="D1314" t="s">
        <v>85</v>
      </c>
    </row>
    <row r="1315" spans="1:4" ht="15" thickBot="1" x14ac:dyDescent="0.35">
      <c r="A1315" s="659" t="s">
        <v>91</v>
      </c>
      <c r="B1315" s="659" t="s">
        <v>3463</v>
      </c>
      <c r="C1315" t="s">
        <v>2582</v>
      </c>
      <c r="D1315" t="s">
        <v>85</v>
      </c>
    </row>
    <row r="1316" spans="1:4" ht="15" thickBot="1" x14ac:dyDescent="0.35">
      <c r="A1316" s="659" t="s">
        <v>3134</v>
      </c>
      <c r="B1316" s="659" t="s">
        <v>3463</v>
      </c>
      <c r="C1316" t="s">
        <v>2583</v>
      </c>
      <c r="D1316" t="s">
        <v>85</v>
      </c>
    </row>
    <row r="1317" spans="1:4" ht="15" thickBot="1" x14ac:dyDescent="0.35">
      <c r="A1317" s="659" t="s">
        <v>155</v>
      </c>
      <c r="B1317" s="659" t="s">
        <v>3463</v>
      </c>
      <c r="C1317" t="s">
        <v>2584</v>
      </c>
      <c r="D1317" t="s">
        <v>85</v>
      </c>
    </row>
    <row r="1318" spans="1:4" ht="15" thickBot="1" x14ac:dyDescent="0.35">
      <c r="A1318" s="659" t="s">
        <v>165</v>
      </c>
      <c r="B1318" s="659" t="s">
        <v>3463</v>
      </c>
      <c r="C1318" t="s">
        <v>2585</v>
      </c>
      <c r="D1318" t="s">
        <v>85</v>
      </c>
    </row>
    <row r="1319" spans="1:4" ht="15" thickBot="1" x14ac:dyDescent="0.35">
      <c r="A1319" s="659" t="s">
        <v>3248</v>
      </c>
      <c r="B1319" s="659" t="s">
        <v>3463</v>
      </c>
      <c r="C1319" t="s">
        <v>2586</v>
      </c>
      <c r="D1319" t="s">
        <v>85</v>
      </c>
    </row>
    <row r="1320" spans="1:4" ht="15" thickBot="1" x14ac:dyDescent="0.35">
      <c r="A1320" s="659" t="s">
        <v>168</v>
      </c>
      <c r="B1320" s="659" t="s">
        <v>3463</v>
      </c>
      <c r="C1320" t="s">
        <v>2587</v>
      </c>
      <c r="D1320" t="s">
        <v>85</v>
      </c>
    </row>
    <row r="1321" spans="1:4" ht="15" thickBot="1" x14ac:dyDescent="0.35">
      <c r="A1321" s="659" t="s">
        <v>3249</v>
      </c>
      <c r="B1321" s="659" t="s">
        <v>3463</v>
      </c>
      <c r="C1321" t="s">
        <v>2588</v>
      </c>
      <c r="D1321" t="s">
        <v>85</v>
      </c>
    </row>
    <row r="1322" spans="1:4" ht="15" thickBot="1" x14ac:dyDescent="0.35">
      <c r="A1322" s="659" t="s">
        <v>170</v>
      </c>
      <c r="B1322" s="659" t="s">
        <v>3463</v>
      </c>
      <c r="C1322" t="s">
        <v>2589</v>
      </c>
      <c r="D1322" t="s">
        <v>85</v>
      </c>
    </row>
    <row r="1323" spans="1:4" ht="15" thickBot="1" x14ac:dyDescent="0.35">
      <c r="A1323" s="659" t="s">
        <v>187</v>
      </c>
      <c r="B1323" s="659" t="s">
        <v>3463</v>
      </c>
      <c r="C1323" t="s">
        <v>2590</v>
      </c>
      <c r="D1323" t="s">
        <v>85</v>
      </c>
    </row>
    <row r="1324" spans="1:4" ht="15" thickBot="1" x14ac:dyDescent="0.35">
      <c r="A1324" s="659" t="s">
        <v>3149</v>
      </c>
      <c r="B1324" s="659" t="s">
        <v>3463</v>
      </c>
      <c r="C1324" t="s">
        <v>2591</v>
      </c>
      <c r="D1324" t="s">
        <v>85</v>
      </c>
    </row>
    <row r="1325" spans="1:4" ht="15" thickBot="1" x14ac:dyDescent="0.35">
      <c r="A1325" s="659" t="s">
        <v>3250</v>
      </c>
      <c r="B1325" s="659" t="s">
        <v>3463</v>
      </c>
      <c r="C1325" t="s">
        <v>2592</v>
      </c>
      <c r="D1325" t="s">
        <v>85</v>
      </c>
    </row>
    <row r="1326" spans="1:4" ht="15" thickBot="1" x14ac:dyDescent="0.35">
      <c r="A1326" s="659" t="s">
        <v>3251</v>
      </c>
      <c r="B1326" s="659" t="s">
        <v>3463</v>
      </c>
      <c r="C1326" t="s">
        <v>2593</v>
      </c>
      <c r="D1326" t="s">
        <v>85</v>
      </c>
    </row>
    <row r="1327" spans="1:4" ht="15" thickBot="1" x14ac:dyDescent="0.35">
      <c r="A1327" s="659" t="s">
        <v>204</v>
      </c>
      <c r="B1327" s="659" t="s">
        <v>3463</v>
      </c>
      <c r="C1327" t="s">
        <v>2594</v>
      </c>
      <c r="D1327" t="s">
        <v>85</v>
      </c>
    </row>
    <row r="1328" spans="1:4" ht="15" thickBot="1" x14ac:dyDescent="0.35">
      <c r="A1328" s="659" t="s">
        <v>3252</v>
      </c>
      <c r="B1328" s="659" t="s">
        <v>3463</v>
      </c>
      <c r="C1328" t="s">
        <v>2595</v>
      </c>
      <c r="D1328" t="s">
        <v>85</v>
      </c>
    </row>
    <row r="1329" spans="1:4" ht="15" thickBot="1" x14ac:dyDescent="0.35">
      <c r="A1329" s="659" t="s">
        <v>214</v>
      </c>
      <c r="B1329" s="659" t="s">
        <v>3463</v>
      </c>
      <c r="C1329" t="s">
        <v>2596</v>
      </c>
      <c r="D1329" t="s">
        <v>85</v>
      </c>
    </row>
    <row r="1330" spans="1:4" ht="15" thickBot="1" x14ac:dyDescent="0.35">
      <c r="A1330" s="659" t="s">
        <v>216</v>
      </c>
      <c r="B1330" s="659" t="s">
        <v>3463</v>
      </c>
      <c r="C1330" t="s">
        <v>2597</v>
      </c>
      <c r="D1330" t="s">
        <v>85</v>
      </c>
    </row>
    <row r="1331" spans="1:4" ht="15" thickBot="1" x14ac:dyDescent="0.35">
      <c r="A1331" s="659" t="s">
        <v>217</v>
      </c>
      <c r="B1331" s="659" t="s">
        <v>3463</v>
      </c>
      <c r="C1331" t="s">
        <v>2598</v>
      </c>
      <c r="D1331" t="s">
        <v>85</v>
      </c>
    </row>
    <row r="1332" spans="1:4" ht="15" thickBot="1" x14ac:dyDescent="0.35">
      <c r="A1332" s="659" t="s">
        <v>3253</v>
      </c>
      <c r="B1332" s="659" t="s">
        <v>3463</v>
      </c>
      <c r="C1332" t="s">
        <v>2599</v>
      </c>
      <c r="D1332" t="s">
        <v>85</v>
      </c>
    </row>
    <row r="1333" spans="1:4" ht="15" thickBot="1" x14ac:dyDescent="0.35">
      <c r="A1333" s="659" t="s">
        <v>228</v>
      </c>
      <c r="B1333" s="659" t="s">
        <v>3463</v>
      </c>
      <c r="C1333" t="s">
        <v>2600</v>
      </c>
      <c r="D1333" t="s">
        <v>85</v>
      </c>
    </row>
    <row r="1334" spans="1:4" ht="15" thickBot="1" x14ac:dyDescent="0.35">
      <c r="A1334" s="659" t="s">
        <v>3254</v>
      </c>
      <c r="B1334" s="659" t="s">
        <v>3463</v>
      </c>
      <c r="C1334" t="s">
        <v>2601</v>
      </c>
      <c r="D1334" t="s">
        <v>85</v>
      </c>
    </row>
    <row r="1335" spans="1:4" ht="15" thickBot="1" x14ac:dyDescent="0.35">
      <c r="A1335" s="659" t="s">
        <v>3254</v>
      </c>
      <c r="B1335" s="659" t="s">
        <v>3463</v>
      </c>
      <c r="C1335" t="s">
        <v>2602</v>
      </c>
      <c r="D1335" t="s">
        <v>85</v>
      </c>
    </row>
    <row r="1336" spans="1:4" ht="15" thickBot="1" x14ac:dyDescent="0.35">
      <c r="A1336" s="659" t="s">
        <v>3255</v>
      </c>
      <c r="B1336" s="659" t="s">
        <v>3463</v>
      </c>
      <c r="C1336" t="s">
        <v>2603</v>
      </c>
      <c r="D1336" t="s">
        <v>85</v>
      </c>
    </row>
    <row r="1337" spans="1:4" ht="15" thickBot="1" x14ac:dyDescent="0.35">
      <c r="A1337" s="659" t="s">
        <v>244</v>
      </c>
      <c r="B1337" s="659" t="s">
        <v>3463</v>
      </c>
      <c r="C1337" t="s">
        <v>2604</v>
      </c>
      <c r="D1337" t="s">
        <v>85</v>
      </c>
    </row>
    <row r="1338" spans="1:4" ht="15" thickBot="1" x14ac:dyDescent="0.35">
      <c r="A1338" s="659" t="s">
        <v>3256</v>
      </c>
      <c r="B1338" s="659" t="s">
        <v>3463</v>
      </c>
      <c r="C1338" t="s">
        <v>2605</v>
      </c>
      <c r="D1338" t="s">
        <v>85</v>
      </c>
    </row>
    <row r="1339" spans="1:4" ht="15" thickBot="1" x14ac:dyDescent="0.35">
      <c r="A1339" s="659" t="s">
        <v>262</v>
      </c>
      <c r="B1339" s="659" t="s">
        <v>3463</v>
      </c>
      <c r="C1339" t="s">
        <v>2606</v>
      </c>
      <c r="D1339" t="s">
        <v>85</v>
      </c>
    </row>
    <row r="1340" spans="1:4" ht="15" thickBot="1" x14ac:dyDescent="0.35">
      <c r="A1340" s="659" t="s">
        <v>3257</v>
      </c>
      <c r="B1340" s="659" t="s">
        <v>3463</v>
      </c>
      <c r="C1340" t="s">
        <v>2607</v>
      </c>
      <c r="D1340" t="s">
        <v>85</v>
      </c>
    </row>
    <row r="1341" spans="1:4" ht="15" thickBot="1" x14ac:dyDescent="0.35">
      <c r="A1341" s="659" t="s">
        <v>263</v>
      </c>
      <c r="B1341" s="659" t="s">
        <v>3463</v>
      </c>
      <c r="C1341" t="s">
        <v>2608</v>
      </c>
      <c r="D1341" t="s">
        <v>85</v>
      </c>
    </row>
    <row r="1342" spans="1:4" ht="15" thickBot="1" x14ac:dyDescent="0.35">
      <c r="A1342" s="659" t="s">
        <v>3258</v>
      </c>
      <c r="B1342" s="659" t="s">
        <v>3463</v>
      </c>
      <c r="C1342" t="s">
        <v>2609</v>
      </c>
      <c r="D1342" t="s">
        <v>85</v>
      </c>
    </row>
    <row r="1343" spans="1:4" ht="15" thickBot="1" x14ac:dyDescent="0.35">
      <c r="A1343" s="659" t="s">
        <v>3259</v>
      </c>
      <c r="B1343" s="659" t="s">
        <v>3463</v>
      </c>
      <c r="C1343" t="s">
        <v>2610</v>
      </c>
      <c r="D1343" t="s">
        <v>85</v>
      </c>
    </row>
    <row r="1344" spans="1:4" ht="15" thickBot="1" x14ac:dyDescent="0.35">
      <c r="A1344" s="659" t="s">
        <v>3260</v>
      </c>
      <c r="B1344" s="659" t="s">
        <v>3463</v>
      </c>
      <c r="C1344" t="s">
        <v>2611</v>
      </c>
      <c r="D1344" t="s">
        <v>85</v>
      </c>
    </row>
    <row r="1345" spans="1:4" ht="15" thickBot="1" x14ac:dyDescent="0.35">
      <c r="A1345" s="659" t="s">
        <v>3261</v>
      </c>
      <c r="B1345" s="659" t="s">
        <v>3463</v>
      </c>
      <c r="C1345" t="s">
        <v>2612</v>
      </c>
      <c r="D1345" t="s">
        <v>85</v>
      </c>
    </row>
    <row r="1346" spans="1:4" ht="15" thickBot="1" x14ac:dyDescent="0.35">
      <c r="A1346" s="659" t="s">
        <v>3261</v>
      </c>
      <c r="B1346" s="659" t="s">
        <v>3463</v>
      </c>
      <c r="C1346" t="s">
        <v>2613</v>
      </c>
      <c r="D1346" t="s">
        <v>85</v>
      </c>
    </row>
    <row r="1347" spans="1:4" ht="15" thickBot="1" x14ac:dyDescent="0.35">
      <c r="A1347" s="659" t="s">
        <v>3217</v>
      </c>
      <c r="B1347" s="659" t="s">
        <v>3463</v>
      </c>
      <c r="C1347" t="s">
        <v>2614</v>
      </c>
      <c r="D1347" t="s">
        <v>85</v>
      </c>
    </row>
    <row r="1348" spans="1:4" ht="15" thickBot="1" x14ac:dyDescent="0.35">
      <c r="A1348" s="659" t="s">
        <v>299</v>
      </c>
      <c r="B1348" s="659" t="s">
        <v>3463</v>
      </c>
      <c r="C1348" t="s">
        <v>2615</v>
      </c>
      <c r="D1348" t="s">
        <v>85</v>
      </c>
    </row>
    <row r="1349" spans="1:4" ht="15" thickBot="1" x14ac:dyDescent="0.35">
      <c r="A1349" s="659" t="s">
        <v>3262</v>
      </c>
      <c r="B1349" s="659" t="s">
        <v>3463</v>
      </c>
      <c r="C1349" t="s">
        <v>2616</v>
      </c>
      <c r="D1349" t="s">
        <v>85</v>
      </c>
    </row>
    <row r="1350" spans="1:4" ht="15" thickBot="1" x14ac:dyDescent="0.35">
      <c r="A1350" s="659" t="s">
        <v>309</v>
      </c>
      <c r="B1350" s="659" t="s">
        <v>3463</v>
      </c>
      <c r="C1350" t="s">
        <v>2617</v>
      </c>
      <c r="D1350" t="s">
        <v>85</v>
      </c>
    </row>
    <row r="1351" spans="1:4" ht="15" thickBot="1" x14ac:dyDescent="0.35">
      <c r="A1351" s="659" t="s">
        <v>3263</v>
      </c>
      <c r="B1351" s="659" t="s">
        <v>3463</v>
      </c>
      <c r="C1351" t="s">
        <v>2618</v>
      </c>
      <c r="D1351" t="s">
        <v>85</v>
      </c>
    </row>
    <row r="1352" spans="1:4" ht="15" thickBot="1" x14ac:dyDescent="0.35">
      <c r="A1352" s="659" t="s">
        <v>3264</v>
      </c>
      <c r="B1352" s="659" t="s">
        <v>3463</v>
      </c>
      <c r="C1352" t="s">
        <v>2619</v>
      </c>
      <c r="D1352" t="s">
        <v>85</v>
      </c>
    </row>
    <row r="1353" spans="1:4" ht="15" thickBot="1" x14ac:dyDescent="0.35">
      <c r="A1353" s="659" t="s">
        <v>3265</v>
      </c>
      <c r="B1353" s="659" t="s">
        <v>3463</v>
      </c>
      <c r="C1353" t="s">
        <v>2620</v>
      </c>
      <c r="D1353" t="s">
        <v>85</v>
      </c>
    </row>
    <row r="1354" spans="1:4" ht="15" thickBot="1" x14ac:dyDescent="0.35">
      <c r="A1354" s="659" t="s">
        <v>3266</v>
      </c>
      <c r="B1354" s="659" t="s">
        <v>3463</v>
      </c>
      <c r="C1354" t="s">
        <v>2621</v>
      </c>
      <c r="D1354" t="s">
        <v>85</v>
      </c>
    </row>
    <row r="1355" spans="1:4" ht="15" thickBot="1" x14ac:dyDescent="0.35">
      <c r="A1355" s="659" t="s">
        <v>3267</v>
      </c>
      <c r="B1355" s="659" t="s">
        <v>3463</v>
      </c>
      <c r="C1355" t="s">
        <v>2622</v>
      </c>
      <c r="D1355" t="s">
        <v>85</v>
      </c>
    </row>
    <row r="1356" spans="1:4" ht="15" thickBot="1" x14ac:dyDescent="0.35">
      <c r="A1356" s="659" t="s">
        <v>3268</v>
      </c>
      <c r="B1356" s="659" t="s">
        <v>3463</v>
      </c>
      <c r="C1356" t="s">
        <v>2623</v>
      </c>
      <c r="D1356" t="s">
        <v>85</v>
      </c>
    </row>
    <row r="1357" spans="1:4" ht="15" thickBot="1" x14ac:dyDescent="0.35">
      <c r="A1357" s="659" t="s">
        <v>3269</v>
      </c>
      <c r="B1357" s="659" t="s">
        <v>3463</v>
      </c>
      <c r="C1357" t="s">
        <v>2624</v>
      </c>
      <c r="D1357" t="s">
        <v>85</v>
      </c>
    </row>
    <row r="1358" spans="1:4" ht="15" thickBot="1" x14ac:dyDescent="0.35">
      <c r="A1358" s="659" t="s">
        <v>332</v>
      </c>
      <c r="B1358" s="659" t="s">
        <v>3463</v>
      </c>
      <c r="C1358" t="s">
        <v>2625</v>
      </c>
      <c r="D1358" t="s">
        <v>85</v>
      </c>
    </row>
    <row r="1359" spans="1:4" ht="15" thickBot="1" x14ac:dyDescent="0.35">
      <c r="A1359" s="659" t="s">
        <v>3270</v>
      </c>
      <c r="B1359" s="659" t="s">
        <v>3463</v>
      </c>
      <c r="C1359" t="s">
        <v>2626</v>
      </c>
      <c r="D1359" t="s">
        <v>85</v>
      </c>
    </row>
    <row r="1360" spans="1:4" ht="15" thickBot="1" x14ac:dyDescent="0.35">
      <c r="A1360" s="659" t="s">
        <v>3242</v>
      </c>
      <c r="B1360" s="659" t="s">
        <v>3463</v>
      </c>
      <c r="C1360" t="s">
        <v>2627</v>
      </c>
      <c r="D1360" t="s">
        <v>85</v>
      </c>
    </row>
    <row r="1361" spans="1:4" ht="15" thickBot="1" x14ac:dyDescent="0.35">
      <c r="A1361" s="659" t="s">
        <v>3188</v>
      </c>
      <c r="B1361" s="659" t="s">
        <v>3463</v>
      </c>
      <c r="C1361" t="s">
        <v>2628</v>
      </c>
      <c r="D1361" t="s">
        <v>85</v>
      </c>
    </row>
    <row r="1362" spans="1:4" ht="15" thickBot="1" x14ac:dyDescent="0.35">
      <c r="A1362" s="659" t="s">
        <v>3271</v>
      </c>
      <c r="B1362" s="659" t="s">
        <v>3463</v>
      </c>
      <c r="C1362" t="s">
        <v>2629</v>
      </c>
      <c r="D1362" t="s">
        <v>85</v>
      </c>
    </row>
    <row r="1363" spans="1:4" ht="15" thickBot="1" x14ac:dyDescent="0.35">
      <c r="A1363" s="659" t="s">
        <v>3272</v>
      </c>
      <c r="B1363" s="659" t="s">
        <v>3463</v>
      </c>
      <c r="C1363" t="s">
        <v>2630</v>
      </c>
      <c r="D1363" t="s">
        <v>85</v>
      </c>
    </row>
    <row r="1364" spans="1:4" ht="15" thickBot="1" x14ac:dyDescent="0.35">
      <c r="A1364" s="659" t="s">
        <v>3273</v>
      </c>
      <c r="B1364" s="659" t="s">
        <v>3463</v>
      </c>
      <c r="C1364" t="s">
        <v>2631</v>
      </c>
      <c r="D1364" t="s">
        <v>85</v>
      </c>
    </row>
    <row r="1365" spans="1:4" ht="15" thickBot="1" x14ac:dyDescent="0.35">
      <c r="A1365" s="659" t="s">
        <v>3274</v>
      </c>
      <c r="B1365" s="659" t="s">
        <v>3463</v>
      </c>
      <c r="C1365" t="s">
        <v>2632</v>
      </c>
      <c r="D1365" t="s">
        <v>85</v>
      </c>
    </row>
    <row r="1366" spans="1:4" ht="15" thickBot="1" x14ac:dyDescent="0.35">
      <c r="A1366" s="659" t="s">
        <v>3275</v>
      </c>
      <c r="B1366" s="659" t="s">
        <v>3463</v>
      </c>
      <c r="C1366" t="s">
        <v>2633</v>
      </c>
      <c r="D1366" t="s">
        <v>85</v>
      </c>
    </row>
    <row r="1367" spans="1:4" ht="15" thickBot="1" x14ac:dyDescent="0.35">
      <c r="A1367" s="659" t="s">
        <v>3276</v>
      </c>
      <c r="B1367" s="659" t="s">
        <v>3463</v>
      </c>
      <c r="C1367" t="s">
        <v>2634</v>
      </c>
      <c r="D1367" t="s">
        <v>85</v>
      </c>
    </row>
    <row r="1368" spans="1:4" ht="15" thickBot="1" x14ac:dyDescent="0.35">
      <c r="A1368" s="659" t="s">
        <v>3277</v>
      </c>
      <c r="B1368" s="659" t="s">
        <v>3463</v>
      </c>
      <c r="C1368" t="s">
        <v>2635</v>
      </c>
      <c r="D1368" t="s">
        <v>85</v>
      </c>
    </row>
    <row r="1369" spans="1:4" ht="15" thickBot="1" x14ac:dyDescent="0.35">
      <c r="A1369" s="659" t="s">
        <v>3278</v>
      </c>
      <c r="B1369" s="659" t="s">
        <v>3463</v>
      </c>
      <c r="C1369" t="s">
        <v>2636</v>
      </c>
      <c r="D1369" t="s">
        <v>85</v>
      </c>
    </row>
    <row r="1370" spans="1:4" ht="15" thickBot="1" x14ac:dyDescent="0.35">
      <c r="A1370" s="659" t="s">
        <v>3279</v>
      </c>
      <c r="B1370" s="659" t="s">
        <v>3463</v>
      </c>
      <c r="C1370" t="s">
        <v>2637</v>
      </c>
      <c r="D1370" t="s">
        <v>85</v>
      </c>
    </row>
    <row r="1371" spans="1:4" ht="15" thickBot="1" x14ac:dyDescent="0.35">
      <c r="A1371" s="659" t="s">
        <v>3280</v>
      </c>
      <c r="B1371" s="659" t="s">
        <v>3463</v>
      </c>
      <c r="C1371" t="s">
        <v>3014</v>
      </c>
      <c r="D1371" t="s">
        <v>85</v>
      </c>
    </row>
    <row r="1372" spans="1:4" ht="15" thickBot="1" x14ac:dyDescent="0.35">
      <c r="A1372" s="659" t="s">
        <v>3281</v>
      </c>
      <c r="B1372" s="659" t="s">
        <v>3463</v>
      </c>
      <c r="C1372" t="s">
        <v>3015</v>
      </c>
      <c r="D1372" t="s">
        <v>85</v>
      </c>
    </row>
    <row r="1373" spans="1:4" ht="15" thickBot="1" x14ac:dyDescent="0.35">
      <c r="A1373" s="659" t="s">
        <v>3281</v>
      </c>
      <c r="B1373" s="659" t="s">
        <v>3463</v>
      </c>
      <c r="C1373" t="s">
        <v>3016</v>
      </c>
      <c r="D1373" t="s">
        <v>85</v>
      </c>
    </row>
    <row r="1374" spans="1:4" ht="15" thickBot="1" x14ac:dyDescent="0.35">
      <c r="A1374" s="659" t="s">
        <v>3282</v>
      </c>
      <c r="B1374" s="659" t="s">
        <v>3463</v>
      </c>
      <c r="C1374" t="s">
        <v>3017</v>
      </c>
      <c r="D1374" t="s">
        <v>85</v>
      </c>
    </row>
    <row r="1375" spans="1:4" ht="15" thickBot="1" x14ac:dyDescent="0.35">
      <c r="A1375" s="659" t="s">
        <v>3283</v>
      </c>
      <c r="B1375" s="659" t="s">
        <v>3463</v>
      </c>
      <c r="C1375" t="s">
        <v>3018</v>
      </c>
      <c r="D1375" t="s">
        <v>85</v>
      </c>
    </row>
    <row r="1376" spans="1:4" ht="15" thickBot="1" x14ac:dyDescent="0.35">
      <c r="A1376" s="659" t="s">
        <v>149</v>
      </c>
      <c r="B1376" s="659" t="s">
        <v>3463</v>
      </c>
      <c r="C1376" t="s">
        <v>3019</v>
      </c>
      <c r="D1376" t="s">
        <v>85</v>
      </c>
    </row>
    <row r="1377" spans="1:4" ht="15" thickBot="1" x14ac:dyDescent="0.35">
      <c r="A1377" s="659" t="s">
        <v>3284</v>
      </c>
      <c r="B1377" s="659" t="s">
        <v>3463</v>
      </c>
      <c r="C1377" t="s">
        <v>3020</v>
      </c>
      <c r="D1377" t="s">
        <v>85</v>
      </c>
    </row>
    <row r="1378" spans="1:4" ht="15" thickBot="1" x14ac:dyDescent="0.35">
      <c r="A1378" s="659" t="s">
        <v>3284</v>
      </c>
      <c r="B1378" s="659" t="s">
        <v>3463</v>
      </c>
      <c r="C1378" t="s">
        <v>3021</v>
      </c>
      <c r="D1378" t="s">
        <v>85</v>
      </c>
    </row>
    <row r="1379" spans="1:4" ht="15" thickBot="1" x14ac:dyDescent="0.35">
      <c r="A1379" s="659" t="s">
        <v>3285</v>
      </c>
      <c r="B1379" s="659" t="s">
        <v>3463</v>
      </c>
      <c r="C1379" t="s">
        <v>3022</v>
      </c>
      <c r="D1379" t="s">
        <v>85</v>
      </c>
    </row>
    <row r="1380" spans="1:4" ht="15" thickBot="1" x14ac:dyDescent="0.35">
      <c r="A1380" s="659" t="s">
        <v>3286</v>
      </c>
      <c r="B1380" s="659" t="s">
        <v>3463</v>
      </c>
      <c r="C1380" t="s">
        <v>3023</v>
      </c>
      <c r="D1380" t="s">
        <v>85</v>
      </c>
    </row>
    <row r="1381" spans="1:4" ht="15" thickBot="1" x14ac:dyDescent="0.35">
      <c r="A1381" s="659" t="s">
        <v>3099</v>
      </c>
      <c r="B1381" s="659" t="s">
        <v>3463</v>
      </c>
      <c r="C1381" t="s">
        <v>3024</v>
      </c>
      <c r="D1381" t="s">
        <v>85</v>
      </c>
    </row>
    <row r="1382" spans="1:4" ht="15" thickBot="1" x14ac:dyDescent="0.35">
      <c r="A1382" s="659" t="s">
        <v>3287</v>
      </c>
      <c r="B1382" s="659" t="s">
        <v>3463</v>
      </c>
      <c r="C1382" t="s">
        <v>3025</v>
      </c>
      <c r="D1382" t="s">
        <v>85</v>
      </c>
    </row>
    <row r="1383" spans="1:4" ht="15" thickBot="1" x14ac:dyDescent="0.35">
      <c r="A1383" s="659" t="s">
        <v>3288</v>
      </c>
      <c r="B1383" s="659" t="s">
        <v>3463</v>
      </c>
      <c r="C1383" t="s">
        <v>3026</v>
      </c>
      <c r="D1383" t="s">
        <v>85</v>
      </c>
    </row>
    <row r="1384" spans="1:4" ht="15" thickBot="1" x14ac:dyDescent="0.35">
      <c r="A1384" s="659" t="s">
        <v>3289</v>
      </c>
      <c r="B1384" s="659" t="s">
        <v>3463</v>
      </c>
      <c r="C1384" t="s">
        <v>3027</v>
      </c>
      <c r="D1384" t="s">
        <v>85</v>
      </c>
    </row>
    <row r="1385" spans="1:4" ht="15" thickBot="1" x14ac:dyDescent="0.35">
      <c r="A1385" s="659" t="s">
        <v>3153</v>
      </c>
      <c r="B1385" s="659" t="s">
        <v>3463</v>
      </c>
      <c r="C1385" t="s">
        <v>3028</v>
      </c>
      <c r="D1385" t="s">
        <v>85</v>
      </c>
    </row>
    <row r="1386" spans="1:4" ht="15" thickBot="1" x14ac:dyDescent="0.35">
      <c r="A1386" s="659" t="s">
        <v>3290</v>
      </c>
      <c r="B1386" s="659" t="s">
        <v>3463</v>
      </c>
      <c r="C1386" t="s">
        <v>3029</v>
      </c>
      <c r="D1386" t="s">
        <v>85</v>
      </c>
    </row>
    <row r="1387" spans="1:4" ht="15" thickBot="1" x14ac:dyDescent="0.35">
      <c r="A1387" s="659" t="s">
        <v>3291</v>
      </c>
      <c r="B1387" s="659" t="s">
        <v>3463</v>
      </c>
      <c r="C1387" t="s">
        <v>3030</v>
      </c>
      <c r="D1387" t="s">
        <v>85</v>
      </c>
    </row>
    <row r="1388" spans="1:4" ht="15" thickBot="1" x14ac:dyDescent="0.35">
      <c r="A1388" s="659" t="s">
        <v>212</v>
      </c>
      <c r="B1388" s="659" t="s">
        <v>3463</v>
      </c>
      <c r="C1388" t="s">
        <v>3031</v>
      </c>
      <c r="D1388" t="s">
        <v>85</v>
      </c>
    </row>
    <row r="1389" spans="1:4" ht="15" thickBot="1" x14ac:dyDescent="0.35">
      <c r="A1389" s="659" t="s">
        <v>3292</v>
      </c>
      <c r="B1389" s="659" t="s">
        <v>3463</v>
      </c>
      <c r="C1389" t="s">
        <v>3032</v>
      </c>
      <c r="D1389" t="s">
        <v>85</v>
      </c>
    </row>
    <row r="1390" spans="1:4" ht="15" thickBot="1" x14ac:dyDescent="0.35">
      <c r="A1390" s="659" t="s">
        <v>3293</v>
      </c>
      <c r="B1390" s="659" t="s">
        <v>3463</v>
      </c>
      <c r="C1390" t="s">
        <v>3033</v>
      </c>
      <c r="D1390" t="s">
        <v>85</v>
      </c>
    </row>
    <row r="1391" spans="1:4" ht="15" thickBot="1" x14ac:dyDescent="0.35">
      <c r="A1391" s="659" t="s">
        <v>3294</v>
      </c>
      <c r="B1391" s="659" t="s">
        <v>3463</v>
      </c>
      <c r="C1391" t="s">
        <v>3034</v>
      </c>
      <c r="D1391" t="s">
        <v>85</v>
      </c>
    </row>
    <row r="1392" spans="1:4" ht="15" thickBot="1" x14ac:dyDescent="0.35">
      <c r="A1392" s="659" t="s">
        <v>3294</v>
      </c>
      <c r="B1392" s="659" t="s">
        <v>3463</v>
      </c>
      <c r="C1392" t="s">
        <v>3035</v>
      </c>
      <c r="D1392" t="s">
        <v>85</v>
      </c>
    </row>
    <row r="1393" spans="1:4" ht="15" thickBot="1" x14ac:dyDescent="0.35">
      <c r="A1393" s="659" t="s">
        <v>3295</v>
      </c>
      <c r="B1393" s="659" t="s">
        <v>3463</v>
      </c>
      <c r="C1393" t="s">
        <v>3036</v>
      </c>
      <c r="D1393" t="s">
        <v>85</v>
      </c>
    </row>
    <row r="1394" spans="1:4" ht="15" thickBot="1" x14ac:dyDescent="0.35">
      <c r="A1394" s="659" t="s">
        <v>3156</v>
      </c>
      <c r="B1394" s="659" t="s">
        <v>3463</v>
      </c>
      <c r="C1394" t="s">
        <v>3037</v>
      </c>
      <c r="D1394" t="s">
        <v>85</v>
      </c>
    </row>
    <row r="1395" spans="1:4" ht="15" thickBot="1" x14ac:dyDescent="0.35">
      <c r="A1395" s="659" t="s">
        <v>3296</v>
      </c>
      <c r="B1395" s="659" t="s">
        <v>3463</v>
      </c>
      <c r="C1395" t="s">
        <v>3038</v>
      </c>
      <c r="D1395" t="s">
        <v>85</v>
      </c>
    </row>
    <row r="1396" spans="1:4" ht="15" thickBot="1" x14ac:dyDescent="0.35">
      <c r="A1396" s="659" t="s">
        <v>3160</v>
      </c>
      <c r="B1396" s="659" t="s">
        <v>3463</v>
      </c>
      <c r="C1396" t="s">
        <v>3039</v>
      </c>
      <c r="D1396" t="s">
        <v>85</v>
      </c>
    </row>
    <row r="1397" spans="1:4" ht="15" thickBot="1" x14ac:dyDescent="0.35">
      <c r="A1397" s="659" t="s">
        <v>3297</v>
      </c>
      <c r="B1397" s="659" t="s">
        <v>3463</v>
      </c>
      <c r="C1397" t="s">
        <v>3040</v>
      </c>
      <c r="D1397" t="s">
        <v>85</v>
      </c>
    </row>
    <row r="1398" spans="1:4" ht="15" thickBot="1" x14ac:dyDescent="0.35">
      <c r="A1398" s="659" t="s">
        <v>3298</v>
      </c>
      <c r="B1398" s="659" t="s">
        <v>3463</v>
      </c>
      <c r="C1398" t="s">
        <v>3041</v>
      </c>
      <c r="D1398" t="s">
        <v>85</v>
      </c>
    </row>
    <row r="1399" spans="1:4" ht="15" thickBot="1" x14ac:dyDescent="0.35">
      <c r="A1399" s="659" t="s">
        <v>3231</v>
      </c>
      <c r="B1399" s="659" t="s">
        <v>3463</v>
      </c>
      <c r="C1399" t="s">
        <v>3042</v>
      </c>
      <c r="D1399" t="s">
        <v>85</v>
      </c>
    </row>
    <row r="1400" spans="1:4" ht="15" thickBot="1" x14ac:dyDescent="0.35">
      <c r="B1400" s="659"/>
      <c r="C1400" t="s">
        <v>3043</v>
      </c>
      <c r="D1400" t="s">
        <v>85</v>
      </c>
    </row>
    <row r="1401" spans="1:4" ht="15" thickBot="1" x14ac:dyDescent="0.35">
      <c r="A1401" s="659" t="s">
        <v>3299</v>
      </c>
      <c r="B1401" s="659" t="s">
        <v>3300</v>
      </c>
      <c r="C1401" t="s">
        <v>3044</v>
      </c>
      <c r="D1401" t="s">
        <v>85</v>
      </c>
    </row>
    <row r="1402" spans="1:4" ht="15" thickBot="1" x14ac:dyDescent="0.35">
      <c r="A1402" s="659" t="s">
        <v>3301</v>
      </c>
      <c r="B1402" s="659" t="s">
        <v>3300</v>
      </c>
      <c r="C1402" t="s">
        <v>3045</v>
      </c>
      <c r="D1402" t="s">
        <v>85</v>
      </c>
    </row>
    <row r="1403" spans="1:4" ht="15" thickBot="1" x14ac:dyDescent="0.35">
      <c r="A1403" s="659" t="s">
        <v>3302</v>
      </c>
      <c r="B1403" s="659" t="s">
        <v>3300</v>
      </c>
      <c r="C1403" t="s">
        <v>3046</v>
      </c>
      <c r="D1403" t="s">
        <v>85</v>
      </c>
    </row>
    <row r="1404" spans="1:4" ht="15" thickBot="1" x14ac:dyDescent="0.35">
      <c r="A1404" s="659" t="s">
        <v>3302</v>
      </c>
      <c r="B1404" s="659" t="s">
        <v>3300</v>
      </c>
      <c r="C1404" t="s">
        <v>3047</v>
      </c>
      <c r="D1404" t="s">
        <v>85</v>
      </c>
    </row>
    <row r="1405" spans="1:4" ht="15" thickBot="1" x14ac:dyDescent="0.35">
      <c r="A1405" s="659" t="s">
        <v>3302</v>
      </c>
      <c r="B1405" s="659" t="s">
        <v>3300</v>
      </c>
      <c r="C1405" t="s">
        <v>3048</v>
      </c>
      <c r="D1405" t="s">
        <v>85</v>
      </c>
    </row>
    <row r="1406" spans="1:4" ht="15" thickBot="1" x14ac:dyDescent="0.35">
      <c r="A1406" s="659" t="s">
        <v>3302</v>
      </c>
      <c r="B1406" s="659" t="s">
        <v>3300</v>
      </c>
      <c r="C1406" t="s">
        <v>3049</v>
      </c>
      <c r="D1406" t="s">
        <v>85</v>
      </c>
    </row>
    <row r="1407" spans="1:4" ht="15" thickBot="1" x14ac:dyDescent="0.35">
      <c r="A1407" s="659" t="s">
        <v>3303</v>
      </c>
      <c r="B1407" s="659" t="s">
        <v>3300</v>
      </c>
      <c r="C1407" t="s">
        <v>3050</v>
      </c>
      <c r="D1407" t="s">
        <v>85</v>
      </c>
    </row>
    <row r="1408" spans="1:4" ht="15" thickBot="1" x14ac:dyDescent="0.35">
      <c r="A1408" s="659" t="s">
        <v>3303</v>
      </c>
      <c r="B1408" s="659" t="s">
        <v>3300</v>
      </c>
      <c r="C1408" t="s">
        <v>3051</v>
      </c>
      <c r="D1408" t="s">
        <v>85</v>
      </c>
    </row>
    <row r="1409" spans="1:4" ht="15" thickBot="1" x14ac:dyDescent="0.35">
      <c r="A1409" s="659" t="s">
        <v>3303</v>
      </c>
      <c r="B1409" s="659" t="s">
        <v>3300</v>
      </c>
      <c r="C1409" t="s">
        <v>3052</v>
      </c>
      <c r="D1409" t="s">
        <v>85</v>
      </c>
    </row>
    <row r="1410" spans="1:4" ht="15" thickBot="1" x14ac:dyDescent="0.35">
      <c r="A1410" s="659" t="s">
        <v>3303</v>
      </c>
      <c r="B1410" s="659" t="s">
        <v>3300</v>
      </c>
      <c r="C1410" t="s">
        <v>3053</v>
      </c>
      <c r="D1410" t="s">
        <v>85</v>
      </c>
    </row>
    <row r="1411" spans="1:4" ht="15" thickBot="1" x14ac:dyDescent="0.35">
      <c r="A1411" s="659" t="s">
        <v>3303</v>
      </c>
      <c r="B1411" s="659" t="s">
        <v>3300</v>
      </c>
      <c r="C1411" t="s">
        <v>3054</v>
      </c>
      <c r="D1411" t="s">
        <v>85</v>
      </c>
    </row>
    <row r="1412" spans="1:4" ht="15" thickBot="1" x14ac:dyDescent="0.35">
      <c r="A1412" s="659" t="s">
        <v>3304</v>
      </c>
      <c r="B1412" s="659" t="s">
        <v>3300</v>
      </c>
      <c r="C1412" t="s">
        <v>3055</v>
      </c>
      <c r="D1412" t="s">
        <v>85</v>
      </c>
    </row>
    <row r="1413" spans="1:4" ht="15" thickBot="1" x14ac:dyDescent="0.35">
      <c r="A1413" s="659" t="s">
        <v>3304</v>
      </c>
      <c r="B1413" s="659" t="s">
        <v>3300</v>
      </c>
      <c r="C1413" t="s">
        <v>3056</v>
      </c>
      <c r="D1413" t="s">
        <v>85</v>
      </c>
    </row>
    <row r="1414" spans="1:4" ht="15" thickBot="1" x14ac:dyDescent="0.35">
      <c r="A1414" s="659" t="s">
        <v>3304</v>
      </c>
      <c r="B1414" s="659" t="s">
        <v>3300</v>
      </c>
      <c r="C1414" t="s">
        <v>3057</v>
      </c>
      <c r="D1414" t="s">
        <v>85</v>
      </c>
    </row>
    <row r="1415" spans="1:4" ht="15" thickBot="1" x14ac:dyDescent="0.35">
      <c r="A1415" s="659" t="s">
        <v>3305</v>
      </c>
      <c r="B1415" s="659" t="s">
        <v>3300</v>
      </c>
      <c r="C1415" t="s">
        <v>3058</v>
      </c>
      <c r="D1415" t="s">
        <v>85</v>
      </c>
    </row>
    <row r="1416" spans="1:4" ht="15" thickBot="1" x14ac:dyDescent="0.35">
      <c r="A1416" s="659" t="s">
        <v>3306</v>
      </c>
      <c r="B1416" s="659" t="s">
        <v>3300</v>
      </c>
      <c r="C1416" t="s">
        <v>3059</v>
      </c>
      <c r="D1416" t="s">
        <v>85</v>
      </c>
    </row>
    <row r="1417" spans="1:4" ht="15" thickBot="1" x14ac:dyDescent="0.35">
      <c r="A1417" s="659" t="s">
        <v>3306</v>
      </c>
      <c r="B1417" s="659" t="s">
        <v>3300</v>
      </c>
      <c r="C1417" t="s">
        <v>3060</v>
      </c>
      <c r="D1417" t="s">
        <v>85</v>
      </c>
    </row>
    <row r="1418" spans="1:4" ht="15" thickBot="1" x14ac:dyDescent="0.35">
      <c r="A1418" s="659" t="s">
        <v>3307</v>
      </c>
      <c r="B1418" s="659" t="s">
        <v>3300</v>
      </c>
      <c r="C1418" t="s">
        <v>3061</v>
      </c>
      <c r="D1418" t="s">
        <v>85</v>
      </c>
    </row>
    <row r="1419" spans="1:4" ht="15" thickBot="1" x14ac:dyDescent="0.35">
      <c r="A1419" s="659" t="s">
        <v>3307</v>
      </c>
      <c r="B1419" s="659" t="s">
        <v>3300</v>
      </c>
      <c r="C1419" t="s">
        <v>3062</v>
      </c>
      <c r="D1419" t="s">
        <v>85</v>
      </c>
    </row>
    <row r="1420" spans="1:4" ht="15" thickBot="1" x14ac:dyDescent="0.35">
      <c r="A1420" s="659" t="s">
        <v>3308</v>
      </c>
      <c r="B1420" s="659" t="s">
        <v>3300</v>
      </c>
      <c r="C1420" t="s">
        <v>3063</v>
      </c>
      <c r="D1420" t="s">
        <v>85</v>
      </c>
    </row>
    <row r="1421" spans="1:4" ht="15" thickBot="1" x14ac:dyDescent="0.35">
      <c r="A1421" s="659" t="s">
        <v>98</v>
      </c>
      <c r="B1421" s="659" t="s">
        <v>3300</v>
      </c>
      <c r="C1421" t="s">
        <v>3064</v>
      </c>
      <c r="D1421" t="s">
        <v>85</v>
      </c>
    </row>
    <row r="1422" spans="1:4" ht="15" thickBot="1" x14ac:dyDescent="0.35">
      <c r="A1422" s="659" t="s">
        <v>3309</v>
      </c>
      <c r="B1422" s="659" t="s">
        <v>3300</v>
      </c>
      <c r="C1422" t="s">
        <v>3065</v>
      </c>
      <c r="D1422" t="s">
        <v>85</v>
      </c>
    </row>
    <row r="1423" spans="1:4" ht="15" thickBot="1" x14ac:dyDescent="0.35">
      <c r="A1423" s="659" t="s">
        <v>3310</v>
      </c>
      <c r="B1423" s="659" t="s">
        <v>3300</v>
      </c>
      <c r="C1423" t="s">
        <v>3066</v>
      </c>
      <c r="D1423" t="s">
        <v>85</v>
      </c>
    </row>
    <row r="1424" spans="1:4" ht="15" thickBot="1" x14ac:dyDescent="0.35">
      <c r="A1424" s="659" t="s">
        <v>3311</v>
      </c>
      <c r="B1424" s="659" t="s">
        <v>3300</v>
      </c>
      <c r="C1424" t="s">
        <v>3067</v>
      </c>
      <c r="D1424" t="s">
        <v>85</v>
      </c>
    </row>
    <row r="1425" spans="1:4" ht="15" thickBot="1" x14ac:dyDescent="0.35">
      <c r="A1425" s="659" t="s">
        <v>3312</v>
      </c>
      <c r="B1425" s="659" t="s">
        <v>3300</v>
      </c>
      <c r="C1425" t="s">
        <v>3068</v>
      </c>
      <c r="D1425" t="s">
        <v>85</v>
      </c>
    </row>
    <row r="1426" spans="1:4" ht="15" thickBot="1" x14ac:dyDescent="0.35">
      <c r="A1426" s="659" t="s">
        <v>3313</v>
      </c>
      <c r="B1426" s="659" t="s">
        <v>3300</v>
      </c>
      <c r="C1426" t="s">
        <v>3069</v>
      </c>
      <c r="D1426" t="s">
        <v>85</v>
      </c>
    </row>
    <row r="1427" spans="1:4" ht="15" thickBot="1" x14ac:dyDescent="0.35">
      <c r="A1427" s="659" t="s">
        <v>3313</v>
      </c>
      <c r="B1427" s="659" t="s">
        <v>3300</v>
      </c>
      <c r="C1427" t="s">
        <v>3070</v>
      </c>
      <c r="D1427" t="s">
        <v>85</v>
      </c>
    </row>
    <row r="1428" spans="1:4" ht="15" thickBot="1" x14ac:dyDescent="0.35">
      <c r="A1428" s="659" t="s">
        <v>3314</v>
      </c>
      <c r="B1428" s="659" t="s">
        <v>3300</v>
      </c>
      <c r="C1428" t="s">
        <v>3071</v>
      </c>
      <c r="D1428" t="s">
        <v>85</v>
      </c>
    </row>
    <row r="1429" spans="1:4" ht="15" thickBot="1" x14ac:dyDescent="0.35">
      <c r="A1429" s="659" t="s">
        <v>3315</v>
      </c>
      <c r="B1429" s="659" t="s">
        <v>3300</v>
      </c>
      <c r="C1429" t="s">
        <v>3072</v>
      </c>
      <c r="D1429" t="s">
        <v>85</v>
      </c>
    </row>
    <row r="1430" spans="1:4" ht="15" thickBot="1" x14ac:dyDescent="0.35">
      <c r="A1430" s="659" t="s">
        <v>3316</v>
      </c>
      <c r="B1430" s="659" t="s">
        <v>3300</v>
      </c>
      <c r="C1430" t="s">
        <v>3073</v>
      </c>
      <c r="D1430" t="s">
        <v>85</v>
      </c>
    </row>
    <row r="1431" spans="1:4" ht="15" thickBot="1" x14ac:dyDescent="0.35">
      <c r="A1431" s="659" t="s">
        <v>3317</v>
      </c>
      <c r="B1431" s="659" t="s">
        <v>3300</v>
      </c>
      <c r="C1431" t="s">
        <v>3074</v>
      </c>
      <c r="D1431" t="s">
        <v>85</v>
      </c>
    </row>
    <row r="1432" spans="1:4" ht="15" thickBot="1" x14ac:dyDescent="0.35">
      <c r="A1432" s="659" t="s">
        <v>3318</v>
      </c>
      <c r="B1432" s="659" t="s">
        <v>3300</v>
      </c>
      <c r="C1432" t="s">
        <v>3075</v>
      </c>
      <c r="D1432" t="s">
        <v>85</v>
      </c>
    </row>
    <row r="1433" spans="1:4" ht="15" thickBot="1" x14ac:dyDescent="0.35">
      <c r="A1433" s="659" t="s">
        <v>3319</v>
      </c>
      <c r="B1433" s="659" t="s">
        <v>3300</v>
      </c>
      <c r="C1433" t="s">
        <v>3076</v>
      </c>
      <c r="D1433" t="s">
        <v>85</v>
      </c>
    </row>
    <row r="1434" spans="1:4" ht="15" thickBot="1" x14ac:dyDescent="0.35">
      <c r="A1434" s="659" t="s">
        <v>3320</v>
      </c>
      <c r="B1434" s="659" t="s">
        <v>3300</v>
      </c>
      <c r="C1434" t="s">
        <v>3077</v>
      </c>
      <c r="D1434" t="s">
        <v>85</v>
      </c>
    </row>
    <row r="1435" spans="1:4" ht="15" thickBot="1" x14ac:dyDescent="0.35">
      <c r="A1435" s="659" t="s">
        <v>3321</v>
      </c>
      <c r="B1435" s="659" t="s">
        <v>3300</v>
      </c>
      <c r="C1435" t="s">
        <v>3078</v>
      </c>
      <c r="D1435" t="s">
        <v>85</v>
      </c>
    </row>
    <row r="1436" spans="1:4" ht="15" thickBot="1" x14ac:dyDescent="0.35">
      <c r="A1436" s="659" t="s">
        <v>3322</v>
      </c>
      <c r="B1436" s="659" t="s">
        <v>3300</v>
      </c>
      <c r="C1436" t="s">
        <v>3079</v>
      </c>
      <c r="D1436" t="s">
        <v>85</v>
      </c>
    </row>
    <row r="1437" spans="1:4" ht="15" thickBot="1" x14ac:dyDescent="0.35">
      <c r="A1437" s="659" t="s">
        <v>135</v>
      </c>
      <c r="B1437" s="659" t="s">
        <v>3300</v>
      </c>
      <c r="C1437" t="s">
        <v>3386</v>
      </c>
      <c r="D1437" t="s">
        <v>85</v>
      </c>
    </row>
    <row r="1438" spans="1:4" ht="15" thickBot="1" x14ac:dyDescent="0.35">
      <c r="A1438" s="659" t="s">
        <v>3323</v>
      </c>
      <c r="B1438" s="659" t="s">
        <v>3300</v>
      </c>
      <c r="C1438" t="s">
        <v>3387</v>
      </c>
      <c r="D1438" t="s">
        <v>85</v>
      </c>
    </row>
    <row r="1439" spans="1:4" ht="15" thickBot="1" x14ac:dyDescent="0.35">
      <c r="A1439" s="659" t="s">
        <v>3324</v>
      </c>
      <c r="B1439" s="659" t="s">
        <v>3300</v>
      </c>
      <c r="C1439" t="s">
        <v>3388</v>
      </c>
      <c r="D1439" t="s">
        <v>85</v>
      </c>
    </row>
    <row r="1440" spans="1:4" ht="15" thickBot="1" x14ac:dyDescent="0.35">
      <c r="A1440" s="659" t="s">
        <v>3325</v>
      </c>
      <c r="B1440" s="659" t="s">
        <v>3300</v>
      </c>
      <c r="C1440" t="s">
        <v>3389</v>
      </c>
      <c r="D1440" t="s">
        <v>85</v>
      </c>
    </row>
    <row r="1441" spans="1:4" ht="15" thickBot="1" x14ac:dyDescent="0.35">
      <c r="A1441" s="659" t="s">
        <v>3326</v>
      </c>
      <c r="B1441" s="659" t="s">
        <v>3300</v>
      </c>
      <c r="C1441" t="s">
        <v>3390</v>
      </c>
      <c r="D1441" t="s">
        <v>85</v>
      </c>
    </row>
    <row r="1442" spans="1:4" ht="15" thickBot="1" x14ac:dyDescent="0.35">
      <c r="A1442" s="659" t="s">
        <v>3327</v>
      </c>
      <c r="B1442" s="659" t="s">
        <v>3300</v>
      </c>
      <c r="C1442" t="s">
        <v>3391</v>
      </c>
      <c r="D1442" t="s">
        <v>85</v>
      </c>
    </row>
    <row r="1443" spans="1:4" ht="15" thickBot="1" x14ac:dyDescent="0.35">
      <c r="A1443" s="659" t="s">
        <v>3328</v>
      </c>
      <c r="B1443" s="659" t="s">
        <v>3300</v>
      </c>
      <c r="C1443" t="s">
        <v>3392</v>
      </c>
      <c r="D1443" t="s">
        <v>85</v>
      </c>
    </row>
    <row r="1444" spans="1:4" ht="15" thickBot="1" x14ac:dyDescent="0.35">
      <c r="A1444" s="659" t="s">
        <v>3328</v>
      </c>
      <c r="B1444" s="659" t="s">
        <v>3300</v>
      </c>
      <c r="C1444" t="s">
        <v>3393</v>
      </c>
      <c r="D1444" t="s">
        <v>85</v>
      </c>
    </row>
    <row r="1445" spans="1:4" ht="15" thickBot="1" x14ac:dyDescent="0.35">
      <c r="A1445" s="659" t="s">
        <v>3328</v>
      </c>
      <c r="B1445" s="659" t="s">
        <v>3300</v>
      </c>
      <c r="C1445" t="s">
        <v>3394</v>
      </c>
      <c r="D1445" t="s">
        <v>85</v>
      </c>
    </row>
    <row r="1446" spans="1:4" ht="15" thickBot="1" x14ac:dyDescent="0.35">
      <c r="A1446" s="659" t="s">
        <v>3329</v>
      </c>
      <c r="B1446" s="659" t="s">
        <v>3300</v>
      </c>
      <c r="C1446" t="s">
        <v>3395</v>
      </c>
      <c r="D1446" t="s">
        <v>85</v>
      </c>
    </row>
    <row r="1447" spans="1:4" ht="15" thickBot="1" x14ac:dyDescent="0.35">
      <c r="A1447" s="659" t="s">
        <v>3330</v>
      </c>
      <c r="B1447" s="659" t="s">
        <v>3300</v>
      </c>
      <c r="C1447" t="s">
        <v>3396</v>
      </c>
      <c r="D1447" t="s">
        <v>85</v>
      </c>
    </row>
    <row r="1448" spans="1:4" ht="15" thickBot="1" x14ac:dyDescent="0.35">
      <c r="A1448" s="659" t="s">
        <v>3331</v>
      </c>
      <c r="B1448" s="659" t="s">
        <v>3300</v>
      </c>
      <c r="C1448" t="s">
        <v>3397</v>
      </c>
      <c r="D1448" t="s">
        <v>85</v>
      </c>
    </row>
    <row r="1449" spans="1:4" ht="15" thickBot="1" x14ac:dyDescent="0.35">
      <c r="A1449" s="659" t="s">
        <v>3332</v>
      </c>
      <c r="B1449" s="659" t="s">
        <v>3300</v>
      </c>
      <c r="C1449" t="s">
        <v>3398</v>
      </c>
      <c r="D1449" t="s">
        <v>85</v>
      </c>
    </row>
    <row r="1450" spans="1:4" ht="15" thickBot="1" x14ac:dyDescent="0.35">
      <c r="A1450" s="659" t="s">
        <v>3333</v>
      </c>
      <c r="B1450" s="659" t="s">
        <v>3300</v>
      </c>
      <c r="C1450" t="s">
        <v>3399</v>
      </c>
      <c r="D1450" t="s">
        <v>85</v>
      </c>
    </row>
    <row r="1451" spans="1:4" ht="15" thickBot="1" x14ac:dyDescent="0.35">
      <c r="A1451" s="659" t="s">
        <v>3334</v>
      </c>
      <c r="B1451" s="659" t="s">
        <v>3300</v>
      </c>
      <c r="C1451" t="s">
        <v>3400</v>
      </c>
      <c r="D1451" t="s">
        <v>85</v>
      </c>
    </row>
    <row r="1452" spans="1:4" ht="15" thickBot="1" x14ac:dyDescent="0.35">
      <c r="A1452" s="659" t="s">
        <v>3334</v>
      </c>
      <c r="B1452" s="659" t="s">
        <v>3300</v>
      </c>
      <c r="C1452" t="s">
        <v>3401</v>
      </c>
      <c r="D1452" t="s">
        <v>85</v>
      </c>
    </row>
    <row r="1453" spans="1:4" ht="15" thickBot="1" x14ac:dyDescent="0.35">
      <c r="A1453" s="659" t="s">
        <v>3334</v>
      </c>
      <c r="B1453" s="659" t="s">
        <v>3300</v>
      </c>
      <c r="C1453" t="s">
        <v>3402</v>
      </c>
      <c r="D1453" t="s">
        <v>85</v>
      </c>
    </row>
    <row r="1454" spans="1:4" ht="15" thickBot="1" x14ac:dyDescent="0.35">
      <c r="A1454" s="659" t="s">
        <v>3334</v>
      </c>
      <c r="B1454" s="659" t="s">
        <v>3300</v>
      </c>
      <c r="C1454" t="s">
        <v>3403</v>
      </c>
      <c r="D1454" t="s">
        <v>85</v>
      </c>
    </row>
    <row r="1455" spans="1:4" ht="15" thickBot="1" x14ac:dyDescent="0.35">
      <c r="A1455" s="659" t="s">
        <v>3335</v>
      </c>
      <c r="B1455" s="659" t="s">
        <v>3300</v>
      </c>
      <c r="C1455" t="s">
        <v>3404</v>
      </c>
      <c r="D1455" t="s">
        <v>85</v>
      </c>
    </row>
    <row r="1456" spans="1:4" ht="15" thickBot="1" x14ac:dyDescent="0.35">
      <c r="A1456" s="659" t="s">
        <v>3336</v>
      </c>
      <c r="B1456" s="659" t="s">
        <v>3300</v>
      </c>
      <c r="C1456" t="s">
        <v>3405</v>
      </c>
      <c r="D1456" t="s">
        <v>85</v>
      </c>
    </row>
    <row r="1457" spans="1:4" ht="15" thickBot="1" x14ac:dyDescent="0.35">
      <c r="A1457" s="659" t="s">
        <v>3337</v>
      </c>
      <c r="B1457" s="659" t="s">
        <v>3300</v>
      </c>
      <c r="C1457" t="s">
        <v>3406</v>
      </c>
      <c r="D1457" t="s">
        <v>85</v>
      </c>
    </row>
    <row r="1458" spans="1:4" ht="15" thickBot="1" x14ac:dyDescent="0.35">
      <c r="A1458" s="659" t="s">
        <v>3338</v>
      </c>
      <c r="B1458" s="659" t="s">
        <v>3300</v>
      </c>
      <c r="C1458" t="s">
        <v>3407</v>
      </c>
      <c r="D1458" t="s">
        <v>85</v>
      </c>
    </row>
    <row r="1459" spans="1:4" ht="15" thickBot="1" x14ac:dyDescent="0.35">
      <c r="A1459" s="659" t="s">
        <v>3339</v>
      </c>
      <c r="B1459" s="659" t="s">
        <v>3300</v>
      </c>
      <c r="C1459" t="s">
        <v>3408</v>
      </c>
      <c r="D1459" t="s">
        <v>85</v>
      </c>
    </row>
    <row r="1460" spans="1:4" ht="15" thickBot="1" x14ac:dyDescent="0.35">
      <c r="A1460" s="659" t="s">
        <v>3340</v>
      </c>
      <c r="B1460" s="659" t="s">
        <v>3300</v>
      </c>
      <c r="C1460" t="s">
        <v>3409</v>
      </c>
      <c r="D1460" t="s">
        <v>85</v>
      </c>
    </row>
    <row r="1461" spans="1:4" ht="15" thickBot="1" x14ac:dyDescent="0.35">
      <c r="A1461" s="659" t="s">
        <v>3341</v>
      </c>
      <c r="B1461" s="659" t="s">
        <v>3300</v>
      </c>
      <c r="C1461" t="s">
        <v>3410</v>
      </c>
      <c r="D1461" t="s">
        <v>85</v>
      </c>
    </row>
    <row r="1462" spans="1:4" ht="15" thickBot="1" x14ac:dyDescent="0.35">
      <c r="A1462" s="659" t="s">
        <v>3342</v>
      </c>
      <c r="B1462" s="659" t="s">
        <v>3300</v>
      </c>
      <c r="C1462" t="s">
        <v>3411</v>
      </c>
      <c r="D1462" t="s">
        <v>85</v>
      </c>
    </row>
    <row r="1463" spans="1:4" ht="15" thickBot="1" x14ac:dyDescent="0.35">
      <c r="A1463" s="659" t="s">
        <v>3343</v>
      </c>
      <c r="B1463" s="659" t="s">
        <v>3300</v>
      </c>
      <c r="C1463" t="s">
        <v>3412</v>
      </c>
      <c r="D1463" t="s">
        <v>85</v>
      </c>
    </row>
    <row r="1464" spans="1:4" ht="15" thickBot="1" x14ac:dyDescent="0.35">
      <c r="A1464" s="659" t="s">
        <v>3343</v>
      </c>
      <c r="B1464" s="659" t="s">
        <v>3300</v>
      </c>
      <c r="C1464" t="s">
        <v>3413</v>
      </c>
      <c r="D1464" t="s">
        <v>85</v>
      </c>
    </row>
    <row r="1465" spans="1:4" ht="15" thickBot="1" x14ac:dyDescent="0.35">
      <c r="A1465" s="659" t="s">
        <v>3343</v>
      </c>
      <c r="B1465" s="659" t="s">
        <v>3300</v>
      </c>
      <c r="C1465" t="s">
        <v>3414</v>
      </c>
      <c r="D1465" t="s">
        <v>85</v>
      </c>
    </row>
    <row r="1466" spans="1:4" ht="15" thickBot="1" x14ac:dyDescent="0.35">
      <c r="A1466" s="659" t="s">
        <v>3343</v>
      </c>
      <c r="B1466" s="659" t="s">
        <v>3300</v>
      </c>
      <c r="C1466" t="s">
        <v>3415</v>
      </c>
      <c r="D1466" t="s">
        <v>85</v>
      </c>
    </row>
    <row r="1467" spans="1:4" ht="15" thickBot="1" x14ac:dyDescent="0.35">
      <c r="A1467" s="659" t="s">
        <v>3344</v>
      </c>
      <c r="B1467" s="659" t="s">
        <v>3300</v>
      </c>
      <c r="C1467" t="s">
        <v>3416</v>
      </c>
      <c r="D1467" t="s">
        <v>85</v>
      </c>
    </row>
    <row r="1468" spans="1:4" ht="15" thickBot="1" x14ac:dyDescent="0.35">
      <c r="A1468" s="659" t="s">
        <v>3345</v>
      </c>
      <c r="B1468" s="659" t="s">
        <v>3300</v>
      </c>
      <c r="C1468" t="s">
        <v>3417</v>
      </c>
      <c r="D1468" t="s">
        <v>85</v>
      </c>
    </row>
    <row r="1469" spans="1:4" ht="15" thickBot="1" x14ac:dyDescent="0.35">
      <c r="A1469" s="659" t="s">
        <v>3346</v>
      </c>
      <c r="B1469" s="659" t="s">
        <v>3300</v>
      </c>
      <c r="C1469" t="s">
        <v>3418</v>
      </c>
      <c r="D1469" t="s">
        <v>85</v>
      </c>
    </row>
    <row r="1470" spans="1:4" ht="15" thickBot="1" x14ac:dyDescent="0.35">
      <c r="A1470" s="659" t="s">
        <v>3347</v>
      </c>
      <c r="B1470" s="659" t="s">
        <v>3300</v>
      </c>
      <c r="C1470" t="s">
        <v>3419</v>
      </c>
      <c r="D1470" t="s">
        <v>85</v>
      </c>
    </row>
    <row r="1471" spans="1:4" ht="15" thickBot="1" x14ac:dyDescent="0.35">
      <c r="A1471" s="659" t="s">
        <v>3348</v>
      </c>
      <c r="B1471" s="659" t="s">
        <v>3300</v>
      </c>
      <c r="C1471" t="s">
        <v>3420</v>
      </c>
      <c r="D1471" t="s">
        <v>85</v>
      </c>
    </row>
    <row r="1472" spans="1:4" ht="15" thickBot="1" x14ac:dyDescent="0.35">
      <c r="A1472" s="659" t="s">
        <v>3349</v>
      </c>
      <c r="B1472" s="659" t="s">
        <v>3350</v>
      </c>
      <c r="C1472" t="s">
        <v>3421</v>
      </c>
      <c r="D1472" t="s">
        <v>85</v>
      </c>
    </row>
    <row r="1473" spans="1:4" ht="15" thickBot="1" x14ac:dyDescent="0.35">
      <c r="A1473" s="659" t="s">
        <v>3351</v>
      </c>
      <c r="B1473" s="659" t="s">
        <v>3350</v>
      </c>
      <c r="C1473" t="s">
        <v>3422</v>
      </c>
      <c r="D1473" t="s">
        <v>85</v>
      </c>
    </row>
    <row r="1474" spans="1:4" ht="15" thickBot="1" x14ac:dyDescent="0.35">
      <c r="A1474" s="659" t="s">
        <v>3352</v>
      </c>
      <c r="B1474" s="659" t="s">
        <v>3350</v>
      </c>
      <c r="C1474" t="s">
        <v>3423</v>
      </c>
      <c r="D1474" t="s">
        <v>85</v>
      </c>
    </row>
    <row r="1475" spans="1:4" ht="15" thickBot="1" x14ac:dyDescent="0.35">
      <c r="A1475" s="659" t="s">
        <v>3353</v>
      </c>
      <c r="B1475" s="659" t="s">
        <v>3350</v>
      </c>
      <c r="C1475" t="s">
        <v>3424</v>
      </c>
      <c r="D1475" t="s">
        <v>85</v>
      </c>
    </row>
    <row r="1476" spans="1:4" ht="15" thickBot="1" x14ac:dyDescent="0.35">
      <c r="A1476" s="659" t="s">
        <v>3354</v>
      </c>
      <c r="B1476" s="659" t="s">
        <v>3350</v>
      </c>
      <c r="C1476" t="s">
        <v>3425</v>
      </c>
      <c r="D1476" t="s">
        <v>85</v>
      </c>
    </row>
    <row r="1477" spans="1:4" ht="15" thickBot="1" x14ac:dyDescent="0.35">
      <c r="A1477" s="659" t="s">
        <v>3354</v>
      </c>
      <c r="B1477" s="659" t="s">
        <v>3350</v>
      </c>
      <c r="C1477" t="s">
        <v>3426</v>
      </c>
      <c r="D1477" t="s">
        <v>85</v>
      </c>
    </row>
    <row r="1478" spans="1:4" ht="15" thickBot="1" x14ac:dyDescent="0.35">
      <c r="A1478" s="659" t="s">
        <v>3355</v>
      </c>
      <c r="B1478" s="659" t="s">
        <v>3350</v>
      </c>
      <c r="C1478" t="s">
        <v>3427</v>
      </c>
      <c r="D1478" t="s">
        <v>85</v>
      </c>
    </row>
    <row r="1479" spans="1:4" ht="15" thickBot="1" x14ac:dyDescent="0.35">
      <c r="A1479" s="659" t="s">
        <v>3356</v>
      </c>
      <c r="B1479" s="659" t="s">
        <v>3350</v>
      </c>
      <c r="C1479" t="s">
        <v>3428</v>
      </c>
      <c r="D1479" t="s">
        <v>85</v>
      </c>
    </row>
    <row r="1480" spans="1:4" ht="15" thickBot="1" x14ac:dyDescent="0.35">
      <c r="A1480" s="659" t="s">
        <v>3357</v>
      </c>
      <c r="B1480" s="659" t="s">
        <v>3350</v>
      </c>
      <c r="C1480" t="s">
        <v>3429</v>
      </c>
      <c r="D1480" t="s">
        <v>85</v>
      </c>
    </row>
    <row r="1481" spans="1:4" ht="15" thickBot="1" x14ac:dyDescent="0.35">
      <c r="A1481" s="659" t="s">
        <v>3358</v>
      </c>
      <c r="B1481" s="659" t="s">
        <v>3350</v>
      </c>
      <c r="C1481" t="s">
        <v>3430</v>
      </c>
      <c r="D1481" t="s">
        <v>85</v>
      </c>
    </row>
    <row r="1482" spans="1:4" ht="15" thickBot="1" x14ac:dyDescent="0.35">
      <c r="A1482" s="659" t="s">
        <v>3359</v>
      </c>
      <c r="B1482" s="659" t="s">
        <v>3350</v>
      </c>
      <c r="C1482" t="s">
        <v>3431</v>
      </c>
      <c r="D1482" t="s">
        <v>85</v>
      </c>
    </row>
    <row r="1483" spans="1:4" ht="15" thickBot="1" x14ac:dyDescent="0.35">
      <c r="A1483" s="659" t="s">
        <v>3360</v>
      </c>
      <c r="B1483" s="659" t="s">
        <v>3350</v>
      </c>
      <c r="C1483" t="s">
        <v>3432</v>
      </c>
      <c r="D1483" t="s">
        <v>85</v>
      </c>
    </row>
    <row r="1484" spans="1:4" ht="15" thickBot="1" x14ac:dyDescent="0.35">
      <c r="A1484" s="659" t="s">
        <v>3128</v>
      </c>
      <c r="B1484" s="659" t="s">
        <v>3350</v>
      </c>
      <c r="C1484" t="s">
        <v>3433</v>
      </c>
      <c r="D1484" t="s">
        <v>85</v>
      </c>
    </row>
    <row r="1485" spans="1:4" ht="15" thickBot="1" x14ac:dyDescent="0.35">
      <c r="A1485" s="659" t="s">
        <v>3361</v>
      </c>
      <c r="B1485" s="659" t="s">
        <v>3350</v>
      </c>
      <c r="C1485" t="s">
        <v>3434</v>
      </c>
      <c r="D1485" t="s">
        <v>85</v>
      </c>
    </row>
    <row r="1486" spans="1:4" ht="15" thickBot="1" x14ac:dyDescent="0.35">
      <c r="A1486" s="659" t="s">
        <v>3362</v>
      </c>
      <c r="B1486" s="659" t="s">
        <v>3350</v>
      </c>
      <c r="C1486" t="s">
        <v>3435</v>
      </c>
      <c r="D1486" t="s">
        <v>85</v>
      </c>
    </row>
    <row r="1487" spans="1:4" ht="15" thickBot="1" x14ac:dyDescent="0.35">
      <c r="A1487" s="659" t="s">
        <v>3363</v>
      </c>
      <c r="B1487" s="659" t="s">
        <v>3350</v>
      </c>
      <c r="C1487" t="s">
        <v>3436</v>
      </c>
      <c r="D1487" t="s">
        <v>85</v>
      </c>
    </row>
    <row r="1488" spans="1:4" ht="15" thickBot="1" x14ac:dyDescent="0.35">
      <c r="A1488" s="659" t="s">
        <v>3364</v>
      </c>
      <c r="B1488" s="659" t="s">
        <v>3350</v>
      </c>
      <c r="C1488" t="s">
        <v>3437</v>
      </c>
      <c r="D1488" t="s">
        <v>85</v>
      </c>
    </row>
    <row r="1489" spans="1:4" ht="15" thickBot="1" x14ac:dyDescent="0.35">
      <c r="A1489" s="659" t="s">
        <v>3365</v>
      </c>
      <c r="B1489" s="659" t="s">
        <v>3350</v>
      </c>
      <c r="C1489" t="s">
        <v>3438</v>
      </c>
      <c r="D1489" t="s">
        <v>85</v>
      </c>
    </row>
    <row r="1490" spans="1:4" ht="15" thickBot="1" x14ac:dyDescent="0.35">
      <c r="A1490" s="659" t="s">
        <v>3366</v>
      </c>
      <c r="B1490" s="659" t="s">
        <v>3350</v>
      </c>
      <c r="C1490" t="s">
        <v>3439</v>
      </c>
      <c r="D1490" t="s">
        <v>85</v>
      </c>
    </row>
    <row r="1491" spans="1:4" ht="15" thickBot="1" x14ac:dyDescent="0.35">
      <c r="A1491" s="659" t="s">
        <v>3367</v>
      </c>
      <c r="B1491" s="659" t="s">
        <v>3350</v>
      </c>
      <c r="C1491" t="s">
        <v>3440</v>
      </c>
      <c r="D1491" t="s">
        <v>85</v>
      </c>
    </row>
    <row r="1492" spans="1:4" ht="15" thickBot="1" x14ac:dyDescent="0.35">
      <c r="A1492" s="659" t="s">
        <v>3368</v>
      </c>
      <c r="B1492" s="659" t="s">
        <v>3350</v>
      </c>
      <c r="C1492" t="s">
        <v>3441</v>
      </c>
      <c r="D1492" t="s">
        <v>85</v>
      </c>
    </row>
    <row r="1493" spans="1:4" ht="15" thickBot="1" x14ac:dyDescent="0.35">
      <c r="A1493" s="659" t="s">
        <v>3369</v>
      </c>
      <c r="B1493" s="659" t="s">
        <v>3350</v>
      </c>
      <c r="C1493" t="s">
        <v>3442</v>
      </c>
      <c r="D1493" t="s">
        <v>85</v>
      </c>
    </row>
    <row r="1494" spans="1:4" ht="15" thickBot="1" x14ac:dyDescent="0.35">
      <c r="A1494" s="659" t="s">
        <v>3369</v>
      </c>
      <c r="B1494" s="659" t="s">
        <v>3350</v>
      </c>
      <c r="C1494" t="s">
        <v>3443</v>
      </c>
      <c r="D1494" t="s">
        <v>85</v>
      </c>
    </row>
    <row r="1495" spans="1:4" ht="15" thickBot="1" x14ac:dyDescent="0.35">
      <c r="A1495" s="659" t="s">
        <v>3370</v>
      </c>
      <c r="B1495" s="659" t="s">
        <v>3350</v>
      </c>
      <c r="C1495" t="s">
        <v>3444</v>
      </c>
      <c r="D1495" t="s">
        <v>85</v>
      </c>
    </row>
    <row r="1496" spans="1:4" ht="15" thickBot="1" x14ac:dyDescent="0.35">
      <c r="A1496" s="659" t="s">
        <v>3371</v>
      </c>
      <c r="B1496" s="659" t="s">
        <v>3350</v>
      </c>
      <c r="C1496" t="s">
        <v>3445</v>
      </c>
      <c r="D1496" t="s">
        <v>85</v>
      </c>
    </row>
    <row r="1497" spans="1:4" ht="15" thickBot="1" x14ac:dyDescent="0.35">
      <c r="A1497" s="659" t="s">
        <v>3372</v>
      </c>
      <c r="B1497" s="659" t="s">
        <v>3350</v>
      </c>
      <c r="C1497" t="s">
        <v>3446</v>
      </c>
      <c r="D1497" t="s">
        <v>85</v>
      </c>
    </row>
    <row r="1498" spans="1:4" ht="15" thickBot="1" x14ac:dyDescent="0.35">
      <c r="A1498" s="659" t="s">
        <v>3373</v>
      </c>
      <c r="B1498" s="659" t="s">
        <v>3350</v>
      </c>
      <c r="C1498" t="s">
        <v>3447</v>
      </c>
      <c r="D1498" t="s">
        <v>85</v>
      </c>
    </row>
    <row r="1499" spans="1:4" ht="15" thickBot="1" x14ac:dyDescent="0.35">
      <c r="A1499" s="659" t="s">
        <v>3374</v>
      </c>
      <c r="B1499" s="659" t="s">
        <v>3350</v>
      </c>
      <c r="C1499" t="s">
        <v>3448</v>
      </c>
      <c r="D1499" t="s">
        <v>85</v>
      </c>
    </row>
    <row r="1500" spans="1:4" ht="15" thickBot="1" x14ac:dyDescent="0.35">
      <c r="A1500" s="659" t="s">
        <v>3375</v>
      </c>
      <c r="B1500" s="659" t="s">
        <v>3350</v>
      </c>
      <c r="C1500" t="s">
        <v>3449</v>
      </c>
      <c r="D1500" t="s">
        <v>85</v>
      </c>
    </row>
    <row r="1501" spans="1:4" ht="15" thickBot="1" x14ac:dyDescent="0.35">
      <c r="A1501" s="659" t="s">
        <v>3376</v>
      </c>
      <c r="B1501" s="659" t="s">
        <v>3350</v>
      </c>
      <c r="C1501" t="s">
        <v>3450</v>
      </c>
      <c r="D1501" t="s">
        <v>85</v>
      </c>
    </row>
    <row r="1502" spans="1:4" ht="15" thickBot="1" x14ac:dyDescent="0.35">
      <c r="A1502" s="659" t="s">
        <v>3377</v>
      </c>
      <c r="B1502" s="659" t="s">
        <v>3350</v>
      </c>
      <c r="C1502" t="s">
        <v>3451</v>
      </c>
      <c r="D1502" t="s">
        <v>85</v>
      </c>
    </row>
    <row r="1503" spans="1:4" ht="15" thickBot="1" x14ac:dyDescent="0.35">
      <c r="A1503" s="659" t="s">
        <v>3378</v>
      </c>
      <c r="B1503" s="659" t="s">
        <v>3350</v>
      </c>
      <c r="C1503" t="s">
        <v>3452</v>
      </c>
      <c r="D1503" t="s">
        <v>85</v>
      </c>
    </row>
    <row r="1504" spans="1:4" ht="15" thickBot="1" x14ac:dyDescent="0.35">
      <c r="A1504" s="659" t="s">
        <v>3379</v>
      </c>
      <c r="B1504" s="659" t="s">
        <v>3350</v>
      </c>
      <c r="C1504" t="s">
        <v>3453</v>
      </c>
      <c r="D1504" t="s">
        <v>85</v>
      </c>
    </row>
    <row r="1505" spans="1:4" ht="15" thickBot="1" x14ac:dyDescent="0.35">
      <c r="A1505" s="659" t="s">
        <v>3380</v>
      </c>
      <c r="B1505" s="659" t="s">
        <v>3350</v>
      </c>
      <c r="C1505" t="s">
        <v>3454</v>
      </c>
      <c r="D1505" t="s">
        <v>85</v>
      </c>
    </row>
    <row r="1506" spans="1:4" ht="15" thickBot="1" x14ac:dyDescent="0.35">
      <c r="A1506" s="659" t="s">
        <v>3381</v>
      </c>
      <c r="B1506" s="659" t="s">
        <v>3350</v>
      </c>
      <c r="C1506" t="s">
        <v>3455</v>
      </c>
      <c r="D1506" t="s">
        <v>85</v>
      </c>
    </row>
    <row r="1507" spans="1:4" ht="15" thickBot="1" x14ac:dyDescent="0.35">
      <c r="A1507" s="659" t="s">
        <v>3382</v>
      </c>
      <c r="B1507" s="659" t="s">
        <v>3350</v>
      </c>
      <c r="C1507" t="s">
        <v>3456</v>
      </c>
      <c r="D1507" t="s">
        <v>85</v>
      </c>
    </row>
    <row r="1508" spans="1:4" ht="15" thickBot="1" x14ac:dyDescent="0.35">
      <c r="A1508" s="659" t="s">
        <v>3383</v>
      </c>
      <c r="B1508" s="659" t="s">
        <v>3350</v>
      </c>
      <c r="C1508" t="s">
        <v>3457</v>
      </c>
      <c r="D1508" t="s">
        <v>85</v>
      </c>
    </row>
    <row r="1509" spans="1:4" ht="15" thickBot="1" x14ac:dyDescent="0.35">
      <c r="A1509" s="659" t="s">
        <v>3384</v>
      </c>
      <c r="B1509" s="659" t="s">
        <v>3350</v>
      </c>
      <c r="C1509" t="s">
        <v>3458</v>
      </c>
      <c r="D1509" t="s">
        <v>85</v>
      </c>
    </row>
    <row r="1510" spans="1:4" ht="15" thickBot="1" x14ac:dyDescent="0.35">
      <c r="A1510" s="659" t="s">
        <v>3385</v>
      </c>
      <c r="B1510" s="659" t="s">
        <v>3350</v>
      </c>
      <c r="C1510" t="s">
        <v>3459</v>
      </c>
      <c r="D1510" t="s">
        <v>85</v>
      </c>
    </row>
  </sheetData>
  <phoneticPr fontId="2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A8A57C925B9E4D95DA18BB50A9C42B" ma:contentTypeVersion="9" ma:contentTypeDescription="Create a new document." ma:contentTypeScope="" ma:versionID="44bd6cbd50599c80929e7116af3c516b">
  <xsd:schema xmlns:xsd="http://www.w3.org/2001/XMLSchema" xmlns:xs="http://www.w3.org/2001/XMLSchema" xmlns:p="http://schemas.microsoft.com/office/2006/metadata/properties" xmlns:ns3="a3a02752-c42f-4823-a1f9-e92ed3f5135e" targetNamespace="http://schemas.microsoft.com/office/2006/metadata/properties" ma:root="true" ma:fieldsID="8e57f03fa6bb4677632c3a1a949ffd3b" ns3:_="">
    <xsd:import namespace="a3a02752-c42f-4823-a1f9-e92ed3f5135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a02752-c42f-4823-a1f9-e92ed3f5135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FBD11D-CC15-437B-8212-D3CE49EEF2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a02752-c42f-4823-a1f9-e92ed3f513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8B520E-B2EC-404B-BDD9-8BE820B18D46}">
  <ds:schemaRefs>
    <ds:schemaRef ds:uri="http://schemas.openxmlformats.org/package/2006/metadata/core-properties"/>
    <ds:schemaRef ds:uri="http://purl.org/dc/elements/1.1/"/>
    <ds:schemaRef ds:uri="http://purl.org/dc/dcmitype/"/>
    <ds:schemaRef ds:uri="a3a02752-c42f-4823-a1f9-e92ed3f5135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44C3DA1-6284-4429-89D6-5B753097D9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Estado_cepas</vt:lpstr>
      <vt:lpstr>Extraídas</vt:lpstr>
      <vt:lpstr>PCRs</vt:lpstr>
      <vt:lpstr>Identificación genética</vt:lpstr>
      <vt:lpstr>Registro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Belén Baena Rojas</dc:creator>
  <cp:lastModifiedBy>Javier Matos García</cp:lastModifiedBy>
  <dcterms:created xsi:type="dcterms:W3CDTF">2025-12-18T11:09:17Z</dcterms:created>
  <dcterms:modified xsi:type="dcterms:W3CDTF">2025-12-19T13:33:55Z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0x01010062A8A57C925B9E4D95DA18BB50A9C42B</vt:lpwstr>
  </property>
</Properties>
</file>